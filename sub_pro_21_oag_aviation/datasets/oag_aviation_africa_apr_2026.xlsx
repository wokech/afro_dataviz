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tionalDomestic Capacity" sheetId="1" r:id="rId5"/>
    <sheet state="visible" name="MainlineLowCost Capacity" sheetId="2" r:id="rId6"/>
    <sheet state="visible" name="Top 10 Countries" sheetId="3" r:id="rId7"/>
    <sheet state="visible" name="MIRROR Top 10 Countries" sheetId="4" r:id="rId8"/>
    <sheet state="visible" name="Top 10 Domestic Markets" sheetId="5" r:id="rId9"/>
    <sheet state="visible" name="Top 10 Airports" sheetId="6" r:id="rId10"/>
    <sheet state="visible" name="Capacity by Region" sheetId="7" r:id="rId11"/>
    <sheet state="visible" name="Destination Regions" sheetId="8" r:id="rId12"/>
    <sheet state="visible" name="Top 10 Airlines by Seats" sheetId="9" r:id="rId13"/>
    <sheet state="hidden" name="RefSheet" sheetId="10" r:id="rId14"/>
  </sheets>
  <definedNames/>
  <calcPr/>
</workbook>
</file>

<file path=xl/sharedStrings.xml><?xml version="1.0" encoding="utf-8"?>
<sst xmlns="http://schemas.openxmlformats.org/spreadsheetml/2006/main" count="32023" uniqueCount="19693">
  <si>
    <t>This Month 2025</t>
  </si>
  <si>
    <t>This Month 2026</t>
  </si>
  <si>
    <t>YoY Variance %</t>
  </si>
  <si>
    <r>
      <rPr>
        <rFont val="&quot;Aptos Narrow&quot;, sans-serif"/>
        <b/>
        <color rgb="FF1155CC"/>
        <sz val="11.0"/>
        <u/>
      </rPr>
      <t>Discover OAG's datasets here</t>
    </r>
  </si>
  <si>
    <t>Domestic</t>
  </si>
  <si>
    <t>International</t>
  </si>
  <si>
    <r>
      <rPr>
        <rFont val="&quot;Aptos Narrow&quot;, sans-serif"/>
        <b/>
        <color rgb="FF1155CC"/>
        <sz val="11.0"/>
        <u/>
      </rPr>
      <t>Request a Free Trial of our data here</t>
    </r>
  </si>
  <si>
    <t>Permission Requirement: The data should not be copied in part or its entirety or in its original format without explicit permission from OAG.</t>
  </si>
  <si>
    <t>Mainline/Low Cost</t>
  </si>
  <si>
    <t>Mainline</t>
  </si>
  <si>
    <t>Low Cost</t>
  </si>
  <si>
    <t>Mainline Share</t>
  </si>
  <si>
    <t>Low Cost Share</t>
  </si>
  <si>
    <t xml:space="preserve">Top 10 Countries by Seats </t>
  </si>
  <si>
    <t>Variance %</t>
  </si>
  <si>
    <t>Egypt</t>
  </si>
  <si>
    <t>South Africa</t>
  </si>
  <si>
    <t>Morocco</t>
  </si>
  <si>
    <t>Ethiopia</t>
  </si>
  <si>
    <t>Nigeria</t>
  </si>
  <si>
    <t>Algeria</t>
  </si>
  <si>
    <t>Kenya</t>
  </si>
  <si>
    <t>Tunisia</t>
  </si>
  <si>
    <t>Tanzania United Republic of</t>
  </si>
  <si>
    <t>Ghana</t>
  </si>
  <si>
    <t>Country</t>
  </si>
  <si>
    <t>Staring point</t>
  </si>
  <si>
    <t>Flag Image</t>
  </si>
  <si>
    <t>Conc 1</t>
  </si>
  <si>
    <t>Flag HTML</t>
  </si>
  <si>
    <t>Rank</t>
  </si>
  <si>
    <t>Congo Democratic Republic of</t>
  </si>
  <si>
    <t>Cameroon</t>
  </si>
  <si>
    <t>Airport Code</t>
  </si>
  <si>
    <t>Airport Name</t>
  </si>
  <si>
    <t>Variance</t>
  </si>
  <si>
    <t>Latitude</t>
  </si>
  <si>
    <t>Longitude</t>
  </si>
  <si>
    <t>CAI</t>
  </si>
  <si>
    <t>Cairo International</t>
  </si>
  <si>
    <t>JNB</t>
  </si>
  <si>
    <t>Johannesburg O.r. Tambo International</t>
  </si>
  <si>
    <t>ADD</t>
  </si>
  <si>
    <t>Addis Ababa</t>
  </si>
  <si>
    <t>CMN</t>
  </si>
  <si>
    <t>Casablanca</t>
  </si>
  <si>
    <t>CPT</t>
  </si>
  <si>
    <t>Cape Town</t>
  </si>
  <si>
    <t>RAK</t>
  </si>
  <si>
    <t>Marrakech</t>
  </si>
  <si>
    <t>ALG</t>
  </si>
  <si>
    <t>Algiers</t>
  </si>
  <si>
    <t>HRG</t>
  </si>
  <si>
    <t>Hurghada</t>
  </si>
  <si>
    <t>NBO</t>
  </si>
  <si>
    <t>Nairobi Jomo Kenyatta International Apt</t>
  </si>
  <si>
    <t>LOS</t>
  </si>
  <si>
    <t>Lagos</t>
  </si>
  <si>
    <t>Dep Region Name</t>
  </si>
  <si>
    <t>Africa : North Africa</t>
  </si>
  <si>
    <t>Africa : Eastern Africa</t>
  </si>
  <si>
    <t>Africa : Central/Western Africa</t>
  </si>
  <si>
    <t>Africa : Southern Africa</t>
  </si>
  <si>
    <t>Others</t>
  </si>
  <si>
    <t>Region</t>
  </si>
  <si>
    <t>Total this Month 2026</t>
  </si>
  <si>
    <t>Within Africa</t>
  </si>
  <si>
    <t>Europe</t>
  </si>
  <si>
    <t>Middle East</t>
  </si>
  <si>
    <t>Asia Pacific</t>
  </si>
  <si>
    <t>The Americas</t>
  </si>
  <si>
    <t>Airline</t>
  </si>
  <si>
    <t>YoY Variance</t>
  </si>
  <si>
    <t>Ethiopian Airlines</t>
  </si>
  <si>
    <t>Safair</t>
  </si>
  <si>
    <t>Egyptair</t>
  </si>
  <si>
    <t>Royal Air Maroc</t>
  </si>
  <si>
    <t>Air Algerie</t>
  </si>
  <si>
    <t>Airlink</t>
  </si>
  <si>
    <t>Ryanair</t>
  </si>
  <si>
    <t>South African Airways</t>
  </si>
  <si>
    <t>Turkish Airlines</t>
  </si>
  <si>
    <t>Easyjet</t>
  </si>
  <si>
    <t>iata</t>
  </si>
  <si>
    <t>name</t>
  </si>
  <si>
    <t>latitude</t>
  </si>
  <si>
    <t>longitude</t>
  </si>
  <si>
    <t>country</t>
  </si>
  <si>
    <t>city</t>
  </si>
  <si>
    <t>Country Flag</t>
  </si>
  <si>
    <t>United Kingdom</t>
  </si>
  <si>
    <t>https://www.oag.com/hubfs/Flourish/2-1.png</t>
  </si>
  <si>
    <t>Logo</t>
  </si>
  <si>
    <t>Liverpool South Shore Regional Airport</t>
  </si>
  <si>
    <t>Canada</t>
  </si>
  <si>
    <t>Liverpool</t>
  </si>
  <si>
    <t>France</t>
  </si>
  <si>
    <t>https://www.oag.com/hubfs/Flourish/3-1.png</t>
  </si>
  <si>
    <t>LATAM Airlines Group</t>
  </si>
  <si>
    <t>https://www.oag.com/hubfs/Flourish/Airlines/LATAM.png</t>
  </si>
  <si>
    <t>\N</t>
  </si>
  <si>
    <t>Forestville Airport</t>
  </si>
  <si>
    <t>Forestville</t>
  </si>
  <si>
    <t>Italy</t>
  </si>
  <si>
    <t>https://www.oag.com/hubfs/Flourish/6.png</t>
  </si>
  <si>
    <t>Avianca</t>
  </si>
  <si>
    <t>https://www.oag.com/hubfs/Flourish/Airlines/Avianca.png</t>
  </si>
  <si>
    <t>Pitt Meadows Airport</t>
  </si>
  <si>
    <t>Pitt Meadows</t>
  </si>
  <si>
    <t>Germany</t>
  </si>
  <si>
    <t>https://www.oag.com/hubfs/Flourish/8.png</t>
  </si>
  <si>
    <t>Azul Airlines</t>
  </si>
  <si>
    <t>https://www.oag.com/hubfs/Flourish/Airlines/Azul.png</t>
  </si>
  <si>
    <t>Blida Airport</t>
  </si>
  <si>
    <t>Blida</t>
  </si>
  <si>
    <t>Spain</t>
  </si>
  <si>
    <t>https://www.oag.com/hubfs/Flourish/1-1.png</t>
  </si>
  <si>
    <t>GOL Linhas Aereas S.A.</t>
  </si>
  <si>
    <t>https://www.oag.com/hubfs/Flourish/Airlines/GOL.png</t>
  </si>
  <si>
    <t>Bou Saada Airport</t>
  </si>
  <si>
    <t>Bou Saada</t>
  </si>
  <si>
    <t>Portugal</t>
  </si>
  <si>
    <t>https://www.oag.com/hubfs/Flourish/5.png</t>
  </si>
  <si>
    <t>Vivaaerobus</t>
  </si>
  <si>
    <t>https://www.oag.com/hubfs/Flourish/Airlines/VivaAerobus.png</t>
  </si>
  <si>
    <t>Reggane Airport</t>
  </si>
  <si>
    <t>Reggan</t>
  </si>
  <si>
    <t>Netherlands</t>
  </si>
  <si>
    <t>https://www.oag.com/hubfs/Flourish/4.png</t>
  </si>
  <si>
    <t>Volaris</t>
  </si>
  <si>
    <t>https://www.oag.com/hubfs/Flourish/Airlines/Volaris.png</t>
  </si>
  <si>
    <t>Ain Oussera Airport</t>
  </si>
  <si>
    <t>Ain Oussera</t>
  </si>
  <si>
    <t>Turkiye</t>
  </si>
  <si>
    <t>https://www.oag.com/hubfs/Flourish/7.png</t>
  </si>
  <si>
    <t>Aeromexico</t>
  </si>
  <si>
    <t>https://www.oag.com/hubfs/Flourish/Airlines/Aeromexico.png</t>
  </si>
  <si>
    <t>Mecheria Airport</t>
  </si>
  <si>
    <t>Mecheria</t>
  </si>
  <si>
    <t>United Arab Emirates</t>
  </si>
  <si>
    <t>https://www.oag.com/hubfs/Flourish/UAE.jpg</t>
  </si>
  <si>
    <t>Copa Airlines</t>
  </si>
  <si>
    <t>https://www.oag.com/hubfs/Flourish/Airlines/Copa.png</t>
  </si>
  <si>
    <t>Relizane Airport</t>
  </si>
  <si>
    <t>Relizane</t>
  </si>
  <si>
    <t>Qatar</t>
  </si>
  <si>
    <t>https://www.oag.com/hubfs/Flourish/Qatar.jpg</t>
  </si>
  <si>
    <t>Aerolineas Argentinas</t>
  </si>
  <si>
    <t>https://www.oag.com/hubfs/Flourish/Airlines/Aerolineas%20Argentinas.png</t>
  </si>
  <si>
    <t>Bou Sfer Airport</t>
  </si>
  <si>
    <t>Bou Sfer</t>
  </si>
  <si>
    <t>South Korea</t>
  </si>
  <si>
    <t>https://www.oag.com/hubfs/Flourish/S%20Korea.jpg</t>
  </si>
  <si>
    <t>American Airlines</t>
  </si>
  <si>
    <t>https://www.oag.com/hubfs/Flourish/Airlines/American%20Airlines.png</t>
  </si>
  <si>
    <t>Sidi Bel Abbes Airport</t>
  </si>
  <si>
    <t>Sidi Bel Abbes</t>
  </si>
  <si>
    <t>Singapore</t>
  </si>
  <si>
    <t>https://www.oag.com/hubfs/Flourish/singapore.jpg</t>
  </si>
  <si>
    <t>Jetsmart</t>
  </si>
  <si>
    <t>https://www.oag.com/hubfs/Flourish/Airlines/Jetsmart.png</t>
  </si>
  <si>
    <t>Wa Airport</t>
  </si>
  <si>
    <t>Wa</t>
  </si>
  <si>
    <t>Hong Kong</t>
  </si>
  <si>
    <t>https://www.oag.com/hubfs/Flourish/Hong%20kong.jpg</t>
  </si>
  <si>
    <t>Ryanair*</t>
  </si>
  <si>
    <t>https://www.oag.com/hubfs/Flourish/Airlines/Ryanair.png</t>
  </si>
  <si>
    <t>Dirkou Airport</t>
  </si>
  <si>
    <t>Niger</t>
  </si>
  <si>
    <t>Dirkou</t>
  </si>
  <si>
    <t>Japan</t>
  </si>
  <si>
    <t>https://www.oag.com/hubfs/Flourish/Japan.png</t>
  </si>
  <si>
    <t>https://www.oag.com/hubfs/Flourish/Airlines/easyjet300x150.png</t>
  </si>
  <si>
    <t>Diffa Airport</t>
  </si>
  <si>
    <t>Diffa</t>
  </si>
  <si>
    <t>Thailand</t>
  </si>
  <si>
    <t>https://www.oag.com/hubfs/Flourish/Thailand.png</t>
  </si>
  <si>
    <t>https://www.oag.com/hubfs/Flourish/Airlines/Turkish%20Airlines.png</t>
  </si>
  <si>
    <t>Sidi Ahmed Air Base</t>
  </si>
  <si>
    <t>Bizerte</t>
  </si>
  <si>
    <t>United States</t>
  </si>
  <si>
    <t>https://www.oag.com/hubfs/Flourish/United%20States.png</t>
  </si>
  <si>
    <t>Deutsche Lufthansa AG</t>
  </si>
  <si>
    <t>https://www.oag.com/hubfs/Flourish/Airlines/Lufthansa.png</t>
  </si>
  <si>
    <t>Remada Air Base</t>
  </si>
  <si>
    <t>Remada</t>
  </si>
  <si>
    <t>Mexico</t>
  </si>
  <si>
    <t>https://www.oag.com/hubfs/Flourish/Mexico.png</t>
  </si>
  <si>
    <t>Wizz Air**</t>
  </si>
  <si>
    <t>https://www.oag.com/hubfs/Flourish/Airlines/Wizz%20Air.png</t>
  </si>
  <si>
    <t>Borj El Amri Airport</t>
  </si>
  <si>
    <t>Bordj El Amri</t>
  </si>
  <si>
    <t>Poland</t>
  </si>
  <si>
    <t>https://www.oag.com/hubfs/Flourish/Poland.png</t>
  </si>
  <si>
    <t>British Airways</t>
  </si>
  <si>
    <t>https://www.oag.com/hubfs/Flourish/Airlines/BA.png</t>
  </si>
  <si>
    <t>Beauvechain Air Base</t>
  </si>
  <si>
    <t>Belgium</t>
  </si>
  <si>
    <t>Beauvechain</t>
  </si>
  <si>
    <t>Ireland</t>
  </si>
  <si>
    <t>https://www.oag.com/hubfs/Flourish/Ireland.png</t>
  </si>
  <si>
    <t>Vueling Airlines</t>
  </si>
  <si>
    <t>https://www.oag.com/hubfs/Flourish/Airlines/Vueling.png</t>
  </si>
  <si>
    <t>Kleine Brogel Air Base</t>
  </si>
  <si>
    <t>Kleine Brogel</t>
  </si>
  <si>
    <t>China</t>
  </si>
  <si>
    <t>https://www.oag.com/hubfs/Flourish/China.png</t>
  </si>
  <si>
    <t>Air France</t>
  </si>
  <si>
    <t>https://www.oag.com/hubfs/Flourish/Airlines/Air%20France.png</t>
  </si>
  <si>
    <t>Jehonville Air Base</t>
  </si>
  <si>
    <t>Bertrix</t>
  </si>
  <si>
    <t>Croatia</t>
  </si>
  <si>
    <t>https://www.oag.com/hubfs/Flourish/Croatia.png</t>
  </si>
  <si>
    <t>Pegasus Airlines</t>
  </si>
  <si>
    <t>https://www.oag.com/hubfs/Flourish/Airlines/Pegasus.png</t>
  </si>
  <si>
    <t>Chièvres Air Base</t>
  </si>
  <si>
    <t>Chievres</t>
  </si>
  <si>
    <t>India</t>
  </si>
  <si>
    <t>https://www.oag.com/hubfs/Flourish/India.png</t>
  </si>
  <si>
    <t>SAS Scandinavian Airlines</t>
  </si>
  <si>
    <t>https://www.oag.com/hubfs/Flourish/Airlines/SAS.png</t>
  </si>
  <si>
    <t>Koksijde Air Base</t>
  </si>
  <si>
    <t>Koksijde</t>
  </si>
  <si>
    <t>Saudi Arabia</t>
  </si>
  <si>
    <t>https://www.oag.com/hubfs/Flourish/Saudi%20Arabia.png</t>
  </si>
  <si>
    <t>https://www.oag.com/hubfs/Flourish/Airlines/Ethiopian.jpg</t>
  </si>
  <si>
    <t>Florennes Air Base</t>
  </si>
  <si>
    <t>Florennes</t>
  </si>
  <si>
    <t>Iran Islamic Republic of</t>
  </si>
  <si>
    <t>https://www.oag.com/hubfs/Flourish/Iran.png</t>
  </si>
  <si>
    <t>https://www.oag.com/hubfs/Flourish/Airlines/SafAir.jpg</t>
  </si>
  <si>
    <t>Zutendaal Air Base</t>
  </si>
  <si>
    <t>Zutendaal</t>
  </si>
  <si>
    <t>Kuwait</t>
  </si>
  <si>
    <t>https://www.oag.com/hubfs/Flourish/Kuwait.png</t>
  </si>
  <si>
    <t>https://www.oag.com/hubfs/Flourish/Airlines/egypt%20air.jpg</t>
  </si>
  <si>
    <t>Limburg Regional Airport</t>
  </si>
  <si>
    <t>Sint-truiden</t>
  </si>
  <si>
    <t>Oman</t>
  </si>
  <si>
    <t>https://www.oag.com/hubfs/Flourish/Oman.png</t>
  </si>
  <si>
    <t>https://www.oag.com/hubfs/Flourish/Airlines/Royal%20Air%20Maroc.jpg</t>
  </si>
  <si>
    <t>Saint Hubert Air Base</t>
  </si>
  <si>
    <t>St.-hubert</t>
  </si>
  <si>
    <t>Israel</t>
  </si>
  <si>
    <t>https://www.oag.com/hubfs/Flourish/Israel.png</t>
  </si>
  <si>
    <t>https://www.oag.com/hubfs/Flourish/Airlines/Air%20Algerie.jpg</t>
  </si>
  <si>
    <t>Ursel Air Base</t>
  </si>
  <si>
    <t>Ursel</t>
  </si>
  <si>
    <t>Bahrain</t>
  </si>
  <si>
    <t>https://www.oag.com/hubfs/Flourish/Bahrain.png</t>
  </si>
  <si>
    <t>https://www.oag.com/hubfs/Flourish/Airlines/Airlink.jpg</t>
  </si>
  <si>
    <t>Weelde Air Base</t>
  </si>
  <si>
    <t>Weelde</t>
  </si>
  <si>
    <t>Jordan</t>
  </si>
  <si>
    <t>https://www.oag.com/hubfs/Flourish/Jordan.png</t>
  </si>
  <si>
    <t>Kenya Airways</t>
  </si>
  <si>
    <t>https://www.oag.com/hubfs/Flourish/Airlines/Kenya%20Airways.jpg</t>
  </si>
  <si>
    <t>Oostmalle Air Base</t>
  </si>
  <si>
    <t>Zoersel</t>
  </si>
  <si>
    <t>Iraq</t>
  </si>
  <si>
    <t>https://www.oag.com/hubfs/Flourish/Iraq.png</t>
  </si>
  <si>
    <t>https://www.oag.com/hubfs/Flourish/Airlines/RyanAir.jpg</t>
  </si>
  <si>
    <t>Bautzen Airport</t>
  </si>
  <si>
    <t>Bautzen</t>
  </si>
  <si>
    <t>Viet Nam</t>
  </si>
  <si>
    <t>https://www.oag.com/hubfs/Flourish/Viet%20Nam.png</t>
  </si>
  <si>
    <t>Emirates</t>
  </si>
  <si>
    <t>https://www.oag.com/hubfs/Flourish/Airlines/Emirates.jpg</t>
  </si>
  <si>
    <t>Dessau Airport</t>
  </si>
  <si>
    <t>Dessau</t>
  </si>
  <si>
    <t>Philippines</t>
  </si>
  <si>
    <t>https://www.oag.com/hubfs/Flourish/Philippines.png</t>
  </si>
  <si>
    <t>Air Peace</t>
  </si>
  <si>
    <t>https://www.oag.com/hubfs/Flourish/Air%20Peace.jpg</t>
  </si>
  <si>
    <t>Eisenhüttenstadt Airport</t>
  </si>
  <si>
    <t>Eisenhuettenstadt</t>
  </si>
  <si>
    <t>https://www.oag.com/hubfs/Flourish/Other-1.png</t>
  </si>
  <si>
    <t>https://www.oag.com/hubfs/Flourish/Airlines/South%20African%20airways.png</t>
  </si>
  <si>
    <t>Großenhain Airport</t>
  </si>
  <si>
    <t>Suhl</t>
  </si>
  <si>
    <t>Indonesia</t>
  </si>
  <si>
    <t>https://www.oag.com/hubfs/Flourish/Indonesia.png</t>
  </si>
  <si>
    <t>Merseburg Airport</t>
  </si>
  <si>
    <t>Muehlhausen</t>
  </si>
  <si>
    <t>Malaysia</t>
  </si>
  <si>
    <t>https://www.oag.com/hubfs/Flourish/Malaysia-1.png</t>
  </si>
  <si>
    <t>Halle-Oppin Airport</t>
  </si>
  <si>
    <t>Halle</t>
  </si>
  <si>
    <t>Brazil</t>
  </si>
  <si>
    <t>https://www.oag.com/hubfs/Flourish/Brazil.png</t>
  </si>
  <si>
    <t>Riesa-Göhlis Airport</t>
  </si>
  <si>
    <t>Riesa</t>
  </si>
  <si>
    <t>Colombia</t>
  </si>
  <si>
    <t>https://www.oag.com/hubfs/Flourish/Colombia.png</t>
  </si>
  <si>
    <t>Rechlin-Lärz Airport</t>
  </si>
  <si>
    <t>Rechlin-laerz</t>
  </si>
  <si>
    <t>Argentina</t>
  </si>
  <si>
    <t>https://www.oag.com/hubfs/Flourish/Argentina.png</t>
  </si>
  <si>
    <t>Strausberg Airport</t>
  </si>
  <si>
    <t>Strausberg</t>
  </si>
  <si>
    <t>Chile</t>
  </si>
  <si>
    <t>https://www.oag.com/hubfs/Flourish/Chile.png</t>
  </si>
  <si>
    <t>Schönhagen Airport</t>
  </si>
  <si>
    <t>Schoenhagen</t>
  </si>
  <si>
    <t>https://www.oag.com/hubfs/Flourish/Mexico-1.png</t>
  </si>
  <si>
    <t>Jena-Schöngleina Airport</t>
  </si>
  <si>
    <t>Jena</t>
  </si>
  <si>
    <t>Peru</t>
  </si>
  <si>
    <t>https://www.oag.com/hubfs/Flourish/Peru.png</t>
  </si>
  <si>
    <t>Kyritz Airport</t>
  </si>
  <si>
    <t>Kyritz</t>
  </si>
  <si>
    <t>Ecuador</t>
  </si>
  <si>
    <t>https://www.oag.com/hubfs/Flourish/Ecuador.png</t>
  </si>
  <si>
    <t>Magdeburg \City\" Airport"</t>
  </si>
  <si>
    <t>Magdeburg</t>
  </si>
  <si>
    <t>Venezuela</t>
  </si>
  <si>
    <t>https://www.oag.com/hubfs/Flourish/Venezuela.png</t>
  </si>
  <si>
    <t>Rothenburg/Görlitz Airport</t>
  </si>
  <si>
    <t>Rothenburg/ol</t>
  </si>
  <si>
    <t>Bahamas</t>
  </si>
  <si>
    <t>https://www.oag.com/hubfs/Flourish/Bahamas.png</t>
  </si>
  <si>
    <t>Anklam Airport</t>
  </si>
  <si>
    <t>Anklam</t>
  </si>
  <si>
    <t>Bolivia</t>
  </si>
  <si>
    <t>https://www.oag.com/hubfs/Flourish/Bolivia.png</t>
  </si>
  <si>
    <t>Cottbus-Drewitz Airport</t>
  </si>
  <si>
    <t>Cottbus</t>
  </si>
  <si>
    <t>Panama</t>
  </si>
  <si>
    <t>https://www.oag.com/hubfs/Flourish/Panama.png</t>
  </si>
  <si>
    <t>Kamenz Airport</t>
  </si>
  <si>
    <t>Kamenz</t>
  </si>
  <si>
    <t>Puerto Rico</t>
  </si>
  <si>
    <t>https://www.oag.com/hubfs/Flourish/Puerto%20Rico.png</t>
  </si>
  <si>
    <t>Allendorf/Eder Airport</t>
  </si>
  <si>
    <t>Allendorf</t>
  </si>
  <si>
    <t>Dominican Republic</t>
  </si>
  <si>
    <t>https://www.oag.com/hubfs/Flourish/Dominican%20Republic.png</t>
  </si>
  <si>
    <t>Worms Airport</t>
  </si>
  <si>
    <t>Worms</t>
  </si>
  <si>
    <t>Greece</t>
  </si>
  <si>
    <t>https://www.oag.com/hubfs/Flourish/Greece.png</t>
  </si>
  <si>
    <t>Mainz-Finthen Airport</t>
  </si>
  <si>
    <t>Mainz</t>
  </si>
  <si>
    <t>Norway</t>
  </si>
  <si>
    <t>https://www.oag.com/hubfs/Flourish/Norway.png</t>
  </si>
  <si>
    <t>Eisenach-Kindel Airport</t>
  </si>
  <si>
    <t>Eisenach</t>
  </si>
  <si>
    <t>Sweden</t>
  </si>
  <si>
    <t>https://www.oag.com/hubfs/Flourish/Sweden.png</t>
  </si>
  <si>
    <t>Siegerland Airport</t>
  </si>
  <si>
    <t>Siegerland</t>
  </si>
  <si>
    <t>https://www.oag.com/hubfs/Flourish/South%20Africa.png</t>
  </si>
  <si>
    <t>Flugplatz Dahlemer Binz</t>
  </si>
  <si>
    <t>Dahlemer Binz</t>
  </si>
  <si>
    <t>https://www.oag.com/hubfs/Flourish/Nigeria.png</t>
  </si>
  <si>
    <t>Meinerzhagen Airport</t>
  </si>
  <si>
    <t>Meinerzhagen</t>
  </si>
  <si>
    <t>https://www.oag.com/hubfs/Flourish/Ethiopia.png</t>
  </si>
  <si>
    <t>Bielefeld Airport</t>
  </si>
  <si>
    <t>Bielefeld</t>
  </si>
  <si>
    <t>https://www.oag.com/hubfs/Flourish/Kenya.png</t>
  </si>
  <si>
    <t>Stadtlohn-Vreden Airport</t>
  </si>
  <si>
    <t>Stadtlohn</t>
  </si>
  <si>
    <t>https://www.oag.com/hubfs/Flourish/Tanzania.png</t>
  </si>
  <si>
    <t>Biberach a.d. Riß Airport</t>
  </si>
  <si>
    <t>Biberach</t>
  </si>
  <si>
    <t>https://www.oag.com/hubfs/Flourish/Algeria.png</t>
  </si>
  <si>
    <t>Eggenfelden Airport</t>
  </si>
  <si>
    <t>Eggenfelden</t>
  </si>
  <si>
    <t>https://www.oag.com/hubfs/Flourish/Egypt.png</t>
  </si>
  <si>
    <t>Mindelheim-Mattsies Airport</t>
  </si>
  <si>
    <t>Mindelheim</t>
  </si>
  <si>
    <t>https://www.oag.com/hubfs/Flourish/Morocco.png</t>
  </si>
  <si>
    <t>Vilshofen Airport</t>
  </si>
  <si>
    <t>Vilshofen</t>
  </si>
  <si>
    <t>https://www.oag.com/hubfs/Flourish/DR%20of%20Congo.png</t>
  </si>
  <si>
    <t>Leutkirch-Unterzeil Airport</t>
  </si>
  <si>
    <t>Leutkirch</t>
  </si>
  <si>
    <t>https://www.oag.com/hubfs/Flourish/Ghana.png</t>
  </si>
  <si>
    <t>Aalen-Heidenheim/Elchingen Airport</t>
  </si>
  <si>
    <t>Aalen-heidenheim</t>
  </si>
  <si>
    <t>https://www.oag.com/hubfs/Flourish/Tunisia.png</t>
  </si>
  <si>
    <t>Burg Feuerstein Airport</t>
  </si>
  <si>
    <t>Burg Feuerstein</t>
  </si>
  <si>
    <t>Madagascar</t>
  </si>
  <si>
    <t>https://www.oag.com/hubfs/Flourish/Madagascar-1.png</t>
  </si>
  <si>
    <t>Haßfurt-Schweinfurt Airport</t>
  </si>
  <si>
    <t>Hassfurt</t>
  </si>
  <si>
    <t>Mauritius</t>
  </si>
  <si>
    <t>https://www.oag.com/hubfs/Flourish/Mauritius.png</t>
  </si>
  <si>
    <t>Freiburg i. Br. Airport</t>
  </si>
  <si>
    <t>Freiburg</t>
  </si>
  <si>
    <t>Mengen-Hohentengen Airport</t>
  </si>
  <si>
    <t>Mengen</t>
  </si>
  <si>
    <t>Adolf Würth Airport</t>
  </si>
  <si>
    <t>Schwaebisch Hall</t>
  </si>
  <si>
    <t>Finsterwalde/Schacksdorf Airport</t>
  </si>
  <si>
    <t>Soest</t>
  </si>
  <si>
    <t>Hildesheim Airport</t>
  </si>
  <si>
    <t>Hildesheim</t>
  </si>
  <si>
    <t>Leer-Papenburg Airport</t>
  </si>
  <si>
    <t>Leer</t>
  </si>
  <si>
    <t>Rendsburg-Schachtholm Airport</t>
  </si>
  <si>
    <t>Rendsburg</t>
  </si>
  <si>
    <t>Ämari Air Base</t>
  </si>
  <si>
    <t>Estonia</t>
  </si>
  <si>
    <t>Armari Air Force Base</t>
  </si>
  <si>
    <t>Eura Airport</t>
  </si>
  <si>
    <t>Finland</t>
  </si>
  <si>
    <t>Eura</t>
  </si>
  <si>
    <t>Hameenkyro Airport</t>
  </si>
  <si>
    <t>Hameenkyro</t>
  </si>
  <si>
    <t>Hanko Airport</t>
  </si>
  <si>
    <t>Hanko</t>
  </si>
  <si>
    <t>Kiikala Airport</t>
  </si>
  <si>
    <t>Kikala</t>
  </si>
  <si>
    <t>Immola Airport</t>
  </si>
  <si>
    <t>Immola</t>
  </si>
  <si>
    <t>Kitee Airport</t>
  </si>
  <si>
    <t>Kitee</t>
  </si>
  <si>
    <t>Kauhajoki Airport</t>
  </si>
  <si>
    <t>Kauhajoki</t>
  </si>
  <si>
    <t>Kemijarvi Airport</t>
  </si>
  <si>
    <t>Kemijarvi</t>
  </si>
  <si>
    <t>Lahti Vesivehmaa Airport</t>
  </si>
  <si>
    <t>Vesivehmaa</t>
  </si>
  <si>
    <t>Menkijarvi Airport</t>
  </si>
  <si>
    <t>Menkijarvi</t>
  </si>
  <si>
    <t>Nummela Airport</t>
  </si>
  <si>
    <t>Nummela</t>
  </si>
  <si>
    <t>Piikajarvi Airport</t>
  </si>
  <si>
    <t>Piikajarvi</t>
  </si>
  <si>
    <t>Pudasjärvi Airport</t>
  </si>
  <si>
    <t>Pudasjarvi</t>
  </si>
  <si>
    <t>Pyhäsalmi Airport</t>
  </si>
  <si>
    <t>Pyhasalmi</t>
  </si>
  <si>
    <t>Raahe Pattijoki Airport</t>
  </si>
  <si>
    <t>Pattijoki</t>
  </si>
  <si>
    <t>Rantasalmi Airport</t>
  </si>
  <si>
    <t>Rantasalmi</t>
  </si>
  <si>
    <t>Rayskala Airport</t>
  </si>
  <si>
    <t>Rayskala</t>
  </si>
  <si>
    <t>Selanpaa Airport</t>
  </si>
  <si>
    <t>Selanpaa</t>
  </si>
  <si>
    <t>Teisko Airport</t>
  </si>
  <si>
    <t>Teisko</t>
  </si>
  <si>
    <t>Ylivieska Airfield</t>
  </si>
  <si>
    <t>Ylivieska-raudaskyla</t>
  </si>
  <si>
    <t>Leicester Airport</t>
  </si>
  <si>
    <t>Leicester</t>
  </si>
  <si>
    <t>Wolverhampton Halfpenny Green Airport</t>
  </si>
  <si>
    <t>Halfpenny Green</t>
  </si>
  <si>
    <t>Cotswold Airport</t>
  </si>
  <si>
    <t>Pailton</t>
  </si>
  <si>
    <t>Turweston Airport</t>
  </si>
  <si>
    <t>Turweston</t>
  </si>
  <si>
    <t>Wellesbourne Mountford Airport</t>
  </si>
  <si>
    <t>Wellesbourne</t>
  </si>
  <si>
    <t>Manchester Woodford Airport</t>
  </si>
  <si>
    <t>Woodfort</t>
  </si>
  <si>
    <t>Royal Marines Base Chivenor Airport</t>
  </si>
  <si>
    <t>Chivenor</t>
  </si>
  <si>
    <t>MoD Boscombe Down Airport</t>
  </si>
  <si>
    <t>Boscombe Down</t>
  </si>
  <si>
    <t>RNAS Culdrose</t>
  </si>
  <si>
    <t>Culdrose</t>
  </si>
  <si>
    <t>MOD St. Athan</t>
  </si>
  <si>
    <t>St. Athan</t>
  </si>
  <si>
    <t>Haverfordwest Airport</t>
  </si>
  <si>
    <t>Haverfordwest</t>
  </si>
  <si>
    <t>Chalgrove Airport</t>
  </si>
  <si>
    <t>Chalsgrove</t>
  </si>
  <si>
    <t>Brough Airport</t>
  </si>
  <si>
    <t>Brough</t>
  </si>
  <si>
    <t>Retford Gamston Airport</t>
  </si>
  <si>
    <t>Repton</t>
  </si>
  <si>
    <t>Warton Airport</t>
  </si>
  <si>
    <t>Warton</t>
  </si>
  <si>
    <t>Llanbedr Airport</t>
  </si>
  <si>
    <t>Llanbedr</t>
  </si>
  <si>
    <t>RAF Ternhill</t>
  </si>
  <si>
    <t>Ternhill</t>
  </si>
  <si>
    <t>RAF Shawbury</t>
  </si>
  <si>
    <t>Shawbury</t>
  </si>
  <si>
    <t>RAF Woodvale</t>
  </si>
  <si>
    <t>Woodvale</t>
  </si>
  <si>
    <t>Peterborough Business Airport</t>
  </si>
  <si>
    <t>Peterborough</t>
  </si>
  <si>
    <t>North Weald Airport</t>
  </si>
  <si>
    <t>North Weald</t>
  </si>
  <si>
    <t>Sheffield City Heliport</t>
  </si>
  <si>
    <t>Fowlmere</t>
  </si>
  <si>
    <t>Cranfield Airport</t>
  </si>
  <si>
    <t>Cranfield</t>
  </si>
  <si>
    <t>RAF Benson</t>
  </si>
  <si>
    <t>Benson</t>
  </si>
  <si>
    <t>RAF Lakenheath</t>
  </si>
  <si>
    <t>Lakenheath</t>
  </si>
  <si>
    <t>RAF Wattisham</t>
  </si>
  <si>
    <t>Wattisham</t>
  </si>
  <si>
    <t>RAF Wyton</t>
  </si>
  <si>
    <t>Wyton</t>
  </si>
  <si>
    <t>DCAE Cosford Air Base</t>
  </si>
  <si>
    <t>Cosford</t>
  </si>
  <si>
    <t>RAF Dishforth</t>
  </si>
  <si>
    <t>Dishforth</t>
  </si>
  <si>
    <t>Leeming Airport</t>
  </si>
  <si>
    <t>Leeming</t>
  </si>
  <si>
    <t>Leeds East Airport</t>
  </si>
  <si>
    <t>Church Fenton</t>
  </si>
  <si>
    <t>RAF Cottesmore</t>
  </si>
  <si>
    <t>Cottesmore</t>
  </si>
  <si>
    <t>RAF Scampton</t>
  </si>
  <si>
    <t>Scampton</t>
  </si>
  <si>
    <t>RAF Wittering</t>
  </si>
  <si>
    <t>Wittering</t>
  </si>
  <si>
    <t>RAF Topcliffe</t>
  </si>
  <si>
    <t>Topcliffe</t>
  </si>
  <si>
    <t>RAF Cranwell</t>
  </si>
  <si>
    <t>Cranwell</t>
  </si>
  <si>
    <t>RAF Barkston Heath</t>
  </si>
  <si>
    <t>Barkston Heath</t>
  </si>
  <si>
    <t>Budel Airport</t>
  </si>
  <si>
    <t>Weert</t>
  </si>
  <si>
    <t>Deelen Air Base</t>
  </si>
  <si>
    <t>Deelen</t>
  </si>
  <si>
    <t>Drachten Airport</t>
  </si>
  <si>
    <t>Drachten</t>
  </si>
  <si>
    <t>Gilze Rijen Air Base</t>
  </si>
  <si>
    <t>Gilze-rijen</t>
  </si>
  <si>
    <t>Casement Air Base</t>
  </si>
  <si>
    <t>Casement</t>
  </si>
  <si>
    <t>Grønholt Hillerød Airport</t>
  </si>
  <si>
    <t>Denmark</t>
  </si>
  <si>
    <t>Gronholt</t>
  </si>
  <si>
    <t>Læsø Airport</t>
  </si>
  <si>
    <t>Laeso</t>
  </si>
  <si>
    <t>Lolland Falster Maribo Airport</t>
  </si>
  <si>
    <t>Maribo</t>
  </si>
  <si>
    <t>Kruså-Padborg Airport</t>
  </si>
  <si>
    <t>Krusa-padborg</t>
  </si>
  <si>
    <t>Skive Airport</t>
  </si>
  <si>
    <t>Skive</t>
  </si>
  <si>
    <t>Kolding Vamdrup Airport</t>
  </si>
  <si>
    <t>Kolding</t>
  </si>
  <si>
    <t>Vesthimmerlands Flyveplads</t>
  </si>
  <si>
    <t>Vesthimmerland</t>
  </si>
  <si>
    <t>Bømoen Airport</t>
  </si>
  <si>
    <t>Voss</t>
  </si>
  <si>
    <t>Geilo Airport Dagali</t>
  </si>
  <si>
    <t>Geilo</t>
  </si>
  <si>
    <t>Kjeller Airport</t>
  </si>
  <si>
    <t>Kjeller</t>
  </si>
  <si>
    <t>Babice Airport</t>
  </si>
  <si>
    <t>Warsaw</t>
  </si>
  <si>
    <t>Muchowiec Airport</t>
  </si>
  <si>
    <t>Katowice</t>
  </si>
  <si>
    <t>Mielec Airport</t>
  </si>
  <si>
    <t>Mielec</t>
  </si>
  <si>
    <t>Swidwin Military Air Base</t>
  </si>
  <si>
    <t>Shapaja</t>
  </si>
  <si>
    <t>Malmen Air Base</t>
  </si>
  <si>
    <t>Linkoeping</t>
  </si>
  <si>
    <t>Bråvalla Air Base</t>
  </si>
  <si>
    <t>Norrkoeping</t>
  </si>
  <si>
    <t>Uppsala Airport</t>
  </si>
  <si>
    <t>Uppsala</t>
  </si>
  <si>
    <t>Råda Air Base</t>
  </si>
  <si>
    <t>Rada</t>
  </si>
  <si>
    <t>Falköping Airport</t>
  </si>
  <si>
    <t>Falkoping</t>
  </si>
  <si>
    <t>Karlsborg Air Base</t>
  </si>
  <si>
    <t>Karlsborg</t>
  </si>
  <si>
    <t>Såtenäs Air Base</t>
  </si>
  <si>
    <t>Satenas</t>
  </si>
  <si>
    <t>Barkarby Airport</t>
  </si>
  <si>
    <t>Stockholm</t>
  </si>
  <si>
    <t>Arvika Airport</t>
  </si>
  <si>
    <t>Arvika</t>
  </si>
  <si>
    <t>Emmaboda Airfield</t>
  </si>
  <si>
    <t>Emmaboda</t>
  </si>
  <si>
    <t>Feringe Airport</t>
  </si>
  <si>
    <t>Ljungby</t>
  </si>
  <si>
    <t>Anderstorp Airport</t>
  </si>
  <si>
    <t>Anderstorp</t>
  </si>
  <si>
    <t>Hagshult Airport</t>
  </si>
  <si>
    <t>Hagshult</t>
  </si>
  <si>
    <t>Hallviken Airport</t>
  </si>
  <si>
    <t>Hallviken</t>
  </si>
  <si>
    <t>Hedlanda Airport</t>
  </si>
  <si>
    <t>Hede</t>
  </si>
  <si>
    <t>Jokkmokk Airport</t>
  </si>
  <si>
    <t>Jokkmokk</t>
  </si>
  <si>
    <t>Optand Airport</t>
  </si>
  <si>
    <t>Optand</t>
  </si>
  <si>
    <t>Piteå Airport</t>
  </si>
  <si>
    <t>Pitea</t>
  </si>
  <si>
    <t>Orsa Airport</t>
  </si>
  <si>
    <t>Orsa</t>
  </si>
  <si>
    <t>Sättna Airport</t>
  </si>
  <si>
    <t>Sattna</t>
  </si>
  <si>
    <t>Vidsel Air Base</t>
  </si>
  <si>
    <t>Vidsel</t>
  </si>
  <si>
    <t>Arboga Airport</t>
  </si>
  <si>
    <t>Arboga</t>
  </si>
  <si>
    <t>Eskilstuna Airport</t>
  </si>
  <si>
    <t>Eskilstuna</t>
  </si>
  <si>
    <t>Kalixfors Airport</t>
  </si>
  <si>
    <t>Kalixfors</t>
  </si>
  <si>
    <t>Bückeburg Air Base</t>
  </si>
  <si>
    <t>Brueckeburg</t>
  </si>
  <si>
    <t>Rheine Bentlage Air Base</t>
  </si>
  <si>
    <t>Rheine-brentlange</t>
  </si>
  <si>
    <t>Fritzlar Airport</t>
  </si>
  <si>
    <t>Fritzlar</t>
  </si>
  <si>
    <t>Laupheim Air Base</t>
  </si>
  <si>
    <t>Laupheim</t>
  </si>
  <si>
    <t>Mendig Airport</t>
  </si>
  <si>
    <t>Mendig</t>
  </si>
  <si>
    <t>Niederstetten Army Air Base</t>
  </si>
  <si>
    <t>Niederstetten</t>
  </si>
  <si>
    <t>Roth Airport</t>
  </si>
  <si>
    <t>Roth</t>
  </si>
  <si>
    <t>Fassberg Air Base</t>
  </si>
  <si>
    <t>Fassberg</t>
  </si>
  <si>
    <t>Grafenwohr Army Air Field</t>
  </si>
  <si>
    <t>Grafenwoehr</t>
  </si>
  <si>
    <t>Hohenfels Army Air Field</t>
  </si>
  <si>
    <t>Hohenfels</t>
  </si>
  <si>
    <t>Kitzingen Army Air Field</t>
  </si>
  <si>
    <t>Kitzingen</t>
  </si>
  <si>
    <t>Nordholz Naval Airbase</t>
  </si>
  <si>
    <t>Nordholz</t>
  </si>
  <si>
    <t>Diepholz Air Base</t>
  </si>
  <si>
    <t>Diepholz</t>
  </si>
  <si>
    <t>Hohn Airport</t>
  </si>
  <si>
    <t>Hohn</t>
  </si>
  <si>
    <t>Jever Air Base</t>
  </si>
  <si>
    <t>Jever</t>
  </si>
  <si>
    <t>Nörvenich Air Base</t>
  </si>
  <si>
    <t>Noervenich</t>
  </si>
  <si>
    <t>Schleswig Air Base</t>
  </si>
  <si>
    <t>Schleswig</t>
  </si>
  <si>
    <t>Wittmundhafen Airport</t>
  </si>
  <si>
    <t>Wittmundhafen</t>
  </si>
  <si>
    <t>Wunstorf Air Base</t>
  </si>
  <si>
    <t>Wunstorf</t>
  </si>
  <si>
    <t>Vilseck Army Air Field</t>
  </si>
  <si>
    <t>Vilseck</t>
  </si>
  <si>
    <t>Coleman Army Air Field</t>
  </si>
  <si>
    <t>Coleman</t>
  </si>
  <si>
    <t>Wiesbaden Army Airfield</t>
  </si>
  <si>
    <t>Wiesbaden</t>
  </si>
  <si>
    <t>Landsberg Lech Air Base</t>
  </si>
  <si>
    <t>Landsberg</t>
  </si>
  <si>
    <t>Büchel Air Base</t>
  </si>
  <si>
    <t>Buechel</t>
  </si>
  <si>
    <t>Erding Airport</t>
  </si>
  <si>
    <t>Erding</t>
  </si>
  <si>
    <t>Holzdorf Air Base</t>
  </si>
  <si>
    <t>Holzdorf</t>
  </si>
  <si>
    <t>Lechfeld Airport</t>
  </si>
  <si>
    <t>Lechfeld</t>
  </si>
  <si>
    <t>Neuburg AFB</t>
  </si>
  <si>
    <t>Neuburg</t>
  </si>
  <si>
    <t>Brakpan Airport</t>
  </si>
  <si>
    <t>Brakpan</t>
  </si>
  <si>
    <t>Bethlehem Airport</t>
  </si>
  <si>
    <t>Bethlehem</t>
  </si>
  <si>
    <t>Hendrik Potgieter Airport</t>
  </si>
  <si>
    <t>Bothaville</t>
  </si>
  <si>
    <t>Calvinia Airport</t>
  </si>
  <si>
    <t>Calvinia</t>
  </si>
  <si>
    <t>Ermelo Airport</t>
  </si>
  <si>
    <t>Ermelo</t>
  </si>
  <si>
    <t>Ficksburg Sentraoes Airport</t>
  </si>
  <si>
    <t>Ficksburg</t>
  </si>
  <si>
    <t>Graaff Reinet Airport</t>
  </si>
  <si>
    <t>Graaff Reinet</t>
  </si>
  <si>
    <t>Grahamstown Airport</t>
  </si>
  <si>
    <t>Grahamstown</t>
  </si>
  <si>
    <t>Greytown Airport</t>
  </si>
  <si>
    <t>Greytown</t>
  </si>
  <si>
    <t>Harmony Airport</t>
  </si>
  <si>
    <t>Harmony</t>
  </si>
  <si>
    <t>Harrismith Airport</t>
  </si>
  <si>
    <t>Harrismith</t>
  </si>
  <si>
    <t>Gariep Dam Airport</t>
  </si>
  <si>
    <t>Hendrik Verwoerddam</t>
  </si>
  <si>
    <t>P C Pelser Airport</t>
  </si>
  <si>
    <t>Klerksdorp</t>
  </si>
  <si>
    <t>Krugersdorp Airport</t>
  </si>
  <si>
    <t>Krugersdorp</t>
  </si>
  <si>
    <t>Kroonstad Airport</t>
  </si>
  <si>
    <t>Kroonstad</t>
  </si>
  <si>
    <t>Lichtenburg Airport</t>
  </si>
  <si>
    <t>Lichtenburg</t>
  </si>
  <si>
    <t>Makhado Air Force Base Airport</t>
  </si>
  <si>
    <t>Lambertsbaai</t>
  </si>
  <si>
    <t>Langebaanweg Airport</t>
  </si>
  <si>
    <t>Langebaanweg</t>
  </si>
  <si>
    <t>Middelburg Airport</t>
  </si>
  <si>
    <t>Middelburg</t>
  </si>
  <si>
    <t>Marble Hall Airport</t>
  </si>
  <si>
    <t>Marble Hall</t>
  </si>
  <si>
    <t>Majuba Power Station Airport</t>
  </si>
  <si>
    <t>Majuba Power Station</t>
  </si>
  <si>
    <t>Riverside Airport</t>
  </si>
  <si>
    <t>Malalane</t>
  </si>
  <si>
    <t>Mkuze Airport</t>
  </si>
  <si>
    <t>Mkuze</t>
  </si>
  <si>
    <t>Nylstroom Airfield</t>
  </si>
  <si>
    <t>Nylstroom</t>
  </si>
  <si>
    <t>Overberg Airport</t>
  </si>
  <si>
    <t>Overberg</t>
  </si>
  <si>
    <t>Plettenberg Bay Airport</t>
  </si>
  <si>
    <t>Plettenberg Bay</t>
  </si>
  <si>
    <t>Pietersburg Municipal Airport</t>
  </si>
  <si>
    <t>Polokwane</t>
  </si>
  <si>
    <t>Port St Johns Airport</t>
  </si>
  <si>
    <t>Port Saint Johns</t>
  </si>
  <si>
    <t>Potchefstroom Airport</t>
  </si>
  <si>
    <t>Potchefstroom</t>
  </si>
  <si>
    <t>Parys Airport</t>
  </si>
  <si>
    <t>Parys</t>
  </si>
  <si>
    <t>Rustenburg Airport</t>
  </si>
  <si>
    <t>Rustenburg</t>
  </si>
  <si>
    <t>Secunda Airport</t>
  </si>
  <si>
    <t>Secunda</t>
  </si>
  <si>
    <t>Saldanha /Vredenburg Airport</t>
  </si>
  <si>
    <t>Saldanha</t>
  </si>
  <si>
    <t>Springs Airfield</t>
  </si>
  <si>
    <t>Springs</t>
  </si>
  <si>
    <t>Swartkop Air Force Base</t>
  </si>
  <si>
    <t>Swartkop</t>
  </si>
  <si>
    <t>Hendrik Swellengrebel Airport</t>
  </si>
  <si>
    <t>Swellendam</t>
  </si>
  <si>
    <t>Tommys Field Airport</t>
  </si>
  <si>
    <t>Tommy's Field</t>
  </si>
  <si>
    <t>New Tempe Airport</t>
  </si>
  <si>
    <t>Bloemfontein</t>
  </si>
  <si>
    <t>Tutuka Power Station Airport</t>
  </si>
  <si>
    <t>Tutuka</t>
  </si>
  <si>
    <t>Vredendal Airport</t>
  </si>
  <si>
    <t>Vredendal</t>
  </si>
  <si>
    <t>Vereeniging Airport</t>
  </si>
  <si>
    <t>Vereeniging</t>
  </si>
  <si>
    <t>Witbank Airport</t>
  </si>
  <si>
    <t>Witbank</t>
  </si>
  <si>
    <t>Waterkloof Air Force Base</t>
  </si>
  <si>
    <t>Waterkloof</t>
  </si>
  <si>
    <t>Ysterplaat Air Force Base</t>
  </si>
  <si>
    <t>Ysterplaat</t>
  </si>
  <si>
    <t>Zeerust Airport</t>
  </si>
  <si>
    <t>Zeerust</t>
  </si>
  <si>
    <t>Diego Garcia Naval Support Facility</t>
  </si>
  <si>
    <t>British Indian Ocean Territory</t>
  </si>
  <si>
    <t>Diego Garcia Island</t>
  </si>
  <si>
    <t>Kasompe Airport</t>
  </si>
  <si>
    <t>Zambia</t>
  </si>
  <si>
    <t>Kasompe</t>
  </si>
  <si>
    <t>Mongu Airport</t>
  </si>
  <si>
    <t>Mongu</t>
  </si>
  <si>
    <t>Lobito Airport</t>
  </si>
  <si>
    <t>Angola</t>
  </si>
  <si>
    <t>Lobito</t>
  </si>
  <si>
    <t>Lumbo Airport</t>
  </si>
  <si>
    <t>Mozambique</t>
  </si>
  <si>
    <t>Lumbo</t>
  </si>
  <si>
    <t>Mueda Airport</t>
  </si>
  <si>
    <t>Mueda</t>
  </si>
  <si>
    <t>Marrupa Airport</t>
  </si>
  <si>
    <t>Marrupa</t>
  </si>
  <si>
    <t>Songo Airport</t>
  </si>
  <si>
    <t>Songo</t>
  </si>
  <si>
    <t>Ulongwe Airport</t>
  </si>
  <si>
    <t>Ulongwe</t>
  </si>
  <si>
    <t>Alphonse Airport</t>
  </si>
  <si>
    <t>Seychelles</t>
  </si>
  <si>
    <t>Alphonse</t>
  </si>
  <si>
    <t>Farquhar Airport</t>
  </si>
  <si>
    <t>Farquhar</t>
  </si>
  <si>
    <t>Coetivy Airport</t>
  </si>
  <si>
    <t>Coetivy</t>
  </si>
  <si>
    <t>Charles Prince Airport</t>
  </si>
  <si>
    <t>Zimbabwe</t>
  </si>
  <si>
    <t>Harare</t>
  </si>
  <si>
    <t>Mutoko Airport</t>
  </si>
  <si>
    <t>Mutoko</t>
  </si>
  <si>
    <t>Mutare Airport</t>
  </si>
  <si>
    <t>Mutare</t>
  </si>
  <si>
    <t>Zvishavane Airport</t>
  </si>
  <si>
    <t>Zvishavane</t>
  </si>
  <si>
    <t>Kasungu Airport</t>
  </si>
  <si>
    <t>Malawi</t>
  </si>
  <si>
    <t>Kasungu</t>
  </si>
  <si>
    <t>Mejametalana Airbase</t>
  </si>
  <si>
    <t>Lesotho</t>
  </si>
  <si>
    <t>Maseru</t>
  </si>
  <si>
    <t>Kitona Base Airport</t>
  </si>
  <si>
    <t>Congo (Kinshasa)</t>
  </si>
  <si>
    <t>Kitona Base</t>
  </si>
  <si>
    <t>Kotakoli Airport</t>
  </si>
  <si>
    <t>Kotakoli</t>
  </si>
  <si>
    <t>Buta Zega Airport</t>
  </si>
  <si>
    <t>Buta Zega</t>
  </si>
  <si>
    <t>Tessalit Airport</t>
  </si>
  <si>
    <t>Mali</t>
  </si>
  <si>
    <t>Tessalit</t>
  </si>
  <si>
    <t>Cufar Airport</t>
  </si>
  <si>
    <t>Guinea-Bissau</t>
  </si>
  <si>
    <t>Cufar</t>
  </si>
  <si>
    <t>Ifrane Airport</t>
  </si>
  <si>
    <t>Ifrane</t>
  </si>
  <si>
    <t>Ben Slimane Airport</t>
  </si>
  <si>
    <t>Ben Slimane</t>
  </si>
  <si>
    <t>Bir Moghrein Airport</t>
  </si>
  <si>
    <t>Mauritania</t>
  </si>
  <si>
    <t>Bir Moghrein</t>
  </si>
  <si>
    <t>Lideta Army Airport</t>
  </si>
  <si>
    <t>Cairo West Airport</t>
  </si>
  <si>
    <t>Cairo</t>
  </si>
  <si>
    <t>Kakamega Airport</t>
  </si>
  <si>
    <t>Kakamega</t>
  </si>
  <si>
    <t>Naivasha Airport</t>
  </si>
  <si>
    <t>Naivasha</t>
  </si>
  <si>
    <t>Moi Air Base</t>
  </si>
  <si>
    <t>Nairobi</t>
  </si>
  <si>
    <t>Bu Attifel Airport</t>
  </si>
  <si>
    <t>Libya</t>
  </si>
  <si>
    <t>Buattifel</t>
  </si>
  <si>
    <t>Warehouse 59e Airport</t>
  </si>
  <si>
    <t>Giallo</t>
  </si>
  <si>
    <t>Marsa Brega Airport</t>
  </si>
  <si>
    <t>Marsa Brega</t>
  </si>
  <si>
    <t>Ras Lanuf Oil Airport</t>
  </si>
  <si>
    <t>Ras Lanouf V 40</t>
  </si>
  <si>
    <t>Hon Airport</t>
  </si>
  <si>
    <t>Hon</t>
  </si>
  <si>
    <t>Dahra Airport</t>
  </si>
  <si>
    <t>Dahra</t>
  </si>
  <si>
    <t>Zella 74 Airport</t>
  </si>
  <si>
    <t>Zella 74</t>
  </si>
  <si>
    <t>Damazin Airport</t>
  </si>
  <si>
    <t>Sudan</t>
  </si>
  <si>
    <t>Damazin</t>
  </si>
  <si>
    <t>Kadugli Airport</t>
  </si>
  <si>
    <t>Kadugli</t>
  </si>
  <si>
    <t>Stara Zagora Airport</t>
  </si>
  <si>
    <t>Bulgaria</t>
  </si>
  <si>
    <t>Stara Zagora</t>
  </si>
  <si>
    <t>Osijek-Čepin Airfield</t>
  </si>
  <si>
    <t>Cepin</t>
  </si>
  <si>
    <t>Grobnicko Polje Airport</t>
  </si>
  <si>
    <t>Grobnik</t>
  </si>
  <si>
    <t>Varaždin Airport</t>
  </si>
  <si>
    <t>Varazdin</t>
  </si>
  <si>
    <t>Udbina Air Base</t>
  </si>
  <si>
    <t>Udbina</t>
  </si>
  <si>
    <t>Albacete-Los Llanos Airport</t>
  </si>
  <si>
    <t>Albacete</t>
  </si>
  <si>
    <t>Armilla Air Base</t>
  </si>
  <si>
    <t>Granada</t>
  </si>
  <si>
    <t>Getafe Air Base</t>
  </si>
  <si>
    <t>Madrid</t>
  </si>
  <si>
    <t>Ocaña Airport</t>
  </si>
  <si>
    <t>Ocana</t>
  </si>
  <si>
    <t>Alcantarilla Air Base</t>
  </si>
  <si>
    <t>Murcia</t>
  </si>
  <si>
    <t>Rota Naval Station Airport</t>
  </si>
  <si>
    <t>Rota</t>
  </si>
  <si>
    <t>Son Bonet Airport</t>
  </si>
  <si>
    <t>Son Bonet</t>
  </si>
  <si>
    <t>San Luis Airport</t>
  </si>
  <si>
    <t>San Luis</t>
  </si>
  <si>
    <t>Péronne-Saint-Quentin Airport</t>
  </si>
  <si>
    <t>Peronne</t>
  </si>
  <si>
    <t>Nangis-Les Loges Airport</t>
  </si>
  <si>
    <t>Nangis</t>
  </si>
  <si>
    <t>Bagnoles-de-l'Orne-Couterne Airport</t>
  </si>
  <si>
    <t>Bagnole-de-l'orne</t>
  </si>
  <si>
    <t>Albert-Bray Airport</t>
  </si>
  <si>
    <t>Albert</t>
  </si>
  <si>
    <t>Valenciennes-Denain Airport</t>
  </si>
  <si>
    <t>Valenciennes</t>
  </si>
  <si>
    <t>Amiens-Glisy Airport</t>
  </si>
  <si>
    <t>Amiens</t>
  </si>
  <si>
    <t>Cazaux (BA 120) Air Base</t>
  </si>
  <si>
    <t>Cazaux</t>
  </si>
  <si>
    <t>Toulouse-Francazal (BA 101) Air Base</t>
  </si>
  <si>
    <t>Toulouse</t>
  </si>
  <si>
    <t>Mont-de-Marsan (BA 118) Air Base</t>
  </si>
  <si>
    <t>Mont-de-marsan</t>
  </si>
  <si>
    <t>Muret-Lherm Airport</t>
  </si>
  <si>
    <t>La Rochelle</t>
  </si>
  <si>
    <t>Cahors-Lalbenque Airport</t>
  </si>
  <si>
    <t>Cahors</t>
  </si>
  <si>
    <t>Saint-Girons-Antichan Airport</t>
  </si>
  <si>
    <t>St.-girons</t>
  </si>
  <si>
    <t>Toulouse-Lasbordes Airport</t>
  </si>
  <si>
    <t>Millau-Larzac Airport</t>
  </si>
  <si>
    <t>Millau</t>
  </si>
  <si>
    <t>Graulhet-Montdragon Airport</t>
  </si>
  <si>
    <t>Graulhet</t>
  </si>
  <si>
    <t>Ussel-Thalamy Airport</t>
  </si>
  <si>
    <t>Ussel</t>
  </si>
  <si>
    <t>Villeneuve-sur-Lot Airport</t>
  </si>
  <si>
    <t>Villeneuve-sur-lot</t>
  </si>
  <si>
    <t>Mimizan Airport</t>
  </si>
  <si>
    <t>Mimizan</t>
  </si>
  <si>
    <t>Aire-sur-l'Adour Airport</t>
  </si>
  <si>
    <t>Aire-sur-l'adour</t>
  </si>
  <si>
    <t>Montauban Airport</t>
  </si>
  <si>
    <t>Montauban</t>
  </si>
  <si>
    <t>Auch-Lamothe Airport</t>
  </si>
  <si>
    <t>Auch</t>
  </si>
  <si>
    <t>Libourne-Artigues-de-Lussac Airport</t>
  </si>
  <si>
    <t>Libourne</t>
  </si>
  <si>
    <t>Pamiers-Les Pujols Airport</t>
  </si>
  <si>
    <t>Pamiers</t>
  </si>
  <si>
    <t>Marmande-Virazeil Airport</t>
  </si>
  <si>
    <t>Marmande</t>
  </si>
  <si>
    <t>Pontivy Airport</t>
  </si>
  <si>
    <t>Pontivy</t>
  </si>
  <si>
    <t>Aubigny-sur-Nère Airport</t>
  </si>
  <si>
    <t>Aubigny-sur-nere</t>
  </si>
  <si>
    <t>Guiscriff Scaer Airport</t>
  </si>
  <si>
    <t>Guiscriff-scaer</t>
  </si>
  <si>
    <t>Ancenis Airport</t>
  </si>
  <si>
    <t>Ancenis</t>
  </si>
  <si>
    <t>Brienne-le-Château Airport</t>
  </si>
  <si>
    <t>Brienne-le Chateau</t>
  </si>
  <si>
    <t>Beaune-Challanges Airport</t>
  </si>
  <si>
    <t>Beaune</t>
  </si>
  <si>
    <t>Joigny Airport</t>
  </si>
  <si>
    <t>Joigny</t>
  </si>
  <si>
    <t>Verdun-Le Rozelier Airfield</t>
  </si>
  <si>
    <t>Verdun</t>
  </si>
  <si>
    <t>Saint-Flour-Coltines Airport</t>
  </si>
  <si>
    <t>St.-flour</t>
  </si>
  <si>
    <t>Saint-Affrique-Belmont Airport</t>
  </si>
  <si>
    <t>St.-afrique-belmont</t>
  </si>
  <si>
    <t>Cassagnes-Bégonhès Airport</t>
  </si>
  <si>
    <t>Cassagnes-beghones</t>
  </si>
  <si>
    <t>Propriano Airport</t>
  </si>
  <si>
    <t>Propriano</t>
  </si>
  <si>
    <t>Corte Airport</t>
  </si>
  <si>
    <t>Corte</t>
  </si>
  <si>
    <t>Chambéry-Challes-les-Eaux Airport</t>
  </si>
  <si>
    <t>Chambery</t>
  </si>
  <si>
    <t>Saint-Yan Airport</t>
  </si>
  <si>
    <t>St.-yan</t>
  </si>
  <si>
    <t>Montluçon-Domérat Airport</t>
  </si>
  <si>
    <t>Montlucon</t>
  </si>
  <si>
    <t>Le Luc-Le Cannet Airport</t>
  </si>
  <si>
    <t>Le Luc</t>
  </si>
  <si>
    <t>Istres Le Tubé/Istres Air Base (BA 125) Airport</t>
  </si>
  <si>
    <t>Istres</t>
  </si>
  <si>
    <t>Orange-Caritat (BA 115) Air Base</t>
  </si>
  <si>
    <t>Orange</t>
  </si>
  <si>
    <t>Alès-Deaux Airport</t>
  </si>
  <si>
    <t>Ales</t>
  </si>
  <si>
    <t>Salon-de-Provence (BA 701) Air Base</t>
  </si>
  <si>
    <t>Salon</t>
  </si>
  <si>
    <t>Lézignan-Corbières Airport</t>
  </si>
  <si>
    <t>Lezignan-corbieres</t>
  </si>
  <si>
    <t>Carpentras Airport</t>
  </si>
  <si>
    <t>Carpentras</t>
  </si>
  <si>
    <t>Avord (BA 702) Air Base</t>
  </si>
  <si>
    <t>Avord</t>
  </si>
  <si>
    <t>Châteaudun (BA 279) Air Base</t>
  </si>
  <si>
    <t>Chateaudun</t>
  </si>
  <si>
    <t>Saumur-Saint-Florent Airport</t>
  </si>
  <si>
    <t>Saumur</t>
  </si>
  <si>
    <t>Évreux-Fauville (BA 105) Air Base</t>
  </si>
  <si>
    <t>Evreux</t>
  </si>
  <si>
    <t>Abbeville</t>
  </si>
  <si>
    <t>Orléans-Saint-Denis-de-l'Hôtel Airport</t>
  </si>
  <si>
    <t>Orleans</t>
  </si>
  <si>
    <t>Coulommiers-Voisins Airport</t>
  </si>
  <si>
    <t>Coulommiers</t>
  </si>
  <si>
    <t>Melun-Villaroche Air Base</t>
  </si>
  <si>
    <t>Melun</t>
  </si>
  <si>
    <t>Villacoublay-Vélizy (BA 107) Air Base</t>
  </si>
  <si>
    <t>Villacoublay</t>
  </si>
  <si>
    <t>Reims-Prunay Airport</t>
  </si>
  <si>
    <t>Reims</t>
  </si>
  <si>
    <t>Lunéville-Croismare Airport</t>
  </si>
  <si>
    <t>Luneville</t>
  </si>
  <si>
    <t>Étain-Rouvres Air Base</t>
  </si>
  <si>
    <t>Etain</t>
  </si>
  <si>
    <t>Autun-Bellevue Airport</t>
  </si>
  <si>
    <t>Autun</t>
  </si>
  <si>
    <t>Cambrai-Épinoy (BA 103) Air Base</t>
  </si>
  <si>
    <t>Cambrai</t>
  </si>
  <si>
    <t>Maubeuge-Élesmes Airport</t>
  </si>
  <si>
    <t>Maubeuge</t>
  </si>
  <si>
    <t>Besançon-La Vèze Airport</t>
  </si>
  <si>
    <t>Besancon-la-veze</t>
  </si>
  <si>
    <t>Phalsbourg-Bourscheid Air Base</t>
  </si>
  <si>
    <t>Phalsbourg</t>
  </si>
  <si>
    <t>Merville-Calonne Airport</t>
  </si>
  <si>
    <t>Merville</t>
  </si>
  <si>
    <t>Charleville-Mézières Airport</t>
  </si>
  <si>
    <t>Charleville</t>
  </si>
  <si>
    <t>Vesoul-Frotey Airport</t>
  </si>
  <si>
    <t>Vesoul-frotey</t>
  </si>
  <si>
    <t>La Baule-Escoublac Airport</t>
  </si>
  <si>
    <t>La Baule</t>
  </si>
  <si>
    <t>Landivisiau Air Base</t>
  </si>
  <si>
    <t>Landivisiau</t>
  </si>
  <si>
    <t>Lanvéoc-Poulmic Air Base</t>
  </si>
  <si>
    <t>Lanvedoc</t>
  </si>
  <si>
    <t>Colmar-Meyenheim Air Base</t>
  </si>
  <si>
    <t>Colmar</t>
  </si>
  <si>
    <t>Haguenau Airport</t>
  </si>
  <si>
    <t>Haguenau</t>
  </si>
  <si>
    <t>Saint-Dizier-Robinson (BA 113) Air Base</t>
  </si>
  <si>
    <t>St.-dizier</t>
  </si>
  <si>
    <t>Montbéliard-Courcelles Airfield</t>
  </si>
  <si>
    <t>Montbeliard</t>
  </si>
  <si>
    <t>Nancy-Ochey (BA 133) Air Base</t>
  </si>
  <si>
    <t>Nancy</t>
  </si>
  <si>
    <t>Pontarlier Airport</t>
  </si>
  <si>
    <t>Pontarlier</t>
  </si>
  <si>
    <t>Luxeuil-Saint-Sauveur (BA 116) Air Base</t>
  </si>
  <si>
    <t>Luxeuil</t>
  </si>
  <si>
    <t>Cuers-Pierrefeu Airport</t>
  </si>
  <si>
    <t>Cuers</t>
  </si>
  <si>
    <t>Ambérieu Air Base (BA 278)</t>
  </si>
  <si>
    <t>Amberieu</t>
  </si>
  <si>
    <t>Damblain Airport</t>
  </si>
  <si>
    <t>Damblain</t>
  </si>
  <si>
    <t>Alexandria Airport</t>
  </si>
  <si>
    <t>Alexandria</t>
  </si>
  <si>
    <t>Elefsis Airport</t>
  </si>
  <si>
    <t>Elefsis</t>
  </si>
  <si>
    <t>Amigdhaleon Airport</t>
  </si>
  <si>
    <t>Kavala</t>
  </si>
  <si>
    <t>Megara Airport</t>
  </si>
  <si>
    <t>Megara</t>
  </si>
  <si>
    <t>Maritsa Airport</t>
  </si>
  <si>
    <t>Rhodos</t>
  </si>
  <si>
    <t>Sparti Airport</t>
  </si>
  <si>
    <t>Sparti</t>
  </si>
  <si>
    <t>Stefanovikion Air Base</t>
  </si>
  <si>
    <t>Stefanovikion</t>
  </si>
  <si>
    <t>Tanagra Air Base</t>
  </si>
  <si>
    <t>Tanagra</t>
  </si>
  <si>
    <t>Kasteli Airport</t>
  </si>
  <si>
    <t>Kasteli</t>
  </si>
  <si>
    <t>Tripolis Airport</t>
  </si>
  <si>
    <t>Tripolis</t>
  </si>
  <si>
    <t>Tatoi Airport</t>
  </si>
  <si>
    <t>Dekelia</t>
  </si>
  <si>
    <t>Kecskemét Airport</t>
  </si>
  <si>
    <t>Hungary</t>
  </si>
  <si>
    <t>Kecskemet</t>
  </si>
  <si>
    <t>Nyíregyháza Airport</t>
  </si>
  <si>
    <t>Nyirregyhaza</t>
  </si>
  <si>
    <t>Őcsény Airport</t>
  </si>
  <si>
    <t>Ocseny</t>
  </si>
  <si>
    <t>Szentkirályszabadja Airport</t>
  </si>
  <si>
    <t>Azentkilyszabadja</t>
  </si>
  <si>
    <t>Szolnok Airport</t>
  </si>
  <si>
    <t>Szolnok</t>
  </si>
  <si>
    <t>Amendola Air Base</t>
  </si>
  <si>
    <t>Amendola</t>
  </si>
  <si>
    <t>Gioia Del Colle Air Base</t>
  </si>
  <si>
    <t>Gioia Del Colle</t>
  </si>
  <si>
    <t>Palermo-Boccadifalco Airport</t>
  </si>
  <si>
    <t>Palermo</t>
  </si>
  <si>
    <t>Torino-Aeritalia Airport</t>
  </si>
  <si>
    <t>Turin</t>
  </si>
  <si>
    <t>Milano-Bresso Airport</t>
  </si>
  <si>
    <t>Milano</t>
  </si>
  <si>
    <t>Cameri Air Base [MIL]</t>
  </si>
  <si>
    <t>Cameri</t>
  </si>
  <si>
    <t>Cervia Air Base</t>
  </si>
  <si>
    <t>Cervia</t>
  </si>
  <si>
    <t>Rivolto Air Base</t>
  </si>
  <si>
    <t>Rivolto</t>
  </si>
  <si>
    <t>Ghedi Air Base</t>
  </si>
  <si>
    <t>Ghedi</t>
  </si>
  <si>
    <t>Verona-Boscomantico Airport</t>
  </si>
  <si>
    <t>Verona</t>
  </si>
  <si>
    <t>Istrana Air Base</t>
  </si>
  <si>
    <t>Treviso</t>
  </si>
  <si>
    <t>Pratica Di Mare Air Base</t>
  </si>
  <si>
    <t>Pratica Di Mare</t>
  </si>
  <si>
    <t>Guidonia Air Base</t>
  </si>
  <si>
    <t>Guidonia</t>
  </si>
  <si>
    <t>Grazzanise Airport</t>
  </si>
  <si>
    <t>Grazzanise</t>
  </si>
  <si>
    <t>Urbe Airport</t>
  </si>
  <si>
    <t>Rome</t>
  </si>
  <si>
    <t>Viterbo Airport</t>
  </si>
  <si>
    <t>Viterbo</t>
  </si>
  <si>
    <t>Cerklje Airport</t>
  </si>
  <si>
    <t>Slovenia</t>
  </si>
  <si>
    <t>Cerklje</t>
  </si>
  <si>
    <t>Slovenj Gradec Airport</t>
  </si>
  <si>
    <t>Slovenj Gradec</t>
  </si>
  <si>
    <t>České Budějovice Airport</t>
  </si>
  <si>
    <t>Czech Republic</t>
  </si>
  <si>
    <t>Ceske Budejovice</t>
  </si>
  <si>
    <t>Čáslav Air Base</t>
  </si>
  <si>
    <t>Caslav</t>
  </si>
  <si>
    <t>Hradec Králové Airport</t>
  </si>
  <si>
    <t>Hradec Kralove</t>
  </si>
  <si>
    <t>Hořovice Airport</t>
  </si>
  <si>
    <t>Horovice</t>
  </si>
  <si>
    <t>Kbely Air Base</t>
  </si>
  <si>
    <t>Praha</t>
  </si>
  <si>
    <t>Kunovice Airport</t>
  </si>
  <si>
    <t>Kunovice</t>
  </si>
  <si>
    <t>Plzeň-Líně Airport</t>
  </si>
  <si>
    <t>Line</t>
  </si>
  <si>
    <t>Mnichovo Hradiště Airport</t>
  </si>
  <si>
    <t>Mnichovo Hradiste</t>
  </si>
  <si>
    <t>Náměšť Air Base</t>
  </si>
  <si>
    <t>Namest</t>
  </si>
  <si>
    <t>Pribram Airport</t>
  </si>
  <si>
    <t>Pribram</t>
  </si>
  <si>
    <t>Vodochody Airport</t>
  </si>
  <si>
    <t>Vodochody</t>
  </si>
  <si>
    <t>Tel Nof Air Base</t>
  </si>
  <si>
    <t>Tel-nof</t>
  </si>
  <si>
    <t>Ein Shemer Airfield</t>
  </si>
  <si>
    <t>Eyn-shemer</t>
  </si>
  <si>
    <t>Ein Yahav Airfield</t>
  </si>
  <si>
    <t>Eyn-yahav</t>
  </si>
  <si>
    <t>Hatzor Air Base</t>
  </si>
  <si>
    <t>Haztor</t>
  </si>
  <si>
    <t>Megiddo Airport</t>
  </si>
  <si>
    <t>Megido Airstrip</t>
  </si>
  <si>
    <t>Bar Yehuda Airfield</t>
  </si>
  <si>
    <t>Metzada</t>
  </si>
  <si>
    <t>Nevatim Air Base</t>
  </si>
  <si>
    <t>Nevatim</t>
  </si>
  <si>
    <t>Ramat David Air Base</t>
  </si>
  <si>
    <t>Ramat David</t>
  </si>
  <si>
    <t>Ramon Air Base</t>
  </si>
  <si>
    <t>Ramon</t>
  </si>
  <si>
    <t>Wiener Neustadt East Airport</t>
  </si>
  <si>
    <t>Austria</t>
  </si>
  <si>
    <t>Wiener Neustadt Ost</t>
  </si>
  <si>
    <t>Wels Airport</t>
  </si>
  <si>
    <t>Wels</t>
  </si>
  <si>
    <t>Hinterstoisser Air Base</t>
  </si>
  <si>
    <t>Zeltweg</t>
  </si>
  <si>
    <t>Alverca Airport</t>
  </si>
  <si>
    <t>Alverca</t>
  </si>
  <si>
    <t>Beja International Airport</t>
  </si>
  <si>
    <t>Beja (madeira)</t>
  </si>
  <si>
    <t>Braga Municipal Aerodrome</t>
  </si>
  <si>
    <t>Braga</t>
  </si>
  <si>
    <t>Coimbra Airport</t>
  </si>
  <si>
    <t>Coimba</t>
  </si>
  <si>
    <t>Cascais Airport</t>
  </si>
  <si>
    <t>Cascais</t>
  </si>
  <si>
    <t>Covilhã Airport</t>
  </si>
  <si>
    <t>Covilha</t>
  </si>
  <si>
    <t>Évora Airport</t>
  </si>
  <si>
    <t>Evora</t>
  </si>
  <si>
    <t>Monte Real Air Base</t>
  </si>
  <si>
    <t>Monte Real</t>
  </si>
  <si>
    <t>Montijo Airport</t>
  </si>
  <si>
    <t>Montijo</t>
  </si>
  <si>
    <t>Ovar Airport</t>
  </si>
  <si>
    <t>Ovar</t>
  </si>
  <si>
    <t>Portimão Airport</t>
  </si>
  <si>
    <t>Portimao</t>
  </si>
  <si>
    <t>Sintra Airport</t>
  </si>
  <si>
    <t>Sintra</t>
  </si>
  <si>
    <t>Tancos Airbase</t>
  </si>
  <si>
    <t>Tancos</t>
  </si>
  <si>
    <t>Viseu Airport</t>
  </si>
  <si>
    <t>Viseu</t>
  </si>
  <si>
    <t>Les Eplatures Airport</t>
  </si>
  <si>
    <t>Switzerland</t>
  </si>
  <si>
    <t>Les Eplatures</t>
  </si>
  <si>
    <t>Saanen Airport</t>
  </si>
  <si>
    <t>Saanen</t>
  </si>
  <si>
    <t>Alpnach Air Base</t>
  </si>
  <si>
    <t>Alpnach</t>
  </si>
  <si>
    <t>Dübendorf Air Base</t>
  </si>
  <si>
    <t>Dubendorf</t>
  </si>
  <si>
    <t>Mollis Airport</t>
  </si>
  <si>
    <t>Mollis</t>
  </si>
  <si>
    <t>Meiringen Airport</t>
  </si>
  <si>
    <t>Meiringen</t>
  </si>
  <si>
    <t>Payerne Air Base</t>
  </si>
  <si>
    <t>Payerne</t>
  </si>
  <si>
    <t>Grenchen Airport</t>
  </si>
  <si>
    <t>Grenchen</t>
  </si>
  <si>
    <t>Güvercinlik Airport</t>
  </si>
  <si>
    <t>Ankara</t>
  </si>
  <si>
    <t>Akıncı Air Base</t>
  </si>
  <si>
    <t>İskenderun Airport</t>
  </si>
  <si>
    <t>Iskenderun</t>
  </si>
  <si>
    <t>Malatya Erhaç Airport</t>
  </si>
  <si>
    <t>Malatya</t>
  </si>
  <si>
    <t>Sivrihisar Airport</t>
  </si>
  <si>
    <t>Sivrihisar</t>
  </si>
  <si>
    <t>Tokat Airport</t>
  </si>
  <si>
    <t>Tokat</t>
  </si>
  <si>
    <t>Gaziemir Airport</t>
  </si>
  <si>
    <t>Izmir</t>
  </si>
  <si>
    <t>Isparta Airport</t>
  </si>
  <si>
    <t>Isparta</t>
  </si>
  <si>
    <t>Kütahya Airport</t>
  </si>
  <si>
    <t>Kutahya</t>
  </si>
  <si>
    <t>Yalova Airport</t>
  </si>
  <si>
    <t>Yalova</t>
  </si>
  <si>
    <t>Cengiz Topel Airport</t>
  </si>
  <si>
    <t>Topel</t>
  </si>
  <si>
    <t>Akhisar Airport</t>
  </si>
  <si>
    <t>Akhisar</t>
  </si>
  <si>
    <t>Samandıra Air Base</t>
  </si>
  <si>
    <t>Istanbul</t>
  </si>
  <si>
    <t>Siirt Airport</t>
  </si>
  <si>
    <t>Siirt</t>
  </si>
  <si>
    <t>Kaklıç Airport</t>
  </si>
  <si>
    <t>Selçuk Efes Airport</t>
  </si>
  <si>
    <t>Vršac International Airport</t>
  </si>
  <si>
    <t>Serbia</t>
  </si>
  <si>
    <t>Vrsac</t>
  </si>
  <si>
    <t>Kuchyňa Air Base</t>
  </si>
  <si>
    <t>Slovakia</t>
  </si>
  <si>
    <t>Malacky</t>
  </si>
  <si>
    <t>Trenčín Airport</t>
  </si>
  <si>
    <t>Trencin</t>
  </si>
  <si>
    <t>Cabo Rojo Airport</t>
  </si>
  <si>
    <t>Cabo Rojo</t>
  </si>
  <si>
    <t>San Isidro Air Base</t>
  </si>
  <si>
    <t>San Isidoro</t>
  </si>
  <si>
    <t>Bananera Airport</t>
  </si>
  <si>
    <t>Guatemala</t>
  </si>
  <si>
    <t>Bananera</t>
  </si>
  <si>
    <t>Retalhuleu Airport</t>
  </si>
  <si>
    <t>Retalhuleu</t>
  </si>
  <si>
    <t>San José Airport</t>
  </si>
  <si>
    <t>San Jose</t>
  </si>
  <si>
    <t>Trujillo Airport</t>
  </si>
  <si>
    <t>Honduras</t>
  </si>
  <si>
    <t>Trujillo</t>
  </si>
  <si>
    <t>Ciudad Acuña New International Airport</t>
  </si>
  <si>
    <t>Ciudad Acuna</t>
  </si>
  <si>
    <t>Nuevo Casas Grandes Airport</t>
  </si>
  <si>
    <t>Nuevo Casas Grandes</t>
  </si>
  <si>
    <t>Chilpancingo Airport</t>
  </si>
  <si>
    <t>Chilpancingo</t>
  </si>
  <si>
    <t>Ixtepec Airport</t>
  </si>
  <si>
    <t>Iztepec</t>
  </si>
  <si>
    <t>Terán Air Base</t>
  </si>
  <si>
    <t>Tuxtla Gutierrez</t>
  </si>
  <si>
    <t>Zapopan Airport</t>
  </si>
  <si>
    <t>Zapopan</t>
  </si>
  <si>
    <t>Los Brasiles Airport</t>
  </si>
  <si>
    <t>Nicaragua</t>
  </si>
  <si>
    <t>Los Brasiles</t>
  </si>
  <si>
    <t>Leon (Fanor Urroz) Airport</t>
  </si>
  <si>
    <t>Leon</t>
  </si>
  <si>
    <t>Ruben Cantu Airport</t>
  </si>
  <si>
    <t>Santiago</t>
  </si>
  <si>
    <t>Buenos Aires Airport</t>
  </si>
  <si>
    <t>Costa Rica</t>
  </si>
  <si>
    <t>Buenos Aires</t>
  </si>
  <si>
    <t>Chacarita Airport</t>
  </si>
  <si>
    <t>Chacarita</t>
  </si>
  <si>
    <t>El Carmen de Siquirres Airport</t>
  </si>
  <si>
    <t>El Carmen</t>
  </si>
  <si>
    <t>Finca 10 / Nuevo Palmar Sur Airport</t>
  </si>
  <si>
    <t>Finca 10</t>
  </si>
  <si>
    <t>Guapiles Airport</t>
  </si>
  <si>
    <t>Guapiles</t>
  </si>
  <si>
    <t>Los Chiles Airport</t>
  </si>
  <si>
    <t>Los Chiles</t>
  </si>
  <si>
    <t>Pandora Airport</t>
  </si>
  <si>
    <t>Pandora</t>
  </si>
  <si>
    <t>Santa Clara De Guapiles Airport</t>
  </si>
  <si>
    <t>Santa Clara</t>
  </si>
  <si>
    <t>San Vito De Java Airport</t>
  </si>
  <si>
    <t>San Vito De Jaba</t>
  </si>
  <si>
    <t>Ilopango International Airport</t>
  </si>
  <si>
    <t>El Salvador</t>
  </si>
  <si>
    <t>San Salvador</t>
  </si>
  <si>
    <t>Les Cayes Airport</t>
  </si>
  <si>
    <t>Haiti</t>
  </si>
  <si>
    <t>Cayes</t>
  </si>
  <si>
    <t>Jacmel Airport</t>
  </si>
  <si>
    <t>Jacmel</t>
  </si>
  <si>
    <t>Florida Airport</t>
  </si>
  <si>
    <t>Cuba</t>
  </si>
  <si>
    <t>Florida</t>
  </si>
  <si>
    <t>Leeward Point Field</t>
  </si>
  <si>
    <t>Guantanamo</t>
  </si>
  <si>
    <t>Pinar Del Rio Airport</t>
  </si>
  <si>
    <t>Pinar Del Rio Norte</t>
  </si>
  <si>
    <t>San Antonio De Los Banos Airport</t>
  </si>
  <si>
    <t>San Antonio De Banos</t>
  </si>
  <si>
    <t>Joaquín de Agüero Airport</t>
  </si>
  <si>
    <t>Santa Lucia</t>
  </si>
  <si>
    <t>Siguanea Airport</t>
  </si>
  <si>
    <t>Siguanea</t>
  </si>
  <si>
    <t>Sancti Spiritus Airport</t>
  </si>
  <si>
    <t>Sancti Spiritus</t>
  </si>
  <si>
    <t>Clarence A. Bain Airport</t>
  </si>
  <si>
    <t>Clarence Bain</t>
  </si>
  <si>
    <t>Sandy Point Airport</t>
  </si>
  <si>
    <t>Sandy Point</t>
  </si>
  <si>
    <t>Great Harbour Cay Airport</t>
  </si>
  <si>
    <t>Bullocks Harbour</t>
  </si>
  <si>
    <t>George Town Airport</t>
  </si>
  <si>
    <t>George Town</t>
  </si>
  <si>
    <t>Normans Cay Airport</t>
  </si>
  <si>
    <t>Norman's Cay</t>
  </si>
  <si>
    <t>Staniel Cay Airport</t>
  </si>
  <si>
    <t>Staniel Cay</t>
  </si>
  <si>
    <t>Duncan Town Airport</t>
  </si>
  <si>
    <t>Duncan Town</t>
  </si>
  <si>
    <t>Rum Cay Airport</t>
  </si>
  <si>
    <t>Port Nelson</t>
  </si>
  <si>
    <t>Fangatau Airport</t>
  </si>
  <si>
    <t>French Polynesia</t>
  </si>
  <si>
    <t>Fangatau</t>
  </si>
  <si>
    <t>Glentanner Airport</t>
  </si>
  <si>
    <t>New Zealand</t>
  </si>
  <si>
    <t>Glentanner</t>
  </si>
  <si>
    <t>Hastings Aerodrome</t>
  </si>
  <si>
    <t>Hastings</t>
  </si>
  <si>
    <t>RNZAF Base Ohakea</t>
  </si>
  <si>
    <t>Ohakea</t>
  </si>
  <si>
    <t>Waiouru Airport</t>
  </si>
  <si>
    <t>Waiouru</t>
  </si>
  <si>
    <t>South Pole Station Airport</t>
  </si>
  <si>
    <t>Antarctica</t>
  </si>
  <si>
    <t>Stephen's Island</t>
  </si>
  <si>
    <t>Pukaki Airport</t>
  </si>
  <si>
    <t>Pukaki</t>
  </si>
  <si>
    <t>Williams Field</t>
  </si>
  <si>
    <t>Weydon</t>
  </si>
  <si>
    <t>Wigram Airport</t>
  </si>
  <si>
    <t>Wigram</t>
  </si>
  <si>
    <t>Wairoa Airport</t>
  </si>
  <si>
    <t>Wairoa</t>
  </si>
  <si>
    <t>RNZAF Base Auckland-Whenuapai</t>
  </si>
  <si>
    <t>Whenuapai</t>
  </si>
  <si>
    <t>Shindand Airport</t>
  </si>
  <si>
    <t>Afghanistan</t>
  </si>
  <si>
    <t>Shindand</t>
  </si>
  <si>
    <t>Sheberghan Airport</t>
  </si>
  <si>
    <t>Sheberghan</t>
  </si>
  <si>
    <t>Sheik Isa Air Base</t>
  </si>
  <si>
    <t>Abqaiq Airport</t>
  </si>
  <si>
    <t>Abqaiq</t>
  </si>
  <si>
    <t>Jubail Airport</t>
  </si>
  <si>
    <t>Jubail</t>
  </si>
  <si>
    <t>King Faisal Naval Base</t>
  </si>
  <si>
    <t>Jeddah</t>
  </si>
  <si>
    <t>Pump Station 3 Airport</t>
  </si>
  <si>
    <t>Petroline 3</t>
  </si>
  <si>
    <t>Pump Station 6 Airport</t>
  </si>
  <si>
    <t>Petroline 6</t>
  </si>
  <si>
    <t>Pump Station 10 Airport</t>
  </si>
  <si>
    <t>Petroline 10</t>
  </si>
  <si>
    <t>Rabigh Airport</t>
  </si>
  <si>
    <t>Rabigh</t>
  </si>
  <si>
    <t>Ras Mishab Airport</t>
  </si>
  <si>
    <t>Rash Mishab</t>
  </si>
  <si>
    <t>Ras Tanura Airport</t>
  </si>
  <si>
    <t>Ras Tanura</t>
  </si>
  <si>
    <t>Thumamah Airport</t>
  </si>
  <si>
    <t>Thumamah</t>
  </si>
  <si>
    <t>Ras Tanajib Airport</t>
  </si>
  <si>
    <t>Ras Tanajib</t>
  </si>
  <si>
    <t>Dezful Airport</t>
  </si>
  <si>
    <t>Iran</t>
  </si>
  <si>
    <t>Dezful</t>
  </si>
  <si>
    <t>Aghajari Airport</t>
  </si>
  <si>
    <t>Aghajari</t>
  </si>
  <si>
    <t>Gachsaran Airport</t>
  </si>
  <si>
    <t>Gachsaran</t>
  </si>
  <si>
    <t>Omidiyeh Airport</t>
  </si>
  <si>
    <t>Omidyeh</t>
  </si>
  <si>
    <t>Abumusa Island Airport</t>
  </si>
  <si>
    <t>Abumusa I.</t>
  </si>
  <si>
    <t>Bastak Airport</t>
  </si>
  <si>
    <t>Bastak</t>
  </si>
  <si>
    <t>Asaloyeh Airport</t>
  </si>
  <si>
    <t>Golbandi</t>
  </si>
  <si>
    <t>Khark Island Airport</t>
  </si>
  <si>
    <t>Khark Island</t>
  </si>
  <si>
    <t>Sirri Island Airport</t>
  </si>
  <si>
    <t>Siri Island</t>
  </si>
  <si>
    <t>Lavan Island Airport</t>
  </si>
  <si>
    <t>Lavan Island</t>
  </si>
  <si>
    <t>Hesa Airport</t>
  </si>
  <si>
    <t>Daran</t>
  </si>
  <si>
    <t>Shahid Vatan Pour Air Base</t>
  </si>
  <si>
    <t>Esfahan</t>
  </si>
  <si>
    <t>Kashan Airport</t>
  </si>
  <si>
    <t>Kashan</t>
  </si>
  <si>
    <t>Badr Air Base</t>
  </si>
  <si>
    <t>Sepah</t>
  </si>
  <si>
    <t>Arak Airport</t>
  </si>
  <si>
    <t>Arak</t>
  </si>
  <si>
    <t>Ghazvin Azadi Airport</t>
  </si>
  <si>
    <t>Abe-ali</t>
  </si>
  <si>
    <t>Kushke Nosrat Airport</t>
  </si>
  <si>
    <t>Kushke Nosrat</t>
  </si>
  <si>
    <t>Doshan Tappeh Air Base</t>
  </si>
  <si>
    <t>Teheran</t>
  </si>
  <si>
    <t>Ghale Morghi Airport</t>
  </si>
  <si>
    <t>Qazvin Airport</t>
  </si>
  <si>
    <t>Ghazvin</t>
  </si>
  <si>
    <t>Naja Airport</t>
  </si>
  <si>
    <t>Khoram Dareh</t>
  </si>
  <si>
    <t>Jiroft Airport</t>
  </si>
  <si>
    <t>Jiroft</t>
  </si>
  <si>
    <t>Havadarya Airport</t>
  </si>
  <si>
    <t>Bandar Abbas</t>
  </si>
  <si>
    <t>Dayrestan Airport</t>
  </si>
  <si>
    <t>Gheshm I.</t>
  </si>
  <si>
    <t>Sirjan Airport</t>
  </si>
  <si>
    <t>Sirjan</t>
  </si>
  <si>
    <t>Sarakhs Airport</t>
  </si>
  <si>
    <t>Sarakhs</t>
  </si>
  <si>
    <t>Shahroud Airport</t>
  </si>
  <si>
    <t>Emam Shahr</t>
  </si>
  <si>
    <t>Tabas Airport</t>
  </si>
  <si>
    <t>Tabas</t>
  </si>
  <si>
    <t>Kalaleh Airport</t>
  </si>
  <si>
    <t>Kalaleh</t>
  </si>
  <si>
    <t>Fasa Airport</t>
  </si>
  <si>
    <t>Fasa</t>
  </si>
  <si>
    <t>Jahrom Airport</t>
  </si>
  <si>
    <t>Jahrom</t>
  </si>
  <si>
    <t>Lamerd Airport</t>
  </si>
  <si>
    <t>Lamerd</t>
  </si>
  <si>
    <t>Khoy Airport</t>
  </si>
  <si>
    <t>Khoy</t>
  </si>
  <si>
    <t>Zanjan Airport</t>
  </si>
  <si>
    <t>Zanjan</t>
  </si>
  <si>
    <t>Iran Shahr Airport</t>
  </si>
  <si>
    <t>Iran Shahr</t>
  </si>
  <si>
    <t>Saravan Airport</t>
  </si>
  <si>
    <t>Saravan</t>
  </si>
  <si>
    <t>Prince Hassan Air Base</t>
  </si>
  <si>
    <t>Hotel Four</t>
  </si>
  <si>
    <t>Jerusalem Airport</t>
  </si>
  <si>
    <t>West Bank</t>
  </si>
  <si>
    <t>Jerusalem</t>
  </si>
  <si>
    <t>Rene Mouawad Air Base</t>
  </si>
  <si>
    <t>Lebanon</t>
  </si>
  <si>
    <t>Kleiat</t>
  </si>
  <si>
    <t>Al Hamra Aux Airport</t>
  </si>
  <si>
    <t>Al Hamra</t>
  </si>
  <si>
    <t>Jebel Dhana Airport</t>
  </si>
  <si>
    <t>Jebel Dhana</t>
  </si>
  <si>
    <t>Al Dhafra Air Base</t>
  </si>
  <si>
    <t>Abu Dhabi</t>
  </si>
  <si>
    <t>Arzanah Airport</t>
  </si>
  <si>
    <t>Arzana</t>
  </si>
  <si>
    <t>Das Island Airport</t>
  </si>
  <si>
    <t>Das Island</t>
  </si>
  <si>
    <t>Zirku Airport</t>
  </si>
  <si>
    <t>Zirku</t>
  </si>
  <si>
    <t>Bhagatanwala Airport</t>
  </si>
  <si>
    <t>Pakistan</t>
  </si>
  <si>
    <t>Bhagtanwala</t>
  </si>
  <si>
    <t>Shahbaz Air Base</t>
  </si>
  <si>
    <t>Jacobsbad</t>
  </si>
  <si>
    <t>Walton Airport</t>
  </si>
  <si>
    <t>Lahore</t>
  </si>
  <si>
    <t>Mangla Airport</t>
  </si>
  <si>
    <t>Mangla</t>
  </si>
  <si>
    <t>Mianwali Air Base</t>
  </si>
  <si>
    <t>Mianwali</t>
  </si>
  <si>
    <t>Masroor Air Base</t>
  </si>
  <si>
    <t>Karachi</t>
  </si>
  <si>
    <t>Okara Cantonment Airstrip</t>
  </si>
  <si>
    <t>Okara</t>
  </si>
  <si>
    <t>Qasim Airport</t>
  </si>
  <si>
    <t>Qasim</t>
  </si>
  <si>
    <t>Risalpur Air Base</t>
  </si>
  <si>
    <t>Risalpur</t>
  </si>
  <si>
    <t>Wana Airport</t>
  </si>
  <si>
    <t>Wana</t>
  </si>
  <si>
    <t>DOH</t>
  </si>
  <si>
    <t>Doha International Airport</t>
  </si>
  <si>
    <t>Doha</t>
  </si>
  <si>
    <t>Dyess Army Air Field</t>
  </si>
  <si>
    <t>Marshall Islands</t>
  </si>
  <si>
    <t>Kwajalein</t>
  </si>
  <si>
    <t>Pingtung South Airport</t>
  </si>
  <si>
    <t>Taiwan</t>
  </si>
  <si>
    <t>Pingtung</t>
  </si>
  <si>
    <t>Longtan Air Base</t>
  </si>
  <si>
    <t>Longtang</t>
  </si>
  <si>
    <t>Hsinchu Air Base</t>
  </si>
  <si>
    <t>Hsinchu</t>
  </si>
  <si>
    <t>Chihhang Air Base</t>
  </si>
  <si>
    <t>Taitung</t>
  </si>
  <si>
    <t>Minami Torishima Airport</t>
  </si>
  <si>
    <t>Minami Tori Shima</t>
  </si>
  <si>
    <t>Kohnan Airport</t>
  </si>
  <si>
    <t>Kohnan</t>
  </si>
  <si>
    <t>Tokachi Airport</t>
  </si>
  <si>
    <t>Tokachi</t>
  </si>
  <si>
    <t>Ashiya Airport</t>
  </si>
  <si>
    <t>Ashiya</t>
  </si>
  <si>
    <t>Nyutabaru Airport</t>
  </si>
  <si>
    <t>Nyutabaru</t>
  </si>
  <si>
    <t>Kanoya Airport</t>
  </si>
  <si>
    <t>Kanoya</t>
  </si>
  <si>
    <t>Tsuiki Air Field</t>
  </si>
  <si>
    <t>Tsuiki</t>
  </si>
  <si>
    <t>Okierabu Airport</t>
  </si>
  <si>
    <t>Okierabu</t>
  </si>
  <si>
    <t>Fukui Airport</t>
  </si>
  <si>
    <t>Fukui</t>
  </si>
  <si>
    <t>Gifu Airport</t>
  </si>
  <si>
    <t>Gifu</t>
  </si>
  <si>
    <t>Hamamatsu Airport</t>
  </si>
  <si>
    <t>Hamamatsu</t>
  </si>
  <si>
    <t>Shizuhama Airport</t>
  </si>
  <si>
    <t>Yaizu</t>
  </si>
  <si>
    <t>Hofu Airport</t>
  </si>
  <si>
    <t>Hofu</t>
  </si>
  <si>
    <t>Yao Airport</t>
  </si>
  <si>
    <t>Osaka</t>
  </si>
  <si>
    <t>Ozuki Airport</t>
  </si>
  <si>
    <t>Ozuki</t>
  </si>
  <si>
    <t>Hachinohe Airport</t>
  </si>
  <si>
    <t>Hachinoe</t>
  </si>
  <si>
    <t>Matsushima Air Base</t>
  </si>
  <si>
    <t>Matsushima</t>
  </si>
  <si>
    <t>Atsugi Naval Air Facility</t>
  </si>
  <si>
    <t>Atsugi</t>
  </si>
  <si>
    <t>Tateyama Airport</t>
  </si>
  <si>
    <t>Tateyama</t>
  </si>
  <si>
    <t>Iruma Air Base</t>
  </si>
  <si>
    <t>Iruma</t>
  </si>
  <si>
    <t>Kisarazu Airport</t>
  </si>
  <si>
    <t>Kisarazu</t>
  </si>
  <si>
    <t>Shimofusa Airport</t>
  </si>
  <si>
    <t>Shimofusa</t>
  </si>
  <si>
    <t>Kastner Army Heliport</t>
  </si>
  <si>
    <t>Zama</t>
  </si>
  <si>
    <t>Jinhae Airport</t>
  </si>
  <si>
    <t>Chinhae</t>
  </si>
  <si>
    <t>A 511 Airport</t>
  </si>
  <si>
    <t>Pyongtaek</t>
  </si>
  <si>
    <t>Ie Shima Auxiliary Air Base</t>
  </si>
  <si>
    <t>Iejima</t>
  </si>
  <si>
    <t>Tarama Airport</t>
  </si>
  <si>
    <t>Tarama</t>
  </si>
  <si>
    <t>Daet Airport</t>
  </si>
  <si>
    <t>Daet</t>
  </si>
  <si>
    <t>Basa Air Base</t>
  </si>
  <si>
    <t>Floridablanca</t>
  </si>
  <si>
    <t>Lingayen Airport</t>
  </si>
  <si>
    <t>Lingayen</t>
  </si>
  <si>
    <t>Fernando Air Base</t>
  </si>
  <si>
    <t>Lipa</t>
  </si>
  <si>
    <t>Mamburao Airport</t>
  </si>
  <si>
    <t>Mamburao</t>
  </si>
  <si>
    <t>Vigan Airport</t>
  </si>
  <si>
    <t>Vigan</t>
  </si>
  <si>
    <t>Dr.Juan C. Angara Airport</t>
  </si>
  <si>
    <t>Baler</t>
  </si>
  <si>
    <t>Bagabag Airport</t>
  </si>
  <si>
    <t>Bagabag</t>
  </si>
  <si>
    <t>Guiuan Airport</t>
  </si>
  <si>
    <t>Guiuan</t>
  </si>
  <si>
    <t>Evelio Javier Airport</t>
  </si>
  <si>
    <t>Junin Airport</t>
  </si>
  <si>
    <t>Junin</t>
  </si>
  <si>
    <t>Chamical Airport</t>
  </si>
  <si>
    <t>Gobernador Gordillo</t>
  </si>
  <si>
    <t>San Fernando Airport</t>
  </si>
  <si>
    <t>San Fernando</t>
  </si>
  <si>
    <t>Mariano Moreno Airport</t>
  </si>
  <si>
    <t>Jose C. Paz</t>
  </si>
  <si>
    <t>Moron Airport</t>
  </si>
  <si>
    <t>Moron</t>
  </si>
  <si>
    <t>El Palomar Airport</t>
  </si>
  <si>
    <t>El Palomar</t>
  </si>
  <si>
    <t>Chos Malal Airport</t>
  </si>
  <si>
    <t>Chosmadal</t>
  </si>
  <si>
    <t>Dr. Arturo H. Illia Airport</t>
  </si>
  <si>
    <t>Fuerte Gral Roca</t>
  </si>
  <si>
    <t>Tinogasta Airport</t>
  </si>
  <si>
    <t>Tinogasta</t>
  </si>
  <si>
    <t>Chilecito Airport</t>
  </si>
  <si>
    <t>Chilecito</t>
  </si>
  <si>
    <t>La Quiaca Airport</t>
  </si>
  <si>
    <t>Laboulaye</t>
  </si>
  <si>
    <t>Marcos Juarez Airport</t>
  </si>
  <si>
    <t>Marcos Juarez</t>
  </si>
  <si>
    <t>Villa Reynolds Airport</t>
  </si>
  <si>
    <t>Villa Reynolds</t>
  </si>
  <si>
    <t>Monte Caseros Airport</t>
  </si>
  <si>
    <t>Monte Caseros</t>
  </si>
  <si>
    <t>Laboulaye Airport</t>
  </si>
  <si>
    <t>La Quiaca</t>
  </si>
  <si>
    <t>El Dorado Airport</t>
  </si>
  <si>
    <t>El Dorado</t>
  </si>
  <si>
    <t>Goya Airport</t>
  </si>
  <si>
    <t>Goya</t>
  </si>
  <si>
    <t>Oberá Airport</t>
  </si>
  <si>
    <t>Obera</t>
  </si>
  <si>
    <t>Reconquista Airport</t>
  </si>
  <si>
    <t>Reconquista</t>
  </si>
  <si>
    <t>Curuzu Cuatia Airport</t>
  </si>
  <si>
    <t>Curuzu Cuatia</t>
  </si>
  <si>
    <t>Marambio Base</t>
  </si>
  <si>
    <t>Brigadier D.H.E. Ruiz Airport</t>
  </si>
  <si>
    <t>Colonel Suarez</t>
  </si>
  <si>
    <t>Olavarria Airport</t>
  </si>
  <si>
    <t>Olavarria</t>
  </si>
  <si>
    <t>General Pico Airport</t>
  </si>
  <si>
    <t>General Pico</t>
  </si>
  <si>
    <t>Tres Arroyos Airport</t>
  </si>
  <si>
    <t>Tres Arroyos</t>
  </si>
  <si>
    <t>Bolivar Airport</t>
  </si>
  <si>
    <t>Bolivar</t>
  </si>
  <si>
    <t>Comodoro Pedro Zanni Airport</t>
  </si>
  <si>
    <t>Pehuajo</t>
  </si>
  <si>
    <t>Cutral-Co Airport</t>
  </si>
  <si>
    <t>Cutralco</t>
  </si>
  <si>
    <t>Campo Délio Jardim de Mattos Airport</t>
  </si>
  <si>
    <t>Rio De Janeiro</t>
  </si>
  <si>
    <t>Amapá Airport</t>
  </si>
  <si>
    <t>Amapa</t>
  </si>
  <si>
    <t>Major Brigadeiro Doorgal Borges Airport</t>
  </si>
  <si>
    <t>Barbacena</t>
  </si>
  <si>
    <t>Barra do Garças Airport</t>
  </si>
  <si>
    <t>Barra Do Garcas</t>
  </si>
  <si>
    <t>Cachimbo Airport</t>
  </si>
  <si>
    <t>Itaituba</t>
  </si>
  <si>
    <t>Canoas Air Force Base</t>
  </si>
  <si>
    <t>Porto Alegre</t>
  </si>
  <si>
    <t>Jacareacanga Airport</t>
  </si>
  <si>
    <t>Jacare-acanga</t>
  </si>
  <si>
    <t>São Pedro da Aldeia Airport</t>
  </si>
  <si>
    <t>Sao Pedro Da Aldeia</t>
  </si>
  <si>
    <t>Furnas Airport</t>
  </si>
  <si>
    <t>Alpinopolis</t>
  </si>
  <si>
    <t>Guajará-Mirim Airport</t>
  </si>
  <si>
    <t>Guajara-mirim</t>
  </si>
  <si>
    <t>EMBRAER - Unidade Gavião Peixoto Airport</t>
  </si>
  <si>
    <t>Macae</t>
  </si>
  <si>
    <t>Guaratinguetá Airport</t>
  </si>
  <si>
    <t>Guaratingueta</t>
  </si>
  <si>
    <t>Itacoatiara Airport</t>
  </si>
  <si>
    <t>Francisco Vilela do Amaral Airport</t>
  </si>
  <si>
    <t>Itumbiara</t>
  </si>
  <si>
    <t>Belém/Brigadeiro Protásio de Oliveira Airport</t>
  </si>
  <si>
    <t>Belem</t>
  </si>
  <si>
    <t>Lages Airport</t>
  </si>
  <si>
    <t>Lajes</t>
  </si>
  <si>
    <t>Lagoa Santa Airport</t>
  </si>
  <si>
    <t>Lagoa Santa</t>
  </si>
  <si>
    <t>Monte Dourado Airport</t>
  </si>
  <si>
    <t>Almeirim</t>
  </si>
  <si>
    <t>Campo de Marte Airport</t>
  </si>
  <si>
    <t>Sao Paulo</t>
  </si>
  <si>
    <t>Oiapoque Airport</t>
  </si>
  <si>
    <t>Oioiapoque</t>
  </si>
  <si>
    <t>Prefeito Doutor João Silva Filho Airport</t>
  </si>
  <si>
    <t>Parnaiba</t>
  </si>
  <si>
    <t>Tarauacá Airport</t>
  </si>
  <si>
    <t>Tarauaca</t>
  </si>
  <si>
    <t>Telêmaco Borba Airport</t>
  </si>
  <si>
    <t>Telemaco Borba</t>
  </si>
  <si>
    <t>Tiriós Airport</t>
  </si>
  <si>
    <t>Obidos Tirios</t>
  </si>
  <si>
    <t>Iauaretê Airport</t>
  </si>
  <si>
    <t>Iauarete</t>
  </si>
  <si>
    <t>El Bosque Airport</t>
  </si>
  <si>
    <t>Gral. Bernardo O´Higgins Airport</t>
  </si>
  <si>
    <t>Chillan</t>
  </si>
  <si>
    <t>Futaleufú Airport</t>
  </si>
  <si>
    <t>Futaleufu</t>
  </si>
  <si>
    <t>Vallenar Airport</t>
  </si>
  <si>
    <t>Vallenar</t>
  </si>
  <si>
    <t>De La Independencia Airport</t>
  </si>
  <si>
    <t>Rancagua</t>
  </si>
  <si>
    <t>Teniente Rodolfo Marsh Martin Base</t>
  </si>
  <si>
    <t>Isla Rey Jorge</t>
  </si>
  <si>
    <t>Eulogio Sánchez Airport</t>
  </si>
  <si>
    <t>Hacienda Clementina Airport</t>
  </si>
  <si>
    <t>Clementia</t>
  </si>
  <si>
    <t>Gualaquiza Airport</t>
  </si>
  <si>
    <t>Gualaquiza</t>
  </si>
  <si>
    <t>Atahualpa Airport</t>
  </si>
  <si>
    <t>Ibarra</t>
  </si>
  <si>
    <t>Km 192 Airport</t>
  </si>
  <si>
    <t>Km-192</t>
  </si>
  <si>
    <t>Hacienda La Julia Airport</t>
  </si>
  <si>
    <t>La Julia</t>
  </si>
  <si>
    <t>Jose Maria Velasco Ibarra Airport</t>
  </si>
  <si>
    <t>Macara</t>
  </si>
  <si>
    <t>El Carmen Airport</t>
  </si>
  <si>
    <t>Montalvo</t>
  </si>
  <si>
    <t>Maragrosa Airport</t>
  </si>
  <si>
    <t>Maragrosa</t>
  </si>
  <si>
    <t>Amable Calle Gutierrez Airport</t>
  </si>
  <si>
    <t>Pasaje</t>
  </si>
  <si>
    <t>Quevedo Airport</t>
  </si>
  <si>
    <t>Quevedo</t>
  </si>
  <si>
    <t>Chimborazo Airport</t>
  </si>
  <si>
    <t>Riobamba</t>
  </si>
  <si>
    <t>Santo Domingo de Los Colorados Airport</t>
  </si>
  <si>
    <t>Santo Domingo</t>
  </si>
  <si>
    <t>Taura Airport</t>
  </si>
  <si>
    <t>Taura</t>
  </si>
  <si>
    <t>Mayor Galo Torres Airport</t>
  </si>
  <si>
    <t>Tena</t>
  </si>
  <si>
    <t>Juan De Ayolas Airport</t>
  </si>
  <si>
    <t>Paraguay</t>
  </si>
  <si>
    <t>Ayolas</t>
  </si>
  <si>
    <t>Itaipú Airport</t>
  </si>
  <si>
    <t>Itaipu</t>
  </si>
  <si>
    <t>Dr. Luis Maria Argaña International Airport</t>
  </si>
  <si>
    <t>Mariscal Estigarribia</t>
  </si>
  <si>
    <t>Carlos Miguel Gimenez Airport</t>
  </si>
  <si>
    <t>Pilar</t>
  </si>
  <si>
    <t>Las Flores Airport</t>
  </si>
  <si>
    <t>El Banco</t>
  </si>
  <si>
    <t>Santiago Vila Airport</t>
  </si>
  <si>
    <t>Girardot</t>
  </si>
  <si>
    <t>Guaymaral Airport</t>
  </si>
  <si>
    <t>Guaymaral</t>
  </si>
  <si>
    <t>Jorge Isaac Airport</t>
  </si>
  <si>
    <t>La Mina</t>
  </si>
  <si>
    <t>Puerto Bolívar Airport</t>
  </si>
  <si>
    <t>Puerto Bolivar</t>
  </si>
  <si>
    <t>Pitalito Airport</t>
  </si>
  <si>
    <t>Pitalito</t>
  </si>
  <si>
    <t>Mariquita Airport</t>
  </si>
  <si>
    <t>Mariquita</t>
  </si>
  <si>
    <t>Chimore Airport</t>
  </si>
  <si>
    <t>Chapacura</t>
  </si>
  <si>
    <t>Juan Mendoza Airport</t>
  </si>
  <si>
    <t>Oruro</t>
  </si>
  <si>
    <t>Santa Ana Del Yacuma Airport</t>
  </si>
  <si>
    <t>Santa Ana</t>
  </si>
  <si>
    <t>Teniente Coronel Rafael Pabón Airport</t>
  </si>
  <si>
    <t>Villa Montes</t>
  </si>
  <si>
    <t>Saint-Georges-de-l'Oyapock Airport</t>
  </si>
  <si>
    <t>French Guiana</t>
  </si>
  <si>
    <t>St.-georges Oyapock</t>
  </si>
  <si>
    <t>Huancabamba Airport</t>
  </si>
  <si>
    <t>Huancabamba</t>
  </si>
  <si>
    <t>Alferez FAP Alfredo Vladimir Sara Bauer Airport</t>
  </si>
  <si>
    <t>Andoas</t>
  </si>
  <si>
    <t>Teniente General Gerardo Pérez Pinedo Airport</t>
  </si>
  <si>
    <t>Atalaya</t>
  </si>
  <si>
    <t>Iberia Airport</t>
  </si>
  <si>
    <t>Iberia</t>
  </si>
  <si>
    <t>Puerto Esperanza Airport</t>
  </si>
  <si>
    <t>Puerto Esperanza</t>
  </si>
  <si>
    <t>Cesar Torke Podesta Airport</t>
  </si>
  <si>
    <t>Moquegua</t>
  </si>
  <si>
    <t>Francisco Carle Airport</t>
  </si>
  <si>
    <t>Jauja</t>
  </si>
  <si>
    <t>Ilo Airport</t>
  </si>
  <si>
    <t>Ilo</t>
  </si>
  <si>
    <t>Las Palmas Air Base</t>
  </si>
  <si>
    <t>Las Palmas</t>
  </si>
  <si>
    <t>Collique Airport</t>
  </si>
  <si>
    <t>Collique</t>
  </si>
  <si>
    <t>Capitán FAP Leonardo Alvariño Herr Airport</t>
  </si>
  <si>
    <t>San Ramon</t>
  </si>
  <si>
    <t>Angel S Adami Airport</t>
  </si>
  <si>
    <t>Uruguay</t>
  </si>
  <si>
    <t>Montevideo</t>
  </si>
  <si>
    <t>Santa Bernardina International Airport</t>
  </si>
  <si>
    <t>Durazno</t>
  </si>
  <si>
    <t>San Fernando de Atabapo Airport</t>
  </si>
  <si>
    <t>San Fernando Deatabapo</t>
  </si>
  <si>
    <t>El Libertador Airbase</t>
  </si>
  <si>
    <t>Maracaibo</t>
  </si>
  <si>
    <t>Caicara del Orinoco Airport</t>
  </si>
  <si>
    <t>Caicara De Orinoco</t>
  </si>
  <si>
    <t>San Carlos Airport</t>
  </si>
  <si>
    <t>San Carlos</t>
  </si>
  <si>
    <t>Calabozo Airport</t>
  </si>
  <si>
    <t>Calabozo</t>
  </si>
  <si>
    <t>Carora Airport</t>
  </si>
  <si>
    <t>Carora</t>
  </si>
  <si>
    <t>Oscar Machado Zuluaga Airport</t>
  </si>
  <si>
    <t>Caracas</t>
  </si>
  <si>
    <t>Capitán Manuel Ríos Airbase</t>
  </si>
  <si>
    <t>Carrizal</t>
  </si>
  <si>
    <t>Elorza Airport</t>
  </si>
  <si>
    <t>Elorza</t>
  </si>
  <si>
    <t>Guasdalito Airport</t>
  </si>
  <si>
    <t>Guasdualito</t>
  </si>
  <si>
    <t>Higuerote Airport</t>
  </si>
  <si>
    <t>Higuerote</t>
  </si>
  <si>
    <t>Andrés Miguel Salazar Marcano Airport</t>
  </si>
  <si>
    <t>Isla De Coche</t>
  </si>
  <si>
    <t>San Juan de Los Morros Airport</t>
  </si>
  <si>
    <t>San Juan De Los Morros</t>
  </si>
  <si>
    <t>La Orchila Airport</t>
  </si>
  <si>
    <t>La Orchila</t>
  </si>
  <si>
    <t>Paramillo Airport</t>
  </si>
  <si>
    <t>San Cristobal</t>
  </si>
  <si>
    <t>Palmarito Airport</t>
  </si>
  <si>
    <t>Palmarito</t>
  </si>
  <si>
    <t>Santa Bárbara de Barinas Airport</t>
  </si>
  <si>
    <t>Santa Barbara</t>
  </si>
  <si>
    <t>Sub Teniente Nestor Arias Airport</t>
  </si>
  <si>
    <t>San Felipe</t>
  </si>
  <si>
    <t>Tumeremo Airport</t>
  </si>
  <si>
    <t>Tumeremo</t>
  </si>
  <si>
    <t>Linden Airport</t>
  </si>
  <si>
    <t>Guyana</t>
  </si>
  <si>
    <t>Linden</t>
  </si>
  <si>
    <t>Deesa Airport</t>
  </si>
  <si>
    <t>Deesa</t>
  </si>
  <si>
    <t>Guna Airport</t>
  </si>
  <si>
    <t>Guna</t>
  </si>
  <si>
    <t>Batticaloa Airport</t>
  </si>
  <si>
    <t>Sri Lanka</t>
  </si>
  <si>
    <t>Batticaloa</t>
  </si>
  <si>
    <t>Kampong Chhnang Airport</t>
  </si>
  <si>
    <t>Cambodia</t>
  </si>
  <si>
    <t>Kompong Chnang</t>
  </si>
  <si>
    <t>Along Airport</t>
  </si>
  <si>
    <t>Along</t>
  </si>
  <si>
    <t>Bokaro Airport</t>
  </si>
  <si>
    <t>Bokaro</t>
  </si>
  <si>
    <t>Hirakud Airport</t>
  </si>
  <si>
    <t>Hirakud</t>
  </si>
  <si>
    <t>Jharsuguda Airport</t>
  </si>
  <si>
    <t>Jharsuguda</t>
  </si>
  <si>
    <t>Muzaffarpur Airport</t>
  </si>
  <si>
    <t>Mazuffarpur</t>
  </si>
  <si>
    <t>Nawapara Airport</t>
  </si>
  <si>
    <t>Nawapara</t>
  </si>
  <si>
    <t>Purnea Airport</t>
  </si>
  <si>
    <t>Purnea</t>
  </si>
  <si>
    <t>Utkela Airport</t>
  </si>
  <si>
    <t>Utkela</t>
  </si>
  <si>
    <t>Zero Airport</t>
  </si>
  <si>
    <t>Zero</t>
  </si>
  <si>
    <t>Tejgaon Airport</t>
  </si>
  <si>
    <t>Bangladesh</t>
  </si>
  <si>
    <t>Dhaka</t>
  </si>
  <si>
    <t>Shek Kong Air Base</t>
  </si>
  <si>
    <t>Sek Kong</t>
  </si>
  <si>
    <t>Nal Airport</t>
  </si>
  <si>
    <t>Bikaner</t>
  </si>
  <si>
    <t>Bhiwani Airport</t>
  </si>
  <si>
    <t>Bhiwani</t>
  </si>
  <si>
    <t>Safdarjung Airport</t>
  </si>
  <si>
    <t>Delhi</t>
  </si>
  <si>
    <t>Hissar Airport</t>
  </si>
  <si>
    <t>Hissar</t>
  </si>
  <si>
    <t>Jhansi Airport</t>
  </si>
  <si>
    <t>Jhansi</t>
  </si>
  <si>
    <t>Patiala Airport</t>
  </si>
  <si>
    <t>Patiala</t>
  </si>
  <si>
    <t>Fursatganj Airport</t>
  </si>
  <si>
    <t>Raibarelli</t>
  </si>
  <si>
    <t>Phonesavanh Airport</t>
  </si>
  <si>
    <t>Laos</t>
  </si>
  <si>
    <t>Phong Savanh</t>
  </si>
  <si>
    <t>Sam Neua Airport</t>
  </si>
  <si>
    <t>Sam Neua</t>
  </si>
  <si>
    <t>Janakpur Airport</t>
  </si>
  <si>
    <t>Nepal</t>
  </si>
  <si>
    <t>Janakpur</t>
  </si>
  <si>
    <t>Dundigul Air Force Academy</t>
  </si>
  <si>
    <t>Dundigul</t>
  </si>
  <si>
    <t>Nagarjuna Sagar Airport</t>
  </si>
  <si>
    <t>Nagarjunsagar</t>
  </si>
  <si>
    <t>Salem Airport</t>
  </si>
  <si>
    <t>Salem</t>
  </si>
  <si>
    <t>Tanjore Air Force Base</t>
  </si>
  <si>
    <t>Tanjore</t>
  </si>
  <si>
    <t>Kamphaeng Saen Airport</t>
  </si>
  <si>
    <t>Nakhon Pathom</t>
  </si>
  <si>
    <t>Khok Kathiam Airport</t>
  </si>
  <si>
    <t>Lop Buri</t>
  </si>
  <si>
    <t>Watthana Nakhon Airport</t>
  </si>
  <si>
    <t>Prachin Buri</t>
  </si>
  <si>
    <t>Takhli Airport</t>
  </si>
  <si>
    <t>Nakhon Sawan</t>
  </si>
  <si>
    <t>Sak Long Airport</t>
  </si>
  <si>
    <t>Phetchabun</t>
  </si>
  <si>
    <t>Nakhon Sawan Airport</t>
  </si>
  <si>
    <t>Khunan Phumipol Airport</t>
  </si>
  <si>
    <t>Tak</t>
  </si>
  <si>
    <t>Khoun Khan Airport</t>
  </si>
  <si>
    <t>Satun</t>
  </si>
  <si>
    <t>Songkhla Airport</t>
  </si>
  <si>
    <t>Songkhla</t>
  </si>
  <si>
    <t>Cha Eian Airport</t>
  </si>
  <si>
    <t>Nakhon Si Thammarat</t>
  </si>
  <si>
    <t>Surin Airport</t>
  </si>
  <si>
    <t>Surin</t>
  </si>
  <si>
    <t>Khorat Airport</t>
  </si>
  <si>
    <t>Nakhon Ratchasima</t>
  </si>
  <si>
    <t>Rob Muang Airport</t>
  </si>
  <si>
    <t>Roi Et</t>
  </si>
  <si>
    <t>Gia Lam Air Base</t>
  </si>
  <si>
    <t>Vietnam</t>
  </si>
  <si>
    <t>Hanoi</t>
  </si>
  <si>
    <t>Kep Air Base</t>
  </si>
  <si>
    <t>Kep</t>
  </si>
  <si>
    <t>Ann Airport</t>
  </si>
  <si>
    <t>Burma</t>
  </si>
  <si>
    <t>Ann</t>
  </si>
  <si>
    <t>Anisakan Airport</t>
  </si>
  <si>
    <t>Anisakan</t>
  </si>
  <si>
    <t>Coco Island Airport</t>
  </si>
  <si>
    <t>Coco Island</t>
  </si>
  <si>
    <t>Hommalinn Airport</t>
  </si>
  <si>
    <t>Hommalin</t>
  </si>
  <si>
    <t>Lanywa Airport</t>
  </si>
  <si>
    <t>Lanywa</t>
  </si>
  <si>
    <t>Momeik Airport</t>
  </si>
  <si>
    <t>Momeik</t>
  </si>
  <si>
    <t>Nampong Air Base</t>
  </si>
  <si>
    <t>Nampong</t>
  </si>
  <si>
    <t>Namsang Airport</t>
  </si>
  <si>
    <t>Namsang</t>
  </si>
  <si>
    <t>Hpa-N Airport</t>
  </si>
  <si>
    <t>Hpa-an</t>
  </si>
  <si>
    <t>Pyay Airport</t>
  </si>
  <si>
    <t>Pyay</t>
  </si>
  <si>
    <t>Shante Air Base</t>
  </si>
  <si>
    <t>Shante</t>
  </si>
  <si>
    <t>Taungoo Airport</t>
  </si>
  <si>
    <t>Taungoo</t>
  </si>
  <si>
    <t>Aek Godang Airport</t>
  </si>
  <si>
    <t>Padang Sidempuan</t>
  </si>
  <si>
    <t>Minangkabau Airport</t>
  </si>
  <si>
    <t>Padang</t>
  </si>
  <si>
    <t>Dr Ferdinand Lumban Tobing Airport</t>
  </si>
  <si>
    <t>Sibolga</t>
  </si>
  <si>
    <t>Nanga Pinoh Airport</t>
  </si>
  <si>
    <t>Nangapinoh</t>
  </si>
  <si>
    <t>Lhok Sukon Airport</t>
  </si>
  <si>
    <t>Lhok Sukon</t>
  </si>
  <si>
    <t>Kluang Airport</t>
  </si>
  <si>
    <t>Kluang</t>
  </si>
  <si>
    <t>Butterworth Airport</t>
  </si>
  <si>
    <t>Butterworth</t>
  </si>
  <si>
    <t>Simpang Airport</t>
  </si>
  <si>
    <t>Simpang</t>
  </si>
  <si>
    <t>Suai Airport</t>
  </si>
  <si>
    <t>East Timor</t>
  </si>
  <si>
    <t>Suai</t>
  </si>
  <si>
    <t>Cakung Airport</t>
  </si>
  <si>
    <t>Baucau</t>
  </si>
  <si>
    <t>Sembawang Air Base</t>
  </si>
  <si>
    <t>Sembawang</t>
  </si>
  <si>
    <t>Tengah Air Base</t>
  </si>
  <si>
    <t>Tengah</t>
  </si>
  <si>
    <t>Brisbane Archerfield Airport</t>
  </si>
  <si>
    <t>Australia</t>
  </si>
  <si>
    <t>Brisbane</t>
  </si>
  <si>
    <t>RAAF Base East Sale</t>
  </si>
  <si>
    <t>East Sale</t>
  </si>
  <si>
    <t>RAAF Williams, Point Cook Base</t>
  </si>
  <si>
    <t>Point Cook</t>
  </si>
  <si>
    <t>RAAF Base Edinburgh</t>
  </si>
  <si>
    <t>Edinburgh</t>
  </si>
  <si>
    <t>Adelaide Parafield Airport</t>
  </si>
  <si>
    <t>Adelaide</t>
  </si>
  <si>
    <t>RAAF Base Richmond</t>
  </si>
  <si>
    <t>Richmond</t>
  </si>
  <si>
    <t>Robinson Army Air Field</t>
  </si>
  <si>
    <t>Robinson</t>
  </si>
  <si>
    <t>Hurlburt Field</t>
  </si>
  <si>
    <t>Mary Esther</t>
  </si>
  <si>
    <t>Tonopah Test Range Airport</t>
  </si>
  <si>
    <t>Tonopah</t>
  </si>
  <si>
    <t>San Nicolas Island Nolf Airport</t>
  </si>
  <si>
    <t>San Nicolas Island</t>
  </si>
  <si>
    <t>Scappoose Industrial Airpark</t>
  </si>
  <si>
    <t>Wright Aaf (Fort Stewart)/Midcoast Regional Airport</t>
  </si>
  <si>
    <t>Wright</t>
  </si>
  <si>
    <t>Cherry Point MCAS /Cunningham Field/</t>
  </si>
  <si>
    <t>Cherry Point</t>
  </si>
  <si>
    <t>New River MCAS /H/ /Mccutcheon Fld/ Airport</t>
  </si>
  <si>
    <t>Jacksonville</t>
  </si>
  <si>
    <t>Chandler Municipal Airport</t>
  </si>
  <si>
    <t>Chandler</t>
  </si>
  <si>
    <t>Andi Jemma Airport</t>
  </si>
  <si>
    <t>Masamba</t>
  </si>
  <si>
    <t>Soroako Airport</t>
  </si>
  <si>
    <t>Soroako</t>
  </si>
  <si>
    <t>Cibeureum Airport</t>
  </si>
  <si>
    <t>Tasikmalaya</t>
  </si>
  <si>
    <t>Iswahyudi Airport</t>
  </si>
  <si>
    <t>Madiun</t>
  </si>
  <si>
    <t>Budiarto Airport</t>
  </si>
  <si>
    <t>Tangerang</t>
  </si>
  <si>
    <t>Batu Licin Airport</t>
  </si>
  <si>
    <t>Batu Licin</t>
  </si>
  <si>
    <t>Tanjung Santan Airport</t>
  </si>
  <si>
    <t>Tanjung Santan</t>
  </si>
  <si>
    <t>S. Darius and S. Girėnas Airport</t>
  </si>
  <si>
    <t>Lithuania</t>
  </si>
  <si>
    <t>Kaunas</t>
  </si>
  <si>
    <t>Erebuni Airport</t>
  </si>
  <si>
    <t>Armenia</t>
  </si>
  <si>
    <t>Yerevan</t>
  </si>
  <si>
    <t>Stepanavan Airport</t>
  </si>
  <si>
    <t>Stepanavan</t>
  </si>
  <si>
    <t>Al Badie Airport</t>
  </si>
  <si>
    <t>Yemen</t>
  </si>
  <si>
    <t>Al Badie</t>
  </si>
  <si>
    <t>Samsø Airport</t>
  </si>
  <si>
    <t>Samsoe</t>
  </si>
  <si>
    <t>Coal Harbour Seaplane Base</t>
  </si>
  <si>
    <t>Vancouver</t>
  </si>
  <si>
    <t>Al Asad Air Base</t>
  </si>
  <si>
    <t>Al Asad</t>
  </si>
  <si>
    <t>Al Taqaddum Air Base</t>
  </si>
  <si>
    <t>Al Taqaddum</t>
  </si>
  <si>
    <t>Joint Base Balad</t>
  </si>
  <si>
    <t>Al Bakr</t>
  </si>
  <si>
    <t>Iguatu Airport</t>
  </si>
  <si>
    <t>Iguatu</t>
  </si>
  <si>
    <t>Enghien Moisselles Airport</t>
  </si>
  <si>
    <t>Enghien-moisselles</t>
  </si>
  <si>
    <t>Bakki Airport</t>
  </si>
  <si>
    <t>Iceland</t>
  </si>
  <si>
    <t>Bakki</t>
  </si>
  <si>
    <t>Novosibirsk North Airport</t>
  </si>
  <si>
    <t>Russia</t>
  </si>
  <si>
    <t>Novosibirsk</t>
  </si>
  <si>
    <t>Shun Tak Heliport</t>
  </si>
  <si>
    <t>Lac Du Bonnet Airport</t>
  </si>
  <si>
    <t>Lac Du Bonnet</t>
  </si>
  <si>
    <t>Weston Airport</t>
  </si>
  <si>
    <t>Leixlip</t>
  </si>
  <si>
    <t>Ambanja Airport</t>
  </si>
  <si>
    <t>Ambanja</t>
  </si>
  <si>
    <t>Playa Samara Airport</t>
  </si>
  <si>
    <t>Playa Samara</t>
  </si>
  <si>
    <t>Cayo Coco Airport</t>
  </si>
  <si>
    <t>Cayo Coco</t>
  </si>
  <si>
    <t>Rajah Buayan Air Base</t>
  </si>
  <si>
    <t>General Santos City</t>
  </si>
  <si>
    <t>Szczecin-Dąbie Airport</t>
  </si>
  <si>
    <t>Szczecin</t>
  </si>
  <si>
    <t>Lanzhou City Airport</t>
  </si>
  <si>
    <t>Lanzhou</t>
  </si>
  <si>
    <t>Tannheim Airport</t>
  </si>
  <si>
    <t>Tannheim</t>
  </si>
  <si>
    <t>Berkley Structures Heliport</t>
  </si>
  <si>
    <t>Pagerungan</t>
  </si>
  <si>
    <t>Anduki Airport</t>
  </si>
  <si>
    <t>Brunei</t>
  </si>
  <si>
    <t>Seria</t>
  </si>
  <si>
    <t>La Côte Airport</t>
  </si>
  <si>
    <t>Prangins</t>
  </si>
  <si>
    <t>Concord Regional Airport</t>
  </si>
  <si>
    <t>Concord</t>
  </si>
  <si>
    <t>Isle of Wight / Sandown Airport</t>
  </si>
  <si>
    <t>Isle Of Wight</t>
  </si>
  <si>
    <t>Andernos Les Bains Airport</t>
  </si>
  <si>
    <t>Andernos-Les-Bains</t>
  </si>
  <si>
    <t>Bienenfarm Airport</t>
  </si>
  <si>
    <t>Nauen</t>
  </si>
  <si>
    <t>Yverdon-les-Bains Airport</t>
  </si>
  <si>
    <t>Yverdon-Les-Bains</t>
  </si>
  <si>
    <t>Bielsko Biala Airport</t>
  </si>
  <si>
    <t>Bielsko-Biala</t>
  </si>
  <si>
    <t>Tekapo Aerodrome</t>
  </si>
  <si>
    <t>Lake Tekapo</t>
  </si>
  <si>
    <t>Niederoeblarn Airport</t>
  </si>
  <si>
    <t>Niederoeblarn</t>
  </si>
  <si>
    <t>Vöslau Airport</t>
  </si>
  <si>
    <t>Bad Voeslau</t>
  </si>
  <si>
    <t>Uetersen/Heist Airport</t>
  </si>
  <si>
    <t>Uetersen</t>
  </si>
  <si>
    <t>Tocache Airport</t>
  </si>
  <si>
    <t>Tocache</t>
  </si>
  <si>
    <t>Weser-Wümme Airport</t>
  </si>
  <si>
    <t>Hellwege</t>
  </si>
  <si>
    <t>Krems Airport</t>
  </si>
  <si>
    <t>Krems</t>
  </si>
  <si>
    <t>Raron Airport</t>
  </si>
  <si>
    <t>Raron</t>
  </si>
  <si>
    <t>Borovaya Airfield</t>
  </si>
  <si>
    <t>Belarus</t>
  </si>
  <si>
    <t>Minsk</t>
  </si>
  <si>
    <t>Amlikon Glider Airport</t>
  </si>
  <si>
    <t>Amlikon</t>
  </si>
  <si>
    <t>Lommis Airfield</t>
  </si>
  <si>
    <t>Lommis</t>
  </si>
  <si>
    <t>Flugplatz Finsterwalde/Heinrichsruh</t>
  </si>
  <si>
    <t>Finsterwalde</t>
  </si>
  <si>
    <t>Marquette Airport</t>
  </si>
  <si>
    <t>Marquette</t>
  </si>
  <si>
    <t>Dinslaken/Schwarze Heide Airport</t>
  </si>
  <si>
    <t>Dinslaken</t>
  </si>
  <si>
    <t>Höxter-Holzminden Airport</t>
  </si>
  <si>
    <t>Hoexter Holzminden</t>
  </si>
  <si>
    <t>Niijima Airport</t>
  </si>
  <si>
    <t>Niijima</t>
  </si>
  <si>
    <t>Kalundborg Airport</t>
  </si>
  <si>
    <t>Kalundborg</t>
  </si>
  <si>
    <t>Bungle Bungle Airport</t>
  </si>
  <si>
    <t>Bungle Bungle</t>
  </si>
  <si>
    <t>Spray View Airport</t>
  </si>
  <si>
    <t>Spray View</t>
  </si>
  <si>
    <t>Brown County Airport</t>
  </si>
  <si>
    <t>Georgetown</t>
  </si>
  <si>
    <t>Zell Am See Airport</t>
  </si>
  <si>
    <t>Zell am See</t>
  </si>
  <si>
    <t>RAAF Base Amberley</t>
  </si>
  <si>
    <t>Amberley</t>
  </si>
  <si>
    <t>RAAF Williams, Laverton Base</t>
  </si>
  <si>
    <t>Laverton</t>
  </si>
  <si>
    <t>Harle Airport</t>
  </si>
  <si>
    <t>Harlesiel</t>
  </si>
  <si>
    <t>RAAF Base Pearce</t>
  </si>
  <si>
    <t>Perth</t>
  </si>
  <si>
    <t>Bendigo Airport</t>
  </si>
  <si>
    <t>Bendigo</t>
  </si>
  <si>
    <t>Kirensk Airport</t>
  </si>
  <si>
    <t>Kirensk</t>
  </si>
  <si>
    <t>Triengen Airport</t>
  </si>
  <si>
    <t>Triengen</t>
  </si>
  <si>
    <t>Speck-Fehraltorf Airport</t>
  </si>
  <si>
    <t>Fehraltorf</t>
  </si>
  <si>
    <t>Taganrog Yuzhny Airport</t>
  </si>
  <si>
    <t>Taganrog</t>
  </si>
  <si>
    <t>Zhukovsky International Airport</t>
  </si>
  <si>
    <t>Ramenskoe</t>
  </si>
  <si>
    <t>Khabarovsk Airport</t>
  </si>
  <si>
    <t>Khabarovsk</t>
  </si>
  <si>
    <t>Dzemgi Airport</t>
  </si>
  <si>
    <t>Komsomolsk-on-Amur</t>
  </si>
  <si>
    <t>Belaya Air Base</t>
  </si>
  <si>
    <t>Sredniiy</t>
  </si>
  <si>
    <t>Tuzla International Airport</t>
  </si>
  <si>
    <t>Bosnia and Herzegovina</t>
  </si>
  <si>
    <t>Null</t>
  </si>
  <si>
    <t>NAS Fort Worth JRB/Carswell Field</t>
  </si>
  <si>
    <t>Dallas</t>
  </si>
  <si>
    <t>Kyaukhtu South Airport</t>
  </si>
  <si>
    <t>Kyauktu</t>
  </si>
  <si>
    <t>Bokpyinn Airport</t>
  </si>
  <si>
    <t>Bokepyin</t>
  </si>
  <si>
    <t>Volkel Air Base</t>
  </si>
  <si>
    <t>Volkel</t>
  </si>
  <si>
    <t>Biel-Kappelen Airport</t>
  </si>
  <si>
    <t>Biel</t>
  </si>
  <si>
    <t>Deland Municipal Sidney H Taylor Field</t>
  </si>
  <si>
    <t>DeLand</t>
  </si>
  <si>
    <t>Haller Airpark</t>
  </si>
  <si>
    <t>Green Cove Springs</t>
  </si>
  <si>
    <t>Palmar Airport</t>
  </si>
  <si>
    <t>Birrfeld Airport</t>
  </si>
  <si>
    <t>Birrfeld</t>
  </si>
  <si>
    <t>Bagram Air Base</t>
  </si>
  <si>
    <t>Kabul</t>
  </si>
  <si>
    <t>Prince Sultan Air Base</t>
  </si>
  <si>
    <t>Al Kharj</t>
  </si>
  <si>
    <t>Pápa Air Base</t>
  </si>
  <si>
    <t>Papa</t>
  </si>
  <si>
    <t>Phoenix Goodyear Airport</t>
  </si>
  <si>
    <t>Goodyear</t>
  </si>
  <si>
    <t>Ballera Airport</t>
  </si>
  <si>
    <t>Ballera</t>
  </si>
  <si>
    <t>Gatton Campus Airport</t>
  </si>
  <si>
    <t>Gatton</t>
  </si>
  <si>
    <t>Nabern/Teck Airport</t>
  </si>
  <si>
    <t>Kirchheim-Teck</t>
  </si>
  <si>
    <t>Natuashish Airport</t>
  </si>
  <si>
    <t>Natuashish</t>
  </si>
  <si>
    <t>Langley Airport</t>
  </si>
  <si>
    <t>Langley Township</t>
  </si>
  <si>
    <t>Camaguey-Campo Cuatro Milpas Airport</t>
  </si>
  <si>
    <t>Guasave</t>
  </si>
  <si>
    <t>Cabo San Lucas International Airport</t>
  </si>
  <si>
    <t>Cabo San Lucas</t>
  </si>
  <si>
    <t>Afobakka Airstrip</t>
  </si>
  <si>
    <t>Suriname</t>
  </si>
  <si>
    <t>Afobaka</t>
  </si>
  <si>
    <t>Alalapadu Airstrip</t>
  </si>
  <si>
    <t>Alapadu</t>
  </si>
  <si>
    <t>Kabalebo Airport</t>
  </si>
  <si>
    <t>Kabalebo</t>
  </si>
  <si>
    <t>Kayser Airport</t>
  </si>
  <si>
    <t>Kayser</t>
  </si>
  <si>
    <t>Kwamalasoemoetoe Airport Airport</t>
  </si>
  <si>
    <t>Kwamelasemoetoe</t>
  </si>
  <si>
    <t>Moengo Airstrip</t>
  </si>
  <si>
    <t>Moengo</t>
  </si>
  <si>
    <t>Sipaliwini Airport</t>
  </si>
  <si>
    <t>Sipaliwini</t>
  </si>
  <si>
    <t>Apoteri Airport</t>
  </si>
  <si>
    <t>Apoteri</t>
  </si>
  <si>
    <t>Batagay Airport</t>
  </si>
  <si>
    <t>Batagay</t>
  </si>
  <si>
    <t>Meru Mulika Airport</t>
  </si>
  <si>
    <t>Meru National Park</t>
  </si>
  <si>
    <t>Yei Airport</t>
  </si>
  <si>
    <t>Yei</t>
  </si>
  <si>
    <t>Ecuvillens Airport</t>
  </si>
  <si>
    <t>Ecuvillens</t>
  </si>
  <si>
    <t>Inhaca Airport</t>
  </si>
  <si>
    <t>Inhaca</t>
  </si>
  <si>
    <t>Kidepo Airport</t>
  </si>
  <si>
    <t>Uganda</t>
  </si>
  <si>
    <t>Kidepo</t>
  </si>
  <si>
    <t>Kitgum Airport</t>
  </si>
  <si>
    <t>Kitgum</t>
  </si>
  <si>
    <t>Svea Airport</t>
  </si>
  <si>
    <t>Svalbard</t>
  </si>
  <si>
    <t>Sveagruva</t>
  </si>
  <si>
    <t>Ny-Ålesund Airport (Hamnerabben)</t>
  </si>
  <si>
    <t>Ny-Alesund</t>
  </si>
  <si>
    <t>Kihnu Airfield</t>
  </si>
  <si>
    <t>Kihnu</t>
  </si>
  <si>
    <t>Ruhnu Airfield</t>
  </si>
  <si>
    <t>Ruhnu</t>
  </si>
  <si>
    <t>Ouessant Airport</t>
  </si>
  <si>
    <t>Ouessant</t>
  </si>
  <si>
    <t>Selfoss Airport</t>
  </si>
  <si>
    <t>Selfoss</t>
  </si>
  <si>
    <t>Qurghonteppa International Airport</t>
  </si>
  <si>
    <t>Tajikistan</t>
  </si>
  <si>
    <t>Kurgan Tyube</t>
  </si>
  <si>
    <t>Severo-Evensk Airport</t>
  </si>
  <si>
    <t>Evensk</t>
  </si>
  <si>
    <t>Olenyok Airport</t>
  </si>
  <si>
    <t>Olenyok</t>
  </si>
  <si>
    <t>Saskylakh Airport</t>
  </si>
  <si>
    <t>Saskylakh</t>
  </si>
  <si>
    <t>Nizhneangarsk Airport</t>
  </si>
  <si>
    <t>Nizhneangarsk</t>
  </si>
  <si>
    <t>Vanavara Airport</t>
  </si>
  <si>
    <t>Vanavara</t>
  </si>
  <si>
    <t>Aykhal Airport</t>
  </si>
  <si>
    <t>Aykhal</t>
  </si>
  <si>
    <t>Uktus Airport</t>
  </si>
  <si>
    <t>Yekaterinburg</t>
  </si>
  <si>
    <t>Baykit Airport</t>
  </si>
  <si>
    <t>Baykit</t>
  </si>
  <si>
    <t>Biysk Airport</t>
  </si>
  <si>
    <t>Biysk</t>
  </si>
  <si>
    <t>Cecil Airport</t>
  </si>
  <si>
    <t>Stepanakert Air Base</t>
  </si>
  <si>
    <t>Azerbaijan</t>
  </si>
  <si>
    <t>Stepanakert</t>
  </si>
  <si>
    <t>Assumption Island Airport</t>
  </si>
  <si>
    <t>Assumption Island</t>
  </si>
  <si>
    <t>Maturacá Airport</t>
  </si>
  <si>
    <t>Maturaca</t>
  </si>
  <si>
    <t>Centro de Lançamento de Alcântara Airport</t>
  </si>
  <si>
    <t>Alcantara</t>
  </si>
  <si>
    <t>Würzburg-Schenkenturm Airport</t>
  </si>
  <si>
    <t>Wuerzburg</t>
  </si>
  <si>
    <t>São Jacinto Airport</t>
  </si>
  <si>
    <t>Aveiro</t>
  </si>
  <si>
    <t>Hopsten Air Base</t>
  </si>
  <si>
    <t>Hopsten</t>
  </si>
  <si>
    <t>Donoi Airport</t>
  </si>
  <si>
    <t>Mongolia</t>
  </si>
  <si>
    <t>Uliastai</t>
  </si>
  <si>
    <t>Wilkins Runway</t>
  </si>
  <si>
    <t>Budd Coast</t>
  </si>
  <si>
    <t>Dyagilevo Air Base</t>
  </si>
  <si>
    <t>Kostroma</t>
  </si>
  <si>
    <t>Wangen-Lachen Airport</t>
  </si>
  <si>
    <t>Wangen-Lachen</t>
  </si>
  <si>
    <t>Courtelary Airport</t>
  </si>
  <si>
    <t>Courtelary</t>
  </si>
  <si>
    <t>Camp Okavango Airport</t>
  </si>
  <si>
    <t>Botswana</t>
  </si>
  <si>
    <t>Okavango Delta</t>
  </si>
  <si>
    <t>Whittier Airport</t>
  </si>
  <si>
    <t>Whittier</t>
  </si>
  <si>
    <t>San Clemente Island Naval Auxiliary Landing Field</t>
  </si>
  <si>
    <t>San Clemente Island</t>
  </si>
  <si>
    <t>Mezen Airport</t>
  </si>
  <si>
    <t>Mezen</t>
  </si>
  <si>
    <t>Vaskovo Airport</t>
  </si>
  <si>
    <t>Arkhangelsk</t>
  </si>
  <si>
    <t>Brumowski Air Base</t>
  </si>
  <si>
    <t>Tulln</t>
  </si>
  <si>
    <t>London Heliport</t>
  </si>
  <si>
    <t>London</t>
  </si>
  <si>
    <t>Venice-Lido Airport</t>
  </si>
  <si>
    <t>Venice</t>
  </si>
  <si>
    <t>Tallinn Linnahall Heliport</t>
  </si>
  <si>
    <t>Tallinn</t>
  </si>
  <si>
    <t>Linkenheim Airport</t>
  </si>
  <si>
    <t>Linkenheim</t>
  </si>
  <si>
    <t>Monument Valley Airport</t>
  </si>
  <si>
    <t>Monument Valley</t>
  </si>
  <si>
    <t>Hilversum Airport</t>
  </si>
  <si>
    <t>Hilversum</t>
  </si>
  <si>
    <t>Texel Airport</t>
  </si>
  <si>
    <t>Texel</t>
  </si>
  <si>
    <t>La Cerdanya Airport</t>
  </si>
  <si>
    <t>Das i Fontanals de Cerdanya</t>
  </si>
  <si>
    <t>Stary Oskol Airport</t>
  </si>
  <si>
    <t>Stary Oskol</t>
  </si>
  <si>
    <t>Cheremshanka Airport</t>
  </si>
  <si>
    <t>Krasnoyarsk</t>
  </si>
  <si>
    <t>White Waltham Airfield</t>
  </si>
  <si>
    <t>Maidenhead</t>
  </si>
  <si>
    <t>Burlington Executive</t>
  </si>
  <si>
    <t>Burlington</t>
  </si>
  <si>
    <t>Wycombe Air Park</t>
  </si>
  <si>
    <t>Wycombe</t>
  </si>
  <si>
    <t>Waterville / Kings County Municipal Airport</t>
  </si>
  <si>
    <t>Waterville</t>
  </si>
  <si>
    <t>Westkapelle heliport</t>
  </si>
  <si>
    <t>Knokke</t>
  </si>
  <si>
    <t>Redcliffe Airport</t>
  </si>
  <si>
    <t>Rothwell</t>
  </si>
  <si>
    <t>Malbork Military Air Base</t>
  </si>
  <si>
    <t>Malbork</t>
  </si>
  <si>
    <t>Lask Military Air Base</t>
  </si>
  <si>
    <t>Lask</t>
  </si>
  <si>
    <t>Miroslawiec Military Air Base</t>
  </si>
  <si>
    <t>Miroslawiec</t>
  </si>
  <si>
    <t>Krzesiny Military Air Base</t>
  </si>
  <si>
    <t>Poznan</t>
  </si>
  <si>
    <t>Viña del mar Airport</t>
  </si>
  <si>
    <t>Vina del Mar</t>
  </si>
  <si>
    <t>Brampton Airport</t>
  </si>
  <si>
    <t>Brampton</t>
  </si>
  <si>
    <t>Batken Airport</t>
  </si>
  <si>
    <t>Kyrgyzstan</t>
  </si>
  <si>
    <t>Batken</t>
  </si>
  <si>
    <t>Hoogeveen Airport</t>
  </si>
  <si>
    <t>Hoogeveen</t>
  </si>
  <si>
    <t>Teuge Airport</t>
  </si>
  <si>
    <t>Deventer</t>
  </si>
  <si>
    <t>Midden-Zeeland Airport</t>
  </si>
  <si>
    <t>Ameland Airport</t>
  </si>
  <si>
    <t>Ameland</t>
  </si>
  <si>
    <t>Saint-Cyr-l'École Airport</t>
  </si>
  <si>
    <t>Saint-Cyr</t>
  </si>
  <si>
    <t>Mantsonyane Airport</t>
  </si>
  <si>
    <t>Mantsonyane</t>
  </si>
  <si>
    <t>Roitzschjora Airport</t>
  </si>
  <si>
    <t>Roitzschjora</t>
  </si>
  <si>
    <t>Burlington Alamance Regional Airport</t>
  </si>
  <si>
    <t>De Peel Air Base</t>
  </si>
  <si>
    <t>Deurne</t>
  </si>
  <si>
    <t>Camp Bastion Airport</t>
  </si>
  <si>
    <t>Camp Bastion</t>
  </si>
  <si>
    <t>Ringebu Airfield Frya</t>
  </si>
  <si>
    <t>Frya</t>
  </si>
  <si>
    <t>Phillip Island Airport</t>
  </si>
  <si>
    <t>Phillip Island</t>
  </si>
  <si>
    <t>Strasbourg Neuhof Airport</t>
  </si>
  <si>
    <t>Strasbourg Neudorf</t>
  </si>
  <si>
    <t>Nannhausen Airport</t>
  </si>
  <si>
    <t>Nannhausen</t>
  </si>
  <si>
    <t>Marl-Loemühle Airport</t>
  </si>
  <si>
    <t>Recklinghausen</t>
  </si>
  <si>
    <t>Färila Air Base</t>
  </si>
  <si>
    <t>Farila</t>
  </si>
  <si>
    <t>Monywar Airport</t>
  </si>
  <si>
    <t>Monywa</t>
  </si>
  <si>
    <t>Ohio University Snyder Field</t>
  </si>
  <si>
    <t>Athens</t>
  </si>
  <si>
    <t>Fes Sefrou Airport</t>
  </si>
  <si>
    <t>Fes</t>
  </si>
  <si>
    <t>Regensburg-Oberhub Airport</t>
  </si>
  <si>
    <t>Regensburg</t>
  </si>
  <si>
    <t>Benson Airstrip</t>
  </si>
  <si>
    <t>Uvalde</t>
  </si>
  <si>
    <t>Rough River State Park Airport</t>
  </si>
  <si>
    <t>Smyrna Airport</t>
  </si>
  <si>
    <t>Smyrna</t>
  </si>
  <si>
    <t>Franklin County Airport</t>
  </si>
  <si>
    <t>Sewanee</t>
  </si>
  <si>
    <t>Benešov Airport</t>
  </si>
  <si>
    <t>Benesov</t>
  </si>
  <si>
    <t>Bougouni Airport</t>
  </si>
  <si>
    <t>Bougouni</t>
  </si>
  <si>
    <t>McMurdo Station Ice Runway</t>
  </si>
  <si>
    <t>Ross Island</t>
  </si>
  <si>
    <t>Keekorok Airport</t>
  </si>
  <si>
    <t>Keekorok</t>
  </si>
  <si>
    <t>Mobile Airport</t>
  </si>
  <si>
    <t>Mobile</t>
  </si>
  <si>
    <t>Landshut Airport</t>
  </si>
  <si>
    <t>Landshut</t>
  </si>
  <si>
    <t>Itzehoe/Hungriger Wolf Airport</t>
  </si>
  <si>
    <t>Itzehoe</t>
  </si>
  <si>
    <t>Calgary / Springbank Airport</t>
  </si>
  <si>
    <t>Calgary</t>
  </si>
  <si>
    <t>Republic Airport</t>
  </si>
  <si>
    <t>Farmingdale</t>
  </si>
  <si>
    <t>Allstedt Airport</t>
  </si>
  <si>
    <t>Allstedt</t>
  </si>
  <si>
    <t>General Freire Airport</t>
  </si>
  <si>
    <t>Curico</t>
  </si>
  <si>
    <t>Peine-Eddesse Airport</t>
  </si>
  <si>
    <t>Peine</t>
  </si>
  <si>
    <t>Spremberg-Welzow Airport</t>
  </si>
  <si>
    <t>Welzow</t>
  </si>
  <si>
    <t>Isla San Felix Airport</t>
  </si>
  <si>
    <t>Isla San Felix</t>
  </si>
  <si>
    <t>Shaibah Airport</t>
  </si>
  <si>
    <t>Shaybah</t>
  </si>
  <si>
    <t>Rotenburg (Wümme) Airport</t>
  </si>
  <si>
    <t>Rotenburg Wuemme</t>
  </si>
  <si>
    <t>Wipperfürth-Neye Airport</t>
  </si>
  <si>
    <t>Wipperfuerth</t>
  </si>
  <si>
    <t>Osnabrück-Atterheide Airport</t>
  </si>
  <si>
    <t>Osnabrueck</t>
  </si>
  <si>
    <t>Flugplatz Ballenstedt</t>
  </si>
  <si>
    <t>Ballenstedt</t>
  </si>
  <si>
    <t>Hartenholm Airport</t>
  </si>
  <si>
    <t>Hasenmoor</t>
  </si>
  <si>
    <t>Ganderkesee Atlas Airfield Airport</t>
  </si>
  <si>
    <t>Ganderkesee</t>
  </si>
  <si>
    <t>Nienburg-Holzbalge Airport</t>
  </si>
  <si>
    <t>Nienburg Weser</t>
  </si>
  <si>
    <t>Damme Airport</t>
  </si>
  <si>
    <t>Damme</t>
  </si>
  <si>
    <t>Borkenberge Airport</t>
  </si>
  <si>
    <t>Duelmen</t>
  </si>
  <si>
    <t>Obermehler-Schlotheim Airport</t>
  </si>
  <si>
    <t>Obermehler</t>
  </si>
  <si>
    <t>Hodenhagen Airport</t>
  </si>
  <si>
    <t>Hodenhagen</t>
  </si>
  <si>
    <t>Grube Airport</t>
  </si>
  <si>
    <t>Grube</t>
  </si>
  <si>
    <t>Tønder Airport</t>
  </si>
  <si>
    <t>Toender</t>
  </si>
  <si>
    <t>Celle-Arloh Airport</t>
  </si>
  <si>
    <t>Celle</t>
  </si>
  <si>
    <t>Uelzen Airport</t>
  </si>
  <si>
    <t>Uelzen</t>
  </si>
  <si>
    <t>Hamm-Lippewiesen Airport</t>
  </si>
  <si>
    <t>Hamm</t>
  </si>
  <si>
    <t>Lüsse Airport</t>
  </si>
  <si>
    <t>Luesse</t>
  </si>
  <si>
    <t>Porta Westfalica Airport</t>
  </si>
  <si>
    <t>Bad Oeynhausen</t>
  </si>
  <si>
    <t>Brilon/Hochsauerlandkreis Airport</t>
  </si>
  <si>
    <t>Brilon</t>
  </si>
  <si>
    <t>Hameln-Pyrmont Airport</t>
  </si>
  <si>
    <t>Bad Pyrmont</t>
  </si>
  <si>
    <t>Nordholz-Spieka Airfield</t>
  </si>
  <si>
    <t>Cuxhaven</t>
  </si>
  <si>
    <t>Köthen Airport</t>
  </si>
  <si>
    <t>Koethen</t>
  </si>
  <si>
    <t>St. Michaelisdonn Airport</t>
  </si>
  <si>
    <t>Sankt Michaelisdonn</t>
  </si>
  <si>
    <t>Salzgitter-Drütte Airport</t>
  </si>
  <si>
    <t>Salzgitter</t>
  </si>
  <si>
    <t>Karlshöfen Airport</t>
  </si>
  <si>
    <t>Karlshoefen</t>
  </si>
  <si>
    <t>Oldenburg-Hatten Airport</t>
  </si>
  <si>
    <t>Oldenburg</t>
  </si>
  <si>
    <t>Rinteln Airport</t>
  </si>
  <si>
    <t>Rinteln</t>
  </si>
  <si>
    <t>Münster-Telgte Airport</t>
  </si>
  <si>
    <t>Muenster</t>
  </si>
  <si>
    <t>Lüchow-Rehbeck Airport</t>
  </si>
  <si>
    <t>Luechow</t>
  </si>
  <si>
    <t>Klietz/Scharlibbe Airport</t>
  </si>
  <si>
    <t>Scharlibbe</t>
  </si>
  <si>
    <t>Burg Airport</t>
  </si>
  <si>
    <t>Burg</t>
  </si>
  <si>
    <t>Bad Neuenahr-Ahrweiler Airport</t>
  </si>
  <si>
    <t>Bad Neuenahr</t>
  </si>
  <si>
    <t>Bad Dürkheim Airport</t>
  </si>
  <si>
    <t>Bad Duerkheim</t>
  </si>
  <si>
    <t>One Police Plaza Heliport</t>
  </si>
  <si>
    <t>New York</t>
  </si>
  <si>
    <t>Leverkusen Airport</t>
  </si>
  <si>
    <t>Leverkusen</t>
  </si>
  <si>
    <t>Wershofen/Eifel Airport</t>
  </si>
  <si>
    <t>Wershofen</t>
  </si>
  <si>
    <t>Namtu Airport</t>
  </si>
  <si>
    <t>Naypyidaw</t>
  </si>
  <si>
    <t>Bend Municipal Airport</t>
  </si>
  <si>
    <t>Bend</t>
  </si>
  <si>
    <t>Christmas Valley Airport</t>
  </si>
  <si>
    <t>Christmas Valley</t>
  </si>
  <si>
    <t>Burns Municipal Airport</t>
  </si>
  <si>
    <t>Burns</t>
  </si>
  <si>
    <t>Prineville Airport</t>
  </si>
  <si>
    <t>Prineville</t>
  </si>
  <si>
    <t>Red Bluff Municipal Airport</t>
  </si>
  <si>
    <t>Red Bluff</t>
  </si>
  <si>
    <t>Marin County Airport - Gnoss Field</t>
  </si>
  <si>
    <t>Novato</t>
  </si>
  <si>
    <t>Lake County Airport</t>
  </si>
  <si>
    <t>Lakeview</t>
  </si>
  <si>
    <t>Tillamook Airport</t>
  </si>
  <si>
    <t>Tillamook</t>
  </si>
  <si>
    <t>Ontario Municipal Airport</t>
  </si>
  <si>
    <t>Ontario</t>
  </si>
  <si>
    <t>Columbia Gorge Regional the Dalles Municipal Airport</t>
  </si>
  <si>
    <t>The Dalles</t>
  </si>
  <si>
    <t>Mykines Heliport</t>
  </si>
  <si>
    <t>Faroe Islands</t>
  </si>
  <si>
    <t>Mykines</t>
  </si>
  <si>
    <t>Seppe Airport</t>
  </si>
  <si>
    <t>Bosschenhoofd</t>
  </si>
  <si>
    <t>St Stephan Airport</t>
  </si>
  <si>
    <t>St.Stephan</t>
  </si>
  <si>
    <t>Como (Idroscalo - Water Ad) Hidroport</t>
  </si>
  <si>
    <t>Como</t>
  </si>
  <si>
    <t>La Romaine Airport</t>
  </si>
  <si>
    <t>La Romaine</t>
  </si>
  <si>
    <t>Victoria Airport</t>
  </si>
  <si>
    <t>Patricia Bay</t>
  </si>
  <si>
    <t>Grand-Santi Airport</t>
  </si>
  <si>
    <t>Grand-Santi</t>
  </si>
  <si>
    <t>Urucu Airport</t>
  </si>
  <si>
    <t>Porto Urucu</t>
  </si>
  <si>
    <t>Earl L. Small Jr. Field/Stockmar Airport</t>
  </si>
  <si>
    <t>Villa Rica</t>
  </si>
  <si>
    <t>Mallards Landing Airport</t>
  </si>
  <si>
    <t>Locust Grove</t>
  </si>
  <si>
    <t>Compton Abbas Aerodrome</t>
  </si>
  <si>
    <t>Shaftesbury</t>
  </si>
  <si>
    <t>Aweil Airport</t>
  </si>
  <si>
    <t>Aweil</t>
  </si>
  <si>
    <t>Zagora Airport</t>
  </si>
  <si>
    <t>Zagora</t>
  </si>
  <si>
    <t>Turukhansk Airport</t>
  </si>
  <si>
    <t>Turukhansk</t>
  </si>
  <si>
    <t>Podkamennaya Tunguska Airport</t>
  </si>
  <si>
    <t>Bor</t>
  </si>
  <si>
    <t>Kolpashevo Airport</t>
  </si>
  <si>
    <t>Kolpashevo</t>
  </si>
  <si>
    <t>Ali Al Salem Air Base</t>
  </si>
  <si>
    <t>Warburton Airport</t>
  </si>
  <si>
    <t>Warburton Community</t>
  </si>
  <si>
    <t>Cunderdin Airport</t>
  </si>
  <si>
    <t>Cunderdin</t>
  </si>
  <si>
    <t>Forrest Airport</t>
  </si>
  <si>
    <t>Forrest</t>
  </si>
  <si>
    <t>Ballarat Airport</t>
  </si>
  <si>
    <t>Ballarat</t>
  </si>
  <si>
    <t>Slate Falls Airport</t>
  </si>
  <si>
    <t>Slate Falls</t>
  </si>
  <si>
    <t>Collingwood Airport</t>
  </si>
  <si>
    <t>Collingwood</t>
  </si>
  <si>
    <t>Sky Ranch At Carefree Airport</t>
  </si>
  <si>
    <t>Carefree</t>
  </si>
  <si>
    <t>One Hundred Mile House Airport</t>
  </si>
  <si>
    <t>One Hundred Mile House</t>
  </si>
  <si>
    <t>Glasgow City Heliport</t>
  </si>
  <si>
    <t>Glasgow</t>
  </si>
  <si>
    <t>Yarram Airport</t>
  </si>
  <si>
    <t>Yarram</t>
  </si>
  <si>
    <t>Jeongseok Airport</t>
  </si>
  <si>
    <t>Seogwipo</t>
  </si>
  <si>
    <t>Matheson Island Airport</t>
  </si>
  <si>
    <t>Matheson Island</t>
  </si>
  <si>
    <t>Tura Mountain Airport</t>
  </si>
  <si>
    <t>Tura</t>
  </si>
  <si>
    <t>Gera-Leumnitz Airport</t>
  </si>
  <si>
    <t>Gera</t>
  </si>
  <si>
    <t>Kasimovo Airfield</t>
  </si>
  <si>
    <t>Saint-Petersburg</t>
  </si>
  <si>
    <t>Terlet Glider Field</t>
  </si>
  <si>
    <t>Arnhem</t>
  </si>
  <si>
    <t>Oerlinghausen Airport</t>
  </si>
  <si>
    <t>TELGTE</t>
  </si>
  <si>
    <t>General Villamil Airport</t>
  </si>
  <si>
    <t>Isabela</t>
  </si>
  <si>
    <t>Balzers Heliport</t>
  </si>
  <si>
    <t>Balzers</t>
  </si>
  <si>
    <t>Flugplatz Punitz</t>
  </si>
  <si>
    <t>Punitz-Guessing</t>
  </si>
  <si>
    <t>Yalata Mission Airport</t>
  </si>
  <si>
    <t>Yalata</t>
  </si>
  <si>
    <t>Sugar Loaf Shores Airport</t>
  </si>
  <si>
    <t>Key West</t>
  </si>
  <si>
    <t>Wyndham Airport</t>
  </si>
  <si>
    <t>Wyndham</t>
  </si>
  <si>
    <t>Price County Airport</t>
  </si>
  <si>
    <t>Phillips</t>
  </si>
  <si>
    <t>Monroe Municipal Airport</t>
  </si>
  <si>
    <t>Monroe</t>
  </si>
  <si>
    <t>Fuerstenwalde Airport</t>
  </si>
  <si>
    <t>Furstenwalde</t>
  </si>
  <si>
    <t>Eberswalde-Finow Airport</t>
  </si>
  <si>
    <t>Eberswalde</t>
  </si>
  <si>
    <t>Joseph A. Hardy Connellsville Airport</t>
  </si>
  <si>
    <t>Connellsville</t>
  </si>
  <si>
    <t>Bedford County Airport</t>
  </si>
  <si>
    <t>Bedford</t>
  </si>
  <si>
    <t>Zelienople Municipal Airport</t>
  </si>
  <si>
    <t>Zelienople</t>
  </si>
  <si>
    <t>Warsaw Municipal Airport</t>
  </si>
  <si>
    <t>Brooks Field</t>
  </si>
  <si>
    <t>Marshall</t>
  </si>
  <si>
    <t>Orlampa Inc Airport</t>
  </si>
  <si>
    <t>Forties Alpha</t>
  </si>
  <si>
    <t>Saarmund Airport</t>
  </si>
  <si>
    <t>Saarmund</t>
  </si>
  <si>
    <t>Pont Sur Yonne Airfield</t>
  </si>
  <si>
    <t>Pont Sur Yonne</t>
  </si>
  <si>
    <t>St Florentin Cheu Airfield</t>
  </si>
  <si>
    <t>St Florentin Cheu</t>
  </si>
  <si>
    <t>Saulieu Liernais Airfield</t>
  </si>
  <si>
    <t>Saulieu</t>
  </si>
  <si>
    <t>Olten Airport</t>
  </si>
  <si>
    <t>Olten</t>
  </si>
  <si>
    <t>Ambri Airport</t>
  </si>
  <si>
    <t>Quinto</t>
  </si>
  <si>
    <t>Lodrino Air Base</t>
  </si>
  <si>
    <t>Lodrino</t>
  </si>
  <si>
    <t>Roudnice Airport</t>
  </si>
  <si>
    <t>Roudnice nad Lebem</t>
  </si>
  <si>
    <t>Usti Nad Labem Airfield</t>
  </si>
  <si>
    <t>Usti Nad Labem</t>
  </si>
  <si>
    <t>Mauterndorf Airport</t>
  </si>
  <si>
    <t>Mauterndorf</t>
  </si>
  <si>
    <t>Nötsch Im Gailtal Airport</t>
  </si>
  <si>
    <t>Notsch Im Gailtal</t>
  </si>
  <si>
    <t>Karlsruhe-Forchheim Airport</t>
  </si>
  <si>
    <t>Karlsruhe</t>
  </si>
  <si>
    <t>Weinheim/Bergstraße Airport</t>
  </si>
  <si>
    <t>Weinheim</t>
  </si>
  <si>
    <t>Meaux Esbly Airport</t>
  </si>
  <si>
    <t>Meaux</t>
  </si>
  <si>
    <t>Château-Thierry - Belleau Airport</t>
  </si>
  <si>
    <t>Chateau-Thierry</t>
  </si>
  <si>
    <t>Taoyuan Air Base</t>
  </si>
  <si>
    <t>Taoyuan</t>
  </si>
  <si>
    <t>Inowroclaw Military Air Base</t>
  </si>
  <si>
    <t>Inowroclaw</t>
  </si>
  <si>
    <t>Pruszcz Gdanski Air Base</t>
  </si>
  <si>
    <t>Pruszcz Gdansk</t>
  </si>
  <si>
    <t>Bloyer Field</t>
  </si>
  <si>
    <t>Tomah</t>
  </si>
  <si>
    <t>Nagaur Airport</t>
  </si>
  <si>
    <t>Nagaur</t>
  </si>
  <si>
    <t>Ostafyevo International Airport</t>
  </si>
  <si>
    <t>Moscow</t>
  </si>
  <si>
    <t>Somerset Airport</t>
  </si>
  <si>
    <t>Somerville</t>
  </si>
  <si>
    <t>Caernarfon Airport</t>
  </si>
  <si>
    <t>Caernarfon</t>
  </si>
  <si>
    <t>Grefrath-Niershorst Airport</t>
  </si>
  <si>
    <t>Grefrath</t>
  </si>
  <si>
    <t>Newcastle Aerodrome</t>
  </si>
  <si>
    <t>Newcastle</t>
  </si>
  <si>
    <t>Segeletz Airport</t>
  </si>
  <si>
    <t>Segeletz</t>
  </si>
  <si>
    <t>Fuentemilanos Airport</t>
  </si>
  <si>
    <t>Segovia</t>
  </si>
  <si>
    <t>Akeno Airport</t>
  </si>
  <si>
    <t>Akeno</t>
  </si>
  <si>
    <t>Ust-Kamchatsk Airport</t>
  </si>
  <si>
    <t>Ust Kamchatsk</t>
  </si>
  <si>
    <t>Oconomowoc Airport</t>
  </si>
  <si>
    <t>Oconomowoc</t>
  </si>
  <si>
    <t>Kozyrevsk Airport</t>
  </si>
  <si>
    <t>Kozyrevsk</t>
  </si>
  <si>
    <t>Beverley Airport</t>
  </si>
  <si>
    <t>Mine Site</t>
  </si>
  <si>
    <t>Aliwal North Airport</t>
  </si>
  <si>
    <t>Aliwal North</t>
  </si>
  <si>
    <t>Alkantpan Copper Airport</t>
  </si>
  <si>
    <t>Alkantpan</t>
  </si>
  <si>
    <t>Barberton Airport</t>
  </si>
  <si>
    <t>Barberton</t>
  </si>
  <si>
    <t>Butler Co Regional Airport - Hogan Field</t>
  </si>
  <si>
    <t>Hamilton</t>
  </si>
  <si>
    <t>Bungoma Airport</t>
  </si>
  <si>
    <t>Bungoma</t>
  </si>
  <si>
    <t>Bura East Airport</t>
  </si>
  <si>
    <t>Bura</t>
  </si>
  <si>
    <t>Busia Airport</t>
  </si>
  <si>
    <t>Busia</t>
  </si>
  <si>
    <t>Embu Airport</t>
  </si>
  <si>
    <t>Embu</t>
  </si>
  <si>
    <t>Garba Tula Airport</t>
  </si>
  <si>
    <t>Garba Tula</t>
  </si>
  <si>
    <t>Homa Bay Airport</t>
  </si>
  <si>
    <t>Homa Bay</t>
  </si>
  <si>
    <t>Isiolo Airport</t>
  </si>
  <si>
    <t>Isiolo</t>
  </si>
  <si>
    <t>Ust-Tsylma Airport</t>
  </si>
  <si>
    <t>Ust-Tsylma</t>
  </si>
  <si>
    <t>Mys Shmidta Airport</t>
  </si>
  <si>
    <t>Mys Shmidta</t>
  </si>
  <si>
    <t>Moma Airport</t>
  </si>
  <si>
    <t>Honuu</t>
  </si>
  <si>
    <t>Góraszka Airport</t>
  </si>
  <si>
    <t>Goraszka</t>
  </si>
  <si>
    <t>Nusawiru Airport</t>
  </si>
  <si>
    <t>Nusawiru</t>
  </si>
  <si>
    <t>Magan Airport</t>
  </si>
  <si>
    <t>Yakutsk</t>
  </si>
  <si>
    <t>Tom B. David Field</t>
  </si>
  <si>
    <t>Calhoun</t>
  </si>
  <si>
    <t>Habersham County Airport</t>
  </si>
  <si>
    <t>Cornelia</t>
  </si>
  <si>
    <t>Old Rhinebeck Airport</t>
  </si>
  <si>
    <t>Rhinebeck</t>
  </si>
  <si>
    <t>Mount Garnet Airport</t>
  </si>
  <si>
    <t>Mount Garnet</t>
  </si>
  <si>
    <t>Kalaeloa Airport</t>
  </si>
  <si>
    <t>Kapolei</t>
  </si>
  <si>
    <t>Madison County Executive Airport-Tom Sharp Jr Field</t>
  </si>
  <si>
    <t>Huntsville</t>
  </si>
  <si>
    <t>Anoka County-Blaine Arpt(Janes Field) Airport</t>
  </si>
  <si>
    <t>Anoka</t>
  </si>
  <si>
    <t>Robinson Crusoe Airport</t>
  </si>
  <si>
    <t>San Juan Bautista</t>
  </si>
  <si>
    <t>Fairoaks Airport</t>
  </si>
  <si>
    <t>Fairoaks</t>
  </si>
  <si>
    <t>Neustadt-Glewe Airport</t>
  </si>
  <si>
    <t>Neustadt-Glewe</t>
  </si>
  <si>
    <t>Goetsenhoven Air Base</t>
  </si>
  <si>
    <t>GOETSENHOVEN</t>
  </si>
  <si>
    <t>Tutow Airport</t>
  </si>
  <si>
    <t>Wildenrath</t>
  </si>
  <si>
    <t>Bremgarten Airport</t>
  </si>
  <si>
    <t>Bremgarten</t>
  </si>
  <si>
    <t>Ust-Nera Airport</t>
  </si>
  <si>
    <t>Ust-Nera</t>
  </si>
  <si>
    <t>Letiště Vysoké Mýto</t>
  </si>
  <si>
    <t>Vysoke Myto</t>
  </si>
  <si>
    <t>Spa (la Sauvenière) Airport</t>
  </si>
  <si>
    <t>Spa</t>
  </si>
  <si>
    <t>Suarlée Airport</t>
  </si>
  <si>
    <t>Namur</t>
  </si>
  <si>
    <t>Kiewit Airfield Hasselt</t>
  </si>
  <si>
    <t>Hasselt</t>
  </si>
  <si>
    <t>Kawama Airport</t>
  </si>
  <si>
    <t>Kawama</t>
  </si>
  <si>
    <t>Glasgow Industrial Airport</t>
  </si>
  <si>
    <t>Lorenzo Airport</t>
  </si>
  <si>
    <t>Morro de Sao Paulo</t>
  </si>
  <si>
    <t>Longview Ranch Airport</t>
  </si>
  <si>
    <t>Longview</t>
  </si>
  <si>
    <t>Sortavala Airport</t>
  </si>
  <si>
    <t>Sortavala</t>
  </si>
  <si>
    <t>Paluknys Airport</t>
  </si>
  <si>
    <t>Paluknys</t>
  </si>
  <si>
    <t>Base Aérea Airport</t>
  </si>
  <si>
    <t>Anapolis</t>
  </si>
  <si>
    <t>Beccles Airport</t>
  </si>
  <si>
    <t>Beccles</t>
  </si>
  <si>
    <t>Caldera Airport</t>
  </si>
  <si>
    <t>Caldera</t>
  </si>
  <si>
    <t>San Pedro de Atacama Airport</t>
  </si>
  <si>
    <t>San Pedro de Atacama</t>
  </si>
  <si>
    <t>Copacabana Airport</t>
  </si>
  <si>
    <t>Copacabana</t>
  </si>
  <si>
    <t>RAF Brawdy</t>
  </si>
  <si>
    <t>Brawdy</t>
  </si>
  <si>
    <t>Ivanhoe Airport</t>
  </si>
  <si>
    <t>Ivanhoe</t>
  </si>
  <si>
    <t>Menindee Airport</t>
  </si>
  <si>
    <t>Menindee</t>
  </si>
  <si>
    <t>Pooncarie Airport</t>
  </si>
  <si>
    <t>Pooncarie</t>
  </si>
  <si>
    <t>Tilpa Airport</t>
  </si>
  <si>
    <t>Tilpa</t>
  </si>
  <si>
    <t>Reichenbach Air Base</t>
  </si>
  <si>
    <t>Reichenbach im Kandertal</t>
  </si>
  <si>
    <t>Kavalerovo Airport</t>
  </si>
  <si>
    <t>Kavalerovo</t>
  </si>
  <si>
    <t>Yeltsovka Airport</t>
  </si>
  <si>
    <t>Kodinsk Airport</t>
  </si>
  <si>
    <t>Kodinsk</t>
  </si>
  <si>
    <t>Endelave West Airport</t>
  </si>
  <si>
    <t>Endelage</t>
  </si>
  <si>
    <t>St. Johann In Tirol Airport</t>
  </si>
  <si>
    <t>St. Johann in Tirol</t>
  </si>
  <si>
    <t>Thalmässing-Waizenhofen Airport</t>
  </si>
  <si>
    <t>Thalmaessing</t>
  </si>
  <si>
    <t>Comarapa Airport</t>
  </si>
  <si>
    <t>Salt Lake City</t>
  </si>
  <si>
    <t>Ansbach-Petersdorf Airport</t>
  </si>
  <si>
    <t>Ansbach</t>
  </si>
  <si>
    <t>Maranggo Airport</t>
  </si>
  <si>
    <t>Sulawesi Tenggara</t>
  </si>
  <si>
    <t>Rancho San Simeon Airport</t>
  </si>
  <si>
    <t>Cambria</t>
  </si>
  <si>
    <t>McMurdo Station Pegasus Field</t>
  </si>
  <si>
    <t>McMurdo Station</t>
  </si>
  <si>
    <t>Klatovy Airport</t>
  </si>
  <si>
    <t>Klatovy</t>
  </si>
  <si>
    <t>Kangel Danda Airport</t>
  </si>
  <si>
    <t>Kangel Danda</t>
  </si>
  <si>
    <t>Chara Airport</t>
  </si>
  <si>
    <t>Chara</t>
  </si>
  <si>
    <t>Herning Airport</t>
  </si>
  <si>
    <t>Herning</t>
  </si>
  <si>
    <t>Oberschleißheim Airfield</t>
  </si>
  <si>
    <t>Schleissheim</t>
  </si>
  <si>
    <t>Verden-Scharnhorst Airport</t>
  </si>
  <si>
    <t>Verden</t>
  </si>
  <si>
    <t>Nittenau-Bruck Airport</t>
  </si>
  <si>
    <t>Nittenau</t>
  </si>
  <si>
    <t>Americana Airport</t>
  </si>
  <si>
    <t>Americana</t>
  </si>
  <si>
    <t>Ekibastuz Airport</t>
  </si>
  <si>
    <t>Kazakhstan</t>
  </si>
  <si>
    <t>Ekibastuz</t>
  </si>
  <si>
    <t>Adamovka</t>
  </si>
  <si>
    <t>Kvarkeno</t>
  </si>
  <si>
    <t>Coral Creek Airport</t>
  </si>
  <si>
    <t>Placida</t>
  </si>
  <si>
    <t>Bumi Airport</t>
  </si>
  <si>
    <t>Bumi Hills</t>
  </si>
  <si>
    <t>Warnervale Airport</t>
  </si>
  <si>
    <t>Bouarfa Airport</t>
  </si>
  <si>
    <t>Bouarfa</t>
  </si>
  <si>
    <t>Edenvale Aerodrome</t>
  </si>
  <si>
    <t>Edenvale</t>
  </si>
  <si>
    <t>Orillia Airport</t>
  </si>
  <si>
    <t>Orillia</t>
  </si>
  <si>
    <t>Holland Landing Airpark</t>
  </si>
  <si>
    <t>Holland Landing</t>
  </si>
  <si>
    <t>Hanover / Saugeen Municipal Airport</t>
  </si>
  <si>
    <t>Hanover</t>
  </si>
  <si>
    <t>Texas Gulf Coast Regional Airport</t>
  </si>
  <si>
    <t>Angleton</t>
  </si>
  <si>
    <t>Bubovice Airport</t>
  </si>
  <si>
    <t>Bubovice</t>
  </si>
  <si>
    <t>Rakkestad Astorp Airport</t>
  </si>
  <si>
    <t>Rakkestad</t>
  </si>
  <si>
    <t>Elstree Airfield</t>
  </si>
  <si>
    <t>Elstree</t>
  </si>
  <si>
    <t>Sandtoft Airfield</t>
  </si>
  <si>
    <t>Sandtoft</t>
  </si>
  <si>
    <t>Torit Airport</t>
  </si>
  <si>
    <t>South Sudan</t>
  </si>
  <si>
    <t>Torit</t>
  </si>
  <si>
    <t>Vängsö Airport</t>
  </si>
  <si>
    <t>Vangso</t>
  </si>
  <si>
    <t>Enumclaw Airport</t>
  </si>
  <si>
    <t>Enumclaw</t>
  </si>
  <si>
    <t>Seymchan Airport</t>
  </si>
  <si>
    <t>Seymchan</t>
  </si>
  <si>
    <t>Susuman Airport</t>
  </si>
  <si>
    <t>Susuman</t>
  </si>
  <si>
    <t>Olyokminsk Airport</t>
  </si>
  <si>
    <t>Olekminsk</t>
  </si>
  <si>
    <t>Vitim Airport</t>
  </si>
  <si>
    <t>Vitim</t>
  </si>
  <si>
    <t>Pellworm Field</t>
  </si>
  <si>
    <t>Pellworm</t>
  </si>
  <si>
    <t>La Ferté Alais Airfield</t>
  </si>
  <si>
    <t>La Ferte Alais</t>
  </si>
  <si>
    <t>Souther Field</t>
  </si>
  <si>
    <t>Americus</t>
  </si>
  <si>
    <t>Kabale Airport</t>
  </si>
  <si>
    <t>Kabale</t>
  </si>
  <si>
    <t>Guatuso Airport</t>
  </si>
  <si>
    <t>Marigot</t>
  </si>
  <si>
    <t>Central Bolívar Airport</t>
  </si>
  <si>
    <t>Sevilla</t>
  </si>
  <si>
    <t>Tuzla Romania Airport</t>
  </si>
  <si>
    <t>Romania</t>
  </si>
  <si>
    <t>Tuzla</t>
  </si>
  <si>
    <t>El Almendro Airport</t>
  </si>
  <si>
    <t>Scranton</t>
  </si>
  <si>
    <t>San Agustin Airport</t>
  </si>
  <si>
    <t>Morristown</t>
  </si>
  <si>
    <t>Samambaia Heliport</t>
  </si>
  <si>
    <t>Reunion</t>
  </si>
  <si>
    <t>Saint Denis</t>
  </si>
  <si>
    <t>Fazenda Campo Verde Airport</t>
  </si>
  <si>
    <t>Sihanoukville</t>
  </si>
  <si>
    <t>Coral Bay Airport</t>
  </si>
  <si>
    <t>Coral Bay</t>
  </si>
  <si>
    <t>Tok Airport</t>
  </si>
  <si>
    <t>Tok</t>
  </si>
  <si>
    <t>Popham Airport</t>
  </si>
  <si>
    <t>Popham</t>
  </si>
  <si>
    <t>Black Point Airstrip</t>
  </si>
  <si>
    <t>Black Point</t>
  </si>
  <si>
    <t>Stillwater Regional Airport</t>
  </si>
  <si>
    <t>Stillwater</t>
  </si>
  <si>
    <t>Okmulgee Regional Airport</t>
  </si>
  <si>
    <t>Okmulgee</t>
  </si>
  <si>
    <t>Cushing Municipal Airport</t>
  </si>
  <si>
    <t>Cushing</t>
  </si>
  <si>
    <t>Clinton Sherman Airport</t>
  </si>
  <si>
    <t>Clinton</t>
  </si>
  <si>
    <t>Strother Field</t>
  </si>
  <si>
    <t>Winfield</t>
  </si>
  <si>
    <t>Wiley Post Airport</t>
  </si>
  <si>
    <t>Oklahoma City</t>
  </si>
  <si>
    <t>Shreveport Downtown Airport</t>
  </si>
  <si>
    <t>Shreveport</t>
  </si>
  <si>
    <t>Stephenville Clark Regional Airport</t>
  </si>
  <si>
    <t>Stephenville</t>
  </si>
  <si>
    <t>Perry Municipal Airport</t>
  </si>
  <si>
    <t>Perry</t>
  </si>
  <si>
    <t>Hamilton Municipal Airport</t>
  </si>
  <si>
    <t>Ada Municipal Airport</t>
  </si>
  <si>
    <t>Ada</t>
  </si>
  <si>
    <t>Mesquite Metro Airport</t>
  </si>
  <si>
    <t>Misquite</t>
  </si>
  <si>
    <t>Denton Municipal Airport</t>
  </si>
  <si>
    <t>Denton</t>
  </si>
  <si>
    <t>Austin Executive Airport</t>
  </si>
  <si>
    <t>Austin</t>
  </si>
  <si>
    <t>Lago Vista Tx Rusty Allen Airport</t>
  </si>
  <si>
    <t>Lago Vista</t>
  </si>
  <si>
    <t>Brenham Municipal Airport</t>
  </si>
  <si>
    <t>Brenham</t>
  </si>
  <si>
    <t>Lakeway Airpark</t>
  </si>
  <si>
    <t>Lakeway</t>
  </si>
  <si>
    <t>Iraan Municipal Airport</t>
  </si>
  <si>
    <t>Iraan</t>
  </si>
  <si>
    <t>Kestrel Airpark</t>
  </si>
  <si>
    <t>San Antonio</t>
  </si>
  <si>
    <t>Wauchula Municipal Airport</t>
  </si>
  <si>
    <t>Wuchula</t>
  </si>
  <si>
    <t>Lilydale Airport</t>
  </si>
  <si>
    <t>Lilydale</t>
  </si>
  <si>
    <t>Asaba International Airport</t>
  </si>
  <si>
    <t>Asaba</t>
  </si>
  <si>
    <t>Mpanda Airport</t>
  </si>
  <si>
    <t>Tanzania</t>
  </si>
  <si>
    <t>Mpanda</t>
  </si>
  <si>
    <t>Morogoro Airport</t>
  </si>
  <si>
    <t>Morogoro</t>
  </si>
  <si>
    <t>City Airport Manchester</t>
  </si>
  <si>
    <t>Manchester</t>
  </si>
  <si>
    <t>Sleap Airport</t>
  </si>
  <si>
    <t>Shrewsbury</t>
  </si>
  <si>
    <t>Tatenhill Airfield</t>
  </si>
  <si>
    <t>Burton-on-Trent</t>
  </si>
  <si>
    <t>Full Sutton Airfield</t>
  </si>
  <si>
    <t>York</t>
  </si>
  <si>
    <t>Sherburn-In-Elmet Airfield</t>
  </si>
  <si>
    <t>Leeds</t>
  </si>
  <si>
    <t>Beringin Airport</t>
  </si>
  <si>
    <t>Muara Teweh</t>
  </si>
  <si>
    <t>Muara Bungo Airport</t>
  </si>
  <si>
    <t>Muara Bungo</t>
  </si>
  <si>
    <t>Selayar/Aroepala Airport</t>
  </si>
  <si>
    <t>Selayar</t>
  </si>
  <si>
    <t>Illaga Airport</t>
  </si>
  <si>
    <t>Illaga</t>
  </si>
  <si>
    <t>Gratiot Community Airport</t>
  </si>
  <si>
    <t>Kamloops</t>
  </si>
  <si>
    <t>Seosan Air Base</t>
  </si>
  <si>
    <t>Seosan</t>
  </si>
  <si>
    <t>Henderson Field</t>
  </si>
  <si>
    <t>Wallace</t>
  </si>
  <si>
    <t>Kautokeino Air Base</t>
  </si>
  <si>
    <t>Kautokeino</t>
  </si>
  <si>
    <t>Lille/Marcq-en-Baroeul Airport</t>
  </si>
  <si>
    <t>Marcq En Baroeul</t>
  </si>
  <si>
    <t>Kawass Airport</t>
  </si>
  <si>
    <t>Guinea</t>
  </si>
  <si>
    <t>Kamsar</t>
  </si>
  <si>
    <t>Atherton Airport</t>
  </si>
  <si>
    <t>Atherton</t>
  </si>
  <si>
    <t>Bagdarin Airport</t>
  </si>
  <si>
    <t>Bagdarin</t>
  </si>
  <si>
    <t>Scarlett Martinez International Airport</t>
  </si>
  <si>
    <t>Rio Hato</t>
  </si>
  <si>
    <t>Semyazino Airport</t>
  </si>
  <si>
    <t>Vladimir</t>
  </si>
  <si>
    <t>Witberg Tswalu Airport</t>
  </si>
  <si>
    <t>Dedeben</t>
  </si>
  <si>
    <t>Mana Pools Airport</t>
  </si>
  <si>
    <t>Mana Pools</t>
  </si>
  <si>
    <t>Yeysk Airport</t>
  </si>
  <si>
    <t>Eysk</t>
  </si>
  <si>
    <t>Shobdon Aerodrome</t>
  </si>
  <si>
    <t>Shobdon</t>
  </si>
  <si>
    <t>Kamigoto Airport</t>
  </si>
  <si>
    <t>Shin-kamigoto</t>
  </si>
  <si>
    <t>Ojika Airport</t>
  </si>
  <si>
    <t>Odika</t>
  </si>
  <si>
    <t>Chofu Airport</t>
  </si>
  <si>
    <t>Tokyo</t>
  </si>
  <si>
    <t>Digby (General Hospital) Heliport</t>
  </si>
  <si>
    <t>Tremblay-en-France</t>
  </si>
  <si>
    <t>Thun Airport</t>
  </si>
  <si>
    <t>Thun</t>
  </si>
  <si>
    <t>Lavrentiya Airport</t>
  </si>
  <si>
    <t>Lavrentiya</t>
  </si>
  <si>
    <t>N 104 Helipad</t>
  </si>
  <si>
    <t>Ulleung</t>
  </si>
  <si>
    <t>Kymi Airport</t>
  </si>
  <si>
    <t>Kotka</t>
  </si>
  <si>
    <t>Kadina Airport</t>
  </si>
  <si>
    <t>Kadina</t>
  </si>
  <si>
    <t>Ali Air Base</t>
  </si>
  <si>
    <t>Nasiriyah</t>
  </si>
  <si>
    <t>Ota Air Base</t>
  </si>
  <si>
    <t>Ota</t>
  </si>
  <si>
    <t>Elsenthal Grafe Airport</t>
  </si>
  <si>
    <t>Elsenthal</t>
  </si>
  <si>
    <t>Newtownards Airport</t>
  </si>
  <si>
    <t>Newtownards</t>
  </si>
  <si>
    <t>Lashenden (Headcorn) Airfield</t>
  </si>
  <si>
    <t>Headcorn</t>
  </si>
  <si>
    <t>Panshanger Aerodrome</t>
  </si>
  <si>
    <t>Panshanger</t>
  </si>
  <si>
    <t>Thurrock Airfield</t>
  </si>
  <si>
    <t>Thurrock</t>
  </si>
  <si>
    <t>Stapleford Aerodrome</t>
  </si>
  <si>
    <t>Stapleford</t>
  </si>
  <si>
    <t>HAL Airport</t>
  </si>
  <si>
    <t>Bangalore</t>
  </si>
  <si>
    <t>Chichester/Goodwood Airport</t>
  </si>
  <si>
    <t>Goodwood</t>
  </si>
  <si>
    <t>Omarama Glider Airport</t>
  </si>
  <si>
    <t>Omarama</t>
  </si>
  <si>
    <t>Haast Aerodrome</t>
  </si>
  <si>
    <t>Haast</t>
  </si>
  <si>
    <t>Meschede-Schüren Airport</t>
  </si>
  <si>
    <t>Meschede</t>
  </si>
  <si>
    <t>Morro da Urca Heliport</t>
  </si>
  <si>
    <t>Rio de Janeiro</t>
  </si>
  <si>
    <t>Skúvoy Heliport</t>
  </si>
  <si>
    <t>Skuvoy</t>
  </si>
  <si>
    <t>Stóra Dímun Heliport</t>
  </si>
  <si>
    <t>Stora Dimun</t>
  </si>
  <si>
    <t>Frooba Heliport</t>
  </si>
  <si>
    <t>Frooba</t>
  </si>
  <si>
    <t>Mestia Queen Tamar Airport</t>
  </si>
  <si>
    <t>Georgia</t>
  </si>
  <si>
    <t>Mestia</t>
  </si>
  <si>
    <t>Ryan Field</t>
  </si>
  <si>
    <t>Tucson</t>
  </si>
  <si>
    <t>Stade Airport</t>
  </si>
  <si>
    <t>Stade</t>
  </si>
  <si>
    <t>Meriden Markham Municipal Airport</t>
  </si>
  <si>
    <t>Meriden</t>
  </si>
  <si>
    <t>Flinders Island Airport</t>
  </si>
  <si>
    <t>Elliston</t>
  </si>
  <si>
    <t>Luzern-Beromunster Airport</t>
  </si>
  <si>
    <t>Lucerne</t>
  </si>
  <si>
    <t>La Grand'combe Airport</t>
  </si>
  <si>
    <t>La Grand'Combe</t>
  </si>
  <si>
    <t>Canmore Municipal Heliport</t>
  </si>
  <si>
    <t>Canmore</t>
  </si>
  <si>
    <t>Krasnokamensk Airport</t>
  </si>
  <si>
    <t>Krasnokamensk</t>
  </si>
  <si>
    <t>Ridgely Airpark</t>
  </si>
  <si>
    <t>Ridgely</t>
  </si>
  <si>
    <t>Yubileyniy Airfield</t>
  </si>
  <si>
    <t>Baikonur</t>
  </si>
  <si>
    <t>King Ranch Airport</t>
  </si>
  <si>
    <t>Sutton</t>
  </si>
  <si>
    <t>Turkiye Mountain Estates Airport</t>
  </si>
  <si>
    <t>Shell Knob</t>
  </si>
  <si>
    <t>Flagler Aerial Spraying Inc Airport</t>
  </si>
  <si>
    <t>Flagler</t>
  </si>
  <si>
    <t>The Farm Airport</t>
  </si>
  <si>
    <t>Summit</t>
  </si>
  <si>
    <t>General Dewitt Spain Airport</t>
  </si>
  <si>
    <t>Memphis</t>
  </si>
  <si>
    <t>Gießen-Lützellinden Airport</t>
  </si>
  <si>
    <t>Giessen</t>
  </si>
  <si>
    <t>Tököl Airport</t>
  </si>
  <si>
    <t>Budapest</t>
  </si>
  <si>
    <t>Kotido Airport</t>
  </si>
  <si>
    <t>Kotido</t>
  </si>
  <si>
    <t>Kajjansi Airfield</t>
  </si>
  <si>
    <t>Kampala</t>
  </si>
  <si>
    <t>Paracatu Airport</t>
  </si>
  <si>
    <t>Paracatu</t>
  </si>
  <si>
    <t>Conselheiro Lafaiete Airport</t>
  </si>
  <si>
    <t>Conselheiro Lafaiete</t>
  </si>
  <si>
    <t>Janaúba Airport</t>
  </si>
  <si>
    <t>Janauba</t>
  </si>
  <si>
    <t>Cristiano Ferreira Varella Airport</t>
  </si>
  <si>
    <t>Muriae</t>
  </si>
  <si>
    <t>Lure Malbouhans Air Base</t>
  </si>
  <si>
    <t>Malbouhans</t>
  </si>
  <si>
    <t>Parati Airport</t>
  </si>
  <si>
    <t>Paraty</t>
  </si>
  <si>
    <t>Angra dos Reis Airport</t>
  </si>
  <si>
    <t>Angra dos Reis</t>
  </si>
  <si>
    <t>Maricá Airport</t>
  </si>
  <si>
    <t>Marica</t>
  </si>
  <si>
    <t>Resende Airport</t>
  </si>
  <si>
    <t>Resende</t>
  </si>
  <si>
    <t>Saquarema Airport</t>
  </si>
  <si>
    <t>Saquarema</t>
  </si>
  <si>
    <t>Drumheller Municipal Airport</t>
  </si>
  <si>
    <t>Drumheller</t>
  </si>
  <si>
    <t>Mwene-Ditu Airport</t>
  </si>
  <si>
    <t>Mwene-Ditu</t>
  </si>
  <si>
    <t>Posto Leonardo Vilas Boas Airport</t>
  </si>
  <si>
    <t>Chapada dos Guimaraes</t>
  </si>
  <si>
    <t>Tangará da Serra Airport</t>
  </si>
  <si>
    <t>Tangara da Serra</t>
  </si>
  <si>
    <t>Canarana Airport</t>
  </si>
  <si>
    <t>Canarana</t>
  </si>
  <si>
    <t>Vila Bela da Santíssima Trindade Airport</t>
  </si>
  <si>
    <t>Vila Bela da Santissima Trindade</t>
  </si>
  <si>
    <t>Murray Bridge Airport</t>
  </si>
  <si>
    <t>Murray Bridge</t>
  </si>
  <si>
    <t>Kahemba Airport</t>
  </si>
  <si>
    <t>Kahemba</t>
  </si>
  <si>
    <t>Thamkharka Airport</t>
  </si>
  <si>
    <t>Thamkharka</t>
  </si>
  <si>
    <t>Jelenia Góra Glider Airport</t>
  </si>
  <si>
    <t>Jelenia Gora</t>
  </si>
  <si>
    <t>Vuktyl Airport</t>
  </si>
  <si>
    <t>Vuktyl</t>
  </si>
  <si>
    <t>Berezniki Airport</t>
  </si>
  <si>
    <t>Berezniki</t>
  </si>
  <si>
    <t>San Sebastián Airport</t>
  </si>
  <si>
    <t>San Sebastian</t>
  </si>
  <si>
    <t>Tolwin Observatory Airport</t>
  </si>
  <si>
    <t>Tolhuin</t>
  </si>
  <si>
    <t>Camarillo Airport</t>
  </si>
  <si>
    <t>Camarillo - CA</t>
  </si>
  <si>
    <t>Leopoldsburg Airfield</t>
  </si>
  <si>
    <t>Leopoldsburg</t>
  </si>
  <si>
    <t>Omtepe Airport</t>
  </si>
  <si>
    <t>Moyogalpa</t>
  </si>
  <si>
    <t>Hinton/Jasper-Hinton Airport</t>
  </si>
  <si>
    <t>Hinton</t>
  </si>
  <si>
    <t>William Creek Airport</t>
  </si>
  <si>
    <t>William Creek</t>
  </si>
  <si>
    <t>Kenora Seaplane Base</t>
  </si>
  <si>
    <t>Kenora</t>
  </si>
  <si>
    <t>Siquijor Airport</t>
  </si>
  <si>
    <t>Siquijor</t>
  </si>
  <si>
    <t>Gelnhausen Airport</t>
  </si>
  <si>
    <t>Gelnhausen</t>
  </si>
  <si>
    <t>Ærø Airport</t>
  </si>
  <si>
    <t>Aero</t>
  </si>
  <si>
    <t>Lauterbach Airport</t>
  </si>
  <si>
    <t>Lauterbach-Wernges</t>
  </si>
  <si>
    <t>Aschaffenburg Airport</t>
  </si>
  <si>
    <t>Aschaffenburg</t>
  </si>
  <si>
    <t>Reichelsheim Airport</t>
  </si>
  <si>
    <t>Reichelsheim</t>
  </si>
  <si>
    <t>Marburg-Schönstadt Airport</t>
  </si>
  <si>
    <t>Schoenstadt</t>
  </si>
  <si>
    <t>Lauenbrück Airport</t>
  </si>
  <si>
    <t>Lauenbrueck</t>
  </si>
  <si>
    <t>Hüttenbusch Airport</t>
  </si>
  <si>
    <t>Huettenbusch</t>
  </si>
  <si>
    <t>Vrsar Crljenka Airport</t>
  </si>
  <si>
    <t>Vsar</t>
  </si>
  <si>
    <t>Nejanilini Lake Airport</t>
  </si>
  <si>
    <t>Nejanilini Lake</t>
  </si>
  <si>
    <t>Airport Bamberg-Breitenau</t>
  </si>
  <si>
    <t>Bamberg</t>
  </si>
  <si>
    <t>Zerbst Airport</t>
  </si>
  <si>
    <t>Zerbst/Anhalt</t>
  </si>
  <si>
    <t>RAF Spadeadam</t>
  </si>
  <si>
    <t>Spadeadam</t>
  </si>
  <si>
    <t>Cewice Military Airport</t>
  </si>
  <si>
    <t>Lębork</t>
  </si>
  <si>
    <t>Deblin Military Air Base</t>
  </si>
  <si>
    <t>Dęblin</t>
  </si>
  <si>
    <t>Leczyca Military Air Base</t>
  </si>
  <si>
    <t>Leczyca</t>
  </si>
  <si>
    <t>Minsk Mazowiecki Military Air Base</t>
  </si>
  <si>
    <t>Powidz Military Air Base</t>
  </si>
  <si>
    <t>Tomaszow Mazowiecki Military Air Base</t>
  </si>
  <si>
    <t>Tomaszów Mazowiecki</t>
  </si>
  <si>
    <t>Björkvik Air Base</t>
  </si>
  <si>
    <t>Björkvik</t>
  </si>
  <si>
    <t>Ljungbyhed Airport</t>
  </si>
  <si>
    <t>Ljungbyhed</t>
  </si>
  <si>
    <t>Jēkabpils Air Base</t>
  </si>
  <si>
    <t>Latvia</t>
  </si>
  <si>
    <t>Jēkabpils</t>
  </si>
  <si>
    <t>Jūrmala Airport</t>
  </si>
  <si>
    <t>Tukums</t>
  </si>
  <si>
    <t>Kėdainiai Air Base</t>
  </si>
  <si>
    <t>Kėdainiai</t>
  </si>
  <si>
    <t>Lusaka City Airport</t>
  </si>
  <si>
    <t>Lusaka</t>
  </si>
  <si>
    <t>Mariental Airport</t>
  </si>
  <si>
    <t>Namibia</t>
  </si>
  <si>
    <t>Mariental</t>
  </si>
  <si>
    <t>Almaza Air Force Base</t>
  </si>
  <si>
    <t>Beni Suef Air Base</t>
  </si>
  <si>
    <t>Beni Suef</t>
  </si>
  <si>
    <t>Jiyanklis Air Base</t>
  </si>
  <si>
    <t>Jiyanklis</t>
  </si>
  <si>
    <t>Homey (Area 51) Airport</t>
  </si>
  <si>
    <t>Groom Lake</t>
  </si>
  <si>
    <t>Gjadër Air Base</t>
  </si>
  <si>
    <t>Albania</t>
  </si>
  <si>
    <t>Gjadër</t>
  </si>
  <si>
    <t>Kukës Airport</t>
  </si>
  <si>
    <t>Kukës</t>
  </si>
  <si>
    <t>Kuçovë Air Base</t>
  </si>
  <si>
    <t>Kuçovë</t>
  </si>
  <si>
    <t>Vlorë Air Base</t>
  </si>
  <si>
    <t>Vlorë</t>
  </si>
  <si>
    <t>Uzundzhovo Air Base</t>
  </si>
  <si>
    <t>Haskovo</t>
  </si>
  <si>
    <t>Gabrovnitsa Air Base</t>
  </si>
  <si>
    <t>Gabrovnitsa</t>
  </si>
  <si>
    <t>Graf Ignatievo Air Base</t>
  </si>
  <si>
    <t>Graf Ignatievo</t>
  </si>
  <si>
    <t>Dolna Mitropoliya Air Base</t>
  </si>
  <si>
    <t>Dolna Mitropoliya</t>
  </si>
  <si>
    <t>Balchik Air Base</t>
  </si>
  <si>
    <t>Balchik</t>
  </si>
  <si>
    <t>Blois-Le Breuil Airport</t>
  </si>
  <si>
    <t>Blois/Le Breuil</t>
  </si>
  <si>
    <t>Alessandria Airport</t>
  </si>
  <si>
    <t>Alessandria</t>
  </si>
  <si>
    <t>Biella-Cerrione Airport</t>
  </si>
  <si>
    <t>Biella (BI)</t>
  </si>
  <si>
    <t>Vercelli Airport</t>
  </si>
  <si>
    <t>Vercelli</t>
  </si>
  <si>
    <t>Casale Monferrato Airport</t>
  </si>
  <si>
    <t>Casale Monferrato</t>
  </si>
  <si>
    <t>Varese-Venegono Airport</t>
  </si>
  <si>
    <t>Varese</t>
  </si>
  <si>
    <t>Novi Ligure Airport</t>
  </si>
  <si>
    <t>Novi Ligure</t>
  </si>
  <si>
    <t>Câmpia Turzii Air Base</t>
  </si>
  <si>
    <t>Câmpia Turzii</t>
  </si>
  <si>
    <t>Mărculeşti International Airport</t>
  </si>
  <si>
    <t>Moldova</t>
  </si>
  <si>
    <t>Mărculeşti</t>
  </si>
  <si>
    <t>Cahul International Airport</t>
  </si>
  <si>
    <t>Cahul</t>
  </si>
  <si>
    <t>Tiraspol Airport</t>
  </si>
  <si>
    <t>Tiraspol</t>
  </si>
  <si>
    <t>Dawadmi Domestic Airport</t>
  </si>
  <si>
    <t>Hamadan Air Base</t>
  </si>
  <si>
    <t>Hamadan</t>
  </si>
  <si>
    <t>Rayak Air Base</t>
  </si>
  <si>
    <t>Rayak</t>
  </si>
  <si>
    <t>Rafiqui Air Base</t>
  </si>
  <si>
    <t>Shorkot</t>
  </si>
  <si>
    <t>Faisal Air Base</t>
  </si>
  <si>
    <t>Al Sahra Army Air Field</t>
  </si>
  <si>
    <t>Tikrit</t>
  </si>
  <si>
    <t>Tall Afar Army Air Field</t>
  </si>
  <si>
    <t>Tall Afar</t>
  </si>
  <si>
    <t>Al Taji Army Air Field</t>
  </si>
  <si>
    <t>Taji</t>
  </si>
  <si>
    <t>Ubaydah Bin Al Jarrah Airport</t>
  </si>
  <si>
    <t>Al Cut</t>
  </si>
  <si>
    <t>Gangshan Air Force Base</t>
  </si>
  <si>
    <t>Gangshan</t>
  </si>
  <si>
    <t>Asahikawa Airport</t>
  </si>
  <si>
    <t>Jungwon Air Base</t>
  </si>
  <si>
    <t>Tunja Airport</t>
  </si>
  <si>
    <t>Tunja</t>
  </si>
  <si>
    <t>Metropolitano Airport</t>
  </si>
  <si>
    <t>Kant Air Base</t>
  </si>
  <si>
    <t>Kant</t>
  </si>
  <si>
    <t>Ayaguz Airport</t>
  </si>
  <si>
    <t>Ayaguz</t>
  </si>
  <si>
    <t>Chelkar Airport</t>
  </si>
  <si>
    <t>Chelkar</t>
  </si>
  <si>
    <t>Kyzyl-Syr Airport</t>
  </si>
  <si>
    <t>Kyzyl-Syr</t>
  </si>
  <si>
    <t>Belaya Gora Airport</t>
  </si>
  <si>
    <t>Dzhermuk Airport</t>
  </si>
  <si>
    <t>Dzhermuk</t>
  </si>
  <si>
    <t>Kamenny Ruchey Naval Air Base</t>
  </si>
  <si>
    <t>Sovetskaya Gavan</t>
  </si>
  <si>
    <t>Omsukchan Airport</t>
  </si>
  <si>
    <t>Omsukchan</t>
  </si>
  <si>
    <t>Chaybukha Airport</t>
  </si>
  <si>
    <t>Chaybukha</t>
  </si>
  <si>
    <t>Keperveem Airport</t>
  </si>
  <si>
    <t>Keperveem</t>
  </si>
  <si>
    <t>Magadan-13 Airport</t>
  </si>
  <si>
    <t>Magadan</t>
  </si>
  <si>
    <t>Palana Airport</t>
  </si>
  <si>
    <t>Palana</t>
  </si>
  <si>
    <t>Zheleznogorsk Airport</t>
  </si>
  <si>
    <t>Zheleznogorsk-Ilimsky</t>
  </si>
  <si>
    <t>Gvardeyskoe Air Base</t>
  </si>
  <si>
    <t>Ukraine</t>
  </si>
  <si>
    <t>Sarabuz</t>
  </si>
  <si>
    <t>Saki Air Base</t>
  </si>
  <si>
    <t>Saki</t>
  </si>
  <si>
    <t>Dzhankoy Airport</t>
  </si>
  <si>
    <t>Dzhankoy</t>
  </si>
  <si>
    <t>Ozerne Air Base</t>
  </si>
  <si>
    <t>Zhytomyr</t>
  </si>
  <si>
    <t>Severomorsk-1 Naval Air Base</t>
  </si>
  <si>
    <t>Severomorsk</t>
  </si>
  <si>
    <t>Pushkin Airport</t>
  </si>
  <si>
    <t>St. Petersburg</t>
  </si>
  <si>
    <t>Siversky Air Base</t>
  </si>
  <si>
    <t>Siversky</t>
  </si>
  <si>
    <t>Staraya Russa Airport</t>
  </si>
  <si>
    <t>Staraya Russa</t>
  </si>
  <si>
    <t>Peski Airport</t>
  </si>
  <si>
    <t>Petrozavodsk</t>
  </si>
  <si>
    <t>Baranavichi Air Base</t>
  </si>
  <si>
    <t>Baranavichi</t>
  </si>
  <si>
    <t>Babruisk Air Base</t>
  </si>
  <si>
    <t>Babruisk</t>
  </si>
  <si>
    <t>Severo-Eniseysk Airport</t>
  </si>
  <si>
    <t>Severo-Eniseysk</t>
  </si>
  <si>
    <t>Sharypovo Airport</t>
  </si>
  <si>
    <t>Sharypovo</t>
  </si>
  <si>
    <t>Omsk Severny Airport</t>
  </si>
  <si>
    <t>Omsk</t>
  </si>
  <si>
    <t>Nagurskoye</t>
  </si>
  <si>
    <t>Murmansk</t>
  </si>
  <si>
    <t>Svetlogorsk Airport</t>
  </si>
  <si>
    <t>Svetlogorsk</t>
  </si>
  <si>
    <t>Valek Airport</t>
  </si>
  <si>
    <t>Valek</t>
  </si>
  <si>
    <t>Khanskaya Airport</t>
  </si>
  <si>
    <t>Maykop</t>
  </si>
  <si>
    <t>Dudinka Airport</t>
  </si>
  <si>
    <t>Dudinka</t>
  </si>
  <si>
    <t>Tashkent East Airport</t>
  </si>
  <si>
    <t>Uzbekistan</t>
  </si>
  <si>
    <t>Tashkent</t>
  </si>
  <si>
    <t>Myachkovo Airport</t>
  </si>
  <si>
    <t>Tretyakovo Airport</t>
  </si>
  <si>
    <t>Lukhovitsy</t>
  </si>
  <si>
    <t>Yermolino Airport</t>
  </si>
  <si>
    <t>Balabanovo</t>
  </si>
  <si>
    <t>Izhma Airport</t>
  </si>
  <si>
    <t>Izhma</t>
  </si>
  <si>
    <t>Borisoglebskoye Airport</t>
  </si>
  <si>
    <t>Kazan</t>
  </si>
  <si>
    <t>Maksimovka Airport</t>
  </si>
  <si>
    <t>Ufa</t>
  </si>
  <si>
    <t>Buguruslan Severny Airport</t>
  </si>
  <si>
    <t>Buguruslan</t>
  </si>
  <si>
    <t>Bezymyanka Airfield</t>
  </si>
  <si>
    <t>Samara</t>
  </si>
  <si>
    <t>Meiktila Air Base</t>
  </si>
  <si>
    <t>Meiktila</t>
  </si>
  <si>
    <t>Changi Air Base (East)</t>
  </si>
  <si>
    <t>Soltsy-2 Air Base</t>
  </si>
  <si>
    <t>Soltsy</t>
  </si>
  <si>
    <t>Severomorsk-3 Naval Air Base</t>
  </si>
  <si>
    <t>Fedotovo Naval Air Base</t>
  </si>
  <si>
    <t>Kipelovo</t>
  </si>
  <si>
    <t>Lebyazhye Air Base</t>
  </si>
  <si>
    <t>Kamyshin</t>
  </si>
  <si>
    <t>Smolensk North Airport</t>
  </si>
  <si>
    <t>Smolensk</t>
  </si>
  <si>
    <t>Rtishchevo Air Base</t>
  </si>
  <si>
    <t>Rtishchevo</t>
  </si>
  <si>
    <t>Sunchon Air Base</t>
  </si>
  <si>
    <t>North Korea</t>
  </si>
  <si>
    <t>Sunchon</t>
  </si>
  <si>
    <t>Shenyang Dongta Airport</t>
  </si>
  <si>
    <t>Shenyang</t>
  </si>
  <si>
    <t>0V4</t>
  </si>
  <si>
    <t>Brookneal/Campbell County Airport</t>
  </si>
  <si>
    <t>Brookneal</t>
  </si>
  <si>
    <t>19S</t>
  </si>
  <si>
    <t>Sublette Municipal Airport</t>
  </si>
  <si>
    <t>Sublette</t>
  </si>
  <si>
    <t>23M</t>
  </si>
  <si>
    <t>Clarke County Airport</t>
  </si>
  <si>
    <t>Quitman</t>
  </si>
  <si>
    <t>2A5</t>
  </si>
  <si>
    <t>Causey Airport</t>
  </si>
  <si>
    <t>Liberty</t>
  </si>
  <si>
    <t>2H0</t>
  </si>
  <si>
    <t>Shelby County Airport</t>
  </si>
  <si>
    <t>Shelbyville</t>
  </si>
  <si>
    <t>2K7</t>
  </si>
  <si>
    <t>Neodesha Municipal Airport</t>
  </si>
  <si>
    <t>Neodesha</t>
  </si>
  <si>
    <t>3AU</t>
  </si>
  <si>
    <t>Augusta Municipal Airport</t>
  </si>
  <si>
    <t>Augusta</t>
  </si>
  <si>
    <t>4A7</t>
  </si>
  <si>
    <t>Atlanta South Regional Airport/Tara Field</t>
  </si>
  <si>
    <t>Hampton</t>
  </si>
  <si>
    <t>4U9</t>
  </si>
  <si>
    <t>Dell Flight Strip</t>
  </si>
  <si>
    <t>Dell</t>
  </si>
  <si>
    <t>52A</t>
  </si>
  <si>
    <t>Madison Municipal Airport</t>
  </si>
  <si>
    <t>Madison</t>
  </si>
  <si>
    <t>57C</t>
  </si>
  <si>
    <t>East Troy Municipal Airport</t>
  </si>
  <si>
    <t>East Troy</t>
  </si>
  <si>
    <t>5B2</t>
  </si>
  <si>
    <t>Saratoga County Airport</t>
  </si>
  <si>
    <t>Ballston Spa</t>
  </si>
  <si>
    <t>6J4</t>
  </si>
  <si>
    <t>Saluda County Airport</t>
  </si>
  <si>
    <t>Saluda</t>
  </si>
  <si>
    <t>6S0</t>
  </si>
  <si>
    <t>Big Timber Airport</t>
  </si>
  <si>
    <t>Big Timber</t>
  </si>
  <si>
    <t>7W6</t>
  </si>
  <si>
    <t>Hyde County Airport</t>
  </si>
  <si>
    <t>Engelhard</t>
  </si>
  <si>
    <t>87K</t>
  </si>
  <si>
    <t>El Dorado Springs Memorial Airport</t>
  </si>
  <si>
    <t>El dorado springs</t>
  </si>
  <si>
    <t>A39</t>
  </si>
  <si>
    <t>Ak-Chin Regional Airport</t>
  </si>
  <si>
    <t>Phoenix</t>
  </si>
  <si>
    <t>A50</t>
  </si>
  <si>
    <t>Colorado Springs East Airport</t>
  </si>
  <si>
    <t>Ellicott</t>
  </si>
  <si>
    <t>AAA</t>
  </si>
  <si>
    <t>Anaa Airport</t>
  </si>
  <si>
    <t>Anaa</t>
  </si>
  <si>
    <t>AAC</t>
  </si>
  <si>
    <t>El Arish International Airport</t>
  </si>
  <si>
    <t>El Arish</t>
  </si>
  <si>
    <t>AAE</t>
  </si>
  <si>
    <t>Annaba Airport</t>
  </si>
  <si>
    <t>Annaba</t>
  </si>
  <si>
    <t>AAF</t>
  </si>
  <si>
    <t>Apalachicola Regional Airport</t>
  </si>
  <si>
    <t>Apalachicola</t>
  </si>
  <si>
    <t>AAH</t>
  </si>
  <si>
    <t>Aachen-Merzbrück Airport</t>
  </si>
  <si>
    <t>Aachen</t>
  </si>
  <si>
    <t>AAK</t>
  </si>
  <si>
    <t>Buariki Airport</t>
  </si>
  <si>
    <t>Kiribati</t>
  </si>
  <si>
    <t>Buariki</t>
  </si>
  <si>
    <t>AAL</t>
  </si>
  <si>
    <t>Aalborg Airport</t>
  </si>
  <si>
    <t>Aalborg</t>
  </si>
  <si>
    <t>AAM</t>
  </si>
  <si>
    <t>Malamala Airport</t>
  </si>
  <si>
    <t>Malamala</t>
  </si>
  <si>
    <t>AAN</t>
  </si>
  <si>
    <t>Al Ain International Airport</t>
  </si>
  <si>
    <t>Al Ain</t>
  </si>
  <si>
    <t>AAO</t>
  </si>
  <si>
    <t>Anaco Airport</t>
  </si>
  <si>
    <t>Anaco</t>
  </si>
  <si>
    <t>AAP</t>
  </si>
  <si>
    <t>Andrau Airpark</t>
  </si>
  <si>
    <t>Houston</t>
  </si>
  <si>
    <t>AAQ</t>
  </si>
  <si>
    <t>Anapa Vityazevo Airport</t>
  </si>
  <si>
    <t>Anapa</t>
  </si>
  <si>
    <t>AAR</t>
  </si>
  <si>
    <t>Aarhus Airport</t>
  </si>
  <si>
    <t>Aarhus</t>
  </si>
  <si>
    <t>AAV</t>
  </si>
  <si>
    <t>Allah Valley Airport</t>
  </si>
  <si>
    <t>Surallah</t>
  </si>
  <si>
    <t>AAX</t>
  </si>
  <si>
    <t>Romeu Zema Airport</t>
  </si>
  <si>
    <t>Araxa</t>
  </si>
  <si>
    <t>AAY</t>
  </si>
  <si>
    <t>Al Ghaidah International Airport</t>
  </si>
  <si>
    <t>Al Ghaidah Intl</t>
  </si>
  <si>
    <t>AAZ</t>
  </si>
  <si>
    <t>Quezaltenango Airport</t>
  </si>
  <si>
    <t>Quezaltenango</t>
  </si>
  <si>
    <t>ABA</t>
  </si>
  <si>
    <t>Abakan Airport</t>
  </si>
  <si>
    <t>Abakan</t>
  </si>
  <si>
    <t>ABD</t>
  </si>
  <si>
    <t>Abadan Airport</t>
  </si>
  <si>
    <t>Abadan</t>
  </si>
  <si>
    <t>ABE</t>
  </si>
  <si>
    <t>Lehigh Valley International Airport</t>
  </si>
  <si>
    <t>Allentown</t>
  </si>
  <si>
    <t>ABF</t>
  </si>
  <si>
    <t>Abaiang Airport</t>
  </si>
  <si>
    <t>Abaiang Atoll</t>
  </si>
  <si>
    <t>ABH</t>
  </si>
  <si>
    <t>Alpha Airport</t>
  </si>
  <si>
    <t>Alpha</t>
  </si>
  <si>
    <t>ABI</t>
  </si>
  <si>
    <t>Abilene Regional Airport</t>
  </si>
  <si>
    <t>Abilene</t>
  </si>
  <si>
    <t>ABJ</t>
  </si>
  <si>
    <t>Port Bouet Airport</t>
  </si>
  <si>
    <t>Cote d'Ivoire</t>
  </si>
  <si>
    <t>Abidjan</t>
  </si>
  <si>
    <t>ABK</t>
  </si>
  <si>
    <t>Kabri Dehar Airport</t>
  </si>
  <si>
    <t>Kabri Dehar</t>
  </si>
  <si>
    <t>ABL</t>
  </si>
  <si>
    <t>Ambler Airport</t>
  </si>
  <si>
    <t>Ambler</t>
  </si>
  <si>
    <t>ABM</t>
  </si>
  <si>
    <t>Northern Peninsula Airport</t>
  </si>
  <si>
    <t>ABN</t>
  </si>
  <si>
    <t>Albina Airport</t>
  </si>
  <si>
    <t>Albina</t>
  </si>
  <si>
    <t>ABQ</t>
  </si>
  <si>
    <t>Albuquerque International Sunport Airport</t>
  </si>
  <si>
    <t>Albuquerque</t>
  </si>
  <si>
    <t>ABR</t>
  </si>
  <si>
    <t>Aberdeen Regional Airport</t>
  </si>
  <si>
    <t>Aberdeen</t>
  </si>
  <si>
    <t>ABS</t>
  </si>
  <si>
    <t>Abu Simbel Airport</t>
  </si>
  <si>
    <t>Abu Simbel</t>
  </si>
  <si>
    <t>ABT</t>
  </si>
  <si>
    <t>Al Baha Airport</t>
  </si>
  <si>
    <t>El-baha</t>
  </si>
  <si>
    <t>ABV</t>
  </si>
  <si>
    <t>Nnamdi Azikiwe International Airport</t>
  </si>
  <si>
    <t>Abuja</t>
  </si>
  <si>
    <t>ABX</t>
  </si>
  <si>
    <t>Albury Airport</t>
  </si>
  <si>
    <t>Albury</t>
  </si>
  <si>
    <t>ABY</t>
  </si>
  <si>
    <t>Southwest Georgia Regional Airport</t>
  </si>
  <si>
    <t>Albany</t>
  </si>
  <si>
    <t>ABZ</t>
  </si>
  <si>
    <t>Aberdeen Dyce Airport</t>
  </si>
  <si>
    <t>ACA</t>
  </si>
  <si>
    <t>General Juan N Alvarez International Airport</t>
  </si>
  <si>
    <t>Acapulco</t>
  </si>
  <si>
    <t>ACC</t>
  </si>
  <si>
    <t>Kotoka International Airport</t>
  </si>
  <si>
    <t>Accra</t>
  </si>
  <si>
    <t>ACD</t>
  </si>
  <si>
    <t>Alcides Fernández Airport</t>
  </si>
  <si>
    <t>Acandi</t>
  </si>
  <si>
    <t>ACE</t>
  </si>
  <si>
    <t>Lanzarote Airport</t>
  </si>
  <si>
    <t>Arrecife</t>
  </si>
  <si>
    <t>ACH</t>
  </si>
  <si>
    <t>St Gallen Altenrhein Airport</t>
  </si>
  <si>
    <t>Altenrhein</t>
  </si>
  <si>
    <t>ACI</t>
  </si>
  <si>
    <t>Alderney Airport</t>
  </si>
  <si>
    <t>Guernsey</t>
  </si>
  <si>
    <t>Alderney</t>
  </si>
  <si>
    <t>ACJ</t>
  </si>
  <si>
    <t>Anuradhapura Air Force Base</t>
  </si>
  <si>
    <t>Anuradhapura</t>
  </si>
  <si>
    <t>ACK</t>
  </si>
  <si>
    <t>Nantucket Memorial Airport</t>
  </si>
  <si>
    <t>Nantucket</t>
  </si>
  <si>
    <t>ACP</t>
  </si>
  <si>
    <t>Sahand Airport</t>
  </si>
  <si>
    <t>Maragheh</t>
  </si>
  <si>
    <t>ACR</t>
  </si>
  <si>
    <t>Araracuara Airport</t>
  </si>
  <si>
    <t>Araracuara</t>
  </si>
  <si>
    <t>ACS</t>
  </si>
  <si>
    <t>Achinsk Airport</t>
  </si>
  <si>
    <t>Achinsk</t>
  </si>
  <si>
    <t>ACT</t>
  </si>
  <si>
    <t>Waco Regional Airport</t>
  </si>
  <si>
    <t>Waco</t>
  </si>
  <si>
    <t>ACV</t>
  </si>
  <si>
    <t>Arcata Airport</t>
  </si>
  <si>
    <t>Arcata CA</t>
  </si>
  <si>
    <t>ACX</t>
  </si>
  <si>
    <t>Xingyi Airport</t>
  </si>
  <si>
    <t>Xingyi</t>
  </si>
  <si>
    <t>ACY</t>
  </si>
  <si>
    <t>Atlantic City International Airport</t>
  </si>
  <si>
    <t>Atlantic City</t>
  </si>
  <si>
    <t>ACZ</t>
  </si>
  <si>
    <t>Zabol Airport</t>
  </si>
  <si>
    <t>Zabol</t>
  </si>
  <si>
    <t>ADA</t>
  </si>
  <si>
    <t>Adana Airport</t>
  </si>
  <si>
    <t>Adana</t>
  </si>
  <si>
    <t>ADB</t>
  </si>
  <si>
    <t>Adnan Menderes International Airport</t>
  </si>
  <si>
    <t>Addis Ababa Bole International Airport</t>
  </si>
  <si>
    <t>ADE</t>
  </si>
  <si>
    <t>Aden International Airport</t>
  </si>
  <si>
    <t>Aden</t>
  </si>
  <si>
    <t>ADF</t>
  </si>
  <si>
    <t>Adıyaman Airport</t>
  </si>
  <si>
    <t>Adiyaman</t>
  </si>
  <si>
    <t>ADH</t>
  </si>
  <si>
    <t>Aldan Airport</t>
  </si>
  <si>
    <t>Aldan</t>
  </si>
  <si>
    <t>ADI</t>
  </si>
  <si>
    <t>Arandis Airport</t>
  </si>
  <si>
    <t>Arandis</t>
  </si>
  <si>
    <t>ADJ</t>
  </si>
  <si>
    <t>Amman-Marka International Airport</t>
  </si>
  <si>
    <t>Amman</t>
  </si>
  <si>
    <t>ADK</t>
  </si>
  <si>
    <t>Adak Airport</t>
  </si>
  <si>
    <t>Adak Island</t>
  </si>
  <si>
    <t>ADL</t>
  </si>
  <si>
    <t>Adelaide International Airport</t>
  </si>
  <si>
    <t>ADM</t>
  </si>
  <si>
    <t>Ardmore Municipal Airport</t>
  </si>
  <si>
    <t>Ardmore</t>
  </si>
  <si>
    <t>ADQ</t>
  </si>
  <si>
    <t>Kodiak Airport</t>
  </si>
  <si>
    <t>Kodiak</t>
  </si>
  <si>
    <t>ADS</t>
  </si>
  <si>
    <t>Addison Airport</t>
  </si>
  <si>
    <t>Addison</t>
  </si>
  <si>
    <t>ADU</t>
  </si>
  <si>
    <t>Ardabil Airport</t>
  </si>
  <si>
    <t>Ardabil</t>
  </si>
  <si>
    <t>ADW</t>
  </si>
  <si>
    <t>Andrews Air Force Base</t>
  </si>
  <si>
    <t>Camp Springs</t>
  </si>
  <si>
    <t>ADX</t>
  </si>
  <si>
    <t>RAF Leuchars</t>
  </si>
  <si>
    <t>Leuchars</t>
  </si>
  <si>
    <t>ADY</t>
  </si>
  <si>
    <t>Alldays Airport</t>
  </si>
  <si>
    <t>Alldays</t>
  </si>
  <si>
    <t>ADZ</t>
  </si>
  <si>
    <t>Gustavo Rojas Pinilla International Airport</t>
  </si>
  <si>
    <t>San Andres Island</t>
  </si>
  <si>
    <t>AEA</t>
  </si>
  <si>
    <t>Abemama Atoll Airport</t>
  </si>
  <si>
    <t>Abemama</t>
  </si>
  <si>
    <t>AEH</t>
  </si>
  <si>
    <t>Abeche Airport</t>
  </si>
  <si>
    <t>Chad</t>
  </si>
  <si>
    <t>Abeche</t>
  </si>
  <si>
    <t>AEP</t>
  </si>
  <si>
    <t>Jorge Newbery Airpark</t>
  </si>
  <si>
    <t>AER</t>
  </si>
  <si>
    <t>Sochi International Airport</t>
  </si>
  <si>
    <t>Sochi</t>
  </si>
  <si>
    <t>AES</t>
  </si>
  <si>
    <t>Ålesund Airport</t>
  </si>
  <si>
    <t>Alesund</t>
  </si>
  <si>
    <t>AET</t>
  </si>
  <si>
    <t>Allakaket Airport</t>
  </si>
  <si>
    <t>Allakaket</t>
  </si>
  <si>
    <t>AEX</t>
  </si>
  <si>
    <t>Alexandria International Airport</t>
  </si>
  <si>
    <t>AEY</t>
  </si>
  <si>
    <t>Akureyri Airport</t>
  </si>
  <si>
    <t>Akureyri</t>
  </si>
  <si>
    <t>AFA</t>
  </si>
  <si>
    <t>Suboficial Ay Santiago Germano Airport</t>
  </si>
  <si>
    <t>San Rafael</t>
  </si>
  <si>
    <t>AFE</t>
  </si>
  <si>
    <t>Kake Airport</t>
  </si>
  <si>
    <t>Kake</t>
  </si>
  <si>
    <t>AFL</t>
  </si>
  <si>
    <t>Piloto Osvaldo Marques Dias Airport</t>
  </si>
  <si>
    <t>Alta Floresta</t>
  </si>
  <si>
    <t>AFS</t>
  </si>
  <si>
    <t>Sugraly Airport</t>
  </si>
  <si>
    <t>Zarafshan</t>
  </si>
  <si>
    <t>AFT</t>
  </si>
  <si>
    <t>Afutara Aerodrome</t>
  </si>
  <si>
    <t>Solomon Islands</t>
  </si>
  <si>
    <t>Afutara</t>
  </si>
  <si>
    <t>AFW</t>
  </si>
  <si>
    <t>Fort Worth Alliance Airport</t>
  </si>
  <si>
    <t>Fort Worth</t>
  </si>
  <si>
    <t>AFY</t>
  </si>
  <si>
    <t>Afyon Airport</t>
  </si>
  <si>
    <t>Afyon</t>
  </si>
  <si>
    <t>AFZ</t>
  </si>
  <si>
    <t>Sabzevar National Airport</t>
  </si>
  <si>
    <t>Sabzevar</t>
  </si>
  <si>
    <t>AGA</t>
  </si>
  <si>
    <t>Al Massira Airport</t>
  </si>
  <si>
    <t>Agadir</t>
  </si>
  <si>
    <t>AGB</t>
  </si>
  <si>
    <t>Augsburg Airport</t>
  </si>
  <si>
    <t>Augsburg</t>
  </si>
  <si>
    <t>AGC</t>
  </si>
  <si>
    <t>Allegheny County Airport</t>
  </si>
  <si>
    <t>Pittsburgh</t>
  </si>
  <si>
    <t>AGE</t>
  </si>
  <si>
    <t>Wangerooge Airport</t>
  </si>
  <si>
    <t>Wangerooge</t>
  </si>
  <si>
    <t>AGF</t>
  </si>
  <si>
    <t>Agen-La Garenne Airport</t>
  </si>
  <si>
    <t>Agen</t>
  </si>
  <si>
    <t>AGH</t>
  </si>
  <si>
    <t>Ängelholm-Helsingborg Airport</t>
  </si>
  <si>
    <t>Ängelholm</t>
  </si>
  <si>
    <t>AGI</t>
  </si>
  <si>
    <t>Wageningen Airstrip</t>
  </si>
  <si>
    <t>Wageningen</t>
  </si>
  <si>
    <t>AGJ</t>
  </si>
  <si>
    <t>Aguni Airport</t>
  </si>
  <si>
    <t>Aguni</t>
  </si>
  <si>
    <t>AGM</t>
  </si>
  <si>
    <t>Tasiilaq Heliport</t>
  </si>
  <si>
    <t>Greenland</t>
  </si>
  <si>
    <t>Angmagssalik</t>
  </si>
  <si>
    <t>AGN</t>
  </si>
  <si>
    <t>Angoon Seaplane Base</t>
  </si>
  <si>
    <t>Angoon</t>
  </si>
  <si>
    <t>AGP</t>
  </si>
  <si>
    <t>Málaga Airport</t>
  </si>
  <si>
    <t>Malaga</t>
  </si>
  <si>
    <t>AGQ</t>
  </si>
  <si>
    <t>Agrinion Air Base</t>
  </si>
  <si>
    <t>Agrinion</t>
  </si>
  <si>
    <t>AGR</t>
  </si>
  <si>
    <t>Agra Airport</t>
  </si>
  <si>
    <t>Agra</t>
  </si>
  <si>
    <t>AGS</t>
  </si>
  <si>
    <t>Augusta Regional At Bush Field</t>
  </si>
  <si>
    <t>Bush Field</t>
  </si>
  <si>
    <t>AGT</t>
  </si>
  <si>
    <t>Guarani International Airport</t>
  </si>
  <si>
    <t>Ciudad del Este</t>
  </si>
  <si>
    <t>AGU</t>
  </si>
  <si>
    <t>Jesús Terán Paredo International Airport</t>
  </si>
  <si>
    <t>Aguascalientes</t>
  </si>
  <si>
    <t>AGV</t>
  </si>
  <si>
    <t>Oswaldo Guevara Mujica Airport</t>
  </si>
  <si>
    <t>Acarigua</t>
  </si>
  <si>
    <t>AGX</t>
  </si>
  <si>
    <t>Agatti Airport</t>
  </si>
  <si>
    <t>Agatti Island</t>
  </si>
  <si>
    <t>AGZ</t>
  </si>
  <si>
    <t>Aggeneys Airport</t>
  </si>
  <si>
    <t>Aggeneys</t>
  </si>
  <si>
    <t>AHB</t>
  </si>
  <si>
    <t>Abha Regional Airport</t>
  </si>
  <si>
    <t>Abha</t>
  </si>
  <si>
    <t>AHE</t>
  </si>
  <si>
    <t>Ahe Airport</t>
  </si>
  <si>
    <t>Ahe</t>
  </si>
  <si>
    <t>AHN</t>
  </si>
  <si>
    <t>Athens Ben Epps Airport</t>
  </si>
  <si>
    <t>AHO</t>
  </si>
  <si>
    <t>Alghero-Fertilia Airport</t>
  </si>
  <si>
    <t>Alghero</t>
  </si>
  <si>
    <t>AHQ</t>
  </si>
  <si>
    <t>Wahoo Municipal Airport</t>
  </si>
  <si>
    <t>Wahoo</t>
  </si>
  <si>
    <t>AHS</t>
  </si>
  <si>
    <t>Ahuas Airport</t>
  </si>
  <si>
    <t>Ahuas</t>
  </si>
  <si>
    <t>AHU</t>
  </si>
  <si>
    <t>Cherif Al Idrissi Airport</t>
  </si>
  <si>
    <t>Al Hociema</t>
  </si>
  <si>
    <t>AIA</t>
  </si>
  <si>
    <t>Alliance Municipal Airport</t>
  </si>
  <si>
    <t>Alliance</t>
  </si>
  <si>
    <t>AIK</t>
  </si>
  <si>
    <t>Aiken Municipal Airport</t>
  </si>
  <si>
    <t>Aiken</t>
  </si>
  <si>
    <t>AIN</t>
  </si>
  <si>
    <t>Wainwright Airport</t>
  </si>
  <si>
    <t>Wainwright</t>
  </si>
  <si>
    <t>AIR</t>
  </si>
  <si>
    <t>Aripuanã Airport</t>
  </si>
  <si>
    <t>Aripuana</t>
  </si>
  <si>
    <t>AIS</t>
  </si>
  <si>
    <t>Arorae Island Airport</t>
  </si>
  <si>
    <t>Arorae</t>
  </si>
  <si>
    <t>AIT</t>
  </si>
  <si>
    <t>Aitutaki Airport</t>
  </si>
  <si>
    <t>Cook Islands</t>
  </si>
  <si>
    <t>Aitutaki</t>
  </si>
  <si>
    <t>AIU</t>
  </si>
  <si>
    <t>Enua Airport</t>
  </si>
  <si>
    <t>Atiu Island</t>
  </si>
  <si>
    <t>AIZ</t>
  </si>
  <si>
    <t>Lee C Fine Memorial Airport</t>
  </si>
  <si>
    <t>Kaiser Lake Ozark</t>
  </si>
  <si>
    <t>AJA</t>
  </si>
  <si>
    <t>Ajaccio-Napoléon Bonaparte Airport</t>
  </si>
  <si>
    <t>Ajaccio</t>
  </si>
  <si>
    <t>AJF</t>
  </si>
  <si>
    <t>Al-Jawf Domestic Airport</t>
  </si>
  <si>
    <t>Al-Jawf</t>
  </si>
  <si>
    <t>AJI</t>
  </si>
  <si>
    <t>Ağrı Airport</t>
  </si>
  <si>
    <t>Agri</t>
  </si>
  <si>
    <t>AJL</t>
  </si>
  <si>
    <t>Lengpui Airport</t>
  </si>
  <si>
    <t>Aizwal</t>
  </si>
  <si>
    <t>AJN</t>
  </si>
  <si>
    <t>Ouani Airport</t>
  </si>
  <si>
    <t>Comoros</t>
  </si>
  <si>
    <t>Anjouan</t>
  </si>
  <si>
    <t>AJR</t>
  </si>
  <si>
    <t>Arvidsjaur Airport</t>
  </si>
  <si>
    <t>Arvidsjaur</t>
  </si>
  <si>
    <t>AJU</t>
  </si>
  <si>
    <t>Santa Maria Airport</t>
  </si>
  <si>
    <t>Aracaju</t>
  </si>
  <si>
    <t>AJY</t>
  </si>
  <si>
    <t>Mano Dayak International Airport</t>
  </si>
  <si>
    <t>Agadez</t>
  </si>
  <si>
    <t>AKA</t>
  </si>
  <si>
    <t>Ankang Wulipu Airport</t>
  </si>
  <si>
    <t>Ankang</t>
  </si>
  <si>
    <t>AKB</t>
  </si>
  <si>
    <t>Atka Airport</t>
  </si>
  <si>
    <t>Atka</t>
  </si>
  <si>
    <t>AKC</t>
  </si>
  <si>
    <t>Akron Fulton International Airport</t>
  </si>
  <si>
    <t>Akron</t>
  </si>
  <si>
    <t>AKD</t>
  </si>
  <si>
    <t>Akola Airport</t>
  </si>
  <si>
    <t>Akola</t>
  </si>
  <si>
    <t>AKF</t>
  </si>
  <si>
    <t>Kufra Airport</t>
  </si>
  <si>
    <t>Kufra</t>
  </si>
  <si>
    <t>AKI</t>
  </si>
  <si>
    <t>Akiak Airport</t>
  </si>
  <si>
    <t>Akiak</t>
  </si>
  <si>
    <t>AKJ</t>
  </si>
  <si>
    <t>Asahikawa</t>
  </si>
  <si>
    <t>AKK</t>
  </si>
  <si>
    <t>Akhiok Airport</t>
  </si>
  <si>
    <t>Akhiok</t>
  </si>
  <si>
    <t>AKL</t>
  </si>
  <si>
    <t>Auckland International Airport</t>
  </si>
  <si>
    <t>Auckland</t>
  </si>
  <si>
    <t>AKN</t>
  </si>
  <si>
    <t>King Salmon Airport</t>
  </si>
  <si>
    <t>King Salmon</t>
  </si>
  <si>
    <t>AKO</t>
  </si>
  <si>
    <t>Colorado Plains Regional Airport</t>
  </si>
  <si>
    <t>AKP</t>
  </si>
  <si>
    <t>Anaktuvuk Pass Airport</t>
  </si>
  <si>
    <t>Anaktuvuk Pass</t>
  </si>
  <si>
    <t>AKR</t>
  </si>
  <si>
    <t>Akure Airport</t>
  </si>
  <si>
    <t>Akure</t>
  </si>
  <si>
    <t>AKS</t>
  </si>
  <si>
    <t>Auki Airport</t>
  </si>
  <si>
    <t>Auki</t>
  </si>
  <si>
    <t>AKT</t>
  </si>
  <si>
    <t>RAF Akrotiri</t>
  </si>
  <si>
    <t>Cyprus</t>
  </si>
  <si>
    <t>Akrotiri</t>
  </si>
  <si>
    <t>AKU</t>
  </si>
  <si>
    <t>Aksu Airport</t>
  </si>
  <si>
    <t>Aksu</t>
  </si>
  <si>
    <t>AKV</t>
  </si>
  <si>
    <t>Akulivik Airport</t>
  </si>
  <si>
    <t>Akulivik</t>
  </si>
  <si>
    <t>AKX</t>
  </si>
  <si>
    <t>Aktobe Airport</t>
  </si>
  <si>
    <t>Aktyubinsk</t>
  </si>
  <si>
    <t>AKY</t>
  </si>
  <si>
    <t>Sittwe Airport</t>
  </si>
  <si>
    <t>Sittwe</t>
  </si>
  <si>
    <t>ALA</t>
  </si>
  <si>
    <t>Almaty Airport</t>
  </si>
  <si>
    <t>Alma-ata</t>
  </si>
  <si>
    <t>ALB</t>
  </si>
  <si>
    <t>Albany International Airport</t>
  </si>
  <si>
    <t>ALC</t>
  </si>
  <si>
    <t>Alicante International Airport</t>
  </si>
  <si>
    <t>Alicante</t>
  </si>
  <si>
    <t>ALF</t>
  </si>
  <si>
    <t>Alta Airport</t>
  </si>
  <si>
    <t>Alta</t>
  </si>
  <si>
    <t>Houari Boumediene Airport</t>
  </si>
  <si>
    <t>Algier</t>
  </si>
  <si>
    <t>ALH</t>
  </si>
  <si>
    <t>Albany Airport</t>
  </si>
  <si>
    <t>ALI</t>
  </si>
  <si>
    <t>Alice International Airport</t>
  </si>
  <si>
    <t>Alice</t>
  </si>
  <si>
    <t>ALJ</t>
  </si>
  <si>
    <t>Alexander Bay Airport</t>
  </si>
  <si>
    <t>Alexander Bay</t>
  </si>
  <si>
    <t>ALL</t>
  </si>
  <si>
    <t>Villanova D'Albenga International Airport</t>
  </si>
  <si>
    <t>Albenga</t>
  </si>
  <si>
    <t>ALM</t>
  </si>
  <si>
    <t>Alamogordo White Sands Regional Airport</t>
  </si>
  <si>
    <t>Alamogordo</t>
  </si>
  <si>
    <t>ALN</t>
  </si>
  <si>
    <t>St Louis Regional Airport</t>
  </si>
  <si>
    <t>Alton/St Louis</t>
  </si>
  <si>
    <t>ALO</t>
  </si>
  <si>
    <t>Waterloo Regional Airport</t>
  </si>
  <si>
    <t>Waterloo</t>
  </si>
  <si>
    <t>ALP</t>
  </si>
  <si>
    <t>Aleppo International Airport</t>
  </si>
  <si>
    <t>Syria</t>
  </si>
  <si>
    <t>Aleppo</t>
  </si>
  <si>
    <t>ALR</t>
  </si>
  <si>
    <t>Alexandra Airport</t>
  </si>
  <si>
    <t>Alexandra</t>
  </si>
  <si>
    <t>ALS</t>
  </si>
  <si>
    <t>San Luis Valley Regional Bergman Field</t>
  </si>
  <si>
    <t>Alamosa</t>
  </si>
  <si>
    <t>ALU</t>
  </si>
  <si>
    <t>Alula Airport</t>
  </si>
  <si>
    <t>Somalia</t>
  </si>
  <si>
    <t>Alula</t>
  </si>
  <si>
    <t>ALW</t>
  </si>
  <si>
    <t>Walla Walla Regional Airport</t>
  </si>
  <si>
    <t>Walla Walla</t>
  </si>
  <si>
    <t>ALX</t>
  </si>
  <si>
    <t>Thomas C Russell Field</t>
  </si>
  <si>
    <t>Alexander City</t>
  </si>
  <si>
    <t>ALY</t>
  </si>
  <si>
    <t>El Nouzha Airport</t>
  </si>
  <si>
    <t>AMA</t>
  </si>
  <si>
    <t>Rick Husband Amarillo International Airport</t>
  </si>
  <si>
    <t>Amarillo</t>
  </si>
  <si>
    <t>AMB</t>
  </si>
  <si>
    <t>Ambilobe Airport</t>
  </si>
  <si>
    <t>Ambilobe</t>
  </si>
  <si>
    <t>AMC</t>
  </si>
  <si>
    <t>Am Timan Airport</t>
  </si>
  <si>
    <t>Am Timan</t>
  </si>
  <si>
    <t>AMD</t>
  </si>
  <si>
    <t>Sardar Vallabhbhai Patel International Airport</t>
  </si>
  <si>
    <t>Ahmedabad</t>
  </si>
  <si>
    <t>AMH</t>
  </si>
  <si>
    <t>Arba Minch Airport</t>
  </si>
  <si>
    <t>Arba Minch</t>
  </si>
  <si>
    <t>AMI</t>
  </si>
  <si>
    <t>Selaparang Airport</t>
  </si>
  <si>
    <t>Mataram</t>
  </si>
  <si>
    <t>AMM</t>
  </si>
  <si>
    <t>Queen Alia International Airport</t>
  </si>
  <si>
    <t>AMQ</t>
  </si>
  <si>
    <t>Pattimura Airport, Ambon</t>
  </si>
  <si>
    <t>Ambon</t>
  </si>
  <si>
    <t>AMS</t>
  </si>
  <si>
    <t>Amsterdam Airport Schiphol</t>
  </si>
  <si>
    <t>Amsterdam</t>
  </si>
  <si>
    <t>AMV</t>
  </si>
  <si>
    <t>Amderma Airport</t>
  </si>
  <si>
    <t>Amderma</t>
  </si>
  <si>
    <t>AMZ</t>
  </si>
  <si>
    <t>Ardmore Airport</t>
  </si>
  <si>
    <t>ANB</t>
  </si>
  <si>
    <t>Anniston Metropolitan Airport</t>
  </si>
  <si>
    <t>Anniston</t>
  </si>
  <si>
    <t>ANC</t>
  </si>
  <si>
    <t>Ted Stevens Anchorage International Airport</t>
  </si>
  <si>
    <t>Anchorage</t>
  </si>
  <si>
    <t>AND</t>
  </si>
  <si>
    <t>Anderson Regional Airport</t>
  </si>
  <si>
    <t>Andersen</t>
  </si>
  <si>
    <t>ANE</t>
  </si>
  <si>
    <t>Angers-Loire Airport</t>
  </si>
  <si>
    <t>Angers/Marcé</t>
  </si>
  <si>
    <t>ANF</t>
  </si>
  <si>
    <t>Cerro Moreno Airport</t>
  </si>
  <si>
    <t>Antofagasta</t>
  </si>
  <si>
    <t>ANG</t>
  </si>
  <si>
    <t>Angoulême-Brie-Champniers Airport</t>
  </si>
  <si>
    <t>Angouleme</t>
  </si>
  <si>
    <t>ANI</t>
  </si>
  <si>
    <t>Aniak Airport</t>
  </si>
  <si>
    <t>Aniak</t>
  </si>
  <si>
    <t>ANK</t>
  </si>
  <si>
    <t>Etimesgut Air Base</t>
  </si>
  <si>
    <t>ANM</t>
  </si>
  <si>
    <t>Antsirabato Airport</t>
  </si>
  <si>
    <t>Antalaha</t>
  </si>
  <si>
    <t>ANN</t>
  </si>
  <si>
    <t>Annette Island Airport</t>
  </si>
  <si>
    <t>Annette Island</t>
  </si>
  <si>
    <t>ANP</t>
  </si>
  <si>
    <t>Lee Airport</t>
  </si>
  <si>
    <t>Annapolis</t>
  </si>
  <si>
    <t>ANQ</t>
  </si>
  <si>
    <t>Tri State Steuben County Airport</t>
  </si>
  <si>
    <t>ANR</t>
  </si>
  <si>
    <t>Antwerp International Airport (Deurne)</t>
  </si>
  <si>
    <t>Antwerp</t>
  </si>
  <si>
    <t>ANS</t>
  </si>
  <si>
    <t>Andahuaylas Airport</t>
  </si>
  <si>
    <t>Andahuaylas</t>
  </si>
  <si>
    <t>ANU</t>
  </si>
  <si>
    <t>V.C. Bird International Airport</t>
  </si>
  <si>
    <t>Antigua and Barbuda</t>
  </si>
  <si>
    <t>Antigua</t>
  </si>
  <si>
    <t>ANV</t>
  </si>
  <si>
    <t>Anvik Airport</t>
  </si>
  <si>
    <t>Anvik</t>
  </si>
  <si>
    <t>ANX</t>
  </si>
  <si>
    <t>Andøya Airport</t>
  </si>
  <si>
    <t>Andoya</t>
  </si>
  <si>
    <t>AOC</t>
  </si>
  <si>
    <t>Altenburg-Nobitz Airport</t>
  </si>
  <si>
    <t>Altenburg</t>
  </si>
  <si>
    <t>AOE</t>
  </si>
  <si>
    <t>Anadolu Airport</t>
  </si>
  <si>
    <t>Eskissehir</t>
  </si>
  <si>
    <t>AOG</t>
  </si>
  <si>
    <t>Anshan Air Base</t>
  </si>
  <si>
    <t>Anshan</t>
  </si>
  <si>
    <t>AOH</t>
  </si>
  <si>
    <t>Lima Allen County Airport</t>
  </si>
  <si>
    <t>Lima</t>
  </si>
  <si>
    <t>AOI</t>
  </si>
  <si>
    <t>Ancona Falconara Airport</t>
  </si>
  <si>
    <t>Ancona</t>
  </si>
  <si>
    <t>AOJ</t>
  </si>
  <si>
    <t>Aomori Airport</t>
  </si>
  <si>
    <t>Aomori</t>
  </si>
  <si>
    <t>AOK</t>
  </si>
  <si>
    <t>Karpathos Airport</t>
  </si>
  <si>
    <t>Karpathos</t>
  </si>
  <si>
    <t>AOL</t>
  </si>
  <si>
    <t>Paso De Los Libres Airport</t>
  </si>
  <si>
    <t>Paso De Los Libres</t>
  </si>
  <si>
    <t>AOO</t>
  </si>
  <si>
    <t>Altoona Blair County Airport</t>
  </si>
  <si>
    <t>Altoona</t>
  </si>
  <si>
    <t>AOR</t>
  </si>
  <si>
    <t>Sultan Abdul Halim Airport</t>
  </si>
  <si>
    <t>Alor Setar</t>
  </si>
  <si>
    <t>AOT</t>
  </si>
  <si>
    <t>Aosta Airport</t>
  </si>
  <si>
    <t>Aosta</t>
  </si>
  <si>
    <t>AOU</t>
  </si>
  <si>
    <t>Attopeu Airport</t>
  </si>
  <si>
    <t>Attopeu</t>
  </si>
  <si>
    <t>APA</t>
  </si>
  <si>
    <t>Centennial Airport</t>
  </si>
  <si>
    <t>Denver</t>
  </si>
  <si>
    <t>APC</t>
  </si>
  <si>
    <t>Napa County Airport</t>
  </si>
  <si>
    <t>Napa</t>
  </si>
  <si>
    <t>APF</t>
  </si>
  <si>
    <t>Naples Municipal Airport</t>
  </si>
  <si>
    <t>Naples</t>
  </si>
  <si>
    <t>APG</t>
  </si>
  <si>
    <t>Phillips Army Air Field</t>
  </si>
  <si>
    <t>API</t>
  </si>
  <si>
    <t>Gomez Nino Apiay Air Base</t>
  </si>
  <si>
    <t>Apiay</t>
  </si>
  <si>
    <t>APK</t>
  </si>
  <si>
    <t>Apataki Airport</t>
  </si>
  <si>
    <t>Apataki</t>
  </si>
  <si>
    <t>APL</t>
  </si>
  <si>
    <t>Nampula Airport</t>
  </si>
  <si>
    <t>Nampula</t>
  </si>
  <si>
    <t>APN</t>
  </si>
  <si>
    <t>Alpena County Regional Airport</t>
  </si>
  <si>
    <t>Alpena</t>
  </si>
  <si>
    <t>APO</t>
  </si>
  <si>
    <t>Antonio Roldan Betancourt Airport</t>
  </si>
  <si>
    <t>Carepa</t>
  </si>
  <si>
    <t>APQ</t>
  </si>
  <si>
    <t>Arapiraca Airport</t>
  </si>
  <si>
    <t>Arapiraca</t>
  </si>
  <si>
    <t>APW</t>
  </si>
  <si>
    <t>Faleolo International Airport</t>
  </si>
  <si>
    <t>Samoa</t>
  </si>
  <si>
    <t>Faleolo</t>
  </si>
  <si>
    <t>APZ</t>
  </si>
  <si>
    <t>Zapala Airport</t>
  </si>
  <si>
    <t>ZAPALA</t>
  </si>
  <si>
    <t>AQA</t>
  </si>
  <si>
    <t>Araraquara Airport</t>
  </si>
  <si>
    <t>AQB</t>
  </si>
  <si>
    <t>Santa Cruz del Quiche Airport</t>
  </si>
  <si>
    <t>Santa Cruz des Quiche</t>
  </si>
  <si>
    <t>AQC</t>
  </si>
  <si>
    <t>Klawock Seaplane Base</t>
  </si>
  <si>
    <t>Klawock</t>
  </si>
  <si>
    <t>AQG</t>
  </si>
  <si>
    <t>Anqing Tianzhushan Airport</t>
  </si>
  <si>
    <t>Anqing</t>
  </si>
  <si>
    <t>AQI</t>
  </si>
  <si>
    <t>Al Qaisumah/Hafr Al Batin Airport</t>
  </si>
  <si>
    <t>Hafr Al-batin</t>
  </si>
  <si>
    <t>AQJ</t>
  </si>
  <si>
    <t>Aqaba King Hussein International Airport</t>
  </si>
  <si>
    <t>Aqaba</t>
  </si>
  <si>
    <t>AQP</t>
  </si>
  <si>
    <t>Rodríguez Ballón International Airport</t>
  </si>
  <si>
    <t>Arequipa</t>
  </si>
  <si>
    <t>ARA</t>
  </si>
  <si>
    <t>Acadiana Regional Airport</t>
  </si>
  <si>
    <t>Louisiana</t>
  </si>
  <si>
    <t>ARB</t>
  </si>
  <si>
    <t>Ann Arbor Municipal Airport</t>
  </si>
  <si>
    <t>Ann Arbor</t>
  </si>
  <si>
    <t>ARC</t>
  </si>
  <si>
    <t>Arctic Village Airport</t>
  </si>
  <si>
    <t>Arctic Village</t>
  </si>
  <si>
    <t>ARD</t>
  </si>
  <si>
    <t>Mali Airport</t>
  </si>
  <si>
    <t>Alor Island</t>
  </si>
  <si>
    <t>ARE</t>
  </si>
  <si>
    <t>Antonio Nery Juarbe Pol Airport</t>
  </si>
  <si>
    <t>Arecibo</t>
  </si>
  <si>
    <t>ARH</t>
  </si>
  <si>
    <t>Talagi Airport</t>
  </si>
  <si>
    <t>ARI</t>
  </si>
  <si>
    <t>Chacalluta Airport</t>
  </si>
  <si>
    <t>Arica</t>
  </si>
  <si>
    <t>ARK</t>
  </si>
  <si>
    <t>Arusha Airport</t>
  </si>
  <si>
    <t>Arusha</t>
  </si>
  <si>
    <t>ARM</t>
  </si>
  <si>
    <t>Armidale Airport</t>
  </si>
  <si>
    <t>Armidale</t>
  </si>
  <si>
    <t>ARN</t>
  </si>
  <si>
    <t>Stockholm-Arlanda Airport</t>
  </si>
  <si>
    <t>ARR</t>
  </si>
  <si>
    <t>D. Casimiro Szlapelis Airport</t>
  </si>
  <si>
    <t>Alto Rio Senguer</t>
  </si>
  <si>
    <t>ART</t>
  </si>
  <si>
    <t>Watertown International Airport</t>
  </si>
  <si>
    <t>Watertown</t>
  </si>
  <si>
    <t>ARU</t>
  </si>
  <si>
    <t>Araçatuba Airport</t>
  </si>
  <si>
    <t>Aracatuba</t>
  </si>
  <si>
    <t>ARV</t>
  </si>
  <si>
    <t>Lakeland-Noble F. Lee Memorial field</t>
  </si>
  <si>
    <t>Minocqua - Woodruff</t>
  </si>
  <si>
    <t>ARW</t>
  </si>
  <si>
    <t>Arad International Airport</t>
  </si>
  <si>
    <t>Arad</t>
  </si>
  <si>
    <t>ARY</t>
  </si>
  <si>
    <t>Ararat Airport</t>
  </si>
  <si>
    <t>ASA</t>
  </si>
  <si>
    <t>Assab International Airport</t>
  </si>
  <si>
    <t>Eritrea</t>
  </si>
  <si>
    <t>Assab</t>
  </si>
  <si>
    <t>ASB</t>
  </si>
  <si>
    <t>Ashgabat Airport</t>
  </si>
  <si>
    <t>Turkmenistan</t>
  </si>
  <si>
    <t>Ashkhabad</t>
  </si>
  <si>
    <t>ASD</t>
  </si>
  <si>
    <t>Andros Town Airport</t>
  </si>
  <si>
    <t>Andros Town</t>
  </si>
  <si>
    <t>ASE</t>
  </si>
  <si>
    <t>Aspen-Pitkin Co/Sardy Field</t>
  </si>
  <si>
    <t>Aspen</t>
  </si>
  <si>
    <t>ASF</t>
  </si>
  <si>
    <t>Astrakhan Airport</t>
  </si>
  <si>
    <t>Astrakhan</t>
  </si>
  <si>
    <t>ASH</t>
  </si>
  <si>
    <t>Boire Field</t>
  </si>
  <si>
    <t>Nashua</t>
  </si>
  <si>
    <t>ASI</t>
  </si>
  <si>
    <t>RAF Ascension Island</t>
  </si>
  <si>
    <t>Saint Helena</t>
  </si>
  <si>
    <t>Wide Awake</t>
  </si>
  <si>
    <t>ASJ</t>
  </si>
  <si>
    <t>Amami Airport</t>
  </si>
  <si>
    <t>Amami</t>
  </si>
  <si>
    <t>ASK</t>
  </si>
  <si>
    <t>Yamoussoukro Airport</t>
  </si>
  <si>
    <t>Yamoussoukro</t>
  </si>
  <si>
    <t>ASM</t>
  </si>
  <si>
    <t>Asmara International Airport</t>
  </si>
  <si>
    <t>Asmara</t>
  </si>
  <si>
    <t>ASN</t>
  </si>
  <si>
    <t>Talladega Municipal Airport</t>
  </si>
  <si>
    <t>Talladega</t>
  </si>
  <si>
    <t>ASO</t>
  </si>
  <si>
    <t>Asosa Airport</t>
  </si>
  <si>
    <t>Asosa</t>
  </si>
  <si>
    <t>ASP</t>
  </si>
  <si>
    <t>Alice Springs Airport</t>
  </si>
  <si>
    <t>Alice Springs</t>
  </si>
  <si>
    <t>ASR</t>
  </si>
  <si>
    <t>Kayseri Erkilet Airport</t>
  </si>
  <si>
    <t>Kayseri</t>
  </si>
  <si>
    <t>AST</t>
  </si>
  <si>
    <t>Astoria Regional Airport</t>
  </si>
  <si>
    <t>Astoria</t>
  </si>
  <si>
    <t>ASU</t>
  </si>
  <si>
    <t>Silvio Pettirossi International Airport</t>
  </si>
  <si>
    <t>Asuncion</t>
  </si>
  <si>
    <t>ASV</t>
  </si>
  <si>
    <t>Amboseli Airport</t>
  </si>
  <si>
    <t>Amboseli National Park</t>
  </si>
  <si>
    <t>ASW</t>
  </si>
  <si>
    <t>Aswan International Airport</t>
  </si>
  <si>
    <t>Aswan</t>
  </si>
  <si>
    <t>ATA</t>
  </si>
  <si>
    <t>Comandante FAP German Arias Graziani Airport</t>
  </si>
  <si>
    <t>Anta</t>
  </si>
  <si>
    <t>ATB</t>
  </si>
  <si>
    <t>Atbara Airport</t>
  </si>
  <si>
    <t>Atbara</t>
  </si>
  <si>
    <t>ATC</t>
  </si>
  <si>
    <t>Arthur's Town Airport</t>
  </si>
  <si>
    <t>Arthur's Town</t>
  </si>
  <si>
    <t>ATD</t>
  </si>
  <si>
    <t>Uru Harbour Airport</t>
  </si>
  <si>
    <t>Atoifi</t>
  </si>
  <si>
    <t>ATF</t>
  </si>
  <si>
    <t>Chachoán Airport</t>
  </si>
  <si>
    <t>Ambato</t>
  </si>
  <si>
    <t>ATG</t>
  </si>
  <si>
    <t>Minhas Air Base</t>
  </si>
  <si>
    <t>Kamra</t>
  </si>
  <si>
    <t>ATH</t>
  </si>
  <si>
    <t>Eleftherios Venizelos International Airport</t>
  </si>
  <si>
    <t>ATI</t>
  </si>
  <si>
    <t>Artigas International Airport</t>
  </si>
  <si>
    <t>Artigas</t>
  </si>
  <si>
    <t>ATJ</t>
  </si>
  <si>
    <t>Antsirabe Airport</t>
  </si>
  <si>
    <t>Antsirabe</t>
  </si>
  <si>
    <t>ATK</t>
  </si>
  <si>
    <t>Atqasuk Edward Burnell Sr Memorial Airport</t>
  </si>
  <si>
    <t>Atqasuk</t>
  </si>
  <si>
    <t>ATL</t>
  </si>
  <si>
    <t>Hartsfield Jackson Atlanta International Airport</t>
  </si>
  <si>
    <t>Atlanta</t>
  </si>
  <si>
    <t>ATM</t>
  </si>
  <si>
    <t>Altamira Airport</t>
  </si>
  <si>
    <t>Altamira</t>
  </si>
  <si>
    <t>ATQ</t>
  </si>
  <si>
    <t>Sri Guru Ram Dass Jee International Airport</t>
  </si>
  <si>
    <t>Amritsar</t>
  </si>
  <si>
    <t>ATR</t>
  </si>
  <si>
    <t>Atar International Airport</t>
  </si>
  <si>
    <t>Atar</t>
  </si>
  <si>
    <t>ATW</t>
  </si>
  <si>
    <t>Appleton International Airport</t>
  </si>
  <si>
    <t>Appleton</t>
  </si>
  <si>
    <t>ATY</t>
  </si>
  <si>
    <t>Watertown Regional Airport</t>
  </si>
  <si>
    <t>ATZ</t>
  </si>
  <si>
    <t>Assiut International Airport</t>
  </si>
  <si>
    <t>Asyut</t>
  </si>
  <si>
    <t>AUA</t>
  </si>
  <si>
    <t>Queen Beatrix International Airport</t>
  </si>
  <si>
    <t>Aruba</t>
  </si>
  <si>
    <t>Oranjestad</t>
  </si>
  <si>
    <t>AUC</t>
  </si>
  <si>
    <t>Santiago Perez Airport</t>
  </si>
  <si>
    <t>Arauca</t>
  </si>
  <si>
    <t>AUF</t>
  </si>
  <si>
    <t>Auxerre-Branches Airport</t>
  </si>
  <si>
    <t>Auxerre</t>
  </si>
  <si>
    <t>AUG</t>
  </si>
  <si>
    <t>Augusta State Airport</t>
  </si>
  <si>
    <t>AUH</t>
  </si>
  <si>
    <t>Abu Dhabi International Airport</t>
  </si>
  <si>
    <t>AUK</t>
  </si>
  <si>
    <t>Alakanuk Airport</t>
  </si>
  <si>
    <t>Alakanuk</t>
  </si>
  <si>
    <t>AUO</t>
  </si>
  <si>
    <t>Auburn Opelika Robert G. Pitts Airport</t>
  </si>
  <si>
    <t>Auburn</t>
  </si>
  <si>
    <t>AUQ</t>
  </si>
  <si>
    <t>Hiva Oa-Atuona Airport</t>
  </si>
  <si>
    <t>Hiva-oa</t>
  </si>
  <si>
    <t>AUR</t>
  </si>
  <si>
    <t>Aurillac Airport</t>
  </si>
  <si>
    <t>Aurillac</t>
  </si>
  <si>
    <t>AUS</t>
  </si>
  <si>
    <t>Austin Bergstrom International Airport</t>
  </si>
  <si>
    <t>AUU</t>
  </si>
  <si>
    <t>Aurukun Airport</t>
  </si>
  <si>
    <t>Aurukun</t>
  </si>
  <si>
    <t>AUW</t>
  </si>
  <si>
    <t>Wausau Downtown Airport</t>
  </si>
  <si>
    <t>Wausau</t>
  </si>
  <si>
    <t>AUX</t>
  </si>
  <si>
    <t>Araguaína Airport</t>
  </si>
  <si>
    <t>Araguaina</t>
  </si>
  <si>
    <t>AUY</t>
  </si>
  <si>
    <t>Aneityum Airport</t>
  </si>
  <si>
    <t>Vanuatu</t>
  </si>
  <si>
    <t>Anelghowhat</t>
  </si>
  <si>
    <t>AVA</t>
  </si>
  <si>
    <t>Anshun Huangguoshu Airport</t>
  </si>
  <si>
    <t>Anshun</t>
  </si>
  <si>
    <t>AVB</t>
  </si>
  <si>
    <t>Aviano Air Base</t>
  </si>
  <si>
    <t>Aviano</t>
  </si>
  <si>
    <t>AVI</t>
  </si>
  <si>
    <t>Maximo Gomez Airport</t>
  </si>
  <si>
    <t>Ciego De Avila</t>
  </si>
  <si>
    <t>AVK</t>
  </si>
  <si>
    <t>Arvaikheer Airport</t>
  </si>
  <si>
    <t>Arvaikheer</t>
  </si>
  <si>
    <t>AVL</t>
  </si>
  <si>
    <t>Asheville Regional Airport</t>
  </si>
  <si>
    <t>Asheville</t>
  </si>
  <si>
    <t>AVN</t>
  </si>
  <si>
    <t>Avignon-Caumont Airport</t>
  </si>
  <si>
    <t>Avignon</t>
  </si>
  <si>
    <t>AVO</t>
  </si>
  <si>
    <t>Avon Park Executive Airport</t>
  </si>
  <si>
    <t>Avon Park</t>
  </si>
  <si>
    <t>AVP</t>
  </si>
  <si>
    <t>Wilkes Barre Scranton International Airport</t>
  </si>
  <si>
    <t>AVV</t>
  </si>
  <si>
    <t>Avalon Airport</t>
  </si>
  <si>
    <t>Avalon</t>
  </si>
  <si>
    <t>AVW</t>
  </si>
  <si>
    <t>Marana Regional Airport</t>
  </si>
  <si>
    <t>AVX</t>
  </si>
  <si>
    <t>Catalina Airport</t>
  </si>
  <si>
    <t>Catalina Island</t>
  </si>
  <si>
    <t>AWA</t>
  </si>
  <si>
    <t>Awassa Airport</t>
  </si>
  <si>
    <t>Awasa</t>
  </si>
  <si>
    <t>AWD</t>
  </si>
  <si>
    <t>Aniwa Airport</t>
  </si>
  <si>
    <t>Aniwa</t>
  </si>
  <si>
    <t>AWK</t>
  </si>
  <si>
    <t>Wake Island Airfield</t>
  </si>
  <si>
    <t>Wake Island</t>
  </si>
  <si>
    <t>Wake island</t>
  </si>
  <si>
    <t>AWO</t>
  </si>
  <si>
    <t>Arlington Municipal Airport</t>
  </si>
  <si>
    <t>Arlington</t>
  </si>
  <si>
    <t>AWZ</t>
  </si>
  <si>
    <t>Ahwaz Airport</t>
  </si>
  <si>
    <t>Ahwaz</t>
  </si>
  <si>
    <t>AXA</t>
  </si>
  <si>
    <t>Wallblake Airport</t>
  </si>
  <si>
    <t>Anguilla</t>
  </si>
  <si>
    <t>The Valley</t>
  </si>
  <si>
    <t>AXD</t>
  </si>
  <si>
    <t>Dimokritos Airport</t>
  </si>
  <si>
    <t>Alexandroupolis</t>
  </si>
  <si>
    <t>AXJ</t>
  </si>
  <si>
    <t>Amakusa Airport</t>
  </si>
  <si>
    <t>Amakusa</t>
  </si>
  <si>
    <t>AXK</t>
  </si>
  <si>
    <t>Ataq Airport</t>
  </si>
  <si>
    <t>Ataq</t>
  </si>
  <si>
    <t>AXM</t>
  </si>
  <si>
    <t>El Eden Airport</t>
  </si>
  <si>
    <t>AXN</t>
  </si>
  <si>
    <t>Chandler Field</t>
  </si>
  <si>
    <t>AXP</t>
  </si>
  <si>
    <t>Spring Point Airport</t>
  </si>
  <si>
    <t>Spring Point</t>
  </si>
  <si>
    <t>AXR</t>
  </si>
  <si>
    <t>Arutua Airport</t>
  </si>
  <si>
    <t>Arutua</t>
  </si>
  <si>
    <t>AXT</t>
  </si>
  <si>
    <t>Akita Airport</t>
  </si>
  <si>
    <t>Akita</t>
  </si>
  <si>
    <t>AXU</t>
  </si>
  <si>
    <t>Axum Airport</t>
  </si>
  <si>
    <t>Axum</t>
  </si>
  <si>
    <t>AYK</t>
  </si>
  <si>
    <t>Arkalyk North Airport</t>
  </si>
  <si>
    <t>Arkalyk</t>
  </si>
  <si>
    <t>AYP</t>
  </si>
  <si>
    <t>Coronel FAP Alfredo Mendivil Duarte Airport</t>
  </si>
  <si>
    <t>Ayacucho</t>
  </si>
  <si>
    <t>AYQ</t>
  </si>
  <si>
    <t>Ayers Rock Connellan Airport</t>
  </si>
  <si>
    <t>Uluru</t>
  </si>
  <si>
    <t>AYT</t>
  </si>
  <si>
    <t>Antalya International Airport</t>
  </si>
  <si>
    <t>Antalya</t>
  </si>
  <si>
    <t>AZ3</t>
  </si>
  <si>
    <t>Sharana Airstrip</t>
  </si>
  <si>
    <t>Sharona</t>
  </si>
  <si>
    <t>AZA</t>
  </si>
  <si>
    <t>Phoenix-Mesa-Gateway Airport</t>
  </si>
  <si>
    <t>Mesa</t>
  </si>
  <si>
    <t>AZD</t>
  </si>
  <si>
    <t>Shahid Sadooghi Airport</t>
  </si>
  <si>
    <t>Yazd</t>
  </si>
  <si>
    <t>AZI</t>
  </si>
  <si>
    <t>Bateen Airport</t>
  </si>
  <si>
    <t>AZN</t>
  </si>
  <si>
    <t>Andizhan Airport</t>
  </si>
  <si>
    <t>Andizhan</t>
  </si>
  <si>
    <t>AZO</t>
  </si>
  <si>
    <t>Kalamazoo Battle Creek International Airport</t>
  </si>
  <si>
    <t>Kalamazoo</t>
  </si>
  <si>
    <t>AZR</t>
  </si>
  <si>
    <t>Touat Cheikh Sidi Mohamed Belkebir Airport</t>
  </si>
  <si>
    <t>Adrar</t>
  </si>
  <si>
    <t>AZS</t>
  </si>
  <si>
    <t>Samaná El Catey International Airport</t>
  </si>
  <si>
    <t>Samana</t>
  </si>
  <si>
    <t>BAB</t>
  </si>
  <si>
    <t>Beale Air Force Base</t>
  </si>
  <si>
    <t>Marysville</t>
  </si>
  <si>
    <t>BAD</t>
  </si>
  <si>
    <t>Barksdale Air Force Base</t>
  </si>
  <si>
    <t>BAF</t>
  </si>
  <si>
    <t>Barnes Municipal Airport</t>
  </si>
  <si>
    <t>Westfield</t>
  </si>
  <si>
    <t>BAG</t>
  </si>
  <si>
    <t>Loakan Airport</t>
  </si>
  <si>
    <t>Baguio</t>
  </si>
  <si>
    <t>BAH</t>
  </si>
  <si>
    <t>Bahrain International Airport</t>
  </si>
  <si>
    <t>BAL</t>
  </si>
  <si>
    <t>Batman Airport</t>
  </si>
  <si>
    <t>Batman</t>
  </si>
  <si>
    <t>BAQ</t>
  </si>
  <si>
    <t>Ernesto Cortissoz International Airport</t>
  </si>
  <si>
    <t>Barranquilla</t>
  </si>
  <si>
    <t>BAS</t>
  </si>
  <si>
    <t>Ballalae Airport</t>
  </si>
  <si>
    <t>Ballalae</t>
  </si>
  <si>
    <t>BAT</t>
  </si>
  <si>
    <t>Chafei Amsei Airport</t>
  </si>
  <si>
    <t>Barretos</t>
  </si>
  <si>
    <t>BAU</t>
  </si>
  <si>
    <t>Bauru Airport</t>
  </si>
  <si>
    <t>Bauru</t>
  </si>
  <si>
    <t>BAV</t>
  </si>
  <si>
    <t>Baotou Airport</t>
  </si>
  <si>
    <t>Baotou</t>
  </si>
  <si>
    <t>BAX</t>
  </si>
  <si>
    <t>Barnaul Airport</t>
  </si>
  <si>
    <t>Barnaul</t>
  </si>
  <si>
    <t>BAY</t>
  </si>
  <si>
    <t>Tautii Magheraus Airport</t>
  </si>
  <si>
    <t>Baia Mare</t>
  </si>
  <si>
    <t>BAZ</t>
  </si>
  <si>
    <t>Barcelos Airport</t>
  </si>
  <si>
    <t>Barcelos</t>
  </si>
  <si>
    <t>BBA</t>
  </si>
  <si>
    <t>Balmaceda Airport</t>
  </si>
  <si>
    <t>Balmaceda</t>
  </si>
  <si>
    <t>BBD</t>
  </si>
  <si>
    <t>Curtis Field</t>
  </si>
  <si>
    <t>Brady</t>
  </si>
  <si>
    <t>BBG</t>
  </si>
  <si>
    <t>Butaritari Atoll Airport</t>
  </si>
  <si>
    <t>Butaritari</t>
  </si>
  <si>
    <t>BBH</t>
  </si>
  <si>
    <t>Barth Airport</t>
  </si>
  <si>
    <t>Barth</t>
  </si>
  <si>
    <t>BBI</t>
  </si>
  <si>
    <t>Biju Patnaik Airport</t>
  </si>
  <si>
    <t>Bhubaneswar</t>
  </si>
  <si>
    <t>BBJ</t>
  </si>
  <si>
    <t>Bitburg Airport</t>
  </si>
  <si>
    <t>Birburg</t>
  </si>
  <si>
    <t>BBK</t>
  </si>
  <si>
    <t>Kasane Airport</t>
  </si>
  <si>
    <t>Kasane</t>
  </si>
  <si>
    <t>BBM</t>
  </si>
  <si>
    <t>Battambang Airport</t>
  </si>
  <si>
    <t>Battambang</t>
  </si>
  <si>
    <t>BBN</t>
  </si>
  <si>
    <t>Bario Airport</t>
  </si>
  <si>
    <t>Bario</t>
  </si>
  <si>
    <t>BBO</t>
  </si>
  <si>
    <t>Berbera Airport</t>
  </si>
  <si>
    <t>Berbera</t>
  </si>
  <si>
    <t>BBP</t>
  </si>
  <si>
    <t>Bembridge Airport</t>
  </si>
  <si>
    <t>Bembridge</t>
  </si>
  <si>
    <t>BBQ</t>
  </si>
  <si>
    <t>Codrington Airport</t>
  </si>
  <si>
    <t>Codrington</t>
  </si>
  <si>
    <t>BBR</t>
  </si>
  <si>
    <t>Baillif Airport</t>
  </si>
  <si>
    <t>Guadeloupe</t>
  </si>
  <si>
    <t>Basse Terre</t>
  </si>
  <si>
    <t>BBS</t>
  </si>
  <si>
    <t>Blackbushe Airport</t>
  </si>
  <si>
    <t>Blackbushe</t>
  </si>
  <si>
    <t>BBT</t>
  </si>
  <si>
    <t>Berbérati Airport</t>
  </si>
  <si>
    <t>Central African Republic</t>
  </si>
  <si>
    <t>Berberati</t>
  </si>
  <si>
    <t>BBU</t>
  </si>
  <si>
    <t>Băneasa International Airport</t>
  </si>
  <si>
    <t>Bucharest</t>
  </si>
  <si>
    <t>BBX</t>
  </si>
  <si>
    <t>Wings Field</t>
  </si>
  <si>
    <t>Philadelphia</t>
  </si>
  <si>
    <t>BCA</t>
  </si>
  <si>
    <t>Gustavo Rizo Airport</t>
  </si>
  <si>
    <t>Baracoa Playa</t>
  </si>
  <si>
    <t>BCD</t>
  </si>
  <si>
    <t>Bacolod-Silay City International Airport</t>
  </si>
  <si>
    <t>Bacolod</t>
  </si>
  <si>
    <t>BCE</t>
  </si>
  <si>
    <t>Bryce Canyon Airport</t>
  </si>
  <si>
    <t>Bryce Canyon</t>
  </si>
  <si>
    <t>BCI</t>
  </si>
  <si>
    <t>Barcaldine Airport</t>
  </si>
  <si>
    <t>Barcaldine</t>
  </si>
  <si>
    <t>BCL</t>
  </si>
  <si>
    <t>Barra del Colorado Airport</t>
  </si>
  <si>
    <t>Pococi</t>
  </si>
  <si>
    <t>BCM</t>
  </si>
  <si>
    <t>Bacău Airport</t>
  </si>
  <si>
    <t>Bacau</t>
  </si>
  <si>
    <t>BCN</t>
  </si>
  <si>
    <t>Barcelona International Airport</t>
  </si>
  <si>
    <t>Barcelona</t>
  </si>
  <si>
    <t>BCO</t>
  </si>
  <si>
    <t>Baco Airport</t>
  </si>
  <si>
    <t>Baco</t>
  </si>
  <si>
    <t>BCT</t>
  </si>
  <si>
    <t>Boca Raton Airport</t>
  </si>
  <si>
    <t>Boca Raton</t>
  </si>
  <si>
    <t>BCV</t>
  </si>
  <si>
    <t>Birchwood Airport</t>
  </si>
  <si>
    <t>Belize</t>
  </si>
  <si>
    <t>Belmopan</t>
  </si>
  <si>
    <t>BDA</t>
  </si>
  <si>
    <t>L.F. Wade International International Airport</t>
  </si>
  <si>
    <t>Bermuda</t>
  </si>
  <si>
    <t>BDB</t>
  </si>
  <si>
    <t>Bundaberg Airport</t>
  </si>
  <si>
    <t>Bundaberg</t>
  </si>
  <si>
    <t>BDD</t>
  </si>
  <si>
    <t>Badu Island Airport</t>
  </si>
  <si>
    <t>Badu Island</t>
  </si>
  <si>
    <t>BDE</t>
  </si>
  <si>
    <t>Baudette International Airport</t>
  </si>
  <si>
    <t>Baudette</t>
  </si>
  <si>
    <t>BDH</t>
  </si>
  <si>
    <t>Bandar Lengeh Airport</t>
  </si>
  <si>
    <t>Bandar Lengeh</t>
  </si>
  <si>
    <t>BDI</t>
  </si>
  <si>
    <t>Bird Island Airport</t>
  </si>
  <si>
    <t>Bird Island</t>
  </si>
  <si>
    <t>BDJ</t>
  </si>
  <si>
    <t>Syamsudin Noor Airport</t>
  </si>
  <si>
    <t>Banjarmasin</t>
  </si>
  <si>
    <t>BDL</t>
  </si>
  <si>
    <t>Bradley International Airport</t>
  </si>
  <si>
    <t>Windsor Locks</t>
  </si>
  <si>
    <t>BDM</t>
  </si>
  <si>
    <t>Bandırma Airport</t>
  </si>
  <si>
    <t>Bandirma</t>
  </si>
  <si>
    <t>BDN</t>
  </si>
  <si>
    <t>Talhar Airport</t>
  </si>
  <si>
    <t>Talhar</t>
  </si>
  <si>
    <t>BDO</t>
  </si>
  <si>
    <t>Husein Sastranegara International Airport</t>
  </si>
  <si>
    <t>Bandung</t>
  </si>
  <si>
    <t>BDP</t>
  </si>
  <si>
    <t>Bhadrapur Airport</t>
  </si>
  <si>
    <t>Chandragarhi</t>
  </si>
  <si>
    <t>BDQ</t>
  </si>
  <si>
    <t>Vadodara Airport</t>
  </si>
  <si>
    <t>Baroda</t>
  </si>
  <si>
    <t>BDR</t>
  </si>
  <si>
    <t>Igor I Sikorsky Memorial Airport</t>
  </si>
  <si>
    <t>Stratford</t>
  </si>
  <si>
    <t>BDS</t>
  </si>
  <si>
    <t>Brindisi – Salento Airport</t>
  </si>
  <si>
    <t>Brindisi</t>
  </si>
  <si>
    <t>BDT</t>
  </si>
  <si>
    <t>Gbadolite Airport</t>
  </si>
  <si>
    <t>Gbadolite</t>
  </si>
  <si>
    <t>BDU</t>
  </si>
  <si>
    <t>Bardufoss Airport</t>
  </si>
  <si>
    <t>Bardufoss</t>
  </si>
  <si>
    <t>BEB</t>
  </si>
  <si>
    <t>Benbecula Airport</t>
  </si>
  <si>
    <t>Benbecula</t>
  </si>
  <si>
    <t>BEC</t>
  </si>
  <si>
    <t>Beech Factory Airport</t>
  </si>
  <si>
    <t>Wichita</t>
  </si>
  <si>
    <t>BED</t>
  </si>
  <si>
    <t>Laurence G Hanscom Field</t>
  </si>
  <si>
    <t>BEF</t>
  </si>
  <si>
    <t>Bluefields Airport</t>
  </si>
  <si>
    <t>Bluefields</t>
  </si>
  <si>
    <t>BEG</t>
  </si>
  <si>
    <t>Belgrade Nikola Tesla Airport</t>
  </si>
  <si>
    <t>Belgrade</t>
  </si>
  <si>
    <t>BEI</t>
  </si>
  <si>
    <t>Beica Airport</t>
  </si>
  <si>
    <t>Beica</t>
  </si>
  <si>
    <t>BEJ</t>
  </si>
  <si>
    <t>Barau(Kalimaru) Airport</t>
  </si>
  <si>
    <t>Tanjung Redep-Borneo Island</t>
  </si>
  <si>
    <t>BEL</t>
  </si>
  <si>
    <t>Val de Cans/Júlio Cezar Ribeiro International Airport</t>
  </si>
  <si>
    <t>BEM</t>
  </si>
  <si>
    <t>Beni Mellal Airport</t>
  </si>
  <si>
    <t>Beni Mellal</t>
  </si>
  <si>
    <t>BEN</t>
  </si>
  <si>
    <t>Benina International Airport</t>
  </si>
  <si>
    <t>Benghazi</t>
  </si>
  <si>
    <t>BEO</t>
  </si>
  <si>
    <t>Lake Macquarie Airport</t>
  </si>
  <si>
    <t>Lake Macquarie</t>
  </si>
  <si>
    <t>BEP</t>
  </si>
  <si>
    <t>Bellary Airport</t>
  </si>
  <si>
    <t>Bellary</t>
  </si>
  <si>
    <t>BEQ</t>
  </si>
  <si>
    <t>RAF Honington</t>
  </si>
  <si>
    <t>Honington</t>
  </si>
  <si>
    <t>BES</t>
  </si>
  <si>
    <t>Brest Bretagne Airport</t>
  </si>
  <si>
    <t>Brest</t>
  </si>
  <si>
    <t>BET</t>
  </si>
  <si>
    <t>Bethel Airport</t>
  </si>
  <si>
    <t>Bethel</t>
  </si>
  <si>
    <t>BEU</t>
  </si>
  <si>
    <t>Bedourie Airport</t>
  </si>
  <si>
    <t>Bedourie</t>
  </si>
  <si>
    <t>BEV</t>
  </si>
  <si>
    <t>Beersheba (Teyman) Airport</t>
  </si>
  <si>
    <t>Beer-sheba</t>
  </si>
  <si>
    <t>BEW</t>
  </si>
  <si>
    <t>Beira Airport</t>
  </si>
  <si>
    <t>Beira</t>
  </si>
  <si>
    <t>BEY</t>
  </si>
  <si>
    <t>Beirut Rafic Hariri International Airport</t>
  </si>
  <si>
    <t>Beirut</t>
  </si>
  <si>
    <t>BEZ</t>
  </si>
  <si>
    <t>Beru Airport</t>
  </si>
  <si>
    <t>Beru Island</t>
  </si>
  <si>
    <t>BFD</t>
  </si>
  <si>
    <t>Bradford Regional Airport</t>
  </si>
  <si>
    <t>Bradford</t>
  </si>
  <si>
    <t>BFF</t>
  </si>
  <si>
    <t>Western Neb. Rgnl/William B. Heilig Airport</t>
  </si>
  <si>
    <t>Scottsbluff</t>
  </si>
  <si>
    <t>BFH</t>
  </si>
  <si>
    <t>Bacacheri Airport</t>
  </si>
  <si>
    <t>Curitiba</t>
  </si>
  <si>
    <t>BFI</t>
  </si>
  <si>
    <t>Boeing Field King County International Airport</t>
  </si>
  <si>
    <t>Seattle</t>
  </si>
  <si>
    <t>BFJ</t>
  </si>
  <si>
    <t>Bijie Feixiong Airport</t>
  </si>
  <si>
    <t>Bijie</t>
  </si>
  <si>
    <t>BFL</t>
  </si>
  <si>
    <t>Meadows Field</t>
  </si>
  <si>
    <t>Bakersfield</t>
  </si>
  <si>
    <t>BFM</t>
  </si>
  <si>
    <t>Mobile Downtown Airport</t>
  </si>
  <si>
    <t>BFN</t>
  </si>
  <si>
    <t>Bram Fischer International Airport</t>
  </si>
  <si>
    <t>BFO</t>
  </si>
  <si>
    <t>Buffalo Range Airport</t>
  </si>
  <si>
    <t>Chiredzi</t>
  </si>
  <si>
    <t>BFP</t>
  </si>
  <si>
    <t>Beaver County Airport</t>
  </si>
  <si>
    <t>Beaver Falls</t>
  </si>
  <si>
    <t>BFS</t>
  </si>
  <si>
    <t>Belfast International Airport</t>
  </si>
  <si>
    <t>Belfast</t>
  </si>
  <si>
    <t>BFT</t>
  </si>
  <si>
    <t>Beaufort County Airport</t>
  </si>
  <si>
    <t>Beaufort</t>
  </si>
  <si>
    <t>BFU</t>
  </si>
  <si>
    <t>Bengbu Airport</t>
  </si>
  <si>
    <t>Bengbu</t>
  </si>
  <si>
    <t>BFV</t>
  </si>
  <si>
    <t>Buri Ram Airport</t>
  </si>
  <si>
    <t>Buri Ram</t>
  </si>
  <si>
    <t>BFX</t>
  </si>
  <si>
    <t>Bafoussam Airport</t>
  </si>
  <si>
    <t>Bafoussam</t>
  </si>
  <si>
    <t>BGA</t>
  </si>
  <si>
    <t>Palonegro Airport</t>
  </si>
  <si>
    <t>Bucaramanga</t>
  </si>
  <si>
    <t>BGC</t>
  </si>
  <si>
    <t>Bragança Airport</t>
  </si>
  <si>
    <t>Braganca</t>
  </si>
  <si>
    <t>BGE</t>
  </si>
  <si>
    <t>Decatur County Industrial Air Park</t>
  </si>
  <si>
    <t>Bainbridge</t>
  </si>
  <si>
    <t>BGF</t>
  </si>
  <si>
    <t>Bangui M'Poko International Airport</t>
  </si>
  <si>
    <t>Bangui</t>
  </si>
  <si>
    <t>BGI</t>
  </si>
  <si>
    <t>Sir Grantley Adams International Airport</t>
  </si>
  <si>
    <t>Barbados</t>
  </si>
  <si>
    <t>Bridgetown</t>
  </si>
  <si>
    <t>BGM</t>
  </si>
  <si>
    <t>Greater Binghamton/Edwin A Link field</t>
  </si>
  <si>
    <t>Binghamton</t>
  </si>
  <si>
    <t>BGO</t>
  </si>
  <si>
    <t>Bergen Airport Flesland</t>
  </si>
  <si>
    <t>Bergen</t>
  </si>
  <si>
    <t>BGR</t>
  </si>
  <si>
    <t>Bangor International Airport</t>
  </si>
  <si>
    <t>Bangor</t>
  </si>
  <si>
    <t>BGW</t>
  </si>
  <si>
    <t>Baghdad International Airport</t>
  </si>
  <si>
    <t>Baghdad</t>
  </si>
  <si>
    <t>BGX</t>
  </si>
  <si>
    <t>Comandante Gustavo Kraemer Airport</t>
  </si>
  <si>
    <t>Bage</t>
  </si>
  <si>
    <t>BGY</t>
  </si>
  <si>
    <t>Il Caravaggio International Airport</t>
  </si>
  <si>
    <t>Bergamo</t>
  </si>
  <si>
    <t>BHB</t>
  </si>
  <si>
    <t>Hancock County-Bar Harbor Airport</t>
  </si>
  <si>
    <t>Bar Harbor</t>
  </si>
  <si>
    <t>BHD</t>
  </si>
  <si>
    <t>George Best Belfast City Airport</t>
  </si>
  <si>
    <t>BHE</t>
  </si>
  <si>
    <t>Woodbourne Airport</t>
  </si>
  <si>
    <t>Woodbourne</t>
  </si>
  <si>
    <t>BHG</t>
  </si>
  <si>
    <t>Brus Laguna Airport</t>
  </si>
  <si>
    <t>Brus Laguna</t>
  </si>
  <si>
    <t>BHH</t>
  </si>
  <si>
    <t>Bisha Airport</t>
  </si>
  <si>
    <t>Bisha</t>
  </si>
  <si>
    <t>BHI</t>
  </si>
  <si>
    <t>Comandante Espora Airport</t>
  </si>
  <si>
    <t>Bahia Blanca</t>
  </si>
  <si>
    <t>BHJ</t>
  </si>
  <si>
    <t>Bhuj Airport</t>
  </si>
  <si>
    <t>Bhuj</t>
  </si>
  <si>
    <t>BHK</t>
  </si>
  <si>
    <t>Bukhara Airport</t>
  </si>
  <si>
    <t>Bukhara</t>
  </si>
  <si>
    <t>BHM</t>
  </si>
  <si>
    <t>Birmingham-Shuttlesworth International Airport</t>
  </si>
  <si>
    <t>Birmingham</t>
  </si>
  <si>
    <t>BHN</t>
  </si>
  <si>
    <t>Beihan Airport</t>
  </si>
  <si>
    <t>Beihan</t>
  </si>
  <si>
    <t>BHO</t>
  </si>
  <si>
    <t>Raja Bhoj International Airport</t>
  </si>
  <si>
    <t>Bhopal</t>
  </si>
  <si>
    <t>BHP</t>
  </si>
  <si>
    <t>Bhojpur Airport</t>
  </si>
  <si>
    <t>Bhojpur</t>
  </si>
  <si>
    <t>BHQ</t>
  </si>
  <si>
    <t>Broken Hill Airport</t>
  </si>
  <si>
    <t>Broken Hill</t>
  </si>
  <si>
    <t>BHR</t>
  </si>
  <si>
    <t>Bharatpur Airport</t>
  </si>
  <si>
    <t>Bharatpur</t>
  </si>
  <si>
    <t>BHS</t>
  </si>
  <si>
    <t>Bathurst Airport</t>
  </si>
  <si>
    <t>Bathurst</t>
  </si>
  <si>
    <t>BHU</t>
  </si>
  <si>
    <t>Bhavnagar Airport</t>
  </si>
  <si>
    <t>Bhaunagar</t>
  </si>
  <si>
    <t>BHV</t>
  </si>
  <si>
    <t>Bahawalpur Airport</t>
  </si>
  <si>
    <t>Bahawalpur</t>
  </si>
  <si>
    <t>BHX</t>
  </si>
  <si>
    <t>Birmingham International Airport</t>
  </si>
  <si>
    <t>BHY</t>
  </si>
  <si>
    <t>Beihai Airport</t>
  </si>
  <si>
    <t>Beihai</t>
  </si>
  <si>
    <t>BIA</t>
  </si>
  <si>
    <t>Bastia-Poretta Airport</t>
  </si>
  <si>
    <t>Bastia</t>
  </si>
  <si>
    <t>BID</t>
  </si>
  <si>
    <t>Block Island State Airport</t>
  </si>
  <si>
    <t>Block Island</t>
  </si>
  <si>
    <t>BIF</t>
  </si>
  <si>
    <t>Biggs Army Air Field (Fort Bliss)</t>
  </si>
  <si>
    <t>El Paso</t>
  </si>
  <si>
    <t>BIG</t>
  </si>
  <si>
    <t>Allen Army Airfield</t>
  </si>
  <si>
    <t>Delta Junction</t>
  </si>
  <si>
    <t>BIH</t>
  </si>
  <si>
    <t>Eastern Sierra Regional Airport</t>
  </si>
  <si>
    <t>Bishop</t>
  </si>
  <si>
    <t>BIK</t>
  </si>
  <si>
    <t>Frans Kaisiepo Airport</t>
  </si>
  <si>
    <t>Biak</t>
  </si>
  <si>
    <t>BIL</t>
  </si>
  <si>
    <t>Billings Logan International Airport</t>
  </si>
  <si>
    <t>Billings</t>
  </si>
  <si>
    <t>BIM</t>
  </si>
  <si>
    <t>South Bimini Airport</t>
  </si>
  <si>
    <t>Alice Town</t>
  </si>
  <si>
    <t>BIN</t>
  </si>
  <si>
    <t>Bamiyan Airport</t>
  </si>
  <si>
    <t>Bamyan</t>
  </si>
  <si>
    <t>BIO</t>
  </si>
  <si>
    <t>Bilbao Airport</t>
  </si>
  <si>
    <t>Bilbao</t>
  </si>
  <si>
    <t>BIQ</t>
  </si>
  <si>
    <t>Biarritz-Anglet-Bayonne Airport</t>
  </si>
  <si>
    <t>Biarritz-bayonne</t>
  </si>
  <si>
    <t>BIR</t>
  </si>
  <si>
    <t>Biratnagar Airport</t>
  </si>
  <si>
    <t>Biratnagar</t>
  </si>
  <si>
    <t>BIS</t>
  </si>
  <si>
    <t>Bismarck Municipal Airport</t>
  </si>
  <si>
    <t>Bismarck</t>
  </si>
  <si>
    <t>BIU</t>
  </si>
  <si>
    <t>Bildudalur Airport</t>
  </si>
  <si>
    <t>Bildudalur</t>
  </si>
  <si>
    <t>BIV</t>
  </si>
  <si>
    <t>Tulip City Airport</t>
  </si>
  <si>
    <t>Holland</t>
  </si>
  <si>
    <t>BIX</t>
  </si>
  <si>
    <t>Keesler Air Force Base</t>
  </si>
  <si>
    <t>Biloxi</t>
  </si>
  <si>
    <t>BIY</t>
  </si>
  <si>
    <t>Bisho Airport</t>
  </si>
  <si>
    <t>Bisho</t>
  </si>
  <si>
    <t>BJA</t>
  </si>
  <si>
    <t>Soummam Airport</t>
  </si>
  <si>
    <t>Bejaja</t>
  </si>
  <si>
    <t>BJB</t>
  </si>
  <si>
    <t>Bojnord Airport</t>
  </si>
  <si>
    <t>Bojnourd</t>
  </si>
  <si>
    <t>BJC</t>
  </si>
  <si>
    <t>Rocky Mountain Metropolitan Airport</t>
  </si>
  <si>
    <t>Broomfield-CO</t>
  </si>
  <si>
    <t>BJF</t>
  </si>
  <si>
    <t>Båtsfjord Airport</t>
  </si>
  <si>
    <t>Batsfjord</t>
  </si>
  <si>
    <t>BJH</t>
  </si>
  <si>
    <t>Bajhang Airport</t>
  </si>
  <si>
    <t>Bajhang</t>
  </si>
  <si>
    <t>BJI</t>
  </si>
  <si>
    <t>Bemidji Regional Airport</t>
  </si>
  <si>
    <t>Bemidji</t>
  </si>
  <si>
    <t>BJL</t>
  </si>
  <si>
    <t>Banjul International Airport</t>
  </si>
  <si>
    <t>Gambia</t>
  </si>
  <si>
    <t>Banjul</t>
  </si>
  <si>
    <t>BJM</t>
  </si>
  <si>
    <t>Bujumbura International Airport</t>
  </si>
  <si>
    <t>Burundi</t>
  </si>
  <si>
    <t>Bujumbura</t>
  </si>
  <si>
    <t>BJO</t>
  </si>
  <si>
    <t>Bermejo Airport</t>
  </si>
  <si>
    <t>Bermejo</t>
  </si>
  <si>
    <t>BJP</t>
  </si>
  <si>
    <t>Estadual Arthur Siqueira Airport</t>
  </si>
  <si>
    <t>Braganca Paulista</t>
  </si>
  <si>
    <t>BJR</t>
  </si>
  <si>
    <t>Bahir Dar Airport</t>
  </si>
  <si>
    <t>Bahar Dar</t>
  </si>
  <si>
    <t>BJU</t>
  </si>
  <si>
    <t>Bajura Airport</t>
  </si>
  <si>
    <t>Bajura</t>
  </si>
  <si>
    <t>BJV</t>
  </si>
  <si>
    <t>Milas Bodrum International Airport</t>
  </si>
  <si>
    <t>Bodrum</t>
  </si>
  <si>
    <t>BJX</t>
  </si>
  <si>
    <t>Del Bajío International Airport</t>
  </si>
  <si>
    <t>Del Bajio</t>
  </si>
  <si>
    <t>BJY</t>
  </si>
  <si>
    <t>Batajnica Air Base</t>
  </si>
  <si>
    <t>Batajnica</t>
  </si>
  <si>
    <t>BJZ</t>
  </si>
  <si>
    <t>Badajoz Airport</t>
  </si>
  <si>
    <t>Badajoz</t>
  </si>
  <si>
    <t>BKA</t>
  </si>
  <si>
    <t>Bykovo Airport</t>
  </si>
  <si>
    <t>BKC</t>
  </si>
  <si>
    <t>Buckland Airport</t>
  </si>
  <si>
    <t>Buckland</t>
  </si>
  <si>
    <t>BKD</t>
  </si>
  <si>
    <t>Stephens County Airport</t>
  </si>
  <si>
    <t>Breckenridge</t>
  </si>
  <si>
    <t>BKE</t>
  </si>
  <si>
    <t>Baker City Municipal Airport</t>
  </si>
  <si>
    <t>Baker City</t>
  </si>
  <si>
    <t>BKF</t>
  </si>
  <si>
    <t>Buckley Air Force Base</t>
  </si>
  <si>
    <t>Buckley</t>
  </si>
  <si>
    <t>BKH</t>
  </si>
  <si>
    <t>Barking Sands Airport</t>
  </si>
  <si>
    <t>Barking Sands</t>
  </si>
  <si>
    <t>BKI</t>
  </si>
  <si>
    <t>Kota Kinabalu International Airport</t>
  </si>
  <si>
    <t>Kota Kinabalu</t>
  </si>
  <si>
    <t>BKK</t>
  </si>
  <si>
    <t>Suvarnabhumi Airport</t>
  </si>
  <si>
    <t>Bangkok</t>
  </si>
  <si>
    <t>BKL</t>
  </si>
  <si>
    <t>Burke Lakefront Airport</t>
  </si>
  <si>
    <t>Cleveland</t>
  </si>
  <si>
    <t>BKM</t>
  </si>
  <si>
    <t>Bakalalan Airport</t>
  </si>
  <si>
    <t>Bakalalan</t>
  </si>
  <si>
    <t>BKO</t>
  </si>
  <si>
    <t>Senou Airport</t>
  </si>
  <si>
    <t>Bamako</t>
  </si>
  <si>
    <t>BKQ</t>
  </si>
  <si>
    <t>Blackall Airport</t>
  </si>
  <si>
    <t>Blackall</t>
  </si>
  <si>
    <t>BKS</t>
  </si>
  <si>
    <t>Fatmawati Soekarno Airport</t>
  </si>
  <si>
    <t>Bengkulu</t>
  </si>
  <si>
    <t>BKW</t>
  </si>
  <si>
    <t>Raleigh County Memorial Airport</t>
  </si>
  <si>
    <t>Beckley</t>
  </si>
  <si>
    <t>BKY</t>
  </si>
  <si>
    <t>Bukavu Kavumu Airport</t>
  </si>
  <si>
    <t>Bukavu/kavumu</t>
  </si>
  <si>
    <t>BKZ</t>
  </si>
  <si>
    <t>Bukoba Airport</t>
  </si>
  <si>
    <t>Bukoba</t>
  </si>
  <si>
    <t>BLA</t>
  </si>
  <si>
    <t>General Jose Antonio Anzoategui International Airport</t>
  </si>
  <si>
    <t>BLB</t>
  </si>
  <si>
    <t>Panama Pacific International Airport</t>
  </si>
  <si>
    <t>Howard</t>
  </si>
  <si>
    <t>BLE</t>
  </si>
  <si>
    <t>Borlange Airport</t>
  </si>
  <si>
    <t>Borlange</t>
  </si>
  <si>
    <t>BLF</t>
  </si>
  <si>
    <t>Mercer County Airport</t>
  </si>
  <si>
    <t>Bluefield</t>
  </si>
  <si>
    <t>BLG</t>
  </si>
  <si>
    <t>Belaga Airport</t>
  </si>
  <si>
    <t>Belaga</t>
  </si>
  <si>
    <t>BLH</t>
  </si>
  <si>
    <t>Blythe Airport</t>
  </si>
  <si>
    <t>Blythe</t>
  </si>
  <si>
    <t>BLI</t>
  </si>
  <si>
    <t>Bellingham International Airport</t>
  </si>
  <si>
    <t>Bellingham</t>
  </si>
  <si>
    <t>BLJ</t>
  </si>
  <si>
    <t>Batna Airport</t>
  </si>
  <si>
    <t>Batna</t>
  </si>
  <si>
    <t>BLK</t>
  </si>
  <si>
    <t>Blackpool International Airport</t>
  </si>
  <si>
    <t>Blackpool</t>
  </si>
  <si>
    <t>BLL</t>
  </si>
  <si>
    <t>Billund Airport</t>
  </si>
  <si>
    <t>Billund</t>
  </si>
  <si>
    <t>BLN</t>
  </si>
  <si>
    <t>Benalla Airport</t>
  </si>
  <si>
    <t>BLQ</t>
  </si>
  <si>
    <t>Bologna Guglielmo Marconi Airport</t>
  </si>
  <si>
    <t>Bologna</t>
  </si>
  <si>
    <t>BLR</t>
  </si>
  <si>
    <t>Kempegowda International Airport</t>
  </si>
  <si>
    <t>BLT</t>
  </si>
  <si>
    <t>Blackwater Airport</t>
  </si>
  <si>
    <t>Blackwater</t>
  </si>
  <si>
    <t>BLV</t>
  </si>
  <si>
    <t>Scott AFB/Midamerica Airport</t>
  </si>
  <si>
    <t>Belleville</t>
  </si>
  <si>
    <t>BLZ</t>
  </si>
  <si>
    <t>Chileka International Airport</t>
  </si>
  <si>
    <t>Blantyre</t>
  </si>
  <si>
    <t>BMA</t>
  </si>
  <si>
    <t>Stockholm-Bromma Airport</t>
  </si>
  <si>
    <t>BMB</t>
  </si>
  <si>
    <t>Bumbar Airport</t>
  </si>
  <si>
    <t>Bumba</t>
  </si>
  <si>
    <t>BMC</t>
  </si>
  <si>
    <t>Brigham City Airport</t>
  </si>
  <si>
    <t>Brigham City</t>
  </si>
  <si>
    <t>BMD</t>
  </si>
  <si>
    <t>Belo sur Tsiribihina Airport</t>
  </si>
  <si>
    <t>Belo sur Tsiribihina</t>
  </si>
  <si>
    <t>BME</t>
  </si>
  <si>
    <t>Broome International Airport</t>
  </si>
  <si>
    <t>Broome</t>
  </si>
  <si>
    <t>BMG</t>
  </si>
  <si>
    <t>Monroe County Airport</t>
  </si>
  <si>
    <t>Bloomington</t>
  </si>
  <si>
    <t>BMI</t>
  </si>
  <si>
    <t>Central Illinois Regional Airport at Bloomington-Normal</t>
  </si>
  <si>
    <t>BMK</t>
  </si>
  <si>
    <t>Borkum Airport</t>
  </si>
  <si>
    <t>Borkum</t>
  </si>
  <si>
    <t>BMM</t>
  </si>
  <si>
    <t>Bitam Airport</t>
  </si>
  <si>
    <t>Gabon</t>
  </si>
  <si>
    <t>Bitam</t>
  </si>
  <si>
    <t>BMO</t>
  </si>
  <si>
    <t>Banmaw Airport</t>
  </si>
  <si>
    <t>Banmaw</t>
  </si>
  <si>
    <t>BMP</t>
  </si>
  <si>
    <t>Brampton Island Airport</t>
  </si>
  <si>
    <t>Brampton Island</t>
  </si>
  <si>
    <t>BMQ</t>
  </si>
  <si>
    <t>Burnet Municipal Kate Craddock Field</t>
  </si>
  <si>
    <t>Bamburi</t>
  </si>
  <si>
    <t>BMT</t>
  </si>
  <si>
    <t>Beaumont Municipal Airport</t>
  </si>
  <si>
    <t>Beaumont</t>
  </si>
  <si>
    <t>BMU</t>
  </si>
  <si>
    <t>Muhammad Salahuddin Airport</t>
  </si>
  <si>
    <t>Bima</t>
  </si>
  <si>
    <t>BMV</t>
  </si>
  <si>
    <t>Buon Ma Thuot Airport</t>
  </si>
  <si>
    <t>Buonmethuot</t>
  </si>
  <si>
    <t>BMW</t>
  </si>
  <si>
    <t>Bordj Badji Mokhtar Airport</t>
  </si>
  <si>
    <t>Bordj Badji Mokhtar</t>
  </si>
  <si>
    <t>BMX</t>
  </si>
  <si>
    <t>Big Mountain Airport</t>
  </si>
  <si>
    <t>Big Mountain</t>
  </si>
  <si>
    <t>BMY</t>
  </si>
  <si>
    <t>Île Art - Waala Airport</t>
  </si>
  <si>
    <t>New Caledonia</t>
  </si>
  <si>
    <t>Waala</t>
  </si>
  <si>
    <t>BNA</t>
  </si>
  <si>
    <t>Nashville International Airport</t>
  </si>
  <si>
    <t>Nashville</t>
  </si>
  <si>
    <t>BNB</t>
  </si>
  <si>
    <t>Boende Airport</t>
  </si>
  <si>
    <t>Boende</t>
  </si>
  <si>
    <t>BNC</t>
  </si>
  <si>
    <t>Beni Airport</t>
  </si>
  <si>
    <t>Beni</t>
  </si>
  <si>
    <t>BND</t>
  </si>
  <si>
    <t>Bandar Abbas International Airport</t>
  </si>
  <si>
    <t>BNE</t>
  </si>
  <si>
    <t>Brisbane International Airport</t>
  </si>
  <si>
    <t>BNG</t>
  </si>
  <si>
    <t>Banning Municipal Airport</t>
  </si>
  <si>
    <t>Banning</t>
  </si>
  <si>
    <t>BNI</t>
  </si>
  <si>
    <t>Benin Airport</t>
  </si>
  <si>
    <t>Benin</t>
  </si>
  <si>
    <t>BNK</t>
  </si>
  <si>
    <t>Ballina Byron Gateway Airport</t>
  </si>
  <si>
    <t>Ballina Byron Bay</t>
  </si>
  <si>
    <t>BNN</t>
  </si>
  <si>
    <t>Brønnøysund Airport</t>
  </si>
  <si>
    <t>Bronnoysund</t>
  </si>
  <si>
    <t>BNP</t>
  </si>
  <si>
    <t>Bannu Airport</t>
  </si>
  <si>
    <t>Bannu</t>
  </si>
  <si>
    <t>BNS</t>
  </si>
  <si>
    <t>Barinas Airport</t>
  </si>
  <si>
    <t>Barinas</t>
  </si>
  <si>
    <t>BNU</t>
  </si>
  <si>
    <t>Blumenau Airport</t>
  </si>
  <si>
    <t>BLUMENAU</t>
  </si>
  <si>
    <t>BNX</t>
  </si>
  <si>
    <t>Banja Luka International Airport</t>
  </si>
  <si>
    <t>Banja Luka</t>
  </si>
  <si>
    <t>BOA</t>
  </si>
  <si>
    <t>Boma Airport</t>
  </si>
  <si>
    <t>Boma</t>
  </si>
  <si>
    <t>BOB</t>
  </si>
  <si>
    <t>Bora Bora Airport</t>
  </si>
  <si>
    <t>Bora Bora</t>
  </si>
  <si>
    <t>BOC</t>
  </si>
  <si>
    <t>Bocas Del Toro International Airport</t>
  </si>
  <si>
    <t>Bocas Del Toro</t>
  </si>
  <si>
    <t>BOD</t>
  </si>
  <si>
    <t>Bordeaux-Mérignac Airport</t>
  </si>
  <si>
    <t>Bordeaux</t>
  </si>
  <si>
    <t>BOG</t>
  </si>
  <si>
    <t>El Dorado International Airport</t>
  </si>
  <si>
    <t>Bogota</t>
  </si>
  <si>
    <t>BOH</t>
  </si>
  <si>
    <t>Bournemouth Airport</t>
  </si>
  <si>
    <t>Bournemouth</t>
  </si>
  <si>
    <t>BOI</t>
  </si>
  <si>
    <t>Boise Air Terminal/Gowen field</t>
  </si>
  <si>
    <t>Boise</t>
  </si>
  <si>
    <t>BOJ</t>
  </si>
  <si>
    <t>Burgas Airport</t>
  </si>
  <si>
    <t>Bourgas</t>
  </si>
  <si>
    <t>BOM</t>
  </si>
  <si>
    <t>Chhatrapati Shivaji International Airport</t>
  </si>
  <si>
    <t>Mumbai</t>
  </si>
  <si>
    <t>BON</t>
  </si>
  <si>
    <t>Flamingo International Airport</t>
  </si>
  <si>
    <t>Netherlands Antilles</t>
  </si>
  <si>
    <t>Kralendijk</t>
  </si>
  <si>
    <t>BOO</t>
  </si>
  <si>
    <t>Bodø Airport</t>
  </si>
  <si>
    <t>Bodo</t>
  </si>
  <si>
    <t>BOR</t>
  </si>
  <si>
    <t>Fontaine Airport</t>
  </si>
  <si>
    <t>Belfort</t>
  </si>
  <si>
    <t>BOS</t>
  </si>
  <si>
    <t>General Edward Lawrence Logan International Airport</t>
  </si>
  <si>
    <t>Boston</t>
  </si>
  <si>
    <t>BOU</t>
  </si>
  <si>
    <t>Bourges Airport</t>
  </si>
  <si>
    <t>Bourges</t>
  </si>
  <si>
    <t>BOW</t>
  </si>
  <si>
    <t>Bartow Municipal Airport</t>
  </si>
  <si>
    <t>Bartow</t>
  </si>
  <si>
    <t>BOX</t>
  </si>
  <si>
    <t>Borroloola Airport</t>
  </si>
  <si>
    <t>Borroloola</t>
  </si>
  <si>
    <t>BOY</t>
  </si>
  <si>
    <t>Bobo Dioulasso Airport</t>
  </si>
  <si>
    <t>Burkina Faso</t>
  </si>
  <si>
    <t>Bobo-dioulasso</t>
  </si>
  <si>
    <t>BPC</t>
  </si>
  <si>
    <t>Bamenda Airport</t>
  </si>
  <si>
    <t>Bamenda</t>
  </si>
  <si>
    <t>BPE</t>
  </si>
  <si>
    <t>Qinhuangdao Beidaihe Airport</t>
  </si>
  <si>
    <t>Bagan</t>
  </si>
  <si>
    <t>BPH</t>
  </si>
  <si>
    <t>Bislig Airport</t>
  </si>
  <si>
    <t>BPI</t>
  </si>
  <si>
    <t>Miley Memorial Field</t>
  </si>
  <si>
    <t>Big Piney</t>
  </si>
  <si>
    <t>BPL</t>
  </si>
  <si>
    <t>Alashankou Bole (Bortala) airport</t>
  </si>
  <si>
    <t>Bole</t>
  </si>
  <si>
    <t>BPM</t>
  </si>
  <si>
    <t>Begumpet Airport</t>
  </si>
  <si>
    <t>Hyderabad</t>
  </si>
  <si>
    <t>BPN</t>
  </si>
  <si>
    <t>Sultan Aji Muhamad Sulaiman Airport</t>
  </si>
  <si>
    <t>Balikpapan</t>
  </si>
  <si>
    <t>BPR</t>
  </si>
  <si>
    <t>Borongan Airport</t>
  </si>
  <si>
    <t>Borongan</t>
  </si>
  <si>
    <t>BPS</t>
  </si>
  <si>
    <t>Porto Seguro Airport</t>
  </si>
  <si>
    <t>Porto Seguro</t>
  </si>
  <si>
    <t>BPT</t>
  </si>
  <si>
    <t>Southeast Texas Regional Airport</t>
  </si>
  <si>
    <t>BPX</t>
  </si>
  <si>
    <t>Qamdo Bangda Airport</t>
  </si>
  <si>
    <t>Bangda</t>
  </si>
  <si>
    <t>BPY</t>
  </si>
  <si>
    <t>Besalampy Airport</t>
  </si>
  <si>
    <t>Besalampy</t>
  </si>
  <si>
    <t>BQB</t>
  </si>
  <si>
    <t>Busselton Regional Airport</t>
  </si>
  <si>
    <t>Brusselton</t>
  </si>
  <si>
    <t>BQE</t>
  </si>
  <si>
    <t>Bubaque Airport</t>
  </si>
  <si>
    <t>Bubaque</t>
  </si>
  <si>
    <t>BQH</t>
  </si>
  <si>
    <t>London Biggin Hill Airport</t>
  </si>
  <si>
    <t>Biggin Hill</t>
  </si>
  <si>
    <t>BQK</t>
  </si>
  <si>
    <t>Brunswick Golden Isles Airport</t>
  </si>
  <si>
    <t>Brunswick</t>
  </si>
  <si>
    <t>BQL</t>
  </si>
  <si>
    <t>Boulia Airport</t>
  </si>
  <si>
    <t>Boulia</t>
  </si>
  <si>
    <t>BQN</t>
  </si>
  <si>
    <t>Rafael Hernandez Airport</t>
  </si>
  <si>
    <t>Aguadilla</t>
  </si>
  <si>
    <t>BQS</t>
  </si>
  <si>
    <t>Ignatyevo Airport</t>
  </si>
  <si>
    <t>Blagoveschensk</t>
  </si>
  <si>
    <t>BQT</t>
  </si>
  <si>
    <t>Brest Airport</t>
  </si>
  <si>
    <t>BQU</t>
  </si>
  <si>
    <t>J F Mitchell Airport</t>
  </si>
  <si>
    <t>Saint Vincent and the Grenadines</t>
  </si>
  <si>
    <t>Bequia</t>
  </si>
  <si>
    <t>BRA</t>
  </si>
  <si>
    <t>Barreiras Airport</t>
  </si>
  <si>
    <t>Barreiras</t>
  </si>
  <si>
    <t>BRC</t>
  </si>
  <si>
    <t>San Carlos De Bariloche Airport</t>
  </si>
  <si>
    <t>San Carlos De Bariloche</t>
  </si>
  <si>
    <t>BRD</t>
  </si>
  <si>
    <t>Brainerd Lakes Regional Airport</t>
  </si>
  <si>
    <t>Brainerd</t>
  </si>
  <si>
    <t>BRE</t>
  </si>
  <si>
    <t>Bremen Airport</t>
  </si>
  <si>
    <t>Bremen</t>
  </si>
  <si>
    <t>BRI</t>
  </si>
  <si>
    <t>Bari Karol Wojtyła Airport</t>
  </si>
  <si>
    <t>Bari</t>
  </si>
  <si>
    <t>BRK</t>
  </si>
  <si>
    <t>Bourke Airport</t>
  </si>
  <si>
    <t>Bourke</t>
  </si>
  <si>
    <t>BRL</t>
  </si>
  <si>
    <t>Southeast Iowa Regional Airport</t>
  </si>
  <si>
    <t>BRM</t>
  </si>
  <si>
    <t>Barquisimeto International Airport</t>
  </si>
  <si>
    <t>Barquisimeto</t>
  </si>
  <si>
    <t>BRN</t>
  </si>
  <si>
    <t>Bern Belp Airport</t>
  </si>
  <si>
    <t>Bern</t>
  </si>
  <si>
    <t>BRO</t>
  </si>
  <si>
    <t>Brownsville South Padre Island International Airport</t>
  </si>
  <si>
    <t>Brownsville</t>
  </si>
  <si>
    <t>BRQ</t>
  </si>
  <si>
    <t>Brno-Tuřany Airport</t>
  </si>
  <si>
    <t>Brno</t>
  </si>
  <si>
    <t>BRR</t>
  </si>
  <si>
    <t>Barra Airport</t>
  </si>
  <si>
    <t>Barra</t>
  </si>
  <si>
    <t>BRS</t>
  </si>
  <si>
    <t>Bristol Airport</t>
  </si>
  <si>
    <t>Bristol</t>
  </si>
  <si>
    <t>BRT</t>
  </si>
  <si>
    <t>Bathurst Island Airport</t>
  </si>
  <si>
    <t>Bathurst Island</t>
  </si>
  <si>
    <t>BRU</t>
  </si>
  <si>
    <t>Brussels Airport</t>
  </si>
  <si>
    <t>Brussels</t>
  </si>
  <si>
    <t>BRV</t>
  </si>
  <si>
    <t>Bremerhaven Airport</t>
  </si>
  <si>
    <t>Bremerhaven</t>
  </si>
  <si>
    <t>BRW</t>
  </si>
  <si>
    <t>Wiley Post Will Rogers Memorial Airport</t>
  </si>
  <si>
    <t>Barrow</t>
  </si>
  <si>
    <t>BRX</t>
  </si>
  <si>
    <t>Maria Montez International Airport</t>
  </si>
  <si>
    <t>Barahona</t>
  </si>
  <si>
    <t>BSA</t>
  </si>
  <si>
    <t>Bosaso Airport</t>
  </si>
  <si>
    <t>Bosaso</t>
  </si>
  <si>
    <t>BSB</t>
  </si>
  <si>
    <t>Presidente Juscelino Kubistschek International Airport</t>
  </si>
  <si>
    <t>Brasilia</t>
  </si>
  <si>
    <t>BSC</t>
  </si>
  <si>
    <t>José Celestino Mutis Airport</t>
  </si>
  <si>
    <t>Bahia Solano</t>
  </si>
  <si>
    <t>BSF</t>
  </si>
  <si>
    <t>Bradshaw Army Airfield</t>
  </si>
  <si>
    <t>Bradshaw Field</t>
  </si>
  <si>
    <t>BSG</t>
  </si>
  <si>
    <t>Bata Airport</t>
  </si>
  <si>
    <t>Equatorial Guinea</t>
  </si>
  <si>
    <t>Bata</t>
  </si>
  <si>
    <t>BSJ</t>
  </si>
  <si>
    <t>Bairnsdale Airport</t>
  </si>
  <si>
    <t>Bairnsdale</t>
  </si>
  <si>
    <t>BSK</t>
  </si>
  <si>
    <t>Biskra Airport</t>
  </si>
  <si>
    <t>Biskra</t>
  </si>
  <si>
    <t>BSL</t>
  </si>
  <si>
    <t>EuroAirport Basel-Mulhouse-Freiburg Airport</t>
  </si>
  <si>
    <t>Mulhouse</t>
  </si>
  <si>
    <t>BSO</t>
  </si>
  <si>
    <t>Basco Airport</t>
  </si>
  <si>
    <t>Basco</t>
  </si>
  <si>
    <t>BSR</t>
  </si>
  <si>
    <t>Basrah International Airport</t>
  </si>
  <si>
    <t>Basrah</t>
  </si>
  <si>
    <t>BST</t>
  </si>
  <si>
    <t>Bost Airport</t>
  </si>
  <si>
    <t>Lashkar Gah</t>
  </si>
  <si>
    <t>BSU</t>
  </si>
  <si>
    <t>Basankusu Airport</t>
  </si>
  <si>
    <t>Basankusu</t>
  </si>
  <si>
    <t>BSX</t>
  </si>
  <si>
    <t>Pathein Airport</t>
  </si>
  <si>
    <t>Pathein</t>
  </si>
  <si>
    <t>BTE</t>
  </si>
  <si>
    <t>Sherbro International Airport</t>
  </si>
  <si>
    <t>Sierra Leone</t>
  </si>
  <si>
    <t>Bonthe</t>
  </si>
  <si>
    <t>BTH</t>
  </si>
  <si>
    <t>Hang Nadim International Airport</t>
  </si>
  <si>
    <t>Batam</t>
  </si>
  <si>
    <t>BTI</t>
  </si>
  <si>
    <t>Barter Island LRRS Airport</t>
  </si>
  <si>
    <t>Barter Island</t>
  </si>
  <si>
    <t>BTJ</t>
  </si>
  <si>
    <t>Sultan Iskandar Muda International Airport</t>
  </si>
  <si>
    <t>Banda Aceh</t>
  </si>
  <si>
    <t>BTK</t>
  </si>
  <si>
    <t>Bratsk Airport</t>
  </si>
  <si>
    <t>Bratsk</t>
  </si>
  <si>
    <t>BTL</t>
  </si>
  <si>
    <t>W K Kellogg Airport</t>
  </si>
  <si>
    <t>Battle Creek</t>
  </si>
  <si>
    <t>BTM</t>
  </si>
  <si>
    <t>Bert Mooney Airport</t>
  </si>
  <si>
    <t>Butte</t>
  </si>
  <si>
    <t>BTR</t>
  </si>
  <si>
    <t>Baton Rouge Metropolitan, Ryan Field</t>
  </si>
  <si>
    <t>Baton Rouge</t>
  </si>
  <si>
    <t>BTS</t>
  </si>
  <si>
    <t>M. R. Štefánik Airport</t>
  </si>
  <si>
    <t>Bratislava</t>
  </si>
  <si>
    <t>BTT</t>
  </si>
  <si>
    <t>Bettles Airport</t>
  </si>
  <si>
    <t>Bettles</t>
  </si>
  <si>
    <t>BTU</t>
  </si>
  <si>
    <t>Bintulu Airport</t>
  </si>
  <si>
    <t>Bintulu</t>
  </si>
  <si>
    <t>BTV</t>
  </si>
  <si>
    <t>Burlington International Airport</t>
  </si>
  <si>
    <t>BTZ</t>
  </si>
  <si>
    <t>Bursa Airport</t>
  </si>
  <si>
    <t>Bursa</t>
  </si>
  <si>
    <t>BUA</t>
  </si>
  <si>
    <t>Buka Airport</t>
  </si>
  <si>
    <t>Papua New Guinea</t>
  </si>
  <si>
    <t>Buka Island</t>
  </si>
  <si>
    <t>BUC</t>
  </si>
  <si>
    <t>Burketown Airport</t>
  </si>
  <si>
    <t>Burketown</t>
  </si>
  <si>
    <t>BUD</t>
  </si>
  <si>
    <t>Budapest Ferenc Liszt International Airport</t>
  </si>
  <si>
    <t>BUF</t>
  </si>
  <si>
    <t>Buffalo Niagara International Airport</t>
  </si>
  <si>
    <t>Buffalo</t>
  </si>
  <si>
    <t>BUG</t>
  </si>
  <si>
    <t>Benguela Airport</t>
  </si>
  <si>
    <t>Benguela</t>
  </si>
  <si>
    <t>BUI</t>
  </si>
  <si>
    <t>Bokondini Airport</t>
  </si>
  <si>
    <t>Bokondini-Papua Island</t>
  </si>
  <si>
    <t>BUN</t>
  </si>
  <si>
    <t>Gerardo Tobar López Airport</t>
  </si>
  <si>
    <t>Buenaventura</t>
  </si>
  <si>
    <t>BUO</t>
  </si>
  <si>
    <t>Burao Airport</t>
  </si>
  <si>
    <t>Burao</t>
  </si>
  <si>
    <t>BUQ</t>
  </si>
  <si>
    <t>Joshua Mqabuko Nkomo International Airport</t>
  </si>
  <si>
    <t>Bulawayo</t>
  </si>
  <si>
    <t>BUR</t>
  </si>
  <si>
    <t>Bob Hope Airport</t>
  </si>
  <si>
    <t>Burbank</t>
  </si>
  <si>
    <t>BUS</t>
  </si>
  <si>
    <t>Batumi International Airport</t>
  </si>
  <si>
    <t>Batumi</t>
  </si>
  <si>
    <t>BUT</t>
  </si>
  <si>
    <t>Bathpalathang Airport</t>
  </si>
  <si>
    <t>Bhutan</t>
  </si>
  <si>
    <t>Jakar</t>
  </si>
  <si>
    <t>BUU</t>
  </si>
  <si>
    <t>Burlington Municipal Airport</t>
  </si>
  <si>
    <t>BUW</t>
  </si>
  <si>
    <t>Betoambari Airport</t>
  </si>
  <si>
    <t>Bau-Bau</t>
  </si>
  <si>
    <t>BUX</t>
  </si>
  <si>
    <t>Bunia Airport</t>
  </si>
  <si>
    <t>Bunia</t>
  </si>
  <si>
    <t>BUY</t>
  </si>
  <si>
    <t>Bunbury Airport</t>
  </si>
  <si>
    <t>Bunbury</t>
  </si>
  <si>
    <t>BUZ</t>
  </si>
  <si>
    <t>Bushehr Airport</t>
  </si>
  <si>
    <t>Bushehr</t>
  </si>
  <si>
    <t>BVA</t>
  </si>
  <si>
    <t>Paris Beauvais Tillé Airport</t>
  </si>
  <si>
    <t>Beauvais</t>
  </si>
  <si>
    <t>BVB</t>
  </si>
  <si>
    <t>Atlas Brasil Cantanhede Airport</t>
  </si>
  <si>
    <t>Boa Vista</t>
  </si>
  <si>
    <t>BVC</t>
  </si>
  <si>
    <t>Rabil Airport</t>
  </si>
  <si>
    <t>Cape Verde</t>
  </si>
  <si>
    <t>BVE</t>
  </si>
  <si>
    <t>Toul Rosières Air Base</t>
  </si>
  <si>
    <t>Brive</t>
  </si>
  <si>
    <t>BVG</t>
  </si>
  <si>
    <t>Berlevåg Airport</t>
  </si>
  <si>
    <t>Berlevag</t>
  </si>
  <si>
    <t>BVH</t>
  </si>
  <si>
    <t>Brigadeiro Camarão Airport</t>
  </si>
  <si>
    <t>Vilhena</t>
  </si>
  <si>
    <t>BVI</t>
  </si>
  <si>
    <t>Birdsville Airport</t>
  </si>
  <si>
    <t>Birdsville</t>
  </si>
  <si>
    <t>BVS</t>
  </si>
  <si>
    <t>Breves Airport</t>
  </si>
  <si>
    <t>Breves</t>
  </si>
  <si>
    <t>BVY</t>
  </si>
  <si>
    <t>Beverly Municipal Airport</t>
  </si>
  <si>
    <t>Beverly</t>
  </si>
  <si>
    <t>BWA</t>
  </si>
  <si>
    <t>Gautam Buddha Airport</t>
  </si>
  <si>
    <t>Bhairawa</t>
  </si>
  <si>
    <t>BWB</t>
  </si>
  <si>
    <t>Barrow Island Airport</t>
  </si>
  <si>
    <t>Barrow Island</t>
  </si>
  <si>
    <t>BWE</t>
  </si>
  <si>
    <t>Braunschweig Wolfsburg Airport</t>
  </si>
  <si>
    <t>Braunschweig</t>
  </si>
  <si>
    <t>BWF</t>
  </si>
  <si>
    <t>Barrow Walney Island Airport</t>
  </si>
  <si>
    <t>BWG</t>
  </si>
  <si>
    <t>Bowling Green Warren County Regional Airport</t>
  </si>
  <si>
    <t>Bowling Green</t>
  </si>
  <si>
    <t>BWI</t>
  </si>
  <si>
    <t>Baltimore/Washington International Thurgood Marshall Airport</t>
  </si>
  <si>
    <t>Baltimore</t>
  </si>
  <si>
    <t>BWK</t>
  </si>
  <si>
    <t>Bol Airport</t>
  </si>
  <si>
    <t>Brac</t>
  </si>
  <si>
    <t>BWN</t>
  </si>
  <si>
    <t>Brunei International Airport</t>
  </si>
  <si>
    <t>Bandar Seri Begawan</t>
  </si>
  <si>
    <t>BWO</t>
  </si>
  <si>
    <t>Balakovo Airport</t>
  </si>
  <si>
    <t>Balakovo</t>
  </si>
  <si>
    <t>BWQ</t>
  </si>
  <si>
    <t>Brewarrina Airport</t>
  </si>
  <si>
    <t>BWT</t>
  </si>
  <si>
    <t>Wynyard Airport</t>
  </si>
  <si>
    <t>Burnie</t>
  </si>
  <si>
    <t>BWU</t>
  </si>
  <si>
    <t>Sydney Bankstown Airport</t>
  </si>
  <si>
    <t>Sydney</t>
  </si>
  <si>
    <t>BWW</t>
  </si>
  <si>
    <t>Las Brujas Airport</t>
  </si>
  <si>
    <t>Cayo Santa Maria</t>
  </si>
  <si>
    <t>BXB</t>
  </si>
  <si>
    <t>Babo Airport</t>
  </si>
  <si>
    <t>Babo</t>
  </si>
  <si>
    <t>BXE</t>
  </si>
  <si>
    <t>Bakel Airport</t>
  </si>
  <si>
    <t>Senegal</t>
  </si>
  <si>
    <t>Bakel</t>
  </si>
  <si>
    <t>BXH</t>
  </si>
  <si>
    <t>Balkhash Airport</t>
  </si>
  <si>
    <t>Balkhash</t>
  </si>
  <si>
    <t>BXK</t>
  </si>
  <si>
    <t>Buckeye Municipal Airport</t>
  </si>
  <si>
    <t>Buckeye</t>
  </si>
  <si>
    <t>BXN</t>
  </si>
  <si>
    <t>Imsık Airport</t>
  </si>
  <si>
    <t>BXO</t>
  </si>
  <si>
    <t>Buochs Airport</t>
  </si>
  <si>
    <t>Buochs</t>
  </si>
  <si>
    <t>BXP</t>
  </si>
  <si>
    <t>Biała Podlaska Airfield</t>
  </si>
  <si>
    <t>Biała Podlaska</t>
  </si>
  <si>
    <t>BXR</t>
  </si>
  <si>
    <t>Bam Airport</t>
  </si>
  <si>
    <t>Bam</t>
  </si>
  <si>
    <t>BXU</t>
  </si>
  <si>
    <t>Bancasi Airport</t>
  </si>
  <si>
    <t>Butuan</t>
  </si>
  <si>
    <t>BYC</t>
  </si>
  <si>
    <t>Yacuiba Airport</t>
  </si>
  <si>
    <t>Yacuiba</t>
  </si>
  <si>
    <t>BYH</t>
  </si>
  <si>
    <t>Arkansas International Airport</t>
  </si>
  <si>
    <t>Blytheville</t>
  </si>
  <si>
    <t>BYI</t>
  </si>
  <si>
    <t>Burley Municipal Airport</t>
  </si>
  <si>
    <t>Burley</t>
  </si>
  <si>
    <t>BYK</t>
  </si>
  <si>
    <t>Bouaké Airport</t>
  </si>
  <si>
    <t>Bouake</t>
  </si>
  <si>
    <t>BYM</t>
  </si>
  <si>
    <t>Carlos Manuel de Cespedes Airport</t>
  </si>
  <si>
    <t>Bayamo</t>
  </si>
  <si>
    <t>BYN</t>
  </si>
  <si>
    <t>Bayankhongor Airport</t>
  </si>
  <si>
    <t>Bayankhongor</t>
  </si>
  <si>
    <t>BYO</t>
  </si>
  <si>
    <t>Bonito Airport</t>
  </si>
  <si>
    <t>Bointo</t>
  </si>
  <si>
    <t>BYS</t>
  </si>
  <si>
    <t>Bicycle Lake Army Air Field</t>
  </si>
  <si>
    <t>Fort Irwin</t>
  </si>
  <si>
    <t>BYT</t>
  </si>
  <si>
    <t>Bantry Aerodrome</t>
  </si>
  <si>
    <t>Bantry</t>
  </si>
  <si>
    <t>BYU</t>
  </si>
  <si>
    <t>Bayreuth Airport</t>
  </si>
  <si>
    <t>Bayreuth</t>
  </si>
  <si>
    <t>BYY</t>
  </si>
  <si>
    <t>Bay City Municipal Airport</t>
  </si>
  <si>
    <t>Bay City</t>
  </si>
  <si>
    <t>BZA</t>
  </si>
  <si>
    <t>San Pedro Airport</t>
  </si>
  <si>
    <t>Bonanza</t>
  </si>
  <si>
    <t>BZC</t>
  </si>
  <si>
    <t>Umberto Modiano Airport</t>
  </si>
  <si>
    <t>Buzios</t>
  </si>
  <si>
    <t>BZD</t>
  </si>
  <si>
    <t>Balranald Airport</t>
  </si>
  <si>
    <t>BZE</t>
  </si>
  <si>
    <t>Philip S. W. Goldson International Airport</t>
  </si>
  <si>
    <t>Belize City</t>
  </si>
  <si>
    <t>BZG</t>
  </si>
  <si>
    <t>Bydgoszcz Ignacy Jan Paderewski Airport</t>
  </si>
  <si>
    <t>Bydgoszcz</t>
  </si>
  <si>
    <t>BZI</t>
  </si>
  <si>
    <t>Balıkesir Merkez Airport</t>
  </si>
  <si>
    <t>Balikesir</t>
  </si>
  <si>
    <t>BZK</t>
  </si>
  <si>
    <t>Bryansk Airport</t>
  </si>
  <si>
    <t>Bryansk</t>
  </si>
  <si>
    <t>BZL</t>
  </si>
  <si>
    <t>Barisal Airport</t>
  </si>
  <si>
    <t>Barisal</t>
  </si>
  <si>
    <t>BZN</t>
  </si>
  <si>
    <t>Gallatin Field</t>
  </si>
  <si>
    <t>Bozeman</t>
  </si>
  <si>
    <t>BZO</t>
  </si>
  <si>
    <t>Bolzano Airport</t>
  </si>
  <si>
    <t>Bolzano</t>
  </si>
  <si>
    <t>BZR</t>
  </si>
  <si>
    <t>Béziers-Vias Airport</t>
  </si>
  <si>
    <t>Beziers</t>
  </si>
  <si>
    <t>BZV</t>
  </si>
  <si>
    <t>Maya-Maya Airport</t>
  </si>
  <si>
    <t>Congo (Brazzaville)</t>
  </si>
  <si>
    <t>Brazzaville</t>
  </si>
  <si>
    <t>BZY</t>
  </si>
  <si>
    <t>Balti International Airport</t>
  </si>
  <si>
    <t>Saltsy</t>
  </si>
  <si>
    <t>BZZ</t>
  </si>
  <si>
    <t>RAF Brize Norton</t>
  </si>
  <si>
    <t>Brize Norton</t>
  </si>
  <si>
    <t>C03</t>
  </si>
  <si>
    <t>Nappanee Municipal Airport</t>
  </si>
  <si>
    <t>Nappanee</t>
  </si>
  <si>
    <t>CAB</t>
  </si>
  <si>
    <t>Cabinda Airport</t>
  </si>
  <si>
    <t>Cabinda</t>
  </si>
  <si>
    <t>CAC</t>
  </si>
  <si>
    <t>Cascavel Airport</t>
  </si>
  <si>
    <t>Cascavel</t>
  </si>
  <si>
    <t>CAE</t>
  </si>
  <si>
    <t>Columbia Metropolitan Airport</t>
  </si>
  <si>
    <t>Columbia</t>
  </si>
  <si>
    <t>CAF</t>
  </si>
  <si>
    <t>Carauari Airport</t>
  </si>
  <si>
    <t>Carauari</t>
  </si>
  <si>
    <t>CAG</t>
  </si>
  <si>
    <t>Cagliari Elmas Airport</t>
  </si>
  <si>
    <t>Cagliari</t>
  </si>
  <si>
    <t>CAH</t>
  </si>
  <si>
    <t>Cà Mau Airport</t>
  </si>
  <si>
    <t>Ca Mau</t>
  </si>
  <si>
    <t>Cairo International Airport</t>
  </si>
  <si>
    <t>CAJ</t>
  </si>
  <si>
    <t>Canaima Airport</t>
  </si>
  <si>
    <t>Canaima</t>
  </si>
  <si>
    <t>CAK</t>
  </si>
  <si>
    <t>Akron Canton Regional Airport</t>
  </si>
  <si>
    <t>CAL</t>
  </si>
  <si>
    <t>Campbeltown Airport</t>
  </si>
  <si>
    <t>Campbeltown</t>
  </si>
  <si>
    <t>CAN</t>
  </si>
  <si>
    <t>Guangzhou Baiyun International Airport</t>
  </si>
  <si>
    <t>Guangzhou</t>
  </si>
  <si>
    <t>CAP</t>
  </si>
  <si>
    <t>Cap Haitien International Airport</t>
  </si>
  <si>
    <t>Cap Haitien</t>
  </si>
  <si>
    <t>CAQ</t>
  </si>
  <si>
    <t>Juan H White Airport</t>
  </si>
  <si>
    <t>Caucasia</t>
  </si>
  <si>
    <t>CAR</t>
  </si>
  <si>
    <t>Caribou Municipal Airport</t>
  </si>
  <si>
    <t>Caribou</t>
  </si>
  <si>
    <t>CAT</t>
  </si>
  <si>
    <t>New Bight Airport</t>
  </si>
  <si>
    <t>Cat Island</t>
  </si>
  <si>
    <t>CAU</t>
  </si>
  <si>
    <t>Caruaru Airport</t>
  </si>
  <si>
    <t>Caruaru</t>
  </si>
  <si>
    <t>CAW</t>
  </si>
  <si>
    <t>Bartolomeu Lisandro Airport</t>
  </si>
  <si>
    <t>Campos</t>
  </si>
  <si>
    <t>CAX</t>
  </si>
  <si>
    <t>Carlisle Airport</t>
  </si>
  <si>
    <t>Carlisle</t>
  </si>
  <si>
    <t>CAY</t>
  </si>
  <si>
    <t>Cayenne-Rochambeau Airport</t>
  </si>
  <si>
    <t>Cayenne</t>
  </si>
  <si>
    <t>CAZ</t>
  </si>
  <si>
    <t>Cobar Airport</t>
  </si>
  <si>
    <t>Cobar</t>
  </si>
  <si>
    <t>CBB</t>
  </si>
  <si>
    <t>Jorge Wilsterman International Airport</t>
  </si>
  <si>
    <t>Cochabamba</t>
  </si>
  <si>
    <t>CBE</t>
  </si>
  <si>
    <t>Greater Cumberland Regional Airport</t>
  </si>
  <si>
    <t>Cumberland</t>
  </si>
  <si>
    <t>CBF</t>
  </si>
  <si>
    <t>Council Bluffs Municipal Airport</t>
  </si>
  <si>
    <t>Council Bluffs</t>
  </si>
  <si>
    <t>CBG</t>
  </si>
  <si>
    <t>Cambridge Airport</t>
  </si>
  <si>
    <t>Cambridge</t>
  </si>
  <si>
    <t>CBH</t>
  </si>
  <si>
    <t>Béchar Boudghene Ben Ali Lotfi Airport</t>
  </si>
  <si>
    <t>Béchar</t>
  </si>
  <si>
    <t>CBL</t>
  </si>
  <si>
    <t>Aeropuerto \General Tomas de Heres\". Ciudad Bolivar"</t>
  </si>
  <si>
    <t>Ciudad Bolivar</t>
  </si>
  <si>
    <t>CBM</t>
  </si>
  <si>
    <t>Columbus Air Force Base</t>
  </si>
  <si>
    <t>Colombus</t>
  </si>
  <si>
    <t>CBN</t>
  </si>
  <si>
    <t>Penggung Airport</t>
  </si>
  <si>
    <t>Cirebon</t>
  </si>
  <si>
    <t>CBO</t>
  </si>
  <si>
    <t>Awang Airport</t>
  </si>
  <si>
    <t>Cotabato</t>
  </si>
  <si>
    <t>CBQ</t>
  </si>
  <si>
    <t>Margaret Ekpo International Airport</t>
  </si>
  <si>
    <t>Calabar</t>
  </si>
  <si>
    <t>CBR</t>
  </si>
  <si>
    <t>Canberra International Airport</t>
  </si>
  <si>
    <t>Canberra</t>
  </si>
  <si>
    <t>CBT</t>
  </si>
  <si>
    <t>Catumbela Airport</t>
  </si>
  <si>
    <t>Catumbela</t>
  </si>
  <si>
    <t>CBV</t>
  </si>
  <si>
    <t>Coban Airport</t>
  </si>
  <si>
    <t>Coban</t>
  </si>
  <si>
    <t>CCB</t>
  </si>
  <si>
    <t>Cable Airport</t>
  </si>
  <si>
    <t>Upland</t>
  </si>
  <si>
    <t>CCC</t>
  </si>
  <si>
    <t>Jardines Del Rey Airport</t>
  </si>
  <si>
    <t>Cunagua</t>
  </si>
  <si>
    <t>CCF</t>
  </si>
  <si>
    <t>Carcassonne Airport</t>
  </si>
  <si>
    <t>Carcassonne</t>
  </si>
  <si>
    <t>CCH</t>
  </si>
  <si>
    <t>Chile Chico Airport</t>
  </si>
  <si>
    <t>Chile Chico</t>
  </si>
  <si>
    <t>CCI</t>
  </si>
  <si>
    <t>Concórdia Airport</t>
  </si>
  <si>
    <t>Concordia</t>
  </si>
  <si>
    <t>CCJ</t>
  </si>
  <si>
    <t>Calicut International Airport</t>
  </si>
  <si>
    <t>Calicut</t>
  </si>
  <si>
    <t>CCK</t>
  </si>
  <si>
    <t>Cocos (Keeling) Islands Airport</t>
  </si>
  <si>
    <t>Cocos (Keeling) Islands</t>
  </si>
  <si>
    <t>Cocos Keeling Island</t>
  </si>
  <si>
    <t>CCL</t>
  </si>
  <si>
    <t>Chinchilla Airport</t>
  </si>
  <si>
    <t>Chinchilla</t>
  </si>
  <si>
    <t>CCM</t>
  </si>
  <si>
    <t>Diomício Freitas Airport</t>
  </si>
  <si>
    <t>Criciuma</t>
  </si>
  <si>
    <t>CCN</t>
  </si>
  <si>
    <t>Chakcharan Airport</t>
  </si>
  <si>
    <t>Chaghcharan</t>
  </si>
  <si>
    <t>CCO</t>
  </si>
  <si>
    <t>Newnan Coweta County Airport</t>
  </si>
  <si>
    <t>Newnan</t>
  </si>
  <si>
    <t>CCP</t>
  </si>
  <si>
    <t>Carriel Sur Airport</t>
  </si>
  <si>
    <t>Concepcion</t>
  </si>
  <si>
    <t>CCR</t>
  </si>
  <si>
    <t>Buchanan Field</t>
  </si>
  <si>
    <t>CCS</t>
  </si>
  <si>
    <t>Simón Bolívar International Airport</t>
  </si>
  <si>
    <t>CCU</t>
  </si>
  <si>
    <t>Netaji Subhash Chandra Bose International Airport</t>
  </si>
  <si>
    <t>Kolkata</t>
  </si>
  <si>
    <t>CCV</t>
  </si>
  <si>
    <t>Craig Cove Airport</t>
  </si>
  <si>
    <t>Craig Cove</t>
  </si>
  <si>
    <t>CCX</t>
  </si>
  <si>
    <t>Cáceres Airport</t>
  </si>
  <si>
    <t>Caceres</t>
  </si>
  <si>
    <t>CCY</t>
  </si>
  <si>
    <t>Northeast Iowa Regional Airport</t>
  </si>
  <si>
    <t>Charles City</t>
  </si>
  <si>
    <t>CCZ</t>
  </si>
  <si>
    <t>Chub Cay Airport</t>
  </si>
  <si>
    <t>Chub Cay</t>
  </si>
  <si>
    <t>CDA</t>
  </si>
  <si>
    <t>Cooinda Airport</t>
  </si>
  <si>
    <t>Cooinda</t>
  </si>
  <si>
    <t>CDB</t>
  </si>
  <si>
    <t>Cold Bay Airport</t>
  </si>
  <si>
    <t>Cold Bay</t>
  </si>
  <si>
    <t>CDC</t>
  </si>
  <si>
    <t>Cedar City Regional Airport</t>
  </si>
  <si>
    <t>Cedar City</t>
  </si>
  <si>
    <t>CDG</t>
  </si>
  <si>
    <t>Charles de Gaulle International Airport</t>
  </si>
  <si>
    <t>Paris</t>
  </si>
  <si>
    <t>CDJ</t>
  </si>
  <si>
    <t>Conceição do Araguaia Airport</t>
  </si>
  <si>
    <t>Conceicao Do Araguaia</t>
  </si>
  <si>
    <t>CDN</t>
  </si>
  <si>
    <t>Woodward Field</t>
  </si>
  <si>
    <t>Camden</t>
  </si>
  <si>
    <t>CDP</t>
  </si>
  <si>
    <t>Cuddapah Airport</t>
  </si>
  <si>
    <t>Cuddapah</t>
  </si>
  <si>
    <t>CDR</t>
  </si>
  <si>
    <t>Chadron Municipal Airport</t>
  </si>
  <si>
    <t>Chadron</t>
  </si>
  <si>
    <t>CDS</t>
  </si>
  <si>
    <t>Childress Municipal Airport</t>
  </si>
  <si>
    <t>Childress</t>
  </si>
  <si>
    <t>CDT</t>
  </si>
  <si>
    <t>Castellón-Costa Azahar Airport</t>
  </si>
  <si>
    <t>Castellón de la Plana</t>
  </si>
  <si>
    <t>CDU</t>
  </si>
  <si>
    <t>Camden Airport</t>
  </si>
  <si>
    <t>CDV</t>
  </si>
  <si>
    <t>Merle K (Mudhole) Smith Airport</t>
  </si>
  <si>
    <t>Cordova</t>
  </si>
  <si>
    <t>CDW</t>
  </si>
  <si>
    <t>Essex County Airport</t>
  </si>
  <si>
    <t>Caldwell</t>
  </si>
  <si>
    <t>CEB</t>
  </si>
  <si>
    <t>Mactan Cebu International Airport</t>
  </si>
  <si>
    <t>Cebu</t>
  </si>
  <si>
    <t>CEC</t>
  </si>
  <si>
    <t>Jack Mc Namara Field Airport</t>
  </si>
  <si>
    <t>Crescent City</t>
  </si>
  <si>
    <t>CED</t>
  </si>
  <si>
    <t>Ceduna Airport</t>
  </si>
  <si>
    <t>Ceduna</t>
  </si>
  <si>
    <t>CEE</t>
  </si>
  <si>
    <t>Cherepovets Airport</t>
  </si>
  <si>
    <t>Cherepovets</t>
  </si>
  <si>
    <t>CEF</t>
  </si>
  <si>
    <t>Westover ARB/Metropolitan Airport</t>
  </si>
  <si>
    <t>Chicopee Falls</t>
  </si>
  <si>
    <t>CEG</t>
  </si>
  <si>
    <t>Hawarden Airport</t>
  </si>
  <si>
    <t>Hawarden</t>
  </si>
  <si>
    <t>CEI</t>
  </si>
  <si>
    <t>Chiang Rai International Airport</t>
  </si>
  <si>
    <t>Chiang Rai</t>
  </si>
  <si>
    <t>CEJ</t>
  </si>
  <si>
    <t>Chernihiv Shestovitsa Airport</t>
  </si>
  <si>
    <t>Chernigov</t>
  </si>
  <si>
    <t>CEK</t>
  </si>
  <si>
    <t>Chelyabinsk Balandino Airport</t>
  </si>
  <si>
    <t>Chelyabinsk</t>
  </si>
  <si>
    <t>CEM</t>
  </si>
  <si>
    <t>Central Airport</t>
  </si>
  <si>
    <t>Central</t>
  </si>
  <si>
    <t>CEN</t>
  </si>
  <si>
    <t>Ciudad Obregón International Airport</t>
  </si>
  <si>
    <t>Ciudad Obregon</t>
  </si>
  <si>
    <t>CEQ</t>
  </si>
  <si>
    <t>Cannes-Mandelieu Airport</t>
  </si>
  <si>
    <t>Cannes</t>
  </si>
  <si>
    <t>CER</t>
  </si>
  <si>
    <t>Cherbourg-Maupertus Airport</t>
  </si>
  <si>
    <t>Cherbourg</t>
  </si>
  <si>
    <t>CES</t>
  </si>
  <si>
    <t>Cessnock Airport</t>
  </si>
  <si>
    <t>Cessnock</t>
  </si>
  <si>
    <t>CET</t>
  </si>
  <si>
    <t>Cholet Le Pontreau Airport</t>
  </si>
  <si>
    <t>Cholet</t>
  </si>
  <si>
    <t>CEU</t>
  </si>
  <si>
    <t>Oconee County Regional Airport</t>
  </si>
  <si>
    <t>Clemson</t>
  </si>
  <si>
    <t>CEW</t>
  </si>
  <si>
    <t>Bob Sikes Airport</t>
  </si>
  <si>
    <t>Crestview</t>
  </si>
  <si>
    <t>CEZ</t>
  </si>
  <si>
    <t>Cortez Municipal Airport</t>
  </si>
  <si>
    <t>Cortez</t>
  </si>
  <si>
    <t>CFB</t>
  </si>
  <si>
    <t>Cabo Frio Airport</t>
  </si>
  <si>
    <t>Cabo Frio</t>
  </si>
  <si>
    <t>CFC</t>
  </si>
  <si>
    <t>Caçador Airport</t>
  </si>
  <si>
    <t>Cacador</t>
  </si>
  <si>
    <t>CFD</t>
  </si>
  <si>
    <t>Coulter Field</t>
  </si>
  <si>
    <t>Bryan</t>
  </si>
  <si>
    <t>CFE</t>
  </si>
  <si>
    <t>Clermont-Ferrand Auvergne Airport</t>
  </si>
  <si>
    <t>Clermont-Ferrand</t>
  </si>
  <si>
    <t>CFG</t>
  </si>
  <si>
    <t>Jaime Gonzalez Airport</t>
  </si>
  <si>
    <t>Cienfuegos</t>
  </si>
  <si>
    <t>CFN</t>
  </si>
  <si>
    <t>Donegal Airport</t>
  </si>
  <si>
    <t>Dongloe</t>
  </si>
  <si>
    <t>CFO</t>
  </si>
  <si>
    <t>Confresa Airport</t>
  </si>
  <si>
    <t>Confresa</t>
  </si>
  <si>
    <t>CFR</t>
  </si>
  <si>
    <t>Caen-Carpiquet Airport</t>
  </si>
  <si>
    <t>Caen</t>
  </si>
  <si>
    <t>CFS</t>
  </si>
  <si>
    <t>Coffs Harbour Airport</t>
  </si>
  <si>
    <t>Coff's Harbour</t>
  </si>
  <si>
    <t>CFU</t>
  </si>
  <si>
    <t>Ioannis Kapodistrias International Airport</t>
  </si>
  <si>
    <t>Kerkyra/corfu</t>
  </si>
  <si>
    <t>CFV</t>
  </si>
  <si>
    <t>Coffeyville Municipal Airport</t>
  </si>
  <si>
    <t>Coffeyville</t>
  </si>
  <si>
    <t>CGB</t>
  </si>
  <si>
    <t>Marechal Rondon Airport</t>
  </si>
  <si>
    <t>Cuiaba</t>
  </si>
  <si>
    <t>CGC</t>
  </si>
  <si>
    <t>Crystal River Airport</t>
  </si>
  <si>
    <t>Crystal River</t>
  </si>
  <si>
    <t>CGD</t>
  </si>
  <si>
    <t>Changde Airport</t>
  </si>
  <si>
    <t>Changde</t>
  </si>
  <si>
    <t>CGF</t>
  </si>
  <si>
    <t>Cuyahoga County Airport</t>
  </si>
  <si>
    <t>Richmond Heights</t>
  </si>
  <si>
    <t>CGH</t>
  </si>
  <si>
    <t>Congonhas Airport</t>
  </si>
  <si>
    <t>CGI</t>
  </si>
  <si>
    <t>Cape Girardeau Regional Airport</t>
  </si>
  <si>
    <t>Cape Girardeau</t>
  </si>
  <si>
    <t>CGK</t>
  </si>
  <si>
    <t>Soekarno-Hatta International Airport</t>
  </si>
  <si>
    <t>Jakarta</t>
  </si>
  <si>
    <t>CGM</t>
  </si>
  <si>
    <t>Camiguin Airport</t>
  </si>
  <si>
    <t>Camiguin</t>
  </si>
  <si>
    <t>CGN</t>
  </si>
  <si>
    <t>Cologne Bonn Airport</t>
  </si>
  <si>
    <t>Cologne</t>
  </si>
  <si>
    <t>CGO</t>
  </si>
  <si>
    <t>Zhengzhou Xinzheng International Airport</t>
  </si>
  <si>
    <t>Zhengzhou</t>
  </si>
  <si>
    <t>CGP</t>
  </si>
  <si>
    <t>Shah Amanat International Airport</t>
  </si>
  <si>
    <t>Chittagong</t>
  </si>
  <si>
    <t>CGQ</t>
  </si>
  <si>
    <t>Longjia Airport</t>
  </si>
  <si>
    <t>Changchun</t>
  </si>
  <si>
    <t>CGR</t>
  </si>
  <si>
    <t>Campo Grande Airport</t>
  </si>
  <si>
    <t>Campo Grande</t>
  </si>
  <si>
    <t>CGX</t>
  </si>
  <si>
    <t>Chicago Meigs Airport</t>
  </si>
  <si>
    <t>Chicago</t>
  </si>
  <si>
    <t>CGY</t>
  </si>
  <si>
    <t>Cagayan De Oro Airport</t>
  </si>
  <si>
    <t>Ladag</t>
  </si>
  <si>
    <t>CGZ</t>
  </si>
  <si>
    <t>Casa Grande Municipal Airport</t>
  </si>
  <si>
    <t>Casa Grande</t>
  </si>
  <si>
    <t>CHA</t>
  </si>
  <si>
    <t>Lovell Field</t>
  </si>
  <si>
    <t>Chattanooga</t>
  </si>
  <si>
    <t>CHC</t>
  </si>
  <si>
    <t>Christchurch International Airport</t>
  </si>
  <si>
    <t>Christchurch</t>
  </si>
  <si>
    <t>CHG</t>
  </si>
  <si>
    <t>Chaoyang Airport</t>
  </si>
  <si>
    <t>Chaoyang</t>
  </si>
  <si>
    <t>CHH</t>
  </si>
  <si>
    <t>Chachapoyas Airport</t>
  </si>
  <si>
    <t>Chachapoyas</t>
  </si>
  <si>
    <t>CHM</t>
  </si>
  <si>
    <t>Teniente FAP Jaime A De Montreuil Morales Airport</t>
  </si>
  <si>
    <t>Chimbote</t>
  </si>
  <si>
    <t>CHN</t>
  </si>
  <si>
    <t>Jeon Ju Airport</t>
  </si>
  <si>
    <t>Jhunju</t>
  </si>
  <si>
    <t>CHO</t>
  </si>
  <si>
    <t>Charlottesville Albemarle Airport</t>
  </si>
  <si>
    <t>Charlottesville VA</t>
  </si>
  <si>
    <t>CHQ</t>
  </si>
  <si>
    <t>Chania International Airport</t>
  </si>
  <si>
    <t>Chania</t>
  </si>
  <si>
    <t>CHR</t>
  </si>
  <si>
    <t>Châteauroux-Déols \Marcel Dassault\" Airport"</t>
  </si>
  <si>
    <t>Chateauroux</t>
  </si>
  <si>
    <t>CHS</t>
  </si>
  <si>
    <t>Charleston Air Force Base-International Airport</t>
  </si>
  <si>
    <t>Charleston</t>
  </si>
  <si>
    <t>CHT</t>
  </si>
  <si>
    <t>Chatham Islands-Tuuta Airport</t>
  </si>
  <si>
    <t>Chatham Island</t>
  </si>
  <si>
    <t>CHX</t>
  </si>
  <si>
    <t>Cap Manuel Niño International Airport</t>
  </si>
  <si>
    <t>Changuinola</t>
  </si>
  <si>
    <t>CHY</t>
  </si>
  <si>
    <t>Choiseul Bay Airport</t>
  </si>
  <si>
    <t>Choiseul Bay</t>
  </si>
  <si>
    <t>CIA</t>
  </si>
  <si>
    <t>Ciampino–G. B. Pastine International Airport</t>
  </si>
  <si>
    <t>CIC</t>
  </si>
  <si>
    <t>Chico Municipal Airport</t>
  </si>
  <si>
    <t>Chico</t>
  </si>
  <si>
    <t>CID</t>
  </si>
  <si>
    <t>The Eastern Iowa Airport</t>
  </si>
  <si>
    <t>Cedar Rapids</t>
  </si>
  <si>
    <t>CIF</t>
  </si>
  <si>
    <t>Chifeng Airport</t>
  </si>
  <si>
    <t>Chifeng</t>
  </si>
  <si>
    <t>CIH</t>
  </si>
  <si>
    <t>Changzhi Airport</t>
  </si>
  <si>
    <t>Changzhi</t>
  </si>
  <si>
    <t>CIJ</t>
  </si>
  <si>
    <t>Capitán Aníbal Arab Airport</t>
  </si>
  <si>
    <t>Cobija</t>
  </si>
  <si>
    <t>CIK</t>
  </si>
  <si>
    <t>Chalkyitsik Airport</t>
  </si>
  <si>
    <t>Chalkyitsik</t>
  </si>
  <si>
    <t>CIO</t>
  </si>
  <si>
    <t>Teniente Col Carmelo Peralta Airport</t>
  </si>
  <si>
    <t>Conception</t>
  </si>
  <si>
    <t>CIP</t>
  </si>
  <si>
    <t>Chipata Airport</t>
  </si>
  <si>
    <t>Chipata</t>
  </si>
  <si>
    <t>CIS</t>
  </si>
  <si>
    <t>Canton Island Airport</t>
  </si>
  <si>
    <t>Canton Island</t>
  </si>
  <si>
    <t>CIT</t>
  </si>
  <si>
    <t>Shymkent Airport</t>
  </si>
  <si>
    <t>Chimkent</t>
  </si>
  <si>
    <t>CIU</t>
  </si>
  <si>
    <t>Chippewa County International Airport</t>
  </si>
  <si>
    <t>Sault Ste Marie</t>
  </si>
  <si>
    <t>CIW</t>
  </si>
  <si>
    <t>Canouan Airport</t>
  </si>
  <si>
    <t>Canouan Island</t>
  </si>
  <si>
    <t>CIX</t>
  </si>
  <si>
    <t>Capitan FAP Jose A Quinones Gonzales International Airport</t>
  </si>
  <si>
    <t>Chiclayo</t>
  </si>
  <si>
    <t>CIY</t>
  </si>
  <si>
    <t>Comiso Airport</t>
  </si>
  <si>
    <t>Comiso</t>
  </si>
  <si>
    <t>CIZ</t>
  </si>
  <si>
    <t>Coari Airport</t>
  </si>
  <si>
    <t>Coari</t>
  </si>
  <si>
    <t>CJA</t>
  </si>
  <si>
    <t>Mayor General FAP Armando Revoredo Iglesias Airport</t>
  </si>
  <si>
    <t>Cajamarca</t>
  </si>
  <si>
    <t>CJB</t>
  </si>
  <si>
    <t>Coimbatore International Airport</t>
  </si>
  <si>
    <t>Coimbatore</t>
  </si>
  <si>
    <t>CJC</t>
  </si>
  <si>
    <t>El Loa Airport</t>
  </si>
  <si>
    <t>Calama</t>
  </si>
  <si>
    <t>CJF</t>
  </si>
  <si>
    <t>Coondewanna Airport</t>
  </si>
  <si>
    <t>Coondewanna</t>
  </si>
  <si>
    <t>CJJ</t>
  </si>
  <si>
    <t>Cheongju International Airport</t>
  </si>
  <si>
    <t>Chongju</t>
  </si>
  <si>
    <t>CJL</t>
  </si>
  <si>
    <t>Chitral Airport</t>
  </si>
  <si>
    <t>Chitral</t>
  </si>
  <si>
    <t>CJM</t>
  </si>
  <si>
    <t>Chumphon Airport</t>
  </si>
  <si>
    <t>Chumphon</t>
  </si>
  <si>
    <t>CJS</t>
  </si>
  <si>
    <t>Abraham González International Airport</t>
  </si>
  <si>
    <t>Ciudad Juarez</t>
  </si>
  <si>
    <t>CJU</t>
  </si>
  <si>
    <t>Jeju International Airport</t>
  </si>
  <si>
    <t>Cheju</t>
  </si>
  <si>
    <t>CKB</t>
  </si>
  <si>
    <t>North Central West Virginia Airport</t>
  </si>
  <si>
    <t>Clarksburg</t>
  </si>
  <si>
    <t>CKC</t>
  </si>
  <si>
    <t>Cherkasy International Airport</t>
  </si>
  <si>
    <t>Cherkassy</t>
  </si>
  <si>
    <t>CKF</t>
  </si>
  <si>
    <t>Crisp County Cordele Airport</t>
  </si>
  <si>
    <t>Cordele</t>
  </si>
  <si>
    <t>CKG</t>
  </si>
  <si>
    <t>Chongqing Jiangbei International Airport</t>
  </si>
  <si>
    <t>Chongqing</t>
  </si>
  <si>
    <t>CKH</t>
  </si>
  <si>
    <t>Chokurdakh Airport</t>
  </si>
  <si>
    <t>Chokurdah</t>
  </si>
  <si>
    <t>CKL</t>
  </si>
  <si>
    <t>Chkalovskiy Airport</t>
  </si>
  <si>
    <t>Shchyolkovo</t>
  </si>
  <si>
    <t>CKS</t>
  </si>
  <si>
    <t>Carajás Airport</t>
  </si>
  <si>
    <t>Parauapebas</t>
  </si>
  <si>
    <t>CKV</t>
  </si>
  <si>
    <t>Clarksville–Montgomery County Regional Airport</t>
  </si>
  <si>
    <t>Clarksville</t>
  </si>
  <si>
    <t>CKY</t>
  </si>
  <si>
    <t>Conakry International Airport</t>
  </si>
  <si>
    <t>Conakry</t>
  </si>
  <si>
    <t>CKZ</t>
  </si>
  <si>
    <t>Çanakkale Airport</t>
  </si>
  <si>
    <t>Canakkale</t>
  </si>
  <si>
    <t>CLD</t>
  </si>
  <si>
    <t>Mc Clellan-Palomar Airport</t>
  </si>
  <si>
    <t>Carlsbad</t>
  </si>
  <si>
    <t>CLE</t>
  </si>
  <si>
    <t>Cleveland Hopkins International Airport</t>
  </si>
  <si>
    <t>CLJ</t>
  </si>
  <si>
    <t>Cluj-Napoca International Airport</t>
  </si>
  <si>
    <t>Cluj-napoca</t>
  </si>
  <si>
    <t>CLL</t>
  </si>
  <si>
    <t>Easterwood Field</t>
  </si>
  <si>
    <t>College Station</t>
  </si>
  <si>
    <t>CLM</t>
  </si>
  <si>
    <t>William R Fairchild International Airport</t>
  </si>
  <si>
    <t>Port Angeles</t>
  </si>
  <si>
    <t>CLN</t>
  </si>
  <si>
    <t>Brig. Lysias Augusto Rodrigues Airport</t>
  </si>
  <si>
    <t>Carolina</t>
  </si>
  <si>
    <t>CLO</t>
  </si>
  <si>
    <t>Alfonso Bonilla Aragon International Airport</t>
  </si>
  <si>
    <t>Cali</t>
  </si>
  <si>
    <t>CLQ</t>
  </si>
  <si>
    <t>Licenciado Miguel de la Madrid Airport</t>
  </si>
  <si>
    <t>Colima</t>
  </si>
  <si>
    <t>CLS</t>
  </si>
  <si>
    <t>Chehalis Centralia Airport</t>
  </si>
  <si>
    <t>Chehalis</t>
  </si>
  <si>
    <t>CLT</t>
  </si>
  <si>
    <t>Charlotte Douglas International Airport</t>
  </si>
  <si>
    <t>Charlotte</t>
  </si>
  <si>
    <t>CLU</t>
  </si>
  <si>
    <t>Columbus Municipal Airport</t>
  </si>
  <si>
    <t>Columbus</t>
  </si>
  <si>
    <t>CLV</t>
  </si>
  <si>
    <t>Nelson Ribeiro Guimarães Airport</t>
  </si>
  <si>
    <t>Caldas Novas</t>
  </si>
  <si>
    <t>CLW</t>
  </si>
  <si>
    <t>Clearwater Air Park</t>
  </si>
  <si>
    <t>Clearwater</t>
  </si>
  <si>
    <t>CLY</t>
  </si>
  <si>
    <t>Calvi-Sainte-Catherine Airport</t>
  </si>
  <si>
    <t>Calvi</t>
  </si>
  <si>
    <t>CMA</t>
  </si>
  <si>
    <t>Cunnamulla Airport</t>
  </si>
  <si>
    <t>Cunnamulla</t>
  </si>
  <si>
    <t>CMB</t>
  </si>
  <si>
    <t>Bandaranaike International Colombo Airport</t>
  </si>
  <si>
    <t>Colombo</t>
  </si>
  <si>
    <t>CMD</t>
  </si>
  <si>
    <t>Cootamundra Airport</t>
  </si>
  <si>
    <t>CME</t>
  </si>
  <si>
    <t>Ciudad del Carmen International Airport</t>
  </si>
  <si>
    <t>Ciudad Del Carmen</t>
  </si>
  <si>
    <t>CMF</t>
  </si>
  <si>
    <t>Chambéry-Savoie Airport</t>
  </si>
  <si>
    <t>CMG</t>
  </si>
  <si>
    <t>Corumbá International Airport</t>
  </si>
  <si>
    <t>Corumba</t>
  </si>
  <si>
    <t>CMH</t>
  </si>
  <si>
    <t>Port Columbus International Airport</t>
  </si>
  <si>
    <t>CMI</t>
  </si>
  <si>
    <t>University of Illinois Willard Airport</t>
  </si>
  <si>
    <t>Champaign</t>
  </si>
  <si>
    <t>CMK</t>
  </si>
  <si>
    <t>Club Makokola Airport</t>
  </si>
  <si>
    <t>Club Makokola</t>
  </si>
  <si>
    <t>Mohammed V International Airport</t>
  </si>
  <si>
    <t>CMP</t>
  </si>
  <si>
    <t>Santana do Araguaia Airport</t>
  </si>
  <si>
    <t>Santana do Araguaia</t>
  </si>
  <si>
    <t>CMQ</t>
  </si>
  <si>
    <t>Clermont Airport</t>
  </si>
  <si>
    <t>Clermont</t>
  </si>
  <si>
    <t>CMR</t>
  </si>
  <si>
    <t>Colmar-Houssen Airport</t>
  </si>
  <si>
    <t>CMU</t>
  </si>
  <si>
    <t>Chimbu Airport</t>
  </si>
  <si>
    <t>Kundiawa</t>
  </si>
  <si>
    <t>CMW</t>
  </si>
  <si>
    <t>Ignacio Agramonte International Airport</t>
  </si>
  <si>
    <t>Camaguey</t>
  </si>
  <si>
    <t>CMX</t>
  </si>
  <si>
    <t>Houghton County Memorial Airport</t>
  </si>
  <si>
    <t>Hancock</t>
  </si>
  <si>
    <t>CNB</t>
  </si>
  <si>
    <t>Coonamble Airport</t>
  </si>
  <si>
    <t>Coonamble</t>
  </si>
  <si>
    <t>CNC</t>
  </si>
  <si>
    <t>Coconut Island Airport</t>
  </si>
  <si>
    <t>Coconut Island</t>
  </si>
  <si>
    <t>CND</t>
  </si>
  <si>
    <t>Mihail Kogălniceanu International Airport</t>
  </si>
  <si>
    <t>Constanta</t>
  </si>
  <si>
    <t>CNF</t>
  </si>
  <si>
    <t>Tancredo Neves International Airport</t>
  </si>
  <si>
    <t>Belo Horizonte</t>
  </si>
  <si>
    <t>CNG</t>
  </si>
  <si>
    <t>Cognac-Châteaubernard (BA 709) Air Base</t>
  </si>
  <si>
    <t>Cognac</t>
  </si>
  <si>
    <t>CNI</t>
  </si>
  <si>
    <t>Changhai Airport</t>
  </si>
  <si>
    <t>Changhai</t>
  </si>
  <si>
    <t>CNJ</t>
  </si>
  <si>
    <t>Cloncurry Airport</t>
  </si>
  <si>
    <t>Cloncurry</t>
  </si>
  <si>
    <t>CNL</t>
  </si>
  <si>
    <t>Sindal Airport</t>
  </si>
  <si>
    <t>Sindal</t>
  </si>
  <si>
    <t>CNM</t>
  </si>
  <si>
    <t>Cavern City Air Terminal</t>
  </si>
  <si>
    <t>CNN</t>
  </si>
  <si>
    <t>Chulman Airport</t>
  </si>
  <si>
    <t>Neryungri</t>
  </si>
  <si>
    <t>CNO</t>
  </si>
  <si>
    <t>Chino Airport</t>
  </si>
  <si>
    <t>Chino</t>
  </si>
  <si>
    <t>CNP</t>
  </si>
  <si>
    <t>Neerlerit Inaat Airport</t>
  </si>
  <si>
    <t>Neerlerit Inaat</t>
  </si>
  <si>
    <t>CNQ</t>
  </si>
  <si>
    <t>Corrientes Airport</t>
  </si>
  <si>
    <t>Corrientes</t>
  </si>
  <si>
    <t>CNR</t>
  </si>
  <si>
    <t>Chañaral Airport</t>
  </si>
  <si>
    <t>Chañaral</t>
  </si>
  <si>
    <t>CNS</t>
  </si>
  <si>
    <t>Cairns International Airport</t>
  </si>
  <si>
    <t>Cairns</t>
  </si>
  <si>
    <t>CNU</t>
  </si>
  <si>
    <t>Chanute Martin Johnson Airport</t>
  </si>
  <si>
    <t>Chanute</t>
  </si>
  <si>
    <t>CNW</t>
  </si>
  <si>
    <t>TSTC Waco Airport</t>
  </si>
  <si>
    <t>CNX</t>
  </si>
  <si>
    <t>Chiang Mai International Airport</t>
  </si>
  <si>
    <t>Chiang Mai</t>
  </si>
  <si>
    <t>CNY</t>
  </si>
  <si>
    <t>Canyonlands Field</t>
  </si>
  <si>
    <t>Moab</t>
  </si>
  <si>
    <t>COC</t>
  </si>
  <si>
    <t>Comodoro Pierrestegui Airport</t>
  </si>
  <si>
    <t>COD</t>
  </si>
  <si>
    <t>Yellowstone Regional Airport</t>
  </si>
  <si>
    <t>Cody</t>
  </si>
  <si>
    <t>COE</t>
  </si>
  <si>
    <t>Coeur D'Alene - Pappy Boyington Field</t>
  </si>
  <si>
    <t>Coeur d'Alene</t>
  </si>
  <si>
    <t>COF</t>
  </si>
  <si>
    <t>Patrick Air Force Base</t>
  </si>
  <si>
    <t>Coco Beach</t>
  </si>
  <si>
    <t>COG</t>
  </si>
  <si>
    <t>Mandinga Airport</t>
  </si>
  <si>
    <t>Condoto</t>
  </si>
  <si>
    <t>COH</t>
  </si>
  <si>
    <t>Cooch Behar Airport</t>
  </si>
  <si>
    <t>Cooch-behar</t>
  </si>
  <si>
    <t>COJ</t>
  </si>
  <si>
    <t>Coonabarabran Airport</t>
  </si>
  <si>
    <t>Coonabarabran</t>
  </si>
  <si>
    <t>COK</t>
  </si>
  <si>
    <t>Cochin International Airport</t>
  </si>
  <si>
    <t>Kochi</t>
  </si>
  <si>
    <t>CON</t>
  </si>
  <si>
    <t>Concord Municipal Airport</t>
  </si>
  <si>
    <t>Concord NH</t>
  </si>
  <si>
    <t>COO</t>
  </si>
  <si>
    <t>Cadjehoun Airport</t>
  </si>
  <si>
    <t>Cotonou</t>
  </si>
  <si>
    <t>COQ</t>
  </si>
  <si>
    <t>Choibalsan Airport</t>
  </si>
  <si>
    <t>Choibalsan</t>
  </si>
  <si>
    <t>COR</t>
  </si>
  <si>
    <t>Ingeniero Ambrosio Taravella Airport</t>
  </si>
  <si>
    <t>Cordoba</t>
  </si>
  <si>
    <t>COS</t>
  </si>
  <si>
    <t>City of Colorado Springs Municipal Airport</t>
  </si>
  <si>
    <t>Colorado Springs</t>
  </si>
  <si>
    <t>COT</t>
  </si>
  <si>
    <t>Cotulla-La Salle County Airport</t>
  </si>
  <si>
    <t>Cotulla</t>
  </si>
  <si>
    <t>COU</t>
  </si>
  <si>
    <t>Columbia Regional Airport</t>
  </si>
  <si>
    <t>COX</t>
  </si>
  <si>
    <t>Congo Town Airport</t>
  </si>
  <si>
    <t>Andros</t>
  </si>
  <si>
    <t>COZ</t>
  </si>
  <si>
    <t>Constanza - Expedición 14 de Junio National Airport</t>
  </si>
  <si>
    <t>Constanza</t>
  </si>
  <si>
    <t>CPA</t>
  </si>
  <si>
    <t>Cape Palmas Airport</t>
  </si>
  <si>
    <t>Liberia</t>
  </si>
  <si>
    <t>Greenville</t>
  </si>
  <si>
    <t>CPB</t>
  </si>
  <si>
    <t>Capurganá Airport</t>
  </si>
  <si>
    <t>Capurgana</t>
  </si>
  <si>
    <t>CPC</t>
  </si>
  <si>
    <t>Aviador C. Campos Airport</t>
  </si>
  <si>
    <t>San Martin Des Andes</t>
  </si>
  <si>
    <t>CPD</t>
  </si>
  <si>
    <t>Coober Pedy Airport</t>
  </si>
  <si>
    <t>Coober Pedy</t>
  </si>
  <si>
    <t>CPE</t>
  </si>
  <si>
    <t>Ingeniero Alberto Acuña Ongay International Airport</t>
  </si>
  <si>
    <t>Campeche</t>
  </si>
  <si>
    <t>CPH</t>
  </si>
  <si>
    <t>Copenhagen Kastrup Airport</t>
  </si>
  <si>
    <t>Copenhagen</t>
  </si>
  <si>
    <t>CPO</t>
  </si>
  <si>
    <t>Chamonate Airport</t>
  </si>
  <si>
    <t>Copiapo</t>
  </si>
  <si>
    <t>CPQ</t>
  </si>
  <si>
    <t>Amarais Airport</t>
  </si>
  <si>
    <t>Campinas</t>
  </si>
  <si>
    <t>CPR</t>
  </si>
  <si>
    <t>Casper-Natrona County International Airport</t>
  </si>
  <si>
    <t>Casper</t>
  </si>
  <si>
    <t>Cape Town International Airport</t>
  </si>
  <si>
    <t>CPV</t>
  </si>
  <si>
    <t>Presidente João Suassuna Airport</t>
  </si>
  <si>
    <t>Campina Grande</t>
  </si>
  <si>
    <t>CPX</t>
  </si>
  <si>
    <t>Benjamin Rivera Noriega Airport</t>
  </si>
  <si>
    <t>Culebra Island</t>
  </si>
  <si>
    <t>CQD</t>
  </si>
  <si>
    <t>Shahrekord Airport</t>
  </si>
  <si>
    <t>Shahre Kord</t>
  </si>
  <si>
    <t>CQF</t>
  </si>
  <si>
    <t>Calais-Dunkerque Airport</t>
  </si>
  <si>
    <t>Calais</t>
  </si>
  <si>
    <t>CQM</t>
  </si>
  <si>
    <t>Ciudad Real Central Airport</t>
  </si>
  <si>
    <t>Ciudad Real</t>
  </si>
  <si>
    <t>CQW</t>
  </si>
  <si>
    <t>Cheraw Municipal Airport/Lynch Bellinger Field</t>
  </si>
  <si>
    <t>Cheraw</t>
  </si>
  <si>
    <t>CRA</t>
  </si>
  <si>
    <t>Craiova Airport</t>
  </si>
  <si>
    <t>Craiova</t>
  </si>
  <si>
    <t>CRC</t>
  </si>
  <si>
    <t>Santa Ana Airport</t>
  </si>
  <si>
    <t>Cartago</t>
  </si>
  <si>
    <t>CRD</t>
  </si>
  <si>
    <t>General E. Mosconi Airport</t>
  </si>
  <si>
    <t>Comodoro Rivadavia</t>
  </si>
  <si>
    <t>CRE</t>
  </si>
  <si>
    <t>Grand Strand Airport</t>
  </si>
  <si>
    <t>North Myrtle Beach</t>
  </si>
  <si>
    <t>CRG</t>
  </si>
  <si>
    <t>Jacksonville Executive at Craig Airport</t>
  </si>
  <si>
    <t>CRI</t>
  </si>
  <si>
    <t>Colonel Hill Airport</t>
  </si>
  <si>
    <t>Colonel Hill</t>
  </si>
  <si>
    <t>CRK</t>
  </si>
  <si>
    <t>Clark International Airport</t>
  </si>
  <si>
    <t>Angeles City</t>
  </si>
  <si>
    <t>CRL</t>
  </si>
  <si>
    <t>Brussels South Charleroi Airport</t>
  </si>
  <si>
    <t>Charleroi</t>
  </si>
  <si>
    <t>CRM</t>
  </si>
  <si>
    <t>Catarman National Airport</t>
  </si>
  <si>
    <t>Catarman</t>
  </si>
  <si>
    <t>CRP</t>
  </si>
  <si>
    <t>Corpus Christi International Airport</t>
  </si>
  <si>
    <t>Corpus Christi</t>
  </si>
  <si>
    <t>CRQ</t>
  </si>
  <si>
    <t>Caravelas Airport</t>
  </si>
  <si>
    <t>Caravelas</t>
  </si>
  <si>
    <t>CRV</t>
  </si>
  <si>
    <t>Crotone Airport</t>
  </si>
  <si>
    <t>Crotone</t>
  </si>
  <si>
    <t>CRW</t>
  </si>
  <si>
    <t>Yeager Airport</t>
  </si>
  <si>
    <t>CRZ</t>
  </si>
  <si>
    <t>Turkmenabat Airport</t>
  </si>
  <si>
    <t>Chardzhou</t>
  </si>
  <si>
    <t>CSA</t>
  </si>
  <si>
    <t>Colonsay Airstrip</t>
  </si>
  <si>
    <t>Colonsay</t>
  </si>
  <si>
    <t>CSB</t>
  </si>
  <si>
    <t>Caransebeş Airport</t>
  </si>
  <si>
    <t>Caransebes</t>
  </si>
  <si>
    <t>CSC</t>
  </si>
  <si>
    <t>Codela Airport</t>
  </si>
  <si>
    <t>CSF</t>
  </si>
  <si>
    <t>Creil Air Base</t>
  </si>
  <si>
    <t>Creil</t>
  </si>
  <si>
    <t>CSG</t>
  </si>
  <si>
    <t>Columbus Metropolitan Airport</t>
  </si>
  <si>
    <t>CSH</t>
  </si>
  <si>
    <t>Solovki Airport</t>
  </si>
  <si>
    <t>Solovetsky Islands</t>
  </si>
  <si>
    <t>CSK</t>
  </si>
  <si>
    <t>Cap Skirring Airport</t>
  </si>
  <si>
    <t>Cap Skiring</t>
  </si>
  <si>
    <t>CSO</t>
  </si>
  <si>
    <t>Cochstedt Airport</t>
  </si>
  <si>
    <t>Cochstedt</t>
  </si>
  <si>
    <t>CSV</t>
  </si>
  <si>
    <t>Crossville Memorial Whitson Field</t>
  </si>
  <si>
    <t>Crossville</t>
  </si>
  <si>
    <t>CSX</t>
  </si>
  <si>
    <t>Changsha Huanghua International Airport</t>
  </si>
  <si>
    <t>Changcha</t>
  </si>
  <si>
    <t>CSY</t>
  </si>
  <si>
    <t>Cheboksary Airport</t>
  </si>
  <si>
    <t>Cheboksary</t>
  </si>
  <si>
    <t>CTA</t>
  </si>
  <si>
    <t>Catania-Fontanarossa Airport</t>
  </si>
  <si>
    <t>Catania</t>
  </si>
  <si>
    <t>CTB</t>
  </si>
  <si>
    <t>Cut Bank International Airport</t>
  </si>
  <si>
    <t>Cutbank</t>
  </si>
  <si>
    <t>CTC</t>
  </si>
  <si>
    <t>Catamarca Airport</t>
  </si>
  <si>
    <t>Catamarca</t>
  </si>
  <si>
    <t>CTD</t>
  </si>
  <si>
    <t>Alonso Valderrama Airport</t>
  </si>
  <si>
    <t>Chitré</t>
  </si>
  <si>
    <t>CTG</t>
  </si>
  <si>
    <t>Rafael Nuñez International Airport</t>
  </si>
  <si>
    <t>Cartagena</t>
  </si>
  <si>
    <t>CTH</t>
  </si>
  <si>
    <t>Chester County G O Carlson Airport</t>
  </si>
  <si>
    <t>Coatesville</t>
  </si>
  <si>
    <t>CTJ</t>
  </si>
  <si>
    <t>West Georgia Regional O V Gray Field</t>
  </si>
  <si>
    <t>Carrollton</t>
  </si>
  <si>
    <t>CTL</t>
  </si>
  <si>
    <t>Charleville Airport</t>
  </si>
  <si>
    <t>Charlieville</t>
  </si>
  <si>
    <t>CTM</t>
  </si>
  <si>
    <t>Chetumal International Airport</t>
  </si>
  <si>
    <t>Chetumal</t>
  </si>
  <si>
    <t>CTN</t>
  </si>
  <si>
    <t>Cooktown Airport</t>
  </si>
  <si>
    <t>Cooktown</t>
  </si>
  <si>
    <t>CTS</t>
  </si>
  <si>
    <t>New Chitose Airport</t>
  </si>
  <si>
    <t>Sapporo</t>
  </si>
  <si>
    <t>CTT</t>
  </si>
  <si>
    <t>Le Castellet Airport</t>
  </si>
  <si>
    <t>Le Castellet</t>
  </si>
  <si>
    <t>CTU</t>
  </si>
  <si>
    <t>Chengdu Shuangliu International Airport</t>
  </si>
  <si>
    <t>Chengdu</t>
  </si>
  <si>
    <t>CTY</t>
  </si>
  <si>
    <t>Cross City Airport</t>
  </si>
  <si>
    <t>Cross City</t>
  </si>
  <si>
    <t>CUA</t>
  </si>
  <si>
    <t>Ciudad Constitución Airport</t>
  </si>
  <si>
    <t>Ciudad Constitución</t>
  </si>
  <si>
    <t>CUB</t>
  </si>
  <si>
    <t>Jim Hamilton L.B. Owens Airport</t>
  </si>
  <si>
    <t>CUC</t>
  </si>
  <si>
    <t>Camilo Daza International Airport</t>
  </si>
  <si>
    <t>Cucuta</t>
  </si>
  <si>
    <t>CUE</t>
  </si>
  <si>
    <t>Mariscal Lamar Airport</t>
  </si>
  <si>
    <t>Cuenca</t>
  </si>
  <si>
    <t>CUF</t>
  </si>
  <si>
    <t>Cuneo International Airport</t>
  </si>
  <si>
    <t>Cuneo</t>
  </si>
  <si>
    <t>CUL</t>
  </si>
  <si>
    <t>Bachigualato Federal International Airport</t>
  </si>
  <si>
    <t>Culiacan</t>
  </si>
  <si>
    <t>CUM</t>
  </si>
  <si>
    <t>Cumaná (Antonio José de Sucre) Airport</t>
  </si>
  <si>
    <t>Cumana</t>
  </si>
  <si>
    <t>CUN</t>
  </si>
  <si>
    <t>Cancún International Airport</t>
  </si>
  <si>
    <t>Cancun</t>
  </si>
  <si>
    <t>CUP</t>
  </si>
  <si>
    <t>General Francisco Bermúdez Airport</t>
  </si>
  <si>
    <t>Carupano</t>
  </si>
  <si>
    <t>CUQ</t>
  </si>
  <si>
    <t>Coen Airport</t>
  </si>
  <si>
    <t>Coen</t>
  </si>
  <si>
    <t>CUR</t>
  </si>
  <si>
    <t>Hato International Airport</t>
  </si>
  <si>
    <t>Willemstad</t>
  </si>
  <si>
    <t>CUU</t>
  </si>
  <si>
    <t>General Roberto Fierro Villalobos International Airport</t>
  </si>
  <si>
    <t>Chihuahua</t>
  </si>
  <si>
    <t>CUZ</t>
  </si>
  <si>
    <t>Alejandro Velasco Astete International Airport</t>
  </si>
  <si>
    <t>Cuzco</t>
  </si>
  <si>
    <t>CVC</t>
  </si>
  <si>
    <t>Cleve Airport</t>
  </si>
  <si>
    <t>CVE</t>
  </si>
  <si>
    <t>Coveñas Airport</t>
  </si>
  <si>
    <t>Coveñas</t>
  </si>
  <si>
    <t>CVF</t>
  </si>
  <si>
    <t>Courchevel Airport</t>
  </si>
  <si>
    <t>Courcheval</t>
  </si>
  <si>
    <t>CVG</t>
  </si>
  <si>
    <t>Cincinnati Northern Kentucky International Airport</t>
  </si>
  <si>
    <t>Cincinnati</t>
  </si>
  <si>
    <t>CVJ</t>
  </si>
  <si>
    <t>General Mariano Matamoros Airport</t>
  </si>
  <si>
    <t>Cuernavaca</t>
  </si>
  <si>
    <t>CVM</t>
  </si>
  <si>
    <t>General Pedro Jose Mendez International Airport</t>
  </si>
  <si>
    <t>Ciudad Victoria</t>
  </si>
  <si>
    <t>CVN</t>
  </si>
  <si>
    <t>Clovis Municipal Airport</t>
  </si>
  <si>
    <t>Clovis</t>
  </si>
  <si>
    <t>CVO</t>
  </si>
  <si>
    <t>Corvallis Municipal Airport</t>
  </si>
  <si>
    <t>Corvallis</t>
  </si>
  <si>
    <t>CVQ</t>
  </si>
  <si>
    <t>Carnarvon Airport</t>
  </si>
  <si>
    <t>Carnarvon</t>
  </si>
  <si>
    <t>CVS</t>
  </si>
  <si>
    <t>Cannon Air Force Base</t>
  </si>
  <si>
    <t>CVT</t>
  </si>
  <si>
    <t>Coventry Airport</t>
  </si>
  <si>
    <t>Coventry</t>
  </si>
  <si>
    <t>CVU</t>
  </si>
  <si>
    <t>Corvo Airport</t>
  </si>
  <si>
    <t>Corvo</t>
  </si>
  <si>
    <t>CVX</t>
  </si>
  <si>
    <t>Charlevoix Municipal Airport</t>
  </si>
  <si>
    <t>Charelvoix</t>
  </si>
  <si>
    <t>CWA</t>
  </si>
  <si>
    <t>Central Wisconsin Airport</t>
  </si>
  <si>
    <t>Wassau</t>
  </si>
  <si>
    <t>CWB</t>
  </si>
  <si>
    <t>Afonso Pena Airport</t>
  </si>
  <si>
    <t>CWC</t>
  </si>
  <si>
    <t>Chernivtsi International Airport</t>
  </si>
  <si>
    <t>Chernovtsk</t>
  </si>
  <si>
    <t>CWI</t>
  </si>
  <si>
    <t>Clinton Municipal Airport</t>
  </si>
  <si>
    <t>CWL</t>
  </si>
  <si>
    <t>Cardiff International Airport</t>
  </si>
  <si>
    <t>Cardiff</t>
  </si>
  <si>
    <t>CWT</t>
  </si>
  <si>
    <t>Cowra Airport</t>
  </si>
  <si>
    <t>Chatsworth</t>
  </si>
  <si>
    <t>CWW</t>
  </si>
  <si>
    <t>Corowa Airport</t>
  </si>
  <si>
    <t>CXB</t>
  </si>
  <si>
    <t>Cox's Bazar Airport</t>
  </si>
  <si>
    <t>Cox's Bazar</t>
  </si>
  <si>
    <t>CXH</t>
  </si>
  <si>
    <t>Vancouver Harbour Water Aerodrome</t>
  </si>
  <si>
    <t>CXI</t>
  </si>
  <si>
    <t>Cassidy International Airport</t>
  </si>
  <si>
    <t>Kiritimati</t>
  </si>
  <si>
    <t>CXJ</t>
  </si>
  <si>
    <t>Hugo Cantergiani Regional Airport</t>
  </si>
  <si>
    <t>Caxias Do Sul</t>
  </si>
  <si>
    <t>CXL</t>
  </si>
  <si>
    <t>Calexico International Airport</t>
  </si>
  <si>
    <t>Calexico</t>
  </si>
  <si>
    <t>CXO</t>
  </si>
  <si>
    <t>Lone Star Executive Airport</t>
  </si>
  <si>
    <t>Conroe</t>
  </si>
  <si>
    <t>CXP</t>
  </si>
  <si>
    <t>Tunggul Wulung Airport</t>
  </si>
  <si>
    <t>Cilacap</t>
  </si>
  <si>
    <t>CXR</t>
  </si>
  <si>
    <t>Cam Ranh Airport</t>
  </si>
  <si>
    <t>Nha Trang</t>
  </si>
  <si>
    <t>CXY</t>
  </si>
  <si>
    <t>Capital City Airport</t>
  </si>
  <si>
    <t>Harrisburg</t>
  </si>
  <si>
    <t>CYB</t>
  </si>
  <si>
    <t>Gerrard Smith International Airport</t>
  </si>
  <si>
    <t>Cayman Islands</t>
  </si>
  <si>
    <t>Cayman Brac</t>
  </si>
  <si>
    <t>CYF</t>
  </si>
  <si>
    <t>Chefornak Airport</t>
  </si>
  <si>
    <t>Chefornak</t>
  </si>
  <si>
    <t>CYG</t>
  </si>
  <si>
    <t>Corryong Airport</t>
  </si>
  <si>
    <t>CYI</t>
  </si>
  <si>
    <t>Chiayi Airport</t>
  </si>
  <si>
    <t>Chiayi</t>
  </si>
  <si>
    <t>CYO</t>
  </si>
  <si>
    <t>Vilo Acuña International Airport</t>
  </si>
  <si>
    <t>Cayo Largo del Sur</t>
  </si>
  <si>
    <t>CYP</t>
  </si>
  <si>
    <t>Calbayog Airport</t>
  </si>
  <si>
    <t>Calbayog City</t>
  </si>
  <si>
    <t>CYR</t>
  </si>
  <si>
    <t>Laguna de Los Patos International Airport</t>
  </si>
  <si>
    <t>Colonia</t>
  </si>
  <si>
    <t>CYS</t>
  </si>
  <si>
    <t>Cheyenne Regional Jerry Olson Field</t>
  </si>
  <si>
    <t>Cheyenne</t>
  </si>
  <si>
    <t>CYT</t>
  </si>
  <si>
    <t>Yakataga Airport</t>
  </si>
  <si>
    <t>Yakataga</t>
  </si>
  <si>
    <t>CYU</t>
  </si>
  <si>
    <t>Cuyo Airport</t>
  </si>
  <si>
    <t>Cuyo</t>
  </si>
  <si>
    <t>CYW</t>
  </si>
  <si>
    <t>Captain Rogelio Castillo National Airport</t>
  </si>
  <si>
    <t>Celaya</t>
  </si>
  <si>
    <t>CYX</t>
  </si>
  <si>
    <t>Cherskiy Airport</t>
  </si>
  <si>
    <t>Cherskiy</t>
  </si>
  <si>
    <t>CYZ</t>
  </si>
  <si>
    <t>Cauayan Airport</t>
  </si>
  <si>
    <t>Cauayan</t>
  </si>
  <si>
    <t>CZA</t>
  </si>
  <si>
    <t>Chichen Itza International Airport</t>
  </si>
  <si>
    <t>Chichen Itza</t>
  </si>
  <si>
    <t>CZE</t>
  </si>
  <si>
    <t>José Leonardo Chirinos Airport</t>
  </si>
  <si>
    <t>Coro</t>
  </si>
  <si>
    <t>CZF</t>
  </si>
  <si>
    <t>Cape Romanzof LRRS Airport</t>
  </si>
  <si>
    <t>Cape Romanzof</t>
  </si>
  <si>
    <t>CZG</t>
  </si>
  <si>
    <t>Tri Cities Airport</t>
  </si>
  <si>
    <t>Endicott</t>
  </si>
  <si>
    <t>CZL</t>
  </si>
  <si>
    <t>Mohamed Boudiaf International Airport</t>
  </si>
  <si>
    <t>Constantine</t>
  </si>
  <si>
    <t>CZM</t>
  </si>
  <si>
    <t>Cozumel International Airport</t>
  </si>
  <si>
    <t>Cozumel</t>
  </si>
  <si>
    <t>CZS</t>
  </si>
  <si>
    <t>Cruzeiro do Sul Airport</t>
  </si>
  <si>
    <t>Cruzeiro do Sul</t>
  </si>
  <si>
    <t>CZU</t>
  </si>
  <si>
    <t>Corozal</t>
  </si>
  <si>
    <t>CZX</t>
  </si>
  <si>
    <t>Changzhou Benniu Airport</t>
  </si>
  <si>
    <t>Changzhou</t>
  </si>
  <si>
    <t>DAA</t>
  </si>
  <si>
    <t>Davison Army Air Field</t>
  </si>
  <si>
    <t>Fort Belvoir</t>
  </si>
  <si>
    <t>DAB</t>
  </si>
  <si>
    <t>Daytona Beach International Airport</t>
  </si>
  <si>
    <t>Daytona Beach</t>
  </si>
  <si>
    <t>DAC</t>
  </si>
  <si>
    <t>Dhaka / Hazrat Shahjalal International Airport</t>
  </si>
  <si>
    <t>DAD</t>
  </si>
  <si>
    <t>Da Nang International Airport</t>
  </si>
  <si>
    <t>Danang</t>
  </si>
  <si>
    <t>DAG</t>
  </si>
  <si>
    <t>Barstow Daggett Airport</t>
  </si>
  <si>
    <t>Daggett</t>
  </si>
  <si>
    <t>DAL</t>
  </si>
  <si>
    <t>Dallas Love Field</t>
  </si>
  <si>
    <t>DAM</t>
  </si>
  <si>
    <t>Damascus International Airport</t>
  </si>
  <si>
    <t>Damascus</t>
  </si>
  <si>
    <t>DAN</t>
  </si>
  <si>
    <t>Danville Regional Airport</t>
  </si>
  <si>
    <t>Danville</t>
  </si>
  <si>
    <t>DAR</t>
  </si>
  <si>
    <t>Julius Nyerere International Airport</t>
  </si>
  <si>
    <t>Dar Es Salaam</t>
  </si>
  <si>
    <t>DAT</t>
  </si>
  <si>
    <t>Datong Airport</t>
  </si>
  <si>
    <t>Datong</t>
  </si>
  <si>
    <t>DAU</t>
  </si>
  <si>
    <t>Daru Airport</t>
  </si>
  <si>
    <t>Daru</t>
  </si>
  <si>
    <t>DAV</t>
  </si>
  <si>
    <t>Enrique Malek International Airport</t>
  </si>
  <si>
    <t>David</t>
  </si>
  <si>
    <t>DAW</t>
  </si>
  <si>
    <t>Skyhaven Airport</t>
  </si>
  <si>
    <t>Rochester</t>
  </si>
  <si>
    <t>DAX</t>
  </si>
  <si>
    <t>Dachuan Airport</t>
  </si>
  <si>
    <t>Dazhou</t>
  </si>
  <si>
    <t>DAY</t>
  </si>
  <si>
    <t>James M Cox Dayton International Airport</t>
  </si>
  <si>
    <t>Dayton</t>
  </si>
  <si>
    <t>DBA</t>
  </si>
  <si>
    <t>Dalbandin Airport</t>
  </si>
  <si>
    <t>Dalbandin</t>
  </si>
  <si>
    <t>DBB</t>
  </si>
  <si>
    <t>El Alamein International Airport</t>
  </si>
  <si>
    <t>Dabaa City</t>
  </si>
  <si>
    <t>DBD</t>
  </si>
  <si>
    <t>Dhanbad Airport</t>
  </si>
  <si>
    <t>Dhanbad</t>
  </si>
  <si>
    <t>DBM</t>
  </si>
  <si>
    <t>Debra Marcos Airport</t>
  </si>
  <si>
    <t>Debre Marqos</t>
  </si>
  <si>
    <t>DBN</t>
  </si>
  <si>
    <t>W H 'Bud' Barron Airport</t>
  </si>
  <si>
    <t>Dublin</t>
  </si>
  <si>
    <t>DBO</t>
  </si>
  <si>
    <t>Dubbo City Regional Airport</t>
  </si>
  <si>
    <t>Dubbo</t>
  </si>
  <si>
    <t>DBQ</t>
  </si>
  <si>
    <t>Dubuque Regional Airport</t>
  </si>
  <si>
    <t>Dubuque IA</t>
  </si>
  <si>
    <t>DBT</t>
  </si>
  <si>
    <t>Debre Tabor Airport</t>
  </si>
  <si>
    <t>Debre Tabor</t>
  </si>
  <si>
    <t>DBV</t>
  </si>
  <si>
    <t>Dubrovnik Airport</t>
  </si>
  <si>
    <t>Dubrovnik</t>
  </si>
  <si>
    <t>DCA</t>
  </si>
  <si>
    <t>Ronald Reagan Washington National Airport</t>
  </si>
  <si>
    <t>Washington</t>
  </si>
  <si>
    <t>DCF</t>
  </si>
  <si>
    <t>Canefield Airport</t>
  </si>
  <si>
    <t>Dominica</t>
  </si>
  <si>
    <t>Canefield</t>
  </si>
  <si>
    <t>DCI</t>
  </si>
  <si>
    <t>Decimomannu Air Base</t>
  </si>
  <si>
    <t>Decimomannu</t>
  </si>
  <si>
    <t>DCM</t>
  </si>
  <si>
    <t>Castres-Mazamet Airport</t>
  </si>
  <si>
    <t>Castres</t>
  </si>
  <si>
    <t>DCN</t>
  </si>
  <si>
    <t>RAAF Base Curtin</t>
  </si>
  <si>
    <t>Derby</t>
  </si>
  <si>
    <t>DDC</t>
  </si>
  <si>
    <t>Dodge City Regional Airport</t>
  </si>
  <si>
    <t>Dodge City</t>
  </si>
  <si>
    <t>DEA</t>
  </si>
  <si>
    <t>Dera Ghazi Khan Airport</t>
  </si>
  <si>
    <t>Dera Ghazi Khan</t>
  </si>
  <si>
    <t>DEB</t>
  </si>
  <si>
    <t>Debrecen International Airport</t>
  </si>
  <si>
    <t>Debrecen</t>
  </si>
  <si>
    <t>DEC</t>
  </si>
  <si>
    <t>Decatur Airport</t>
  </si>
  <si>
    <t>Decatur</t>
  </si>
  <si>
    <t>DED</t>
  </si>
  <si>
    <t>Dehradun Airport</t>
  </si>
  <si>
    <t>Dehra Dun</t>
  </si>
  <si>
    <t>DEE</t>
  </si>
  <si>
    <t>Cooma Hospital Helipad</t>
  </si>
  <si>
    <t>Yuzhno-Kurilsk</t>
  </si>
  <si>
    <t>DEL</t>
  </si>
  <si>
    <t>Indira Gandhi International Airport</t>
  </si>
  <si>
    <t>DEM</t>
  </si>
  <si>
    <t>Dembidollo Airport</t>
  </si>
  <si>
    <t>Dembidollo</t>
  </si>
  <si>
    <t>DEN</t>
  </si>
  <si>
    <t>Denver International Airport</t>
  </si>
  <si>
    <t>DES</t>
  </si>
  <si>
    <t>Desroches Airport</t>
  </si>
  <si>
    <t>Desroches</t>
  </si>
  <si>
    <t>DET</t>
  </si>
  <si>
    <t>Coleman A. Young Municipal Airport</t>
  </si>
  <si>
    <t>Detroit</t>
  </si>
  <si>
    <t>DEZ</t>
  </si>
  <si>
    <t>Deir ez-Zor Airport</t>
  </si>
  <si>
    <t>Deire Zor</t>
  </si>
  <si>
    <t>DFW</t>
  </si>
  <si>
    <t>Dallas Fort Worth International Airport</t>
  </si>
  <si>
    <t>Dallas-Fort Worth</t>
  </si>
  <si>
    <t>DGE</t>
  </si>
  <si>
    <t>Mudgee Airport</t>
  </si>
  <si>
    <t>Mudgee</t>
  </si>
  <si>
    <t>DGL</t>
  </si>
  <si>
    <t>Douglas Municipal Airport</t>
  </si>
  <si>
    <t>Douglas</t>
  </si>
  <si>
    <t>DGO</t>
  </si>
  <si>
    <t>General Guadalupe Victoria International Airport</t>
  </si>
  <si>
    <t>Durango</t>
  </si>
  <si>
    <t>DGP</t>
  </si>
  <si>
    <t>Daugavpils Intrenational Airport</t>
  </si>
  <si>
    <t>Daugavpils</t>
  </si>
  <si>
    <t>DGT</t>
  </si>
  <si>
    <t>Sibulan Airport</t>
  </si>
  <si>
    <t>Dumaguete</t>
  </si>
  <si>
    <t>DHA</t>
  </si>
  <si>
    <t>King Abdulaziz Air Base</t>
  </si>
  <si>
    <t>Dhahran</t>
  </si>
  <si>
    <t>DHI</t>
  </si>
  <si>
    <t>Dhangarhi Airport</t>
  </si>
  <si>
    <t>Dhangarhi</t>
  </si>
  <si>
    <t>DHM</t>
  </si>
  <si>
    <t>Kangra Airport</t>
  </si>
  <si>
    <t>Kangra</t>
  </si>
  <si>
    <t>DHN</t>
  </si>
  <si>
    <t>Dothan Regional Airport</t>
  </si>
  <si>
    <t>Dothan</t>
  </si>
  <si>
    <t>DHR</t>
  </si>
  <si>
    <t>De Kooy Airport</t>
  </si>
  <si>
    <t>De Kooy</t>
  </si>
  <si>
    <t>DHT</t>
  </si>
  <si>
    <t>Dalhart Municipal Airport</t>
  </si>
  <si>
    <t>Dalhart</t>
  </si>
  <si>
    <t>DIB</t>
  </si>
  <si>
    <t>Dibrugarh Airport</t>
  </si>
  <si>
    <t>Mohanbari</t>
  </si>
  <si>
    <t>DIE</t>
  </si>
  <si>
    <t>Arrachart Airport</t>
  </si>
  <si>
    <t>Antsiranana</t>
  </si>
  <si>
    <t>DIG</t>
  </si>
  <si>
    <t>Diqing Airport</t>
  </si>
  <si>
    <t>Shangri-La</t>
  </si>
  <si>
    <t>DIJ</t>
  </si>
  <si>
    <t>Dijon-Bourgogne Airport</t>
  </si>
  <si>
    <t>Dijon</t>
  </si>
  <si>
    <t>DIK</t>
  </si>
  <si>
    <t>Dickinson Theodore Roosevelt Regional Airport</t>
  </si>
  <si>
    <t>Dickinson</t>
  </si>
  <si>
    <t>DIL</t>
  </si>
  <si>
    <t>Presidente Nicolau Lobato International Airport</t>
  </si>
  <si>
    <t>Dili</t>
  </si>
  <si>
    <t>DIN</t>
  </si>
  <si>
    <t>Dien Bien Phu Airport</t>
  </si>
  <si>
    <t>Dienbienphu</t>
  </si>
  <si>
    <t>DIQ</t>
  </si>
  <si>
    <t>Brigadeiro Cabral Airport</t>
  </si>
  <si>
    <t>Divinopolis</t>
  </si>
  <si>
    <t>DIR</t>
  </si>
  <si>
    <t>Aba Tenna Dejazmach Yilma International Airport</t>
  </si>
  <si>
    <t>Dire Dawa</t>
  </si>
  <si>
    <t>DIS</t>
  </si>
  <si>
    <t>Ngot Nzoungou Airport</t>
  </si>
  <si>
    <t>Loubomo</t>
  </si>
  <si>
    <t>DIU</t>
  </si>
  <si>
    <t>Diu Airport</t>
  </si>
  <si>
    <t>Diu</t>
  </si>
  <si>
    <t>DIY</t>
  </si>
  <si>
    <t>Diyarbakir Airport</t>
  </si>
  <si>
    <t>Diyabakir</t>
  </si>
  <si>
    <t>DJB</t>
  </si>
  <si>
    <t>Sultan Thaha Airport</t>
  </si>
  <si>
    <t>Jambi</t>
  </si>
  <si>
    <t>DJE</t>
  </si>
  <si>
    <t>Djerba Zarzis International Airport</t>
  </si>
  <si>
    <t>Djerba</t>
  </si>
  <si>
    <t>DJG</t>
  </si>
  <si>
    <t>Djanet Inedbirene Airport</t>
  </si>
  <si>
    <t>Djanet</t>
  </si>
  <si>
    <t>DJJ</t>
  </si>
  <si>
    <t>Sentani Airport</t>
  </si>
  <si>
    <t>Jayapura</t>
  </si>
  <si>
    <t>DJO</t>
  </si>
  <si>
    <t>Daloa Airport</t>
  </si>
  <si>
    <t>Daloa</t>
  </si>
  <si>
    <t>DKI</t>
  </si>
  <si>
    <t>Dunk Island Airport</t>
  </si>
  <si>
    <t>Dunk Island</t>
  </si>
  <si>
    <t>DKK</t>
  </si>
  <si>
    <t>Chautauqua County-Dunkirk Airport</t>
  </si>
  <si>
    <t>Dunkirk</t>
  </si>
  <si>
    <t>DKR</t>
  </si>
  <si>
    <t>Léopold Sédar Senghor International Airport</t>
  </si>
  <si>
    <t>Dakar</t>
  </si>
  <si>
    <t>DKS</t>
  </si>
  <si>
    <t>Dikson Airport</t>
  </si>
  <si>
    <t>Dikson</t>
  </si>
  <si>
    <t>DKX</t>
  </si>
  <si>
    <t>Knoxville Downtown Island Airport</t>
  </si>
  <si>
    <t>Knoxville</t>
  </si>
  <si>
    <t>DLA</t>
  </si>
  <si>
    <t>Douala International Airport</t>
  </si>
  <si>
    <t>Douala</t>
  </si>
  <si>
    <t>DLC</t>
  </si>
  <si>
    <t>Zhoushuizi Airport</t>
  </si>
  <si>
    <t>Dalian</t>
  </si>
  <si>
    <t>DLE</t>
  </si>
  <si>
    <t>Dole-Tavaux Airport</t>
  </si>
  <si>
    <t>Dole</t>
  </si>
  <si>
    <t>DLF</t>
  </si>
  <si>
    <t>Laughlin Air Force Base</t>
  </si>
  <si>
    <t>Del Rio</t>
  </si>
  <si>
    <t>DLG</t>
  </si>
  <si>
    <t>Dillingham Airport</t>
  </si>
  <si>
    <t>Dillingham</t>
  </si>
  <si>
    <t>DLH</t>
  </si>
  <si>
    <t>Duluth International Airport</t>
  </si>
  <si>
    <t>Duluth</t>
  </si>
  <si>
    <t>DLI</t>
  </si>
  <si>
    <t>Lien Khuong Airport</t>
  </si>
  <si>
    <t>Dalat</t>
  </si>
  <si>
    <t>DLK</t>
  </si>
  <si>
    <t>Dulkaninna Airport</t>
  </si>
  <si>
    <t>Dulkaninna</t>
  </si>
  <si>
    <t>DLL</t>
  </si>
  <si>
    <t>Baraboo Wisconsin Dells Airport</t>
  </si>
  <si>
    <t>Baraboo</t>
  </si>
  <si>
    <t>DLM</t>
  </si>
  <si>
    <t>Dalaman International Airport</t>
  </si>
  <si>
    <t>Dalaman</t>
  </si>
  <si>
    <t>DLU</t>
  </si>
  <si>
    <t>Dali Airport</t>
  </si>
  <si>
    <t>Dali</t>
  </si>
  <si>
    <t>DLY</t>
  </si>
  <si>
    <t>Dillon's Bay Airport</t>
  </si>
  <si>
    <t>Dillon's Bay</t>
  </si>
  <si>
    <t>DLZ</t>
  </si>
  <si>
    <t>Dalanzadgad Airport</t>
  </si>
  <si>
    <t>Dalanzadgad</t>
  </si>
  <si>
    <t>DMA</t>
  </si>
  <si>
    <t>Davis Monthan Air Force Base</t>
  </si>
  <si>
    <t>DMB</t>
  </si>
  <si>
    <t>Taraz Airport</t>
  </si>
  <si>
    <t>Dzhambul</t>
  </si>
  <si>
    <t>DMD</t>
  </si>
  <si>
    <t>Doomadgee Airport</t>
  </si>
  <si>
    <t>Doomadgee</t>
  </si>
  <si>
    <t>DME</t>
  </si>
  <si>
    <t>Domodedovo International Airport</t>
  </si>
  <si>
    <t>DMK</t>
  </si>
  <si>
    <t>Don Mueang International Airport</t>
  </si>
  <si>
    <t>DMM</t>
  </si>
  <si>
    <t>King Fahd International Airport</t>
  </si>
  <si>
    <t>Dammam</t>
  </si>
  <si>
    <t>DMN</t>
  </si>
  <si>
    <t>Deming Municipal Airport</t>
  </si>
  <si>
    <t>Deming</t>
  </si>
  <si>
    <t>DMT</t>
  </si>
  <si>
    <t>Diamantino Airport</t>
  </si>
  <si>
    <t>Diamantino</t>
  </si>
  <si>
    <t>DMU</t>
  </si>
  <si>
    <t>Dimapur Airport</t>
  </si>
  <si>
    <t>Dimapur</t>
  </si>
  <si>
    <t>DNA</t>
  </si>
  <si>
    <t>Kadena Air Base</t>
  </si>
  <si>
    <t>Kadena</t>
  </si>
  <si>
    <t>DND</t>
  </si>
  <si>
    <t>Dundee Airport</t>
  </si>
  <si>
    <t>Dundee</t>
  </si>
  <si>
    <t>DNH</t>
  </si>
  <si>
    <t>Dunhuang Airport</t>
  </si>
  <si>
    <t>Dunhuang</t>
  </si>
  <si>
    <t>DNK</t>
  </si>
  <si>
    <t>Dnipropetrovsk International Airport</t>
  </si>
  <si>
    <t>Dnepropetrovsk</t>
  </si>
  <si>
    <t>DNL</t>
  </si>
  <si>
    <t>Daniel Field</t>
  </si>
  <si>
    <t>DNN</t>
  </si>
  <si>
    <t>Dalton Municipal Airport</t>
  </si>
  <si>
    <t>Dalton</t>
  </si>
  <si>
    <t>DNP</t>
  </si>
  <si>
    <t>Tulsipur Airport</t>
  </si>
  <si>
    <t>Dang</t>
  </si>
  <si>
    <t>DNQ</t>
  </si>
  <si>
    <t>Deniliquin Airport</t>
  </si>
  <si>
    <t>Deniliquin</t>
  </si>
  <si>
    <t>DNR</t>
  </si>
  <si>
    <t>Dinard-Pleurtuit-Saint-Malo Airport</t>
  </si>
  <si>
    <t>Dinard</t>
  </si>
  <si>
    <t>DNV</t>
  </si>
  <si>
    <t>Vermilion Regional Airport</t>
  </si>
  <si>
    <t>DNZ</t>
  </si>
  <si>
    <t>Çardak Airport</t>
  </si>
  <si>
    <t>Denizli</t>
  </si>
  <si>
    <t>DOD</t>
  </si>
  <si>
    <t>Dodoma Airport</t>
  </si>
  <si>
    <t>Dodoma</t>
  </si>
  <si>
    <t>DOG</t>
  </si>
  <si>
    <t>Dongola Airport</t>
  </si>
  <si>
    <t>Dongola</t>
  </si>
  <si>
    <t>DOK</t>
  </si>
  <si>
    <t>Donetsk International Airport</t>
  </si>
  <si>
    <t>Donetsk</t>
  </si>
  <si>
    <t>DOL</t>
  </si>
  <si>
    <t>Deauville-Saint-Gatien Airport</t>
  </si>
  <si>
    <t>Deauville</t>
  </si>
  <si>
    <t>DOM</t>
  </si>
  <si>
    <t>Melville Hall Airport</t>
  </si>
  <si>
    <t>DOP</t>
  </si>
  <si>
    <t>Dolpa Airport</t>
  </si>
  <si>
    <t>Dolpa</t>
  </si>
  <si>
    <t>DOU</t>
  </si>
  <si>
    <t>Dourados Airport</t>
  </si>
  <si>
    <t>Dourados</t>
  </si>
  <si>
    <t>DOV</t>
  </si>
  <si>
    <t>Dover Air Force Base</t>
  </si>
  <si>
    <t>Dover</t>
  </si>
  <si>
    <t>DPA</t>
  </si>
  <si>
    <t>Dupage Airport</t>
  </si>
  <si>
    <t>West Chicago</t>
  </si>
  <si>
    <t>DPL</t>
  </si>
  <si>
    <t>Dipolog Airport</t>
  </si>
  <si>
    <t>Dipolog</t>
  </si>
  <si>
    <t>DPO</t>
  </si>
  <si>
    <t>Devonport Airport</t>
  </si>
  <si>
    <t>Devonport</t>
  </si>
  <si>
    <t>DPS</t>
  </si>
  <si>
    <t>Ngurah Rai (Bali) International Airport</t>
  </si>
  <si>
    <t>Denpasar</t>
  </si>
  <si>
    <t>DQH</t>
  </si>
  <si>
    <t>DRA</t>
  </si>
  <si>
    <t>Desert Rock Airport</t>
  </si>
  <si>
    <t>Mercury</t>
  </si>
  <si>
    <t>DRB</t>
  </si>
  <si>
    <t>Derby Airport</t>
  </si>
  <si>
    <t>DRG</t>
  </si>
  <si>
    <t>Deering Airport</t>
  </si>
  <si>
    <t>Deering</t>
  </si>
  <si>
    <t>DRI</t>
  </si>
  <si>
    <t>Beauregard Regional Airport</t>
  </si>
  <si>
    <t>Deridder</t>
  </si>
  <si>
    <t>DRJ</t>
  </si>
  <si>
    <t>Drietabbetje Airport</t>
  </si>
  <si>
    <t>Drietabbetje</t>
  </si>
  <si>
    <t>DRK</t>
  </si>
  <si>
    <t>Drake Bay Airport</t>
  </si>
  <si>
    <t>Puntarenas</t>
  </si>
  <si>
    <t>DRM</t>
  </si>
  <si>
    <t>Drummond Island Airport</t>
  </si>
  <si>
    <t>Drummond Island</t>
  </si>
  <si>
    <t>DRN</t>
  </si>
  <si>
    <t>Dirranbandi Airport</t>
  </si>
  <si>
    <t>DRO</t>
  </si>
  <si>
    <t>Durango La Plata County Airport</t>
  </si>
  <si>
    <t>DRS</t>
  </si>
  <si>
    <t>Dresden Airport</t>
  </si>
  <si>
    <t>Dresden</t>
  </si>
  <si>
    <t>DRT</t>
  </si>
  <si>
    <t>Del Rio International Airport</t>
  </si>
  <si>
    <t>DRV</t>
  </si>
  <si>
    <t>Dharavandhoo Airport</t>
  </si>
  <si>
    <t>Maldives</t>
  </si>
  <si>
    <t>DHARAVANDHOO</t>
  </si>
  <si>
    <t>DRW</t>
  </si>
  <si>
    <t>Darwin International Airport</t>
  </si>
  <si>
    <t>Darwin</t>
  </si>
  <si>
    <t>DSA</t>
  </si>
  <si>
    <t>Robin Hood Doncaster Sheffield Airport</t>
  </si>
  <si>
    <t>Doncaster, Sheffield</t>
  </si>
  <si>
    <t>DSD</t>
  </si>
  <si>
    <t>La Désirade Airport</t>
  </si>
  <si>
    <t>Grande Anse</t>
  </si>
  <si>
    <t>DSE</t>
  </si>
  <si>
    <t>Combolcha Airport</t>
  </si>
  <si>
    <t>Dessie</t>
  </si>
  <si>
    <t>DSK</t>
  </si>
  <si>
    <t>Dera Ismael Khan Airport</t>
  </si>
  <si>
    <t>Dera Ismael Khan</t>
  </si>
  <si>
    <t>DSM</t>
  </si>
  <si>
    <t>Des Moines International Airport</t>
  </si>
  <si>
    <t>Des Moines</t>
  </si>
  <si>
    <t>DSN</t>
  </si>
  <si>
    <t>Ordos Ejin Horo Airport</t>
  </si>
  <si>
    <t>Dongsheng</t>
  </si>
  <si>
    <t>DSO</t>
  </si>
  <si>
    <t>Sondok Airport</t>
  </si>
  <si>
    <t>Hamhung</t>
  </si>
  <si>
    <t>DTA</t>
  </si>
  <si>
    <t>Delta Municipal Airport</t>
  </si>
  <si>
    <t>Delta</t>
  </si>
  <si>
    <t>DTB</t>
  </si>
  <si>
    <t>Silangit Airport</t>
  </si>
  <si>
    <t>Siborong-Borong</t>
  </si>
  <si>
    <t>DTD</t>
  </si>
  <si>
    <t>Datadawai Airport</t>
  </si>
  <si>
    <t>Datadawai-Borneo Island</t>
  </si>
  <si>
    <t>DTI</t>
  </si>
  <si>
    <t>Diamantina Airport</t>
  </si>
  <si>
    <t>Diamantina</t>
  </si>
  <si>
    <t>DTM</t>
  </si>
  <si>
    <t>Dortmund Airport</t>
  </si>
  <si>
    <t>Dortmund</t>
  </si>
  <si>
    <t>DTS</t>
  </si>
  <si>
    <t>Destin Executive Airport</t>
  </si>
  <si>
    <t>Destin</t>
  </si>
  <si>
    <t>DTW</t>
  </si>
  <si>
    <t>Detroit Metropolitan Wayne County Airport</t>
  </si>
  <si>
    <t>DU9</t>
  </si>
  <si>
    <t>Dunnville Airport</t>
  </si>
  <si>
    <t>Dunnville</t>
  </si>
  <si>
    <t>DUB</t>
  </si>
  <si>
    <t>Dublin Airport</t>
  </si>
  <si>
    <t>DUC</t>
  </si>
  <si>
    <t>Halliburton Field</t>
  </si>
  <si>
    <t>Duncan</t>
  </si>
  <si>
    <t>DUD</t>
  </si>
  <si>
    <t>Dunedin Airport</t>
  </si>
  <si>
    <t>Dunedin</t>
  </si>
  <si>
    <t>DUE</t>
  </si>
  <si>
    <t>Dundo Airport</t>
  </si>
  <si>
    <t>Dundo</t>
  </si>
  <si>
    <t>DUG</t>
  </si>
  <si>
    <t>Bisbee Douglas International Airport</t>
  </si>
  <si>
    <t>DUH</t>
  </si>
  <si>
    <t>Oudtshoorn Airport</t>
  </si>
  <si>
    <t>Oudtshoorn</t>
  </si>
  <si>
    <t>DUJ</t>
  </si>
  <si>
    <t>DuBois Regional Airport</t>
  </si>
  <si>
    <t>Du Bois</t>
  </si>
  <si>
    <t>DUM</t>
  </si>
  <si>
    <t>Pinang Kampai Airport</t>
  </si>
  <si>
    <t>Dumai</t>
  </si>
  <si>
    <t>DUR</t>
  </si>
  <si>
    <t>King Shaka International Airport</t>
  </si>
  <si>
    <t>Durban</t>
  </si>
  <si>
    <t>DUS</t>
  </si>
  <si>
    <t>Düsseldorf International Airport</t>
  </si>
  <si>
    <t>Duesseldorf</t>
  </si>
  <si>
    <t>DUT</t>
  </si>
  <si>
    <t>Unalaska Airport</t>
  </si>
  <si>
    <t>Unalaska</t>
  </si>
  <si>
    <t>DVL</t>
  </si>
  <si>
    <t>Devils Lake Regional Airport</t>
  </si>
  <si>
    <t>Devils Lake</t>
  </si>
  <si>
    <t>DVO</t>
  </si>
  <si>
    <t>Francisco Bangoy International Airport</t>
  </si>
  <si>
    <t>Davao</t>
  </si>
  <si>
    <t>DVT</t>
  </si>
  <si>
    <t>Phoenix Deer Valley Airport</t>
  </si>
  <si>
    <t>DWA</t>
  </si>
  <si>
    <t>Yolo County Davis Woodland Winters Airport</t>
  </si>
  <si>
    <t>Davis-Woodland-Winters</t>
  </si>
  <si>
    <t>DWB</t>
  </si>
  <si>
    <t>Soalala Airport</t>
  </si>
  <si>
    <t>Soalala</t>
  </si>
  <si>
    <t>DWC</t>
  </si>
  <si>
    <t>Al Maktoum International Airport</t>
  </si>
  <si>
    <t>Dubai</t>
  </si>
  <si>
    <t>DWD</t>
  </si>
  <si>
    <t>Dawadmi</t>
  </si>
  <si>
    <t>DWH</t>
  </si>
  <si>
    <t>David Wayne Hooks Memorial Airport</t>
  </si>
  <si>
    <t>DXB</t>
  </si>
  <si>
    <t>Dubai International Airport</t>
  </si>
  <si>
    <t>DXR</t>
  </si>
  <si>
    <t>Danbury Municipal Airport</t>
  </si>
  <si>
    <t>Danbury</t>
  </si>
  <si>
    <t>DYA</t>
  </si>
  <si>
    <t>Dysart Airport</t>
  </si>
  <si>
    <t>DYG</t>
  </si>
  <si>
    <t>Dayong Airport</t>
  </si>
  <si>
    <t>Dayong</t>
  </si>
  <si>
    <t>DYL</t>
  </si>
  <si>
    <t>Doylestown Airport</t>
  </si>
  <si>
    <t>Doylestown</t>
  </si>
  <si>
    <t>DYR</t>
  </si>
  <si>
    <t>Ugolny Airport</t>
  </si>
  <si>
    <t>Anadyr</t>
  </si>
  <si>
    <t>DYS</t>
  </si>
  <si>
    <t>Dyess Air Force Base</t>
  </si>
  <si>
    <t>DYU</t>
  </si>
  <si>
    <t>Dushanbe Airport</t>
  </si>
  <si>
    <t>Dushanbe</t>
  </si>
  <si>
    <t>DZA</t>
  </si>
  <si>
    <t>Dzaoudzi Pamandzi International Airport</t>
  </si>
  <si>
    <t>Mayotte</t>
  </si>
  <si>
    <t>Dzaoudzi</t>
  </si>
  <si>
    <t>DZN</t>
  </si>
  <si>
    <t>Zhezkazgan Airport</t>
  </si>
  <si>
    <t>Zhezkazgan</t>
  </si>
  <si>
    <t>E25</t>
  </si>
  <si>
    <t>Wickenburg Municipal Airport</t>
  </si>
  <si>
    <t>Wickenburg</t>
  </si>
  <si>
    <t>E38</t>
  </si>
  <si>
    <t>Alpine Casparis Municipal Airport</t>
  </si>
  <si>
    <t>Alpine</t>
  </si>
  <si>
    <t>E63</t>
  </si>
  <si>
    <t>Gila Bend Municipal Airport</t>
  </si>
  <si>
    <t>Gila Bend</t>
  </si>
  <si>
    <t>EAA</t>
  </si>
  <si>
    <t>Eagle Airport</t>
  </si>
  <si>
    <t>Eagle</t>
  </si>
  <si>
    <t>EAE</t>
  </si>
  <si>
    <t>Siwo Airport</t>
  </si>
  <si>
    <t>Sangafa</t>
  </si>
  <si>
    <t>EAM</t>
  </si>
  <si>
    <t>Nejran Airport</t>
  </si>
  <si>
    <t>Nejran</t>
  </si>
  <si>
    <t>EAS</t>
  </si>
  <si>
    <t>San Sebastian Airport</t>
  </si>
  <si>
    <t>EAT</t>
  </si>
  <si>
    <t>Pangborn Memorial Airport</t>
  </si>
  <si>
    <t>Wenatchee</t>
  </si>
  <si>
    <t>EAU</t>
  </si>
  <si>
    <t>Chippewa Valley Regional Airport</t>
  </si>
  <si>
    <t>Eau Claire</t>
  </si>
  <si>
    <t>EBA</t>
  </si>
  <si>
    <t>Marina Di Campo Airport</t>
  </si>
  <si>
    <t>Marina Di Campo</t>
  </si>
  <si>
    <t>EBB</t>
  </si>
  <si>
    <t>Entebbe International Airport</t>
  </si>
  <si>
    <t>Entebbe</t>
  </si>
  <si>
    <t>EBD</t>
  </si>
  <si>
    <t>El Obeid Airport</t>
  </si>
  <si>
    <t>El Obeid</t>
  </si>
  <si>
    <t>EBE</t>
  </si>
  <si>
    <t>Engels heliport</t>
  </si>
  <si>
    <t>Ebenhofen</t>
  </si>
  <si>
    <t>EBG</t>
  </si>
  <si>
    <t>El Bagre Airport</t>
  </si>
  <si>
    <t>El Bagre</t>
  </si>
  <si>
    <t>EBJ</t>
  </si>
  <si>
    <t>Esbjerg Airport</t>
  </si>
  <si>
    <t>Esbjerg</t>
  </si>
  <si>
    <t>EBL</t>
  </si>
  <si>
    <t>Erbil International Airport</t>
  </si>
  <si>
    <t>Erbil</t>
  </si>
  <si>
    <t>EBM</t>
  </si>
  <si>
    <t>El Borma Airport</t>
  </si>
  <si>
    <t>El Borma</t>
  </si>
  <si>
    <t>EBU</t>
  </si>
  <si>
    <t>Saint-Étienne-Bouthéon Airport</t>
  </si>
  <si>
    <t>St-Etienne</t>
  </si>
  <si>
    <t>ECA</t>
  </si>
  <si>
    <t>Iosco County Airport</t>
  </si>
  <si>
    <t>East Tawas</t>
  </si>
  <si>
    <t>ECH</t>
  </si>
  <si>
    <t>Echuca Airport</t>
  </si>
  <si>
    <t>ECN</t>
  </si>
  <si>
    <t>Ercan International Airport</t>
  </si>
  <si>
    <t>Nicosia</t>
  </si>
  <si>
    <t>ECP</t>
  </si>
  <si>
    <t>Northwest Florida Beaches International Airport</t>
  </si>
  <si>
    <t>Panama City</t>
  </si>
  <si>
    <t>ECV</t>
  </si>
  <si>
    <t>Cuatro Vientos Airport</t>
  </si>
  <si>
    <t>EDF</t>
  </si>
  <si>
    <t>Elmendorf Air Force Base</t>
  </si>
  <si>
    <t>EDI</t>
  </si>
  <si>
    <t>Edinburgh Airport</t>
  </si>
  <si>
    <t>EDL</t>
  </si>
  <si>
    <t>Eldoret International Airport</t>
  </si>
  <si>
    <t>Eldoret</t>
  </si>
  <si>
    <t>EDM</t>
  </si>
  <si>
    <t>La Roche-sur-Yon Airport</t>
  </si>
  <si>
    <t>La Roche-sur-yon</t>
  </si>
  <si>
    <t>EDN</t>
  </si>
  <si>
    <t>Enterprise Municipal Airport</t>
  </si>
  <si>
    <t>Enterprise</t>
  </si>
  <si>
    <t>EDO</t>
  </si>
  <si>
    <t>Balıkesir Körfez Airport</t>
  </si>
  <si>
    <t>Balikesir Korfez</t>
  </si>
  <si>
    <t>EDR</t>
  </si>
  <si>
    <t>Pormpuraaw Airport</t>
  </si>
  <si>
    <t>Pormpuraaw</t>
  </si>
  <si>
    <t>EDW</t>
  </si>
  <si>
    <t>Edwards Air Force Base</t>
  </si>
  <si>
    <t>Edwards Afb</t>
  </si>
  <si>
    <t>EED</t>
  </si>
  <si>
    <t>Needles Airport</t>
  </si>
  <si>
    <t>Needles</t>
  </si>
  <si>
    <t>EEK</t>
  </si>
  <si>
    <t>Eek Airport</t>
  </si>
  <si>
    <t>Eek</t>
  </si>
  <si>
    <t>EEN</t>
  </si>
  <si>
    <t>Dillant Hopkins Airport</t>
  </si>
  <si>
    <t>Keene</t>
  </si>
  <si>
    <t>EET</t>
  </si>
  <si>
    <t>Alabaster</t>
  </si>
  <si>
    <t>EFD</t>
  </si>
  <si>
    <t>Ellington Airport</t>
  </si>
  <si>
    <t>EFL</t>
  </si>
  <si>
    <t>Kefallinia Airport</t>
  </si>
  <si>
    <t>Keffallinia</t>
  </si>
  <si>
    <t>EGC</t>
  </si>
  <si>
    <t>Bergerac-Roumanière Airport</t>
  </si>
  <si>
    <t>Bergerac</t>
  </si>
  <si>
    <t>EGE</t>
  </si>
  <si>
    <t>Eagle County Regional Airport</t>
  </si>
  <si>
    <t>Vail</t>
  </si>
  <si>
    <t>EGI</t>
  </si>
  <si>
    <t>Duke Field</t>
  </si>
  <si>
    <t>EGM</t>
  </si>
  <si>
    <t>Sege Airport</t>
  </si>
  <si>
    <t>Sege</t>
  </si>
  <si>
    <t>EGN</t>
  </si>
  <si>
    <t>Geneina Airport</t>
  </si>
  <si>
    <t>Geneina</t>
  </si>
  <si>
    <t>EGO</t>
  </si>
  <si>
    <t>Belgorod International Airport</t>
  </si>
  <si>
    <t>Belgorod</t>
  </si>
  <si>
    <t>EGR</t>
  </si>
  <si>
    <t>El Gora Airport</t>
  </si>
  <si>
    <t>El Gorah</t>
  </si>
  <si>
    <t>EGS</t>
  </si>
  <si>
    <t>Egilsstaðir Airport</t>
  </si>
  <si>
    <t>Egilsstadir</t>
  </si>
  <si>
    <t>EGT</t>
  </si>
  <si>
    <t>Wellington Municipal Airport</t>
  </si>
  <si>
    <t>Wellington</t>
  </si>
  <si>
    <t>EGV</t>
  </si>
  <si>
    <t>Eagle River Union Airport</t>
  </si>
  <si>
    <t>Eagle River</t>
  </si>
  <si>
    <t>EGX</t>
  </si>
  <si>
    <t>Egegik Airport</t>
  </si>
  <si>
    <t>Egegik</t>
  </si>
  <si>
    <t>EHA</t>
  </si>
  <si>
    <t>Elkhart Morton County Airport</t>
  </si>
  <si>
    <t>Elkhart</t>
  </si>
  <si>
    <t>EHL</t>
  </si>
  <si>
    <t>El Bolson Airport</t>
  </si>
  <si>
    <t>El Bolson</t>
  </si>
  <si>
    <t>EHM</t>
  </si>
  <si>
    <t>Cape Newenham LRRS Airport</t>
  </si>
  <si>
    <t>Cape Newenham</t>
  </si>
  <si>
    <t>EIE</t>
  </si>
  <si>
    <t>Yeniseysk Airport</t>
  </si>
  <si>
    <t>Yeniseysk</t>
  </si>
  <si>
    <t>EIL</t>
  </si>
  <si>
    <t>Eielson Air Force Base</t>
  </si>
  <si>
    <t>Fairbanks</t>
  </si>
  <si>
    <t>EIN</t>
  </si>
  <si>
    <t>Eindhoven Airport</t>
  </si>
  <si>
    <t>Eindhoven</t>
  </si>
  <si>
    <t>EIS</t>
  </si>
  <si>
    <t>Terrance B. Lettsome International Airport</t>
  </si>
  <si>
    <t>British Virgin Islands</t>
  </si>
  <si>
    <t>Tortola</t>
  </si>
  <si>
    <t>EJA</t>
  </si>
  <si>
    <t>Yariguíes Airport</t>
  </si>
  <si>
    <t>Barrancabermeja</t>
  </si>
  <si>
    <t>EJH</t>
  </si>
  <si>
    <t>Al Wajh Domestic Airport</t>
  </si>
  <si>
    <t>Wejh</t>
  </si>
  <si>
    <t>EKA</t>
  </si>
  <si>
    <t>Murray Field</t>
  </si>
  <si>
    <t>Eureka</t>
  </si>
  <si>
    <t>EKI</t>
  </si>
  <si>
    <t>Elkhart Municipal Airport</t>
  </si>
  <si>
    <t>EKN</t>
  </si>
  <si>
    <t>Elkins-Randolph Co-Jennings Randolph Field</t>
  </si>
  <si>
    <t>Elkins</t>
  </si>
  <si>
    <t>EKO</t>
  </si>
  <si>
    <t>Elko Regional Airport</t>
  </si>
  <si>
    <t>Elko</t>
  </si>
  <si>
    <t>EKY</t>
  </si>
  <si>
    <t>Bessemer Airport</t>
  </si>
  <si>
    <t>Bessemer</t>
  </si>
  <si>
    <t>ELC</t>
  </si>
  <si>
    <t>Elcho Island Airport</t>
  </si>
  <si>
    <t>Elcho Island</t>
  </si>
  <si>
    <t>ELD</t>
  </si>
  <si>
    <t>South Arkansas Regional At Goodwin Field</t>
  </si>
  <si>
    <t>ELF</t>
  </si>
  <si>
    <t>El Fasher Airport</t>
  </si>
  <si>
    <t>El Fasher</t>
  </si>
  <si>
    <t>ELG</t>
  </si>
  <si>
    <t>El Golea Airport</t>
  </si>
  <si>
    <t>El Golea</t>
  </si>
  <si>
    <t>ELH</t>
  </si>
  <si>
    <t>North Eleuthera Airport</t>
  </si>
  <si>
    <t>North Eleuthera</t>
  </si>
  <si>
    <t>ELI</t>
  </si>
  <si>
    <t>Elim Airport</t>
  </si>
  <si>
    <t>Elim</t>
  </si>
  <si>
    <t>ELM</t>
  </si>
  <si>
    <t>Elmira Corning Regional Airport</t>
  </si>
  <si>
    <t>Elmira</t>
  </si>
  <si>
    <t>ELP</t>
  </si>
  <si>
    <t>El Paso International Airport</t>
  </si>
  <si>
    <t>ELQ</t>
  </si>
  <si>
    <t>Gassim Airport</t>
  </si>
  <si>
    <t>Gassim</t>
  </si>
  <si>
    <t>ELS</t>
  </si>
  <si>
    <t>Ben Schoeman Airport</t>
  </si>
  <si>
    <t>East London</t>
  </si>
  <si>
    <t>ELT</t>
  </si>
  <si>
    <t>El Tor Airport</t>
  </si>
  <si>
    <t>El-tor</t>
  </si>
  <si>
    <t>ELU</t>
  </si>
  <si>
    <t>Guemar Airport</t>
  </si>
  <si>
    <t>Guemar</t>
  </si>
  <si>
    <t>ELV</t>
  </si>
  <si>
    <t>Elfin Cove Seaplane Base</t>
  </si>
  <si>
    <t>Elfin Cove</t>
  </si>
  <si>
    <t>ELY</t>
  </si>
  <si>
    <t>Ely Airport Yelland Field</t>
  </si>
  <si>
    <t>Ely</t>
  </si>
  <si>
    <t>EMA</t>
  </si>
  <si>
    <t>East Midlands Airport</t>
  </si>
  <si>
    <t>East Midlands</t>
  </si>
  <si>
    <t>EMD</t>
  </si>
  <si>
    <t>Emerald Airport</t>
  </si>
  <si>
    <t>Emerald</t>
  </si>
  <si>
    <t>EME</t>
  </si>
  <si>
    <t>Emden Airport</t>
  </si>
  <si>
    <t>Emden</t>
  </si>
  <si>
    <t>EMK</t>
  </si>
  <si>
    <t>Emmonak Airport</t>
  </si>
  <si>
    <t>Emmonak</t>
  </si>
  <si>
    <t>EML</t>
  </si>
  <si>
    <t>Emmen Air Base</t>
  </si>
  <si>
    <t>Emmen</t>
  </si>
  <si>
    <t>EMN</t>
  </si>
  <si>
    <t>Néma Airport</t>
  </si>
  <si>
    <t>Nema</t>
  </si>
  <si>
    <t>EMP</t>
  </si>
  <si>
    <t>Emporia Municipal Airport</t>
  </si>
  <si>
    <t>Kempten</t>
  </si>
  <si>
    <t>EMT</t>
  </si>
  <si>
    <t>El Monte Airport</t>
  </si>
  <si>
    <t>El Monte</t>
  </si>
  <si>
    <t>EMV</t>
  </si>
  <si>
    <t>Emporia Greensville Regional Airport</t>
  </si>
  <si>
    <t>Emporia</t>
  </si>
  <si>
    <t>ENA</t>
  </si>
  <si>
    <t>Kenai Municipal Airport</t>
  </si>
  <si>
    <t>Kenai</t>
  </si>
  <si>
    <t>ENC</t>
  </si>
  <si>
    <t>Nancy-Essey Airport</t>
  </si>
  <si>
    <t>END</t>
  </si>
  <si>
    <t>Vance Air Force Base</t>
  </si>
  <si>
    <t>Enid</t>
  </si>
  <si>
    <t>ENE</t>
  </si>
  <si>
    <t>Ende (H Hasan Aroeboesman) Airport</t>
  </si>
  <si>
    <t>Ende</t>
  </si>
  <si>
    <t>ENF</t>
  </si>
  <si>
    <t>Enontekio Airport</t>
  </si>
  <si>
    <t>Enontekio</t>
  </si>
  <si>
    <t>ENH</t>
  </si>
  <si>
    <t>Enshi Airport</t>
  </si>
  <si>
    <t>Enshi</t>
  </si>
  <si>
    <t>ENK</t>
  </si>
  <si>
    <t>St Angelo Airport</t>
  </si>
  <si>
    <t>Enniskillen</t>
  </si>
  <si>
    <t>ENN</t>
  </si>
  <si>
    <t>Nenana Municipal Airport</t>
  </si>
  <si>
    <t>Nenana</t>
  </si>
  <si>
    <t>ENS</t>
  </si>
  <si>
    <t>Twente Airfield</t>
  </si>
  <si>
    <t>Enschede</t>
  </si>
  <si>
    <t>ENT</t>
  </si>
  <si>
    <t>Eniwetok Airport</t>
  </si>
  <si>
    <t>Eniwetok Atoll</t>
  </si>
  <si>
    <t>ENU</t>
  </si>
  <si>
    <t>Akanu Ibiam International Airport</t>
  </si>
  <si>
    <t>Enugu</t>
  </si>
  <si>
    <t>ENV</t>
  </si>
  <si>
    <t>Wendover Airport</t>
  </si>
  <si>
    <t>Wendover</t>
  </si>
  <si>
    <t>ENW</t>
  </si>
  <si>
    <t>Kenosha Regional Airport</t>
  </si>
  <si>
    <t>Kenosha</t>
  </si>
  <si>
    <t>ENY</t>
  </si>
  <si>
    <t>Yan'an Ershilipu Airport</t>
  </si>
  <si>
    <t>Yan'an</t>
  </si>
  <si>
    <t>EOH</t>
  </si>
  <si>
    <t>Enrique Olaya Herrera Airport</t>
  </si>
  <si>
    <t>Medellin</t>
  </si>
  <si>
    <t>EOI</t>
  </si>
  <si>
    <t>Eday Airport</t>
  </si>
  <si>
    <t>Eday</t>
  </si>
  <si>
    <t>EOK</t>
  </si>
  <si>
    <t>Keokuk Municipal Airport</t>
  </si>
  <si>
    <t>Keokuk</t>
  </si>
  <si>
    <t>EPL</t>
  </si>
  <si>
    <t>Épinal-Mirecourt Airport</t>
  </si>
  <si>
    <t>Epinal</t>
  </si>
  <si>
    <t>EPM</t>
  </si>
  <si>
    <t>Eastport Municipal Airport</t>
  </si>
  <si>
    <t>Eastport</t>
  </si>
  <si>
    <t>EPR</t>
  </si>
  <si>
    <t>Esperance Airport</t>
  </si>
  <si>
    <t>Esperance</t>
  </si>
  <si>
    <t>EPS</t>
  </si>
  <si>
    <t>Arroyo Barril Airport</t>
  </si>
  <si>
    <t>EPU</t>
  </si>
  <si>
    <t>Pärnu Airport</t>
  </si>
  <si>
    <t>Parnu</t>
  </si>
  <si>
    <t>EQS</t>
  </si>
  <si>
    <t>Brigadier Antonio Parodi Airport</t>
  </si>
  <si>
    <t>Esquel</t>
  </si>
  <si>
    <t>ERC</t>
  </si>
  <si>
    <t>Erzincan Airport</t>
  </si>
  <si>
    <t>Erzincan</t>
  </si>
  <si>
    <t>ERD</t>
  </si>
  <si>
    <t>Berdyansk Airport</t>
  </si>
  <si>
    <t>Berdyansk</t>
  </si>
  <si>
    <t>ERF</t>
  </si>
  <si>
    <t>Erfurt Airport</t>
  </si>
  <si>
    <t>Erfurt</t>
  </si>
  <si>
    <t>ERG</t>
  </si>
  <si>
    <t>Yerbogachen Airport</t>
  </si>
  <si>
    <t>Yerbogachen</t>
  </si>
  <si>
    <t>ERH</t>
  </si>
  <si>
    <t>Moulay Ali Cherif Airport</t>
  </si>
  <si>
    <t>Er-rachidia</t>
  </si>
  <si>
    <t>ERI</t>
  </si>
  <si>
    <t>Erie International Tom Ridge Field</t>
  </si>
  <si>
    <t>Erie</t>
  </si>
  <si>
    <t>ERL</t>
  </si>
  <si>
    <t>Erenhot Saiwusu International Airport</t>
  </si>
  <si>
    <t>Erenhot</t>
  </si>
  <si>
    <t>ERM</t>
  </si>
  <si>
    <t>Erechim Airport</t>
  </si>
  <si>
    <t>Erechim</t>
  </si>
  <si>
    <t>ERN</t>
  </si>
  <si>
    <t>Eirunepé Airport</t>
  </si>
  <si>
    <t>Eirunepe</t>
  </si>
  <si>
    <t>ERS</t>
  </si>
  <si>
    <t>Eros Airport</t>
  </si>
  <si>
    <t>Windhoek</t>
  </si>
  <si>
    <t>ERV</t>
  </si>
  <si>
    <t>Kerrville Municipal Louis Schreiner Field</t>
  </si>
  <si>
    <t>Kerrville</t>
  </si>
  <si>
    <t>ERY</t>
  </si>
  <si>
    <t>Luce County Airport</t>
  </si>
  <si>
    <t>Newberry</t>
  </si>
  <si>
    <t>ERZ</t>
  </si>
  <si>
    <t>Erzurum International Airport</t>
  </si>
  <si>
    <t>Erzurum</t>
  </si>
  <si>
    <t>ESB</t>
  </si>
  <si>
    <t>Esenboğa International Airport</t>
  </si>
  <si>
    <t>ESC</t>
  </si>
  <si>
    <t>Delta County Airport</t>
  </si>
  <si>
    <t>Escanaba</t>
  </si>
  <si>
    <t>ESD</t>
  </si>
  <si>
    <t>Orcas Island Airport</t>
  </si>
  <si>
    <t>Eastsound</t>
  </si>
  <si>
    <t>ESE</t>
  </si>
  <si>
    <t>Ensenada Airport</t>
  </si>
  <si>
    <t>Ensenada</t>
  </si>
  <si>
    <t>ESF</t>
  </si>
  <si>
    <t>Esler Regional Airport</t>
  </si>
  <si>
    <t>ESH</t>
  </si>
  <si>
    <t>Shoreham Airport</t>
  </si>
  <si>
    <t>Shoreham By Sea</t>
  </si>
  <si>
    <t>ESK</t>
  </si>
  <si>
    <t>Eskişehir Air Base</t>
  </si>
  <si>
    <t>Eskisehir</t>
  </si>
  <si>
    <t>ESL</t>
  </si>
  <si>
    <t>Elista Airport</t>
  </si>
  <si>
    <t>Elista</t>
  </si>
  <si>
    <t>ESM</t>
  </si>
  <si>
    <t>General Rivadeneira Airport</t>
  </si>
  <si>
    <t>Esmeraldas</t>
  </si>
  <si>
    <t>ESN</t>
  </si>
  <si>
    <t>Easton Newnam Field</t>
  </si>
  <si>
    <t>Easton</t>
  </si>
  <si>
    <t>ESR</t>
  </si>
  <si>
    <t>Ricardo García Posada Airport</t>
  </si>
  <si>
    <t>ESS</t>
  </si>
  <si>
    <t>Essen Mulheim Airport</t>
  </si>
  <si>
    <t>Essen</t>
  </si>
  <si>
    <t>ESU</t>
  </si>
  <si>
    <t>Mogador Airport</t>
  </si>
  <si>
    <t>Essadouira</t>
  </si>
  <si>
    <t>ESX</t>
  </si>
  <si>
    <t>Skå-Edeby Airport</t>
  </si>
  <si>
    <t>ETH</t>
  </si>
  <si>
    <t>Eilat Airport</t>
  </si>
  <si>
    <t>Elat</t>
  </si>
  <si>
    <t>ETR</t>
  </si>
  <si>
    <t>Santa Rosa International Airport</t>
  </si>
  <si>
    <t>Santa Rosa</t>
  </si>
  <si>
    <t>ETZ</t>
  </si>
  <si>
    <t>Metz-Nancy-Lorraine Airport</t>
  </si>
  <si>
    <t>Metz</t>
  </si>
  <si>
    <t>EUA</t>
  </si>
  <si>
    <t>Kaufana Airport</t>
  </si>
  <si>
    <t>Tonga</t>
  </si>
  <si>
    <t>Eua Island</t>
  </si>
  <si>
    <t>EUF</t>
  </si>
  <si>
    <t>Weedon Field</t>
  </si>
  <si>
    <t>Eufala</t>
  </si>
  <si>
    <t>EUG</t>
  </si>
  <si>
    <t>Mahlon Sweet Field</t>
  </si>
  <si>
    <t>Eugene</t>
  </si>
  <si>
    <t>EUM</t>
  </si>
  <si>
    <t>Neumünster Airport</t>
  </si>
  <si>
    <t>Neumuenster</t>
  </si>
  <si>
    <t>EUN</t>
  </si>
  <si>
    <t>Hassan I Airport</t>
  </si>
  <si>
    <t>Western Sahara</t>
  </si>
  <si>
    <t>El Aaiún</t>
  </si>
  <si>
    <t>EUX</t>
  </si>
  <si>
    <t>F. D. Roosevelt Airport</t>
  </si>
  <si>
    <t>EVE</t>
  </si>
  <si>
    <t>Harstad/Narvik Airport, Evenes</t>
  </si>
  <si>
    <t>Harstad/Narvik</t>
  </si>
  <si>
    <t>EVG</t>
  </si>
  <si>
    <t>Sveg Airport</t>
  </si>
  <si>
    <t>Sveg</t>
  </si>
  <si>
    <t>EVN</t>
  </si>
  <si>
    <t>Zvartnots International Airport</t>
  </si>
  <si>
    <t>EVV</t>
  </si>
  <si>
    <t>Evansville Regional Airport</t>
  </si>
  <si>
    <t>Evansville</t>
  </si>
  <si>
    <t>EVW</t>
  </si>
  <si>
    <t>Evanston-Uinta County Airport-Burns Field</t>
  </si>
  <si>
    <t>Evanston</t>
  </si>
  <si>
    <t>EWB</t>
  </si>
  <si>
    <t>New Bedford Regional Airport</t>
  </si>
  <si>
    <t>New Bedford</t>
  </si>
  <si>
    <t>EWD</t>
  </si>
  <si>
    <t>Wadi Al Dawasir Airport</t>
  </si>
  <si>
    <t>Wadi-al-dawasir</t>
  </si>
  <si>
    <t>EWK</t>
  </si>
  <si>
    <t>Newton City-County Airport</t>
  </si>
  <si>
    <t>Newton</t>
  </si>
  <si>
    <t>EWN</t>
  </si>
  <si>
    <t>Coastal Carolina Regional Airport</t>
  </si>
  <si>
    <t>New Bern</t>
  </si>
  <si>
    <t>EWR</t>
  </si>
  <si>
    <t>Newark Liberty International Airport</t>
  </si>
  <si>
    <t>Newark</t>
  </si>
  <si>
    <t>EXT</t>
  </si>
  <si>
    <t>Exeter International Airport</t>
  </si>
  <si>
    <t>Exeter</t>
  </si>
  <si>
    <t>EYK</t>
  </si>
  <si>
    <t>Beloyarskiy Airport</t>
  </si>
  <si>
    <t>Beloyarsky</t>
  </si>
  <si>
    <t>EYP</t>
  </si>
  <si>
    <t>El Yopal Airport</t>
  </si>
  <si>
    <t>Yopal</t>
  </si>
  <si>
    <t>EYW</t>
  </si>
  <si>
    <t>Key West International Airport</t>
  </si>
  <si>
    <t>EZE</t>
  </si>
  <si>
    <t>Ministro Pistarini International Airport</t>
  </si>
  <si>
    <t>EZS</t>
  </si>
  <si>
    <t>Elazığ Airport</t>
  </si>
  <si>
    <t>Elazig</t>
  </si>
  <si>
    <t>FAA</t>
  </si>
  <si>
    <t>Faranah Airport</t>
  </si>
  <si>
    <t>Faranah</t>
  </si>
  <si>
    <t>FAB</t>
  </si>
  <si>
    <t>Farnborough Airport</t>
  </si>
  <si>
    <t>Farnborough</t>
  </si>
  <si>
    <t>FAE</t>
  </si>
  <si>
    <t>Vagar Airport</t>
  </si>
  <si>
    <t>Vagar</t>
  </si>
  <si>
    <t>FAF</t>
  </si>
  <si>
    <t>Felker Army Air Field</t>
  </si>
  <si>
    <t>Fort Eustis</t>
  </si>
  <si>
    <t>FAH</t>
  </si>
  <si>
    <t>Farah Airport</t>
  </si>
  <si>
    <t>Farah</t>
  </si>
  <si>
    <t>FAI</t>
  </si>
  <si>
    <t>Fairbanks International Airport</t>
  </si>
  <si>
    <t>FAJ</t>
  </si>
  <si>
    <t>Diego Jimenez Torres Airport</t>
  </si>
  <si>
    <t>Fajardo</t>
  </si>
  <si>
    <t>FAN</t>
  </si>
  <si>
    <t>Lista Airport</t>
  </si>
  <si>
    <t>Farsund</t>
  </si>
  <si>
    <t>FAO</t>
  </si>
  <si>
    <t>Faro Airport</t>
  </si>
  <si>
    <t>Faro</t>
  </si>
  <si>
    <t>FAR</t>
  </si>
  <si>
    <t>Hector International Airport</t>
  </si>
  <si>
    <t>Fargo</t>
  </si>
  <si>
    <t>FAT</t>
  </si>
  <si>
    <t>Fresno Yosemite International Airport</t>
  </si>
  <si>
    <t>Fresno</t>
  </si>
  <si>
    <t>FAV</t>
  </si>
  <si>
    <t>Fakarava Airport</t>
  </si>
  <si>
    <t>Fakarava</t>
  </si>
  <si>
    <t>FAY</t>
  </si>
  <si>
    <t>Fayetteville Regional Grannis Field</t>
  </si>
  <si>
    <t>Fayetteville</t>
  </si>
  <si>
    <t>FBA</t>
  </si>
  <si>
    <t>Fonte Boa Airport</t>
  </si>
  <si>
    <t>Fonte Boa</t>
  </si>
  <si>
    <t>FBD</t>
  </si>
  <si>
    <t>Fayzabad Airport</t>
  </si>
  <si>
    <t>Faizabad</t>
  </si>
  <si>
    <t>FBE</t>
  </si>
  <si>
    <t>Francisco Beltrão Airport</t>
  </si>
  <si>
    <t>Francisco Beltrao</t>
  </si>
  <si>
    <t>FBG</t>
  </si>
  <si>
    <t>Simmons Army Air Field</t>
  </si>
  <si>
    <t>Fredericksburg</t>
  </si>
  <si>
    <t>FBK</t>
  </si>
  <si>
    <t>Ladd AAF Airfield</t>
  </si>
  <si>
    <t>Fort Wainwright</t>
  </si>
  <si>
    <t>FBM</t>
  </si>
  <si>
    <t>Lubumbashi International Airport</t>
  </si>
  <si>
    <t>Lubumashi</t>
  </si>
  <si>
    <t>FBR</t>
  </si>
  <si>
    <t>Fort Bridger Airport</t>
  </si>
  <si>
    <t>Fort Bridger</t>
  </si>
  <si>
    <t>FBU</t>
  </si>
  <si>
    <t>Oslo, Fornebu Airport</t>
  </si>
  <si>
    <t>Oslo</t>
  </si>
  <si>
    <t>FCA</t>
  </si>
  <si>
    <t>Glacier Park International Airport</t>
  </si>
  <si>
    <t>Kalispell</t>
  </si>
  <si>
    <t>FCI</t>
  </si>
  <si>
    <t>Chesterfield County Airport</t>
  </si>
  <si>
    <t>FCM</t>
  </si>
  <si>
    <t>Flying Cloud Airport</t>
  </si>
  <si>
    <t>Eden Prairie</t>
  </si>
  <si>
    <t>FCO</t>
  </si>
  <si>
    <t>Leonardo da Vinci–Fiumicino Airport</t>
  </si>
  <si>
    <t>FCS</t>
  </si>
  <si>
    <t>Butts AAF (Fort Carson) Air Field</t>
  </si>
  <si>
    <t>Fort Carson</t>
  </si>
  <si>
    <t>FDF</t>
  </si>
  <si>
    <t>Martinique Aimé Césaire International Airport</t>
  </si>
  <si>
    <t>Martinique</t>
  </si>
  <si>
    <t>Fort-de-france</t>
  </si>
  <si>
    <t>FDH</t>
  </si>
  <si>
    <t>Friedrichshafen Airport</t>
  </si>
  <si>
    <t>Friedrichshafen</t>
  </si>
  <si>
    <t>FDU</t>
  </si>
  <si>
    <t>Bandundu Airport</t>
  </si>
  <si>
    <t>Bandoundu</t>
  </si>
  <si>
    <t>FDW</t>
  </si>
  <si>
    <t>Fairfield County Airport</t>
  </si>
  <si>
    <t>Winnsboro</t>
  </si>
  <si>
    <t>FDY</t>
  </si>
  <si>
    <t>Findlay Airport</t>
  </si>
  <si>
    <t>Findley</t>
  </si>
  <si>
    <t>FEG</t>
  </si>
  <si>
    <t>Fergana International Airport</t>
  </si>
  <si>
    <t>Fergana</t>
  </si>
  <si>
    <t>FEL</t>
  </si>
  <si>
    <t>Fürstenfeldbruck Airport</t>
  </si>
  <si>
    <t>Fuerstenfeldbruck</t>
  </si>
  <si>
    <t>FEN</t>
  </si>
  <si>
    <t>Fernando de Noronha Airport</t>
  </si>
  <si>
    <t>Fernando Do Noronha</t>
  </si>
  <si>
    <t>FET</t>
  </si>
  <si>
    <t>Fremont Municipal Airport</t>
  </si>
  <si>
    <t>Fremont</t>
  </si>
  <si>
    <t>FEZ</t>
  </si>
  <si>
    <t>Saïss Airport</t>
  </si>
  <si>
    <t>FFA</t>
  </si>
  <si>
    <t>First Flight Airport</t>
  </si>
  <si>
    <t>Kill Devil Hills</t>
  </si>
  <si>
    <t>FFC</t>
  </si>
  <si>
    <t>Peachtree City Falcon Field</t>
  </si>
  <si>
    <t>FFD</t>
  </si>
  <si>
    <t>RAF Fairford</t>
  </si>
  <si>
    <t>Fairford</t>
  </si>
  <si>
    <t>FFO</t>
  </si>
  <si>
    <t>Wright-Patterson Air Force Base</t>
  </si>
  <si>
    <t>FFT</t>
  </si>
  <si>
    <t>Frankfort</t>
  </si>
  <si>
    <t>FFZ</t>
  </si>
  <si>
    <t>Falcon Field</t>
  </si>
  <si>
    <t>FGI</t>
  </si>
  <si>
    <t>Fagali'i Airport</t>
  </si>
  <si>
    <t>Apia</t>
  </si>
  <si>
    <t>FHU</t>
  </si>
  <si>
    <t>Sierra Vista Municipal Libby Army Air Field</t>
  </si>
  <si>
    <t>Fort Huachuca</t>
  </si>
  <si>
    <t>FIE</t>
  </si>
  <si>
    <t>Fair Isle Airport</t>
  </si>
  <si>
    <t>Fair Isle</t>
  </si>
  <si>
    <t>FIG</t>
  </si>
  <si>
    <t>Fria Airport</t>
  </si>
  <si>
    <t>Fira</t>
  </si>
  <si>
    <t>FIH</t>
  </si>
  <si>
    <t>Ndjili International Airport</t>
  </si>
  <si>
    <t>Kinshasa</t>
  </si>
  <si>
    <t>FIT</t>
  </si>
  <si>
    <t>Fitchburg Municipal Airport</t>
  </si>
  <si>
    <t>Fitchburg</t>
  </si>
  <si>
    <t>FIZ</t>
  </si>
  <si>
    <t>Fitzroy Crossing Airport</t>
  </si>
  <si>
    <t>Fitzroy Crossing</t>
  </si>
  <si>
    <t>FJR</t>
  </si>
  <si>
    <t>Fujairah International Airport</t>
  </si>
  <si>
    <t>Fujeirah</t>
  </si>
  <si>
    <t>FKB</t>
  </si>
  <si>
    <t>Karlsruhe Baden-Baden Airport</t>
  </si>
  <si>
    <t>Karlsruhe/Baden-Baden</t>
  </si>
  <si>
    <t>FKI</t>
  </si>
  <si>
    <t>Bangoka International Airport</t>
  </si>
  <si>
    <t>Kisangani</t>
  </si>
  <si>
    <t>FKL</t>
  </si>
  <si>
    <t>Venango Regional Airport</t>
  </si>
  <si>
    <t>Franklin</t>
  </si>
  <si>
    <t>FKQ</t>
  </si>
  <si>
    <t>Fakfak Airport</t>
  </si>
  <si>
    <t>Fak Fak</t>
  </si>
  <si>
    <t>FKS</t>
  </si>
  <si>
    <t>Fukushima Airport</t>
  </si>
  <si>
    <t>Fukushima</t>
  </si>
  <si>
    <t>FLA</t>
  </si>
  <si>
    <t>Gustavo Artunduaga Paredes Airport</t>
  </si>
  <si>
    <t>Florencia</t>
  </si>
  <si>
    <t>FLB</t>
  </si>
  <si>
    <t>Cangapara Airport</t>
  </si>
  <si>
    <t>Floriano</t>
  </si>
  <si>
    <t>FLD</t>
  </si>
  <si>
    <t>Fond du Lac County Airport</t>
  </si>
  <si>
    <t>Fond du Lac</t>
  </si>
  <si>
    <t>FLF</t>
  </si>
  <si>
    <t>Flensburg-Schäferhaus Airport</t>
  </si>
  <si>
    <t>Flensburg</t>
  </si>
  <si>
    <t>FLG</t>
  </si>
  <si>
    <t>Flagstaff Pulliam Airport</t>
  </si>
  <si>
    <t>Flagstaff</t>
  </si>
  <si>
    <t>FLL</t>
  </si>
  <si>
    <t>Fort Lauderdale Hollywood International Airport</t>
  </si>
  <si>
    <t>Fort Lauderdale</t>
  </si>
  <si>
    <t>FLN</t>
  </si>
  <si>
    <t>Hercílio Luz International Airport</t>
  </si>
  <si>
    <t>Florianopolis</t>
  </si>
  <si>
    <t>FLO</t>
  </si>
  <si>
    <t>Florence Regional Airport</t>
  </si>
  <si>
    <t>Florence</t>
  </si>
  <si>
    <t>FLR</t>
  </si>
  <si>
    <t>Peretola Airport</t>
  </si>
  <si>
    <t>FLS</t>
  </si>
  <si>
    <t>Flinders Island</t>
  </si>
  <si>
    <t>FLV</t>
  </si>
  <si>
    <t>Sherman Army Air Field</t>
  </si>
  <si>
    <t>Fort Leavenworth</t>
  </si>
  <si>
    <t>FLW</t>
  </si>
  <si>
    <t>Flores Airport</t>
  </si>
  <si>
    <t>Flores</t>
  </si>
  <si>
    <t>FMA</t>
  </si>
  <si>
    <t>Formosa Airport</t>
  </si>
  <si>
    <t>Formosa</t>
  </si>
  <si>
    <t>FME</t>
  </si>
  <si>
    <t>Tipton Airport</t>
  </si>
  <si>
    <t>Fort Meade</t>
  </si>
  <si>
    <t>FMI</t>
  </si>
  <si>
    <t>Kalemie Airport</t>
  </si>
  <si>
    <t>Kalemie</t>
  </si>
  <si>
    <t>FMM</t>
  </si>
  <si>
    <t>Memmingen Allgau Airport</t>
  </si>
  <si>
    <t>Memmingen</t>
  </si>
  <si>
    <t>FMN</t>
  </si>
  <si>
    <t>Four Corners Regional Airport</t>
  </si>
  <si>
    <t>Farmington</t>
  </si>
  <si>
    <t>FMO</t>
  </si>
  <si>
    <t>Münster Osnabrück Airport</t>
  </si>
  <si>
    <t>Munster</t>
  </si>
  <si>
    <t>FMY</t>
  </si>
  <si>
    <t>Page Field</t>
  </si>
  <si>
    <t>Fort Myers</t>
  </si>
  <si>
    <t>FNA</t>
  </si>
  <si>
    <t>Lungi International Airport</t>
  </si>
  <si>
    <t>Freetown</t>
  </si>
  <si>
    <t>FNB</t>
  </si>
  <si>
    <t>Neubrandenburg Airport</t>
  </si>
  <si>
    <t>Neubrandenburg</t>
  </si>
  <si>
    <t>FNC</t>
  </si>
  <si>
    <t>Madeira Airport</t>
  </si>
  <si>
    <t>Funchal</t>
  </si>
  <si>
    <t>FNI</t>
  </si>
  <si>
    <t>Nîmes-Arles-Camargue Airport</t>
  </si>
  <si>
    <t>Nimes</t>
  </si>
  <si>
    <t>FNJ</t>
  </si>
  <si>
    <t>Pyongyang Sunan International Airport</t>
  </si>
  <si>
    <t>Pyongyang</t>
  </si>
  <si>
    <t>FNL</t>
  </si>
  <si>
    <t>Fort Collins Loveland Municipal Airport</t>
  </si>
  <si>
    <t>Fort Collins</t>
  </si>
  <si>
    <t>FNR</t>
  </si>
  <si>
    <t>Funter Bay Seaplane Base</t>
  </si>
  <si>
    <t>Funter Bay</t>
  </si>
  <si>
    <t>FNT</t>
  </si>
  <si>
    <t>Bishop International Airport</t>
  </si>
  <si>
    <t>Flint</t>
  </si>
  <si>
    <t>FNU</t>
  </si>
  <si>
    <t>Oristano-Fenosu Airport</t>
  </si>
  <si>
    <t>Oristano</t>
  </si>
  <si>
    <t>FOC</t>
  </si>
  <si>
    <t>Fuzhou Changle International Airport</t>
  </si>
  <si>
    <t>Fuzhou</t>
  </si>
  <si>
    <t>FOD</t>
  </si>
  <si>
    <t>Fort Dodge Regional Airport</t>
  </si>
  <si>
    <t>Fort Dodge</t>
  </si>
  <si>
    <t>FOE</t>
  </si>
  <si>
    <t>Topeka Regional Airport - Forbes Field</t>
  </si>
  <si>
    <t>Topeka</t>
  </si>
  <si>
    <t>FOG</t>
  </si>
  <si>
    <t>Foggia \Gino Lisa\" Airport"</t>
  </si>
  <si>
    <t>Foggia</t>
  </si>
  <si>
    <t>FOK</t>
  </si>
  <si>
    <t>Francis S Gabreski Airport</t>
  </si>
  <si>
    <t>West Hampton Beach</t>
  </si>
  <si>
    <t>FOM</t>
  </si>
  <si>
    <t>Foumban Nkounja Airport</t>
  </si>
  <si>
    <t>Foumban</t>
  </si>
  <si>
    <t>FON</t>
  </si>
  <si>
    <t>Arenal Airport</t>
  </si>
  <si>
    <t>La Fortuna/San Carlos</t>
  </si>
  <si>
    <t>FOR</t>
  </si>
  <si>
    <t>Pinto Martins International Airport</t>
  </si>
  <si>
    <t>Fortaleza</t>
  </si>
  <si>
    <t>FPO</t>
  </si>
  <si>
    <t>Grand Bahama International Airport</t>
  </si>
  <si>
    <t>Freeport</t>
  </si>
  <si>
    <t>FRA</t>
  </si>
  <si>
    <t>Frankfurt am Main International Airport</t>
  </si>
  <si>
    <t>Frankfurt</t>
  </si>
  <si>
    <t>FRB</t>
  </si>
  <si>
    <t>Forbes Airport</t>
  </si>
  <si>
    <t>Forbes</t>
  </si>
  <si>
    <t>FRC</t>
  </si>
  <si>
    <t>Franca Airport</t>
  </si>
  <si>
    <t>Franca</t>
  </si>
  <si>
    <t>FRD</t>
  </si>
  <si>
    <t>Friday Harbor Airport</t>
  </si>
  <si>
    <t>Friday Harbor</t>
  </si>
  <si>
    <t>FRE</t>
  </si>
  <si>
    <t>Fera/Maringe Airport</t>
  </si>
  <si>
    <t>Fera Island</t>
  </si>
  <si>
    <t>FRI</t>
  </si>
  <si>
    <t>Marshall Army Air Field</t>
  </si>
  <si>
    <t>Fort Riley</t>
  </si>
  <si>
    <t>FRJ</t>
  </si>
  <si>
    <t>Fréjus Airport</t>
  </si>
  <si>
    <t>Frejus</t>
  </si>
  <si>
    <t>FRL</t>
  </si>
  <si>
    <t>Forlì Airport</t>
  </si>
  <si>
    <t>Forli</t>
  </si>
  <si>
    <t>FRN</t>
  </si>
  <si>
    <t>Bryant Army Heliport</t>
  </si>
  <si>
    <t>Fort Richardson</t>
  </si>
  <si>
    <t>FRO</t>
  </si>
  <si>
    <t>Florø Airport</t>
  </si>
  <si>
    <t>Floro</t>
  </si>
  <si>
    <t>FRP</t>
  </si>
  <si>
    <t>St Lucie County International Airport</t>
  </si>
  <si>
    <t>Fort Pierce</t>
  </si>
  <si>
    <t>FRS</t>
  </si>
  <si>
    <t>Mundo Maya International Airport</t>
  </si>
  <si>
    <t>FRU</t>
  </si>
  <si>
    <t>Manas International Airport</t>
  </si>
  <si>
    <t>Bishkek</t>
  </si>
  <si>
    <t>FRW</t>
  </si>
  <si>
    <t>Francistown Airport</t>
  </si>
  <si>
    <t>Francistown</t>
  </si>
  <si>
    <t>FSC</t>
  </si>
  <si>
    <t>Figari Sud-Corse Airport</t>
  </si>
  <si>
    <t>Figari</t>
  </si>
  <si>
    <t>FSD</t>
  </si>
  <si>
    <t>Joe Foss Field Airport</t>
  </si>
  <si>
    <t>Sioux Falls</t>
  </si>
  <si>
    <t>FSI</t>
  </si>
  <si>
    <t>Henry Post Army Air Field (Fort Sill)</t>
  </si>
  <si>
    <t>Fort Sill</t>
  </si>
  <si>
    <t>FSM</t>
  </si>
  <si>
    <t>Fort Smith Regional Airport</t>
  </si>
  <si>
    <t>Fort Smith</t>
  </si>
  <si>
    <t>FSP</t>
  </si>
  <si>
    <t>St Pierre Airport</t>
  </si>
  <si>
    <t>Saint Pierre and Miquelon</t>
  </si>
  <si>
    <t>St.-pierre</t>
  </si>
  <si>
    <t>FSS</t>
  </si>
  <si>
    <t>RAF Kinloss</t>
  </si>
  <si>
    <t>Kinloss</t>
  </si>
  <si>
    <t>FST</t>
  </si>
  <si>
    <t>Fort Stockton Pecos County Airport</t>
  </si>
  <si>
    <t>Fort Stockton</t>
  </si>
  <si>
    <t>FTA</t>
  </si>
  <si>
    <t>Futuna Airport</t>
  </si>
  <si>
    <t>Futuna Island</t>
  </si>
  <si>
    <t>FTE</t>
  </si>
  <si>
    <t>El Calafate Airport</t>
  </si>
  <si>
    <t>El Calafate</t>
  </si>
  <si>
    <t>FTG</t>
  </si>
  <si>
    <t>Front Range Airport</t>
  </si>
  <si>
    <t>FTI</t>
  </si>
  <si>
    <t>Fitiuta Airport</t>
  </si>
  <si>
    <t>American Samoa</t>
  </si>
  <si>
    <t>Fiti\\'uta</t>
  </si>
  <si>
    <t>FTK</t>
  </si>
  <si>
    <t>Godman Army Air Field</t>
  </si>
  <si>
    <t>Fort Knox</t>
  </si>
  <si>
    <t>FTU</t>
  </si>
  <si>
    <t>Tôlanaro Airport</t>
  </si>
  <si>
    <t>Tolagnaro</t>
  </si>
  <si>
    <t>FTW</t>
  </si>
  <si>
    <t>Fort Worth Meacham International Airport</t>
  </si>
  <si>
    <t>FTX</t>
  </si>
  <si>
    <t>Owando Airport</t>
  </si>
  <si>
    <t>Owando</t>
  </si>
  <si>
    <t>FTY</t>
  </si>
  <si>
    <t>Fulton County Airport Brown Field</t>
  </si>
  <si>
    <t>FUE</t>
  </si>
  <si>
    <t>Fuerteventura Airport</t>
  </si>
  <si>
    <t>Fuerteventura</t>
  </si>
  <si>
    <t>FUG</t>
  </si>
  <si>
    <t>Fuyang Xiguan Airport</t>
  </si>
  <si>
    <t>Fuyang</t>
  </si>
  <si>
    <t>FUJ</t>
  </si>
  <si>
    <t>Fukue Airport</t>
  </si>
  <si>
    <t>Fukue</t>
  </si>
  <si>
    <t>FUK</t>
  </si>
  <si>
    <t>Fukuoka Airport</t>
  </si>
  <si>
    <t>Fukuoka</t>
  </si>
  <si>
    <t>FUL</t>
  </si>
  <si>
    <t>Fullerton Municipal Airport</t>
  </si>
  <si>
    <t>Fullerton</t>
  </si>
  <si>
    <t>FUN</t>
  </si>
  <si>
    <t>Funafuti International Airport</t>
  </si>
  <si>
    <t>Tuvalu</t>
  </si>
  <si>
    <t>Funafuti</t>
  </si>
  <si>
    <t>FUT</t>
  </si>
  <si>
    <t>Pointe Vele Airport</t>
  </si>
  <si>
    <t>Wallis and Futuna</t>
  </si>
  <si>
    <t>FWA</t>
  </si>
  <si>
    <t>Fort Wayne International Airport</t>
  </si>
  <si>
    <t>Fort Wayne</t>
  </si>
  <si>
    <t>FXE</t>
  </si>
  <si>
    <t>Fort Lauderdale Executive Airport</t>
  </si>
  <si>
    <t>FXO</t>
  </si>
  <si>
    <t>Cuamba Airport</t>
  </si>
  <si>
    <t>Cuamba</t>
  </si>
  <si>
    <t>FYJ</t>
  </si>
  <si>
    <t>Dongji Aiport</t>
  </si>
  <si>
    <t>Fuyuan</t>
  </si>
  <si>
    <t>FYT</t>
  </si>
  <si>
    <t>Faya Largeau Airport</t>
  </si>
  <si>
    <t>Faya-largeau</t>
  </si>
  <si>
    <t>FYU</t>
  </si>
  <si>
    <t>Fort Yukon Airport</t>
  </si>
  <si>
    <t>Fort Yukon</t>
  </si>
  <si>
    <t>FYV</t>
  </si>
  <si>
    <t>Drake Field</t>
  </si>
  <si>
    <t>FZG</t>
  </si>
  <si>
    <t>Fitzgerald Municipal Airport</t>
  </si>
  <si>
    <t>Fitzgerald</t>
  </si>
  <si>
    <t>FZI</t>
  </si>
  <si>
    <t>Fostoria Metropolitan Airport</t>
  </si>
  <si>
    <t>Fostoria</t>
  </si>
  <si>
    <t>FZO</t>
  </si>
  <si>
    <t>Bristol Filton Airport</t>
  </si>
  <si>
    <t>GAD</t>
  </si>
  <si>
    <t>Northeast Alabama Regional Airport</t>
  </si>
  <si>
    <t>Gadsden</t>
  </si>
  <si>
    <t>GAE</t>
  </si>
  <si>
    <t>Gabès Matmata International Airport</t>
  </si>
  <si>
    <t>Gabes</t>
  </si>
  <si>
    <t>GAF</t>
  </si>
  <si>
    <t>Gafsa Ksar International Airport</t>
  </si>
  <si>
    <t>Gafsa</t>
  </si>
  <si>
    <t>GAH</t>
  </si>
  <si>
    <t>Gayndah Airport</t>
  </si>
  <si>
    <t>Gayndah</t>
  </si>
  <si>
    <t>GAI</t>
  </si>
  <si>
    <t>Montgomery County Airpark</t>
  </si>
  <si>
    <t>Gaithersburg</t>
  </si>
  <si>
    <t>GAJ</t>
  </si>
  <si>
    <t>Yamagata Airport</t>
  </si>
  <si>
    <t>Yamagata</t>
  </si>
  <si>
    <t>GAL</t>
  </si>
  <si>
    <t>Edward G. Pitka Sr Airport</t>
  </si>
  <si>
    <t>Galena</t>
  </si>
  <si>
    <t>GAM</t>
  </si>
  <si>
    <t>Gambell Airport</t>
  </si>
  <si>
    <t>Gambell</t>
  </si>
  <si>
    <t>GAN</t>
  </si>
  <si>
    <t>Gan International Airport</t>
  </si>
  <si>
    <t>Gan Island</t>
  </si>
  <si>
    <t>GAO</t>
  </si>
  <si>
    <t>Mariana Grajales Airport</t>
  </si>
  <si>
    <t>GAQ</t>
  </si>
  <si>
    <t>Gao Airport</t>
  </si>
  <si>
    <t>Gao</t>
  </si>
  <si>
    <t>GAS</t>
  </si>
  <si>
    <t>Garissa Airport</t>
  </si>
  <si>
    <t>Garissa</t>
  </si>
  <si>
    <t>GAU</t>
  </si>
  <si>
    <t>Lokpriya Gopinath Bordoloi International Airport</t>
  </si>
  <si>
    <t>Guwahati</t>
  </si>
  <si>
    <t>GAY</t>
  </si>
  <si>
    <t>Gaya Airport</t>
  </si>
  <si>
    <t>Gaya</t>
  </si>
  <si>
    <t>GBB</t>
  </si>
  <si>
    <t>Gabala International Airport</t>
  </si>
  <si>
    <t>Qabala</t>
  </si>
  <si>
    <t>GBE</t>
  </si>
  <si>
    <t>Sir Seretse Khama International Airport</t>
  </si>
  <si>
    <t>Gaberone</t>
  </si>
  <si>
    <t>GBG</t>
  </si>
  <si>
    <t>Galesburg Municipal Airport</t>
  </si>
  <si>
    <t>Galesburg</t>
  </si>
  <si>
    <t>GBJ</t>
  </si>
  <si>
    <t>Les Bases Airport</t>
  </si>
  <si>
    <t>Grand Bourg</t>
  </si>
  <si>
    <t>GBK</t>
  </si>
  <si>
    <t>Gbangbatok Airport</t>
  </si>
  <si>
    <t>Gbangbatok</t>
  </si>
  <si>
    <t>GBN</t>
  </si>
  <si>
    <t>Great Bend Municipal Airport</t>
  </si>
  <si>
    <t>Great Bend</t>
  </si>
  <si>
    <t>GBT</t>
  </si>
  <si>
    <t>Gorgan Airport</t>
  </si>
  <si>
    <t>Gorgan</t>
  </si>
  <si>
    <t>GBZ</t>
  </si>
  <si>
    <t>Great Barrier Aerodrome</t>
  </si>
  <si>
    <t>Claris</t>
  </si>
  <si>
    <t>GCC</t>
  </si>
  <si>
    <t>Gillette Campbell County Airport</t>
  </si>
  <si>
    <t>Gillette</t>
  </si>
  <si>
    <t>GCI</t>
  </si>
  <si>
    <t>Guernsey Airport</t>
  </si>
  <si>
    <t>GCJ</t>
  </si>
  <si>
    <t>Grand Central Airport</t>
  </si>
  <si>
    <t>Johannesburg</t>
  </si>
  <si>
    <t>GCK</t>
  </si>
  <si>
    <t>Garden City Regional Airport</t>
  </si>
  <si>
    <t>Garden City</t>
  </si>
  <si>
    <t>GCM</t>
  </si>
  <si>
    <t>Owen Roberts International Airport</t>
  </si>
  <si>
    <t>GCN</t>
  </si>
  <si>
    <t>Grand Canyon National Park Airport</t>
  </si>
  <si>
    <t>Grand Canyon</t>
  </si>
  <si>
    <t>GDE</t>
  </si>
  <si>
    <t>Gode Airport</t>
  </si>
  <si>
    <t>Gode</t>
  </si>
  <si>
    <t>GDL</t>
  </si>
  <si>
    <t>Don Miguel Hidalgo Y Costilla International Airport</t>
  </si>
  <si>
    <t>Guadalajara</t>
  </si>
  <si>
    <t>GDN</t>
  </si>
  <si>
    <t>Gdańsk Lech Wałęsa Airport</t>
  </si>
  <si>
    <t>Gdansk</t>
  </si>
  <si>
    <t>GDQ</t>
  </si>
  <si>
    <t>Gonder Airport</t>
  </si>
  <si>
    <t>Gondar</t>
  </si>
  <si>
    <t>GDT</t>
  </si>
  <si>
    <t>JAGS McCartney International Airport</t>
  </si>
  <si>
    <t>Turks and Caicos Islands</t>
  </si>
  <si>
    <t>Cockburn Town</t>
  </si>
  <si>
    <t>GDV</t>
  </si>
  <si>
    <t>Dawson Community Airport</t>
  </si>
  <si>
    <t>Glendive</t>
  </si>
  <si>
    <t>GDW</t>
  </si>
  <si>
    <t>Gladwin Zettel Memorial Airport</t>
  </si>
  <si>
    <t>Gladwin</t>
  </si>
  <si>
    <t>GDX</t>
  </si>
  <si>
    <t>Sokol Airport</t>
  </si>
  <si>
    <t>GDZ</t>
  </si>
  <si>
    <t>Gelendzhik Airport</t>
  </si>
  <si>
    <t>Gelendzhik</t>
  </si>
  <si>
    <t>GEA</t>
  </si>
  <si>
    <t>Nouméa Magenta Airport</t>
  </si>
  <si>
    <t>Noumea</t>
  </si>
  <si>
    <t>GED</t>
  </si>
  <si>
    <t>Sussex County Airport</t>
  </si>
  <si>
    <t>GEG</t>
  </si>
  <si>
    <t>Spokane International Airport</t>
  </si>
  <si>
    <t>Spokane</t>
  </si>
  <si>
    <t>GEL</t>
  </si>
  <si>
    <t>Santo Ângelo Airport</t>
  </si>
  <si>
    <t>Santo Angelo</t>
  </si>
  <si>
    <t>GEO</t>
  </si>
  <si>
    <t>Cheddi Jagan International Airport</t>
  </si>
  <si>
    <t>GER</t>
  </si>
  <si>
    <t>Rafael Cabrera Airport</t>
  </si>
  <si>
    <t>Nueva Gerona</t>
  </si>
  <si>
    <t>GES</t>
  </si>
  <si>
    <t>General Santos International Airport</t>
  </si>
  <si>
    <t>Romblon</t>
  </si>
  <si>
    <t>GET</t>
  </si>
  <si>
    <t>Geraldton Airport</t>
  </si>
  <si>
    <t>Geraldton</t>
  </si>
  <si>
    <t>GEU</t>
  </si>
  <si>
    <t>Glendale Municipal Airport</t>
  </si>
  <si>
    <t>Glendale</t>
  </si>
  <si>
    <t>GEV</t>
  </si>
  <si>
    <t>Gällivare Airport</t>
  </si>
  <si>
    <t>Gallivare</t>
  </si>
  <si>
    <t>GEX</t>
  </si>
  <si>
    <t>Geelong Airport</t>
  </si>
  <si>
    <t>Geelong</t>
  </si>
  <si>
    <t>GFF</t>
  </si>
  <si>
    <t>Griffith Airport</t>
  </si>
  <si>
    <t>Griffith</t>
  </si>
  <si>
    <t>GFK</t>
  </si>
  <si>
    <t>Grand Forks International Airport</t>
  </si>
  <si>
    <t>Grand Forks</t>
  </si>
  <si>
    <t>GFL</t>
  </si>
  <si>
    <t>Floyd Bennett Memorial Airport</t>
  </si>
  <si>
    <t>Queensbury</t>
  </si>
  <si>
    <t>GFN</t>
  </si>
  <si>
    <t>Grafton Airport</t>
  </si>
  <si>
    <t>Grafton</t>
  </si>
  <si>
    <t>GFO</t>
  </si>
  <si>
    <t>Bartica A Airport</t>
  </si>
  <si>
    <t>Bartica</t>
  </si>
  <si>
    <t>GFR</t>
  </si>
  <si>
    <t>Granville Airport</t>
  </si>
  <si>
    <t>Granville</t>
  </si>
  <si>
    <t>GFY</t>
  </si>
  <si>
    <t>Grootfontein Airport</t>
  </si>
  <si>
    <t>Grootfontein</t>
  </si>
  <si>
    <t>GGE</t>
  </si>
  <si>
    <t>Georgetown County Airport</t>
  </si>
  <si>
    <t>GGG</t>
  </si>
  <si>
    <t>East Texas Regional Airport</t>
  </si>
  <si>
    <t>GGS</t>
  </si>
  <si>
    <t>Gobernador Gregores Airport</t>
  </si>
  <si>
    <t>Gobernador Gregores</t>
  </si>
  <si>
    <t>GGT</t>
  </si>
  <si>
    <t>Exuma International Airport</t>
  </si>
  <si>
    <t>Great Exuma</t>
  </si>
  <si>
    <t>GGW</t>
  </si>
  <si>
    <t>Wokal Field Glasgow International Airport</t>
  </si>
  <si>
    <t>GHA</t>
  </si>
  <si>
    <t>Noumérat - Moufdi Zakaria Airport</t>
  </si>
  <si>
    <t>Ghardaia</t>
  </si>
  <si>
    <t>GHB</t>
  </si>
  <si>
    <t>Governor's Harbour Airport</t>
  </si>
  <si>
    <t>Governor's Harbor</t>
  </si>
  <si>
    <t>GHF</t>
  </si>
  <si>
    <t>[Duplicate] Giebelstadt Army Air Field</t>
  </si>
  <si>
    <t>Giebelstadt</t>
  </si>
  <si>
    <t>GHG</t>
  </si>
  <si>
    <t>Marshfield Municipal George Harlow Field</t>
  </si>
  <si>
    <t>Marshfield</t>
  </si>
  <si>
    <t>GHT</t>
  </si>
  <si>
    <t>Ghat Airport</t>
  </si>
  <si>
    <t>Ghat</t>
  </si>
  <si>
    <t>GHU</t>
  </si>
  <si>
    <t>Gualeguaychu Airport</t>
  </si>
  <si>
    <t>Gualeguaychu</t>
  </si>
  <si>
    <t>GIB</t>
  </si>
  <si>
    <t>Gibraltar Airport</t>
  </si>
  <si>
    <t>Gibraltar</t>
  </si>
  <si>
    <t>GIC</t>
  </si>
  <si>
    <t>Boigu Airport</t>
  </si>
  <si>
    <t>Boigu</t>
  </si>
  <si>
    <t>GIF</t>
  </si>
  <si>
    <t>Winter Haven Municipal Airport - Gilbert Field</t>
  </si>
  <si>
    <t>Winter Haven</t>
  </si>
  <si>
    <t>GIG</t>
  </si>
  <si>
    <t>Rio Galeão – Tom Jobim International Airport</t>
  </si>
  <si>
    <t>GIL</t>
  </si>
  <si>
    <t>Gilgit Airport</t>
  </si>
  <si>
    <t>Gilgit</t>
  </si>
  <si>
    <t>GIS</t>
  </si>
  <si>
    <t>Gisborne Airport</t>
  </si>
  <si>
    <t>Gisborne</t>
  </si>
  <si>
    <t>GIU</t>
  </si>
  <si>
    <t>Sigiriya Air Force Base</t>
  </si>
  <si>
    <t>Sigiriya</t>
  </si>
  <si>
    <t>GIZ</t>
  </si>
  <si>
    <t>Jizan Regional Airport</t>
  </si>
  <si>
    <t>Gizan</t>
  </si>
  <si>
    <t>GJA</t>
  </si>
  <si>
    <t>La Laguna Airport</t>
  </si>
  <si>
    <t>Guanaja</t>
  </si>
  <si>
    <t>GJL</t>
  </si>
  <si>
    <t>Jijel Ferhat Abbas Airport</t>
  </si>
  <si>
    <t>Jijel</t>
  </si>
  <si>
    <t>GJR</t>
  </si>
  <si>
    <t>Gjögur Airport</t>
  </si>
  <si>
    <t>Gjogur</t>
  </si>
  <si>
    <t>GJT</t>
  </si>
  <si>
    <t>Grand Junction Regional Airport</t>
  </si>
  <si>
    <t>Grand Junction</t>
  </si>
  <si>
    <t>GKA</t>
  </si>
  <si>
    <t>Goroka Airport</t>
  </si>
  <si>
    <t>Goroka</t>
  </si>
  <si>
    <t>GKE</t>
  </si>
  <si>
    <t>Geilenkirchen Air Base</t>
  </si>
  <si>
    <t>Geilenkirchen</t>
  </si>
  <si>
    <t>GKK</t>
  </si>
  <si>
    <t>Kooddoo Airport</t>
  </si>
  <si>
    <t>Kooddoo</t>
  </si>
  <si>
    <t>GKL</t>
  </si>
  <si>
    <t>Great Keppel Is Airport</t>
  </si>
  <si>
    <t>Great Keppel Island</t>
  </si>
  <si>
    <t>GKN</t>
  </si>
  <si>
    <t>Gulkana Airport</t>
  </si>
  <si>
    <t>Gulkana</t>
  </si>
  <si>
    <t>GKY</t>
  </si>
  <si>
    <t>GLA</t>
  </si>
  <si>
    <t>Glasgow International Airport</t>
  </si>
  <si>
    <t>GLD</t>
  </si>
  <si>
    <t>Renner Field-Goodland Municipal Airport</t>
  </si>
  <si>
    <t>Goodland</t>
  </si>
  <si>
    <t>GLF</t>
  </si>
  <si>
    <t>Golfito Airport</t>
  </si>
  <si>
    <t>Golfito</t>
  </si>
  <si>
    <t>GLH</t>
  </si>
  <si>
    <t>Mid Delta Regional Airport</t>
  </si>
  <si>
    <t>GLI</t>
  </si>
  <si>
    <t>Glen Innes Airport</t>
  </si>
  <si>
    <t>Glen Innes</t>
  </si>
  <si>
    <t>GLJ</t>
  </si>
  <si>
    <t>La Jagua Airport</t>
  </si>
  <si>
    <t>Garzón</t>
  </si>
  <si>
    <t>GLK</t>
  </si>
  <si>
    <t>Galcaio Airport</t>
  </si>
  <si>
    <t>Galcaio</t>
  </si>
  <si>
    <t>GLO</t>
  </si>
  <si>
    <t>Gloucestershire Airport</t>
  </si>
  <si>
    <t>Golouchestershire</t>
  </si>
  <si>
    <t>GLS</t>
  </si>
  <si>
    <t>Scholes International At Galveston Airport</t>
  </si>
  <si>
    <t>Galveston</t>
  </si>
  <si>
    <t>GLT</t>
  </si>
  <si>
    <t>Gladstone Airport</t>
  </si>
  <si>
    <t>Gladstone</t>
  </si>
  <si>
    <t>GLU</t>
  </si>
  <si>
    <t>Gelephu Airport</t>
  </si>
  <si>
    <t>Gelephu</t>
  </si>
  <si>
    <t>GLV</t>
  </si>
  <si>
    <t>Golovin Airport</t>
  </si>
  <si>
    <t>Golovin</t>
  </si>
  <si>
    <t>GMA</t>
  </si>
  <si>
    <t>Gemena Airport</t>
  </si>
  <si>
    <t>Gemena</t>
  </si>
  <si>
    <t>GMB</t>
  </si>
  <si>
    <t>Gambella Airport</t>
  </si>
  <si>
    <t>Gambella</t>
  </si>
  <si>
    <t>GME</t>
  </si>
  <si>
    <t>Gomel Airport</t>
  </si>
  <si>
    <t>Gomel</t>
  </si>
  <si>
    <t>GMJ</t>
  </si>
  <si>
    <t>Grove Municipal Airport</t>
  </si>
  <si>
    <t>Grove</t>
  </si>
  <si>
    <t>GML</t>
  </si>
  <si>
    <t>Gostomel Airport</t>
  </si>
  <si>
    <t>Kiev</t>
  </si>
  <si>
    <t>GMP</t>
  </si>
  <si>
    <t>Gimpo International Airport</t>
  </si>
  <si>
    <t>Seoul</t>
  </si>
  <si>
    <t>GMR</t>
  </si>
  <si>
    <t>Totegegie Airport</t>
  </si>
  <si>
    <t>Totegegie</t>
  </si>
  <si>
    <t>GMU</t>
  </si>
  <si>
    <t>Greenville Downtown Airport</t>
  </si>
  <si>
    <t>GMZ</t>
  </si>
  <si>
    <t>La Gomera Airport</t>
  </si>
  <si>
    <t>La Gomera</t>
  </si>
  <si>
    <t>GNA</t>
  </si>
  <si>
    <t>Hrodna Airport</t>
  </si>
  <si>
    <t>Hrodna</t>
  </si>
  <si>
    <t>GNB</t>
  </si>
  <si>
    <t>Grenoble-Isère Airport</t>
  </si>
  <si>
    <t>Grenoble</t>
  </si>
  <si>
    <t>GND</t>
  </si>
  <si>
    <t>Point Salines International Airport</t>
  </si>
  <si>
    <t>Grenada</t>
  </si>
  <si>
    <t>Point Salines</t>
  </si>
  <si>
    <t>GNI</t>
  </si>
  <si>
    <t>Lyudao Airport</t>
  </si>
  <si>
    <t>Green Island</t>
  </si>
  <si>
    <t>GNM</t>
  </si>
  <si>
    <t>Guanambi Airport</t>
  </si>
  <si>
    <t>Guanambi</t>
  </si>
  <si>
    <t>GNS</t>
  </si>
  <si>
    <t>Binaka Airport</t>
  </si>
  <si>
    <t>Gunung Sitoli</t>
  </si>
  <si>
    <t>GNT</t>
  </si>
  <si>
    <t>Grants-Milan Municipal Airport</t>
  </si>
  <si>
    <t>Grants</t>
  </si>
  <si>
    <t>GNV</t>
  </si>
  <si>
    <t>Gainesville Regional Airport</t>
  </si>
  <si>
    <t>Gainesville</t>
  </si>
  <si>
    <t>GNY</t>
  </si>
  <si>
    <t>Şanlıurfa GAP Airport</t>
  </si>
  <si>
    <t>Sanliurfa</t>
  </si>
  <si>
    <t>GNZ</t>
  </si>
  <si>
    <t>Ghanzi Airport</t>
  </si>
  <si>
    <t>Ghanzi</t>
  </si>
  <si>
    <t>GOA</t>
  </si>
  <si>
    <t>Genoa Cristoforo Colombo Airport</t>
  </si>
  <si>
    <t>Genoa</t>
  </si>
  <si>
    <t>GOB</t>
  </si>
  <si>
    <t>Robe Airport</t>
  </si>
  <si>
    <t>Goba</t>
  </si>
  <si>
    <t>GOH</t>
  </si>
  <si>
    <t>Godthaab / Nuuk Airport</t>
  </si>
  <si>
    <t>Godthaab</t>
  </si>
  <si>
    <t>GOI</t>
  </si>
  <si>
    <t>Dabolim Airport</t>
  </si>
  <si>
    <t>Goa</t>
  </si>
  <si>
    <t>GOJ</t>
  </si>
  <si>
    <t>Nizhny Novgorod Strigino International Airport</t>
  </si>
  <si>
    <t>Nizhniy Novgorod</t>
  </si>
  <si>
    <t>GOM</t>
  </si>
  <si>
    <t>Goma International Airport</t>
  </si>
  <si>
    <t>Goma</t>
  </si>
  <si>
    <t>GON</t>
  </si>
  <si>
    <t>Groton New London Airport</t>
  </si>
  <si>
    <t>Groton CT</t>
  </si>
  <si>
    <t>GOP</t>
  </si>
  <si>
    <t>Gorakhpur Airport</t>
  </si>
  <si>
    <t>Gorakhpur</t>
  </si>
  <si>
    <t>GOQ</t>
  </si>
  <si>
    <t>Golmud Airport</t>
  </si>
  <si>
    <t>Golmud</t>
  </si>
  <si>
    <t>GOR</t>
  </si>
  <si>
    <t>Gore Airport</t>
  </si>
  <si>
    <t>Gore</t>
  </si>
  <si>
    <t>GOT</t>
  </si>
  <si>
    <t>Gothenburg-Landvetter Airport</t>
  </si>
  <si>
    <t>Gothenborg</t>
  </si>
  <si>
    <t>GOU</t>
  </si>
  <si>
    <t>Garoua International Airport</t>
  </si>
  <si>
    <t>Garoua</t>
  </si>
  <si>
    <t>GOV</t>
  </si>
  <si>
    <t>Gove Airport</t>
  </si>
  <si>
    <t>Gove</t>
  </si>
  <si>
    <t>GOY</t>
  </si>
  <si>
    <t>Ampara Airport</t>
  </si>
  <si>
    <t>Galoya</t>
  </si>
  <si>
    <t>GOZ</t>
  </si>
  <si>
    <t>Gorna Oryahovitsa Airport</t>
  </si>
  <si>
    <t>Gorna Orechovica</t>
  </si>
  <si>
    <t>GPA</t>
  </si>
  <si>
    <t>Araxos Airport</t>
  </si>
  <si>
    <t>Patras</t>
  </si>
  <si>
    <t>GPB</t>
  </si>
  <si>
    <t>Tancredo Thomas de Faria Airport</t>
  </si>
  <si>
    <t>Guarapuava</t>
  </si>
  <si>
    <t>GPI</t>
  </si>
  <si>
    <t>Juan Casiano Airport</t>
  </si>
  <si>
    <t>Guapi</t>
  </si>
  <si>
    <t>GPN</t>
  </si>
  <si>
    <t>Garden Point Airport</t>
  </si>
  <si>
    <t>Pirlangimpi</t>
  </si>
  <si>
    <t>GPS</t>
  </si>
  <si>
    <t>Seymour Airport</t>
  </si>
  <si>
    <t>Galapagos</t>
  </si>
  <si>
    <t>GPT</t>
  </si>
  <si>
    <t>Gulfport Biloxi International Airport</t>
  </si>
  <si>
    <t>Gulfport</t>
  </si>
  <si>
    <t>GPZ</t>
  </si>
  <si>
    <t>Grand Rapids Itasca Co-Gordon Newstrom field</t>
  </si>
  <si>
    <t>Grand Rapids MN</t>
  </si>
  <si>
    <t>GQQ</t>
  </si>
  <si>
    <t>Galion Municipal Airport</t>
  </si>
  <si>
    <t>Galion</t>
  </si>
  <si>
    <t>GRB</t>
  </si>
  <si>
    <t>Austin Straubel International Airport</t>
  </si>
  <si>
    <t>Green Bay</t>
  </si>
  <si>
    <t>GRF</t>
  </si>
  <si>
    <t>Gray Army Air Field</t>
  </si>
  <si>
    <t>Fort Lewis</t>
  </si>
  <si>
    <t>GRI</t>
  </si>
  <si>
    <t>Central Nebraska Regional Airport</t>
  </si>
  <si>
    <t>Grand Island</t>
  </si>
  <si>
    <t>GRJ</t>
  </si>
  <si>
    <t>George Airport</t>
  </si>
  <si>
    <t>George</t>
  </si>
  <si>
    <t>GRK</t>
  </si>
  <si>
    <t>Robert Gray Army Air Field Airport</t>
  </si>
  <si>
    <t>Killeen</t>
  </si>
  <si>
    <t>GRM</t>
  </si>
  <si>
    <t>Grand Marais Cook County Airport</t>
  </si>
  <si>
    <t>Grand Marais</t>
  </si>
  <si>
    <t>GRO</t>
  </si>
  <si>
    <t>Girona Airport</t>
  </si>
  <si>
    <t>Gerona</t>
  </si>
  <si>
    <t>GRP</t>
  </si>
  <si>
    <t>Gurupi Airport</t>
  </si>
  <si>
    <t>Gurupi</t>
  </si>
  <si>
    <t>GRQ</t>
  </si>
  <si>
    <t>Eelde Airport</t>
  </si>
  <si>
    <t>Groningen</t>
  </si>
  <si>
    <t>GRR</t>
  </si>
  <si>
    <t>Gerald R. Ford International Airport</t>
  </si>
  <si>
    <t>Grand Rapids</t>
  </si>
  <si>
    <t>GRS</t>
  </si>
  <si>
    <t>Grosseto Air Base</t>
  </si>
  <si>
    <t>Grosseto</t>
  </si>
  <si>
    <t>GRU</t>
  </si>
  <si>
    <t>Guarulhos - Governador André Franco Montoro International Airport</t>
  </si>
  <si>
    <t>GRV</t>
  </si>
  <si>
    <t>Khankala Air Base</t>
  </si>
  <si>
    <t>Grozny</t>
  </si>
  <si>
    <t>GRW</t>
  </si>
  <si>
    <t>Graciosa Airport</t>
  </si>
  <si>
    <t>Graciosa Island</t>
  </si>
  <si>
    <t>GRX</t>
  </si>
  <si>
    <t>Federico Garcia Lorca Airport</t>
  </si>
  <si>
    <t>GRY</t>
  </si>
  <si>
    <t>Grímsey Airport</t>
  </si>
  <si>
    <t>Grímsey</t>
  </si>
  <si>
    <t>GRZ</t>
  </si>
  <si>
    <t>Graz Airport</t>
  </si>
  <si>
    <t>Graz</t>
  </si>
  <si>
    <t>GSB</t>
  </si>
  <si>
    <t>Seymour Johnson Air Force Base</t>
  </si>
  <si>
    <t>Goldsboro</t>
  </si>
  <si>
    <t>GSE</t>
  </si>
  <si>
    <t>Gothenburg City Airport</t>
  </si>
  <si>
    <t>GSO</t>
  </si>
  <si>
    <t>Piedmont Triad International Airport</t>
  </si>
  <si>
    <t>Greensboro</t>
  </si>
  <si>
    <t>GSP</t>
  </si>
  <si>
    <t>Greenville Spartanburg International Airport</t>
  </si>
  <si>
    <t>GSQ</t>
  </si>
  <si>
    <t>Shark El Oweinat International Airport</t>
  </si>
  <si>
    <t>Sharq Al-Owainat</t>
  </si>
  <si>
    <t>GST</t>
  </si>
  <si>
    <t>Gustavus Airport</t>
  </si>
  <si>
    <t>Gustavus</t>
  </si>
  <si>
    <t>GTB</t>
  </si>
  <si>
    <t>Wheeler Sack Army Air Field</t>
  </si>
  <si>
    <t>Fort Drum</t>
  </si>
  <si>
    <t>GTE</t>
  </si>
  <si>
    <t>Groote Eylandt Airport</t>
  </si>
  <si>
    <t>Groote Eylandt</t>
  </si>
  <si>
    <t>GTF</t>
  </si>
  <si>
    <t>Great Falls International Airport</t>
  </si>
  <si>
    <t>Great Falls</t>
  </si>
  <si>
    <t>GTI</t>
  </si>
  <si>
    <t>Rügen Airport</t>
  </si>
  <si>
    <t>Ruegen</t>
  </si>
  <si>
    <t>GTO</t>
  </si>
  <si>
    <t>Jalaluddin Airport</t>
  </si>
  <si>
    <t>Gorontalo</t>
  </si>
  <si>
    <t>GTR</t>
  </si>
  <si>
    <t>Golden Triangle Regional Airport</t>
  </si>
  <si>
    <t>Columbus Mississippi</t>
  </si>
  <si>
    <t>GTU</t>
  </si>
  <si>
    <t>Georgetown Municipal Airport</t>
  </si>
  <si>
    <t>GUA</t>
  </si>
  <si>
    <t>La Aurora Airport</t>
  </si>
  <si>
    <t>Guatemala City</t>
  </si>
  <si>
    <t>GUB</t>
  </si>
  <si>
    <t>Guerrero Negro Airport</t>
  </si>
  <si>
    <t>Guerrero Negro</t>
  </si>
  <si>
    <t>GUC</t>
  </si>
  <si>
    <t>Gunnison Crested Butte Regional Airport</t>
  </si>
  <si>
    <t>Gunnison</t>
  </si>
  <si>
    <t>GUH</t>
  </si>
  <si>
    <t>Gunnedah Airport</t>
  </si>
  <si>
    <t>GUI</t>
  </si>
  <si>
    <t>Guiria Airport</t>
  </si>
  <si>
    <t>Guiria</t>
  </si>
  <si>
    <t>GUL</t>
  </si>
  <si>
    <t>Goulburn Airport</t>
  </si>
  <si>
    <t>Goulburn</t>
  </si>
  <si>
    <t>GUM</t>
  </si>
  <si>
    <t>Antonio B. Won Pat International Airport</t>
  </si>
  <si>
    <t>Guam</t>
  </si>
  <si>
    <t>Agana</t>
  </si>
  <si>
    <t>GUP</t>
  </si>
  <si>
    <t>Gallup Municipal Airport</t>
  </si>
  <si>
    <t>Gallup</t>
  </si>
  <si>
    <t>GUQ</t>
  </si>
  <si>
    <t>Guanare Airport</t>
  </si>
  <si>
    <t>Guanare</t>
  </si>
  <si>
    <t>GUR</t>
  </si>
  <si>
    <t>Gurney Airport</t>
  </si>
  <si>
    <t>Gurney</t>
  </si>
  <si>
    <t>GUS</t>
  </si>
  <si>
    <t>Grissom Air Reserve Base</t>
  </si>
  <si>
    <t>GUT</t>
  </si>
  <si>
    <t>Gütersloh Air Base</t>
  </si>
  <si>
    <t>Guetersloh</t>
  </si>
  <si>
    <t>GUW</t>
  </si>
  <si>
    <t>Atyrau Airport</t>
  </si>
  <si>
    <t>Atyrau</t>
  </si>
  <si>
    <t>GUY</t>
  </si>
  <si>
    <t>Guymon Municipal Airport</t>
  </si>
  <si>
    <t>Guymon</t>
  </si>
  <si>
    <t>GUZ</t>
  </si>
  <si>
    <t>Guarapari Airport</t>
  </si>
  <si>
    <t>Guarapari</t>
  </si>
  <si>
    <t>GVA</t>
  </si>
  <si>
    <t>Geneva Cointrin International Airport</t>
  </si>
  <si>
    <t>Geneva</t>
  </si>
  <si>
    <t>GVL</t>
  </si>
  <si>
    <t>Lee Gilmer Memorial Airport</t>
  </si>
  <si>
    <t>GVN</t>
  </si>
  <si>
    <t>Maygatka Airport.</t>
  </si>
  <si>
    <t>GVQ</t>
  </si>
  <si>
    <t>Genesee County Airport</t>
  </si>
  <si>
    <t>Batavia</t>
  </si>
  <si>
    <t>GVR</t>
  </si>
  <si>
    <t>Coronel Altino Machado de Oliveira Airport</t>
  </si>
  <si>
    <t>Governador Valadares</t>
  </si>
  <si>
    <t>GVT</t>
  </si>
  <si>
    <t>Majors Airport</t>
  </si>
  <si>
    <t>Greenvile</t>
  </si>
  <si>
    <t>GVX</t>
  </si>
  <si>
    <t>Gävle Sandviken Airport</t>
  </si>
  <si>
    <t>Gavle</t>
  </si>
  <si>
    <t>GWD</t>
  </si>
  <si>
    <t>Gwadar International Airport</t>
  </si>
  <si>
    <t>Gwadar</t>
  </si>
  <si>
    <t>GWE</t>
  </si>
  <si>
    <t>Thornhill Air Base</t>
  </si>
  <si>
    <t>Gwert</t>
  </si>
  <si>
    <t>GWL</t>
  </si>
  <si>
    <t>Gwalior Airport</t>
  </si>
  <si>
    <t>Gwalior</t>
  </si>
  <si>
    <t>GWO</t>
  </si>
  <si>
    <t>Greenwood–Leflore Airport</t>
  </si>
  <si>
    <t>Greenwood</t>
  </si>
  <si>
    <t>GWT</t>
  </si>
  <si>
    <t>Westerland Sylt Airport</t>
  </si>
  <si>
    <t>Westerland</t>
  </si>
  <si>
    <t>GWY</t>
  </si>
  <si>
    <t>Galway Airport</t>
  </si>
  <si>
    <t>Galway</t>
  </si>
  <si>
    <t>GXF</t>
  </si>
  <si>
    <t>Sayun International Airport</t>
  </si>
  <si>
    <t>Sayun Intl</t>
  </si>
  <si>
    <t>GXG</t>
  </si>
  <si>
    <t>Negage Airport</t>
  </si>
  <si>
    <t>Negage</t>
  </si>
  <si>
    <t>GXH</t>
  </si>
  <si>
    <t>Gannan Xiahe Airport</t>
  </si>
  <si>
    <t>Xiahe city</t>
  </si>
  <si>
    <t>GXQ</t>
  </si>
  <si>
    <t>Teniente Vidal Airport</t>
  </si>
  <si>
    <t>Coyhaique</t>
  </si>
  <si>
    <t>GXY</t>
  </si>
  <si>
    <t>Greeley–Weld County Airport</t>
  </si>
  <si>
    <t>Greeley</t>
  </si>
  <si>
    <t>GYA</t>
  </si>
  <si>
    <t>Capitán de Av. Emilio Beltrán Airport</t>
  </si>
  <si>
    <t>Guayaramerín</t>
  </si>
  <si>
    <t>GYD</t>
  </si>
  <si>
    <t>Heydar Aliyev International Airport</t>
  </si>
  <si>
    <t>Baku</t>
  </si>
  <si>
    <t>GYE</t>
  </si>
  <si>
    <t>José Joaquín de Olmedo International Airport</t>
  </si>
  <si>
    <t>Guayaquil</t>
  </si>
  <si>
    <t>GYH</t>
  </si>
  <si>
    <t>Donaldson Center Airport</t>
  </si>
  <si>
    <t>GYI</t>
  </si>
  <si>
    <t>Gisenyi Airport</t>
  </si>
  <si>
    <t>Rwanda</t>
  </si>
  <si>
    <t>Gisenyi</t>
  </si>
  <si>
    <t>GYL</t>
  </si>
  <si>
    <t>Argyle Airport</t>
  </si>
  <si>
    <t>Argyle</t>
  </si>
  <si>
    <t>GYM</t>
  </si>
  <si>
    <t>General José María Yáñez International Airport</t>
  </si>
  <si>
    <t>Guaymas</t>
  </si>
  <si>
    <t>GYN</t>
  </si>
  <si>
    <t>Santa Genoveva Airport</t>
  </si>
  <si>
    <t>Goiania</t>
  </si>
  <si>
    <t>GYS</t>
  </si>
  <si>
    <t>Guangyuan Airport</t>
  </si>
  <si>
    <t>Guangyuan</t>
  </si>
  <si>
    <t>GYU</t>
  </si>
  <si>
    <t>Guyuan Liupanshan Airport</t>
  </si>
  <si>
    <t>Guyuan</t>
  </si>
  <si>
    <t>GYY</t>
  </si>
  <si>
    <t>Gary Chicago International Airport</t>
  </si>
  <si>
    <t>Gary</t>
  </si>
  <si>
    <t>GZA</t>
  </si>
  <si>
    <t>Yasser Arafat International Airport</t>
  </si>
  <si>
    <t>Palestine</t>
  </si>
  <si>
    <t>Gaza</t>
  </si>
  <si>
    <t>GZM</t>
  </si>
  <si>
    <t>Xewkija Heliport</t>
  </si>
  <si>
    <t>Malta</t>
  </si>
  <si>
    <t>Gozo</t>
  </si>
  <si>
    <t>GZO</t>
  </si>
  <si>
    <t>Nusatupe Airport</t>
  </si>
  <si>
    <t>Gizo</t>
  </si>
  <si>
    <t>GZP</t>
  </si>
  <si>
    <t>Gazipaşa Airport</t>
  </si>
  <si>
    <t>Alanya</t>
  </si>
  <si>
    <t>GZT</t>
  </si>
  <si>
    <t>Gaziantep International Airport</t>
  </si>
  <si>
    <t>Gaziantep</t>
  </si>
  <si>
    <t>HAA</t>
  </si>
  <si>
    <t>Hasvik Airport</t>
  </si>
  <si>
    <t>Hasvik</t>
  </si>
  <si>
    <t>HAC</t>
  </si>
  <si>
    <t>Hachijojima Airport</t>
  </si>
  <si>
    <t>Hachijojima</t>
  </si>
  <si>
    <t>HAD</t>
  </si>
  <si>
    <t>Halmstad Airport</t>
  </si>
  <si>
    <t>Halmstad</t>
  </si>
  <si>
    <t>HAF</t>
  </si>
  <si>
    <t>Half Moon Bay Airport</t>
  </si>
  <si>
    <t>Half Moon Bay</t>
  </si>
  <si>
    <t>HAH</t>
  </si>
  <si>
    <t>Prince Said Ibrahim International Airport</t>
  </si>
  <si>
    <t>Moroni</t>
  </si>
  <si>
    <t>HAJ</t>
  </si>
  <si>
    <t>Hannover Airport</t>
  </si>
  <si>
    <t>Hannover</t>
  </si>
  <si>
    <t>HAK</t>
  </si>
  <si>
    <t>Haikou Meilan International Airport</t>
  </si>
  <si>
    <t>Haikou</t>
  </si>
  <si>
    <t>HAM</t>
  </si>
  <si>
    <t>Hamburg Airport</t>
  </si>
  <si>
    <t>Hamburg</t>
  </si>
  <si>
    <t>HAN</t>
  </si>
  <si>
    <t>Noi Bai International Airport</t>
  </si>
  <si>
    <t>HAQ</t>
  </si>
  <si>
    <t>Hanimaadhoo Airport</t>
  </si>
  <si>
    <t>Haa Dhaalu Atoll</t>
  </si>
  <si>
    <t>HAS</t>
  </si>
  <si>
    <t>Ha'il Airport</t>
  </si>
  <si>
    <t>Hail</t>
  </si>
  <si>
    <t>HAU</t>
  </si>
  <si>
    <t>Haugesund Airport</t>
  </si>
  <si>
    <t>Haugesund</t>
  </si>
  <si>
    <t>HAV</t>
  </si>
  <si>
    <t>José Martí International Airport</t>
  </si>
  <si>
    <t>Havana</t>
  </si>
  <si>
    <t>HBA</t>
  </si>
  <si>
    <t>Hobart International Airport</t>
  </si>
  <si>
    <t>Hobart</t>
  </si>
  <si>
    <t>HBE</t>
  </si>
  <si>
    <t>Borg El Arab International Airport</t>
  </si>
  <si>
    <t>HBG</t>
  </si>
  <si>
    <t>Hattiesburg Bobby L Chain Municipal Airport</t>
  </si>
  <si>
    <t>Hattiesburg</t>
  </si>
  <si>
    <t>HBI</t>
  </si>
  <si>
    <t>Asheboro Regional Airport</t>
  </si>
  <si>
    <t>Asheboro</t>
  </si>
  <si>
    <t>HBR</t>
  </si>
  <si>
    <t>Hobart Regional Airport</t>
  </si>
  <si>
    <t>HBT</t>
  </si>
  <si>
    <t>King Khaled Military City Airport</t>
  </si>
  <si>
    <t>King Khalid Mil.city</t>
  </si>
  <si>
    <t>HBX</t>
  </si>
  <si>
    <t>Hubli Airport</t>
  </si>
  <si>
    <t>Hubli</t>
  </si>
  <si>
    <t>HCJ</t>
  </si>
  <si>
    <t>Hechi Jinchengjiang Airport</t>
  </si>
  <si>
    <t>Hechi</t>
  </si>
  <si>
    <t>HCN</t>
  </si>
  <si>
    <t>Hengchun Airport</t>
  </si>
  <si>
    <t>Hengchun</t>
  </si>
  <si>
    <t>HCQ</t>
  </si>
  <si>
    <t>Halls Creek Airport</t>
  </si>
  <si>
    <t>Halls Creek</t>
  </si>
  <si>
    <t>HCR</t>
  </si>
  <si>
    <t>Holy Cross Airport</t>
  </si>
  <si>
    <t>Holy Cross</t>
  </si>
  <si>
    <t>HDD</t>
  </si>
  <si>
    <t>Hyderabad Airport</t>
  </si>
  <si>
    <t>HDE</t>
  </si>
  <si>
    <t>Brewster Field</t>
  </si>
  <si>
    <t>Holdredge</t>
  </si>
  <si>
    <t>HDF</t>
  </si>
  <si>
    <t>Heringsdorf Airport</t>
  </si>
  <si>
    <t>Heringsdorf</t>
  </si>
  <si>
    <t>HDG</t>
  </si>
  <si>
    <t>Handan Airport</t>
  </si>
  <si>
    <t>Handan</t>
  </si>
  <si>
    <t>HDH</t>
  </si>
  <si>
    <t>Dillingham Airfield</t>
  </si>
  <si>
    <t>HDI</t>
  </si>
  <si>
    <t>Hardwick Field</t>
  </si>
  <si>
    <t>HDM</t>
  </si>
  <si>
    <t>Hamadan Airport</t>
  </si>
  <si>
    <t>HDN</t>
  </si>
  <si>
    <t>Yampa Valley Airport</t>
  </si>
  <si>
    <t>Hayden</t>
  </si>
  <si>
    <t>HDO</t>
  </si>
  <si>
    <t>South Texas Regional Airport at Hondo</t>
  </si>
  <si>
    <t>Hondo</t>
  </si>
  <si>
    <t>HDS</t>
  </si>
  <si>
    <t>Hoedspruit Air Force Base Airport</t>
  </si>
  <si>
    <t>Hoedspruit</t>
  </si>
  <si>
    <t>HDY</t>
  </si>
  <si>
    <t>Hat Yai International Airport</t>
  </si>
  <si>
    <t>Hat Yai</t>
  </si>
  <si>
    <t>HEA</t>
  </si>
  <si>
    <t>Herat Airport</t>
  </si>
  <si>
    <t>Herat</t>
  </si>
  <si>
    <t>HEH</t>
  </si>
  <si>
    <t>Heho Airport</t>
  </si>
  <si>
    <t>Heho</t>
  </si>
  <si>
    <t>HEI</t>
  </si>
  <si>
    <t>Heide-Büsum Airport</t>
  </si>
  <si>
    <t>Büsum</t>
  </si>
  <si>
    <t>HEK</t>
  </si>
  <si>
    <t>Heihe Airport</t>
  </si>
  <si>
    <t>Heihe</t>
  </si>
  <si>
    <t>HEL</t>
  </si>
  <si>
    <t>Helsinki Vantaa Airport</t>
  </si>
  <si>
    <t>Helsinki</t>
  </si>
  <si>
    <t>HEM</t>
  </si>
  <si>
    <t>Helsinki Malmi Airport</t>
  </si>
  <si>
    <t>HEN</t>
  </si>
  <si>
    <t>Hernesaari Heliport</t>
  </si>
  <si>
    <t>HER</t>
  </si>
  <si>
    <t>Heraklion International Nikos Kazantzakis Airport</t>
  </si>
  <si>
    <t>Heraklion</t>
  </si>
  <si>
    <t>HET</t>
  </si>
  <si>
    <t>Baita International Airport</t>
  </si>
  <si>
    <t>Hohhot</t>
  </si>
  <si>
    <t>HEW</t>
  </si>
  <si>
    <t>Athen Helenikon Airport</t>
  </si>
  <si>
    <t>HEX</t>
  </si>
  <si>
    <t>Herrera Airport</t>
  </si>
  <si>
    <t>HFA</t>
  </si>
  <si>
    <t>Haifa International Airport</t>
  </si>
  <si>
    <t>Haifa</t>
  </si>
  <si>
    <t>HFD</t>
  </si>
  <si>
    <t>Hartford Brainard Airport</t>
  </si>
  <si>
    <t>Hartford</t>
  </si>
  <si>
    <t>HFE</t>
  </si>
  <si>
    <t>Hefei Luogang International Airport</t>
  </si>
  <si>
    <t>Hefei</t>
  </si>
  <si>
    <t>HFN</t>
  </si>
  <si>
    <t>Hornafjörður Airport</t>
  </si>
  <si>
    <t>Hofn</t>
  </si>
  <si>
    <t>HFS</t>
  </si>
  <si>
    <t>Hagfors Airport</t>
  </si>
  <si>
    <t>Hagfors</t>
  </si>
  <si>
    <t>HFT</t>
  </si>
  <si>
    <t>Hammerfest Airport</t>
  </si>
  <si>
    <t>Hammerfest</t>
  </si>
  <si>
    <t>HGA</t>
  </si>
  <si>
    <t>Egal International Airport</t>
  </si>
  <si>
    <t>Hargeisa</t>
  </si>
  <si>
    <t>HGD</t>
  </si>
  <si>
    <t>Hughenden Airport</t>
  </si>
  <si>
    <t>Hughenden</t>
  </si>
  <si>
    <t>HGH</t>
  </si>
  <si>
    <t>Hangzhou Xiaoshan International Airport</t>
  </si>
  <si>
    <t>Hangzhou</t>
  </si>
  <si>
    <t>HGL</t>
  </si>
  <si>
    <t>Helgoland-Düne Airport</t>
  </si>
  <si>
    <t>Helgoland</t>
  </si>
  <si>
    <t>HGN</t>
  </si>
  <si>
    <t>Mae Hong Son Airport</t>
  </si>
  <si>
    <t>Mae Hong Son</t>
  </si>
  <si>
    <t>HGO</t>
  </si>
  <si>
    <t>Korhogo Airport</t>
  </si>
  <si>
    <t>Korhogo</t>
  </si>
  <si>
    <t>HGR</t>
  </si>
  <si>
    <t>Hagerstown Regional Richard A Henson Field</t>
  </si>
  <si>
    <t>Hagerstown</t>
  </si>
  <si>
    <t>HGS</t>
  </si>
  <si>
    <t>Hastings Airport</t>
  </si>
  <si>
    <t>HGU</t>
  </si>
  <si>
    <t>Mount Hagen Kagamuga Airport</t>
  </si>
  <si>
    <t>Mount Hagen</t>
  </si>
  <si>
    <t>HHH</t>
  </si>
  <si>
    <t>Hilton Head Airport</t>
  </si>
  <si>
    <t>Hilton Head Island</t>
  </si>
  <si>
    <t>HHI</t>
  </si>
  <si>
    <t>Wheeler Army Airfield</t>
  </si>
  <si>
    <t>Wahiawa</t>
  </si>
  <si>
    <t>HHN</t>
  </si>
  <si>
    <t>Frankfurt-Hahn Airport</t>
  </si>
  <si>
    <t>Hahn</t>
  </si>
  <si>
    <t>HHQ</t>
  </si>
  <si>
    <t>Hua Hin Airport</t>
  </si>
  <si>
    <t>Prachuap Khiri Khan</t>
  </si>
  <si>
    <t>HHR</t>
  </si>
  <si>
    <t>Jack Northrop Field Hawthorne Municipal Airport</t>
  </si>
  <si>
    <t>Hawthorne</t>
  </si>
  <si>
    <t>HIB</t>
  </si>
  <si>
    <t>Range Regional Airport</t>
  </si>
  <si>
    <t>Hibbing</t>
  </si>
  <si>
    <t>HID</t>
  </si>
  <si>
    <t>Horn Island Airport</t>
  </si>
  <si>
    <t>Horn Island</t>
  </si>
  <si>
    <t>HIF</t>
  </si>
  <si>
    <t>Hill Air Force Base</t>
  </si>
  <si>
    <t>Ogden</t>
  </si>
  <si>
    <t>HII</t>
  </si>
  <si>
    <t>Lake Havasu City Airport</t>
  </si>
  <si>
    <t>Lake Havasu City</t>
  </si>
  <si>
    <t>HIJ</t>
  </si>
  <si>
    <t>Hiroshima Airport</t>
  </si>
  <si>
    <t>Hiroshima</t>
  </si>
  <si>
    <t>HIM</t>
  </si>
  <si>
    <t>Hingurakgoda Air Force Base</t>
  </si>
  <si>
    <t>Polonnaruwa Town</t>
  </si>
  <si>
    <t>HIN</t>
  </si>
  <si>
    <t>Sacheon Air Base</t>
  </si>
  <si>
    <t>Sacheon</t>
  </si>
  <si>
    <t>HIO</t>
  </si>
  <si>
    <t>Portland Hillsboro Airport</t>
  </si>
  <si>
    <t>Hillsboro</t>
  </si>
  <si>
    <t>HIR</t>
  </si>
  <si>
    <t>Honiara International Airport</t>
  </si>
  <si>
    <t>Honiara</t>
  </si>
  <si>
    <t>HIS</t>
  </si>
  <si>
    <t>Hayman Island Heliport</t>
  </si>
  <si>
    <t>Hayman Island</t>
  </si>
  <si>
    <t>HIW</t>
  </si>
  <si>
    <t>Hiroshimanishi Airport</t>
  </si>
  <si>
    <t>HJJ</t>
  </si>
  <si>
    <t>Zhijiang Airport</t>
  </si>
  <si>
    <t>Zhijiang</t>
  </si>
  <si>
    <t>HJR</t>
  </si>
  <si>
    <t>Khajuraho Airport</t>
  </si>
  <si>
    <t>Khajuraho</t>
  </si>
  <si>
    <t>HKB</t>
  </si>
  <si>
    <t>Healy River Airport</t>
  </si>
  <si>
    <t>Healy</t>
  </si>
  <si>
    <t>HKD</t>
  </si>
  <si>
    <t>Hakodate Airport</t>
  </si>
  <si>
    <t>Hakodate</t>
  </si>
  <si>
    <t>HKG</t>
  </si>
  <si>
    <t>Chek Lap Kok International Airport</t>
  </si>
  <si>
    <t>HKK</t>
  </si>
  <si>
    <t>Hokitika Airfield</t>
  </si>
  <si>
    <t>Hokitika</t>
  </si>
  <si>
    <t>HKN</t>
  </si>
  <si>
    <t>Kimbe Airport</t>
  </si>
  <si>
    <t>Hoskins</t>
  </si>
  <si>
    <t>HKT</t>
  </si>
  <si>
    <t>Phuket International Airport</t>
  </si>
  <si>
    <t>Phuket</t>
  </si>
  <si>
    <t>HKY</t>
  </si>
  <si>
    <t>Hickory Regional Airport</t>
  </si>
  <si>
    <t>Hickory</t>
  </si>
  <si>
    <t>HLA</t>
  </si>
  <si>
    <t>Lanseria Airport</t>
  </si>
  <si>
    <t>HLD</t>
  </si>
  <si>
    <t>Dongshan Airport</t>
  </si>
  <si>
    <t>Hailar</t>
  </si>
  <si>
    <t>HLF</t>
  </si>
  <si>
    <t>Hultsfred Airport</t>
  </si>
  <si>
    <t>Hultsfred</t>
  </si>
  <si>
    <t>HLG</t>
  </si>
  <si>
    <t>Wheeling Ohio County Airport</t>
  </si>
  <si>
    <t>Wheeling</t>
  </si>
  <si>
    <t>HLH</t>
  </si>
  <si>
    <t>Ulanhot Airport</t>
  </si>
  <si>
    <t>Ulanhot</t>
  </si>
  <si>
    <t>HLJ</t>
  </si>
  <si>
    <t>Barysiai Airport</t>
  </si>
  <si>
    <t>Barysiai</t>
  </si>
  <si>
    <t>HLN</t>
  </si>
  <si>
    <t>Helena Regional Airport</t>
  </si>
  <si>
    <t>Helena</t>
  </si>
  <si>
    <t>HLP</t>
  </si>
  <si>
    <t>Halim Perdanakusuma International Airport</t>
  </si>
  <si>
    <t>HLR</t>
  </si>
  <si>
    <t>Hood Army Air Field</t>
  </si>
  <si>
    <t>Fort Hood</t>
  </si>
  <si>
    <t>HLT</t>
  </si>
  <si>
    <t>Hamilton Airport</t>
  </si>
  <si>
    <t>HLZ</t>
  </si>
  <si>
    <t>Hamilton International Airport</t>
  </si>
  <si>
    <t>HMA</t>
  </si>
  <si>
    <t>Khanty Mansiysk Airport</t>
  </si>
  <si>
    <t>Khanty-Mansiysk</t>
  </si>
  <si>
    <t>HMB</t>
  </si>
  <si>
    <t>Sohag International Airport</t>
  </si>
  <si>
    <t>Sohag</t>
  </si>
  <si>
    <t>HME</t>
  </si>
  <si>
    <t>Oued Irara Airport</t>
  </si>
  <si>
    <t>Hassi Messaoud</t>
  </si>
  <si>
    <t>HMI</t>
  </si>
  <si>
    <t>Hami Airport</t>
  </si>
  <si>
    <t>Hami</t>
  </si>
  <si>
    <t>HMJ</t>
  </si>
  <si>
    <t>Khmelnytskyi Airport</t>
  </si>
  <si>
    <t>Khmeinitskiy</t>
  </si>
  <si>
    <t>HMN</t>
  </si>
  <si>
    <t>Holloman Air Force Base</t>
  </si>
  <si>
    <t>HMO</t>
  </si>
  <si>
    <t>General Ignacio P. Garcia International Airport</t>
  </si>
  <si>
    <t>Hermosillo</t>
  </si>
  <si>
    <t>HMR</t>
  </si>
  <si>
    <t>Stafsberg Airport</t>
  </si>
  <si>
    <t>Hamar</t>
  </si>
  <si>
    <t>HMV</t>
  </si>
  <si>
    <t>Hemavan Airport</t>
  </si>
  <si>
    <t>Hemavan</t>
  </si>
  <si>
    <t>HNA</t>
  </si>
  <si>
    <t>Hanamaki Airport</t>
  </si>
  <si>
    <t>Hanamaki</t>
  </si>
  <si>
    <t>HND</t>
  </si>
  <si>
    <t>Tokyo Haneda International Airport</t>
  </si>
  <si>
    <t>HNH</t>
  </si>
  <si>
    <t>Hoonah Airport</t>
  </si>
  <si>
    <t>Hoonah</t>
  </si>
  <si>
    <t>HNL</t>
  </si>
  <si>
    <t>Honolulu International Airport</t>
  </si>
  <si>
    <t>Honolulu</t>
  </si>
  <si>
    <t>HNM</t>
  </si>
  <si>
    <t>Hana Airport</t>
  </si>
  <si>
    <t>Hana</t>
  </si>
  <si>
    <t>HNS</t>
  </si>
  <si>
    <t>Haines Airport</t>
  </si>
  <si>
    <t>Haines</t>
  </si>
  <si>
    <t>HNY</t>
  </si>
  <si>
    <t>Hengyang Nanyue Airport</t>
  </si>
  <si>
    <t>Hengyang</t>
  </si>
  <si>
    <t>HNZ</t>
  </si>
  <si>
    <t>Henderson Oxford Airport</t>
  </si>
  <si>
    <t>Oxford</t>
  </si>
  <si>
    <t>HOA</t>
  </si>
  <si>
    <t>Hola Airport</t>
  </si>
  <si>
    <t>Hola</t>
  </si>
  <si>
    <t>HOB</t>
  </si>
  <si>
    <t>Lea County Regional Airport</t>
  </si>
  <si>
    <t>Hobbs</t>
  </si>
  <si>
    <t>HOD</t>
  </si>
  <si>
    <t>Hodeidah International Airport</t>
  </si>
  <si>
    <t>Hodeidah</t>
  </si>
  <si>
    <t>HOF</t>
  </si>
  <si>
    <t>Al Ahsa Airport</t>
  </si>
  <si>
    <t>Al-ahsa</t>
  </si>
  <si>
    <t>HOG</t>
  </si>
  <si>
    <t>Frank Pais International Airport</t>
  </si>
  <si>
    <t>Holguin</t>
  </si>
  <si>
    <t>HOI</t>
  </si>
  <si>
    <t>Hao Airport</t>
  </si>
  <si>
    <t>Hao Island</t>
  </si>
  <si>
    <t>HOJ</t>
  </si>
  <si>
    <t>Hohenems-Dornbirn Airport</t>
  </si>
  <si>
    <t>Hohenems</t>
  </si>
  <si>
    <t>HOK</t>
  </si>
  <si>
    <t>Hooker Creek Airport</t>
  </si>
  <si>
    <t>Hooker Creek</t>
  </si>
  <si>
    <t>HOM</t>
  </si>
  <si>
    <t>Homer Airport</t>
  </si>
  <si>
    <t>Homer</t>
  </si>
  <si>
    <t>HON</t>
  </si>
  <si>
    <t>Huron Regional Airport</t>
  </si>
  <si>
    <t>Huron</t>
  </si>
  <si>
    <t>HOP</t>
  </si>
  <si>
    <t>Campbell AAF (Fort Campbell) Air Field</t>
  </si>
  <si>
    <t>Hopkinsville</t>
  </si>
  <si>
    <t>HOQ</t>
  </si>
  <si>
    <t>Hof-Plauen Airport</t>
  </si>
  <si>
    <t>Hof</t>
  </si>
  <si>
    <t>HOR</t>
  </si>
  <si>
    <t>Horta Airport</t>
  </si>
  <si>
    <t>Horta</t>
  </si>
  <si>
    <t>HOT</t>
  </si>
  <si>
    <t>Memorial Field</t>
  </si>
  <si>
    <t>Hot Springs</t>
  </si>
  <si>
    <t>HOU</t>
  </si>
  <si>
    <t>William P Hobby Airport</t>
  </si>
  <si>
    <t>HOV</t>
  </si>
  <si>
    <t>Ørsta-Volda Airport, Hovden</t>
  </si>
  <si>
    <t>Orsta-Volda</t>
  </si>
  <si>
    <t>HPA</t>
  </si>
  <si>
    <t>Lifuka Island Airport</t>
  </si>
  <si>
    <t>Lifuka</t>
  </si>
  <si>
    <t>HPB</t>
  </si>
  <si>
    <t>Hooper Bay Airport</t>
  </si>
  <si>
    <t>Hooper Bay</t>
  </si>
  <si>
    <t>HPG</t>
  </si>
  <si>
    <t>Shennongjia Hongping Airport</t>
  </si>
  <si>
    <t>Shennongjia</t>
  </si>
  <si>
    <t>HPH</t>
  </si>
  <si>
    <t>Cat Bi International Airport</t>
  </si>
  <si>
    <t>Haiphong</t>
  </si>
  <si>
    <t>HPN</t>
  </si>
  <si>
    <t>Westchester County Airport</t>
  </si>
  <si>
    <t>White Plains</t>
  </si>
  <si>
    <t>HQM</t>
  </si>
  <si>
    <t>Bowerman Airport</t>
  </si>
  <si>
    <t>Hoquiam</t>
  </si>
  <si>
    <t>HQU</t>
  </si>
  <si>
    <t>Thomson-McDuffie County Airport</t>
  </si>
  <si>
    <t>Thomson</t>
  </si>
  <si>
    <t>HRB</t>
  </si>
  <si>
    <t>Taiping Airport</t>
  </si>
  <si>
    <t>Harbin</t>
  </si>
  <si>
    <t>HRE</t>
  </si>
  <si>
    <t>Harare International Airport</t>
  </si>
  <si>
    <t>Hurghada International Airport</t>
  </si>
  <si>
    <t>HRI</t>
  </si>
  <si>
    <t>Mattala Rajapaksa International Airport</t>
  </si>
  <si>
    <t>Mattala</t>
  </si>
  <si>
    <t>HRK</t>
  </si>
  <si>
    <t>Kharkiv International Airport</t>
  </si>
  <si>
    <t>Kharkov</t>
  </si>
  <si>
    <t>HRL</t>
  </si>
  <si>
    <t>Valley International Airport</t>
  </si>
  <si>
    <t>Harlingen</t>
  </si>
  <si>
    <t>HRM</t>
  </si>
  <si>
    <t>Hassi R'Mel Airport</t>
  </si>
  <si>
    <t>Tilrempt</t>
  </si>
  <si>
    <t>HRO</t>
  </si>
  <si>
    <t>Boone County Airport</t>
  </si>
  <si>
    <t>Harrison</t>
  </si>
  <si>
    <t>HRT</t>
  </si>
  <si>
    <t>RAF Linton-On-Ouse</t>
  </si>
  <si>
    <t>Linton-on-ouse</t>
  </si>
  <si>
    <t>HSG</t>
  </si>
  <si>
    <t>Saga Airport</t>
  </si>
  <si>
    <t>Saga</t>
  </si>
  <si>
    <t>HSH</t>
  </si>
  <si>
    <t>Henderson Executive Airport</t>
  </si>
  <si>
    <t>Henderson</t>
  </si>
  <si>
    <t>HSK</t>
  </si>
  <si>
    <t>Huesca/Pirineos Airport</t>
  </si>
  <si>
    <t>Huesca</t>
  </si>
  <si>
    <t>HSL</t>
  </si>
  <si>
    <t>Huslia Airport</t>
  </si>
  <si>
    <t>Huslia</t>
  </si>
  <si>
    <t>HSM</t>
  </si>
  <si>
    <t>Horsham Airport</t>
  </si>
  <si>
    <t>Horsham</t>
  </si>
  <si>
    <t>HSN</t>
  </si>
  <si>
    <t>Zhoushan Airport</t>
  </si>
  <si>
    <t>Zhoushan</t>
  </si>
  <si>
    <t>HST</t>
  </si>
  <si>
    <t>Homestead ARB Airport</t>
  </si>
  <si>
    <t>Homestead</t>
  </si>
  <si>
    <t>HSV</t>
  </si>
  <si>
    <t>Huntsville International Carl T Jones Field</t>
  </si>
  <si>
    <t>HTA</t>
  </si>
  <si>
    <t>Chita-Kadala Airport</t>
  </si>
  <si>
    <t>Chita</t>
  </si>
  <si>
    <t>HTG</t>
  </si>
  <si>
    <t>Khatanga Airport</t>
  </si>
  <si>
    <t>Khatanga</t>
  </si>
  <si>
    <t>HTI</t>
  </si>
  <si>
    <t>Hamilton Island Airport</t>
  </si>
  <si>
    <t>Hamilton Island</t>
  </si>
  <si>
    <t>HTL</t>
  </si>
  <si>
    <t>Roscommon County - Blodgett Memorial Airport</t>
  </si>
  <si>
    <t>Houghton Lake</t>
  </si>
  <si>
    <t>HTN</t>
  </si>
  <si>
    <t>Hotan Airport</t>
  </si>
  <si>
    <t>Hotan</t>
  </si>
  <si>
    <t>HTR</t>
  </si>
  <si>
    <t>Hateruma Airport</t>
  </si>
  <si>
    <t>Taketomi</t>
  </si>
  <si>
    <t>HTS</t>
  </si>
  <si>
    <t>Tri-State/Milton J. Ferguson Field</t>
  </si>
  <si>
    <t>Huntington</t>
  </si>
  <si>
    <t>HTT</t>
  </si>
  <si>
    <t>Huatugou Airport</t>
  </si>
  <si>
    <t>Mengnai</t>
  </si>
  <si>
    <t>HTU</t>
  </si>
  <si>
    <t>Hopetoun Airport</t>
  </si>
  <si>
    <t>HTV</t>
  </si>
  <si>
    <t>Huntsville Regional Airport</t>
  </si>
  <si>
    <t>HTY</t>
  </si>
  <si>
    <t>Hatay Airport</t>
  </si>
  <si>
    <t>Hatay</t>
  </si>
  <si>
    <t>HUA</t>
  </si>
  <si>
    <t>Redstone Army Air Field</t>
  </si>
  <si>
    <t>Redstone</t>
  </si>
  <si>
    <t>HUE</t>
  </si>
  <si>
    <t>Humera Airport</t>
  </si>
  <si>
    <t>Humera</t>
  </si>
  <si>
    <t>HUF</t>
  </si>
  <si>
    <t>Terre Haute International Hulman Field</t>
  </si>
  <si>
    <t>Terre Haute</t>
  </si>
  <si>
    <t>HUH</t>
  </si>
  <si>
    <t>Huahine-Fare Airport</t>
  </si>
  <si>
    <t>Huahine Island</t>
  </si>
  <si>
    <t>HUI</t>
  </si>
  <si>
    <t>Phu Bai Airport</t>
  </si>
  <si>
    <t>Hue</t>
  </si>
  <si>
    <t>HUL</t>
  </si>
  <si>
    <t>Houlton International Airport</t>
  </si>
  <si>
    <t>Houlton</t>
  </si>
  <si>
    <t>HUN</t>
  </si>
  <si>
    <t>Hualien Airport</t>
  </si>
  <si>
    <t>Hualien</t>
  </si>
  <si>
    <t>HUS</t>
  </si>
  <si>
    <t>Hughes Airport</t>
  </si>
  <si>
    <t>Hughes</t>
  </si>
  <si>
    <t>HUT</t>
  </si>
  <si>
    <t>Hutchinson Municipal Airport</t>
  </si>
  <si>
    <t>Hutchinson</t>
  </si>
  <si>
    <t>HUU</t>
  </si>
  <si>
    <t>Alferez Fap David Figueroa Fernandini Airport</t>
  </si>
  <si>
    <t>Huánuco</t>
  </si>
  <si>
    <t>HUV</t>
  </si>
  <si>
    <t>Hudiksvall Airport</t>
  </si>
  <si>
    <t>Hudiksvall</t>
  </si>
  <si>
    <t>HUW</t>
  </si>
  <si>
    <t>Humaitá Airport</t>
  </si>
  <si>
    <t>Humaita</t>
  </si>
  <si>
    <t>HUX</t>
  </si>
  <si>
    <t>Bahías de Huatulco International Airport</t>
  </si>
  <si>
    <t>Huatulco</t>
  </si>
  <si>
    <t>HUY</t>
  </si>
  <si>
    <t>Humberside Airport</t>
  </si>
  <si>
    <t>Humberside</t>
  </si>
  <si>
    <t>HVA</t>
  </si>
  <si>
    <t>Analalava Airport</t>
  </si>
  <si>
    <t>Analalava</t>
  </si>
  <si>
    <t>HVB</t>
  </si>
  <si>
    <t>Hervey Bay Airport</t>
  </si>
  <si>
    <t>Hervey Bay</t>
  </si>
  <si>
    <t>HVD</t>
  </si>
  <si>
    <t>Khovd Airport</t>
  </si>
  <si>
    <t>Khovd</t>
  </si>
  <si>
    <t>HVG</t>
  </si>
  <si>
    <t>Valan Airport</t>
  </si>
  <si>
    <t>Honningsvag</t>
  </si>
  <si>
    <t>HVN</t>
  </si>
  <si>
    <t>Tweed New Haven Airport</t>
  </si>
  <si>
    <t>New Haven</t>
  </si>
  <si>
    <t>HVR</t>
  </si>
  <si>
    <t>Havre City County Airport</t>
  </si>
  <si>
    <t>Havre</t>
  </si>
  <si>
    <t>HVS</t>
  </si>
  <si>
    <t>Hartsville Regional Airport</t>
  </si>
  <si>
    <t>Hartsville</t>
  </si>
  <si>
    <t>HWD</t>
  </si>
  <si>
    <t>Hayward Executive Airport</t>
  </si>
  <si>
    <t>Hayward</t>
  </si>
  <si>
    <t>HWO</t>
  </si>
  <si>
    <t>North Perry Airport</t>
  </si>
  <si>
    <t>Hollywood</t>
  </si>
  <si>
    <t>HXX</t>
  </si>
  <si>
    <t>Hay Airport</t>
  </si>
  <si>
    <t>HYA</t>
  </si>
  <si>
    <t>Barnstable Municipal Boardman Polando Field</t>
  </si>
  <si>
    <t>Barnstable</t>
  </si>
  <si>
    <t>HYG</t>
  </si>
  <si>
    <t>Hydaburg Seaplane Base</t>
  </si>
  <si>
    <t>Hydaburg</t>
  </si>
  <si>
    <t>HYI</t>
  </si>
  <si>
    <t>San Marcos Municipal Airport</t>
  </si>
  <si>
    <t>San Marcos</t>
  </si>
  <si>
    <t>HYN</t>
  </si>
  <si>
    <t>Huangyan Luqiao Airport</t>
  </si>
  <si>
    <t>Huangyan</t>
  </si>
  <si>
    <t>HYR</t>
  </si>
  <si>
    <t>Sawyer County Airport</t>
  </si>
  <si>
    <t>HYS</t>
  </si>
  <si>
    <t>Hays Regional Airport</t>
  </si>
  <si>
    <t>Hays</t>
  </si>
  <si>
    <t>HYV</t>
  </si>
  <si>
    <t>Hyvinkää Airfield</t>
  </si>
  <si>
    <t>Hyvinkaa</t>
  </si>
  <si>
    <t>HYW</t>
  </si>
  <si>
    <t>Conway Horry County Airport</t>
  </si>
  <si>
    <t>Conway</t>
  </si>
  <si>
    <t>HZG</t>
  </si>
  <si>
    <t>Hanzhong Chenggu Airport</t>
  </si>
  <si>
    <t>Hanzhong</t>
  </si>
  <si>
    <t>HZH</t>
  </si>
  <si>
    <t>Liping Airport</t>
  </si>
  <si>
    <t>Liping</t>
  </si>
  <si>
    <t>HZK</t>
  </si>
  <si>
    <t>Húsavík Airport</t>
  </si>
  <si>
    <t>Husavik</t>
  </si>
  <si>
    <t>HZL</t>
  </si>
  <si>
    <t>Hazleton Municipal Airport</t>
  </si>
  <si>
    <t>Hazleton</t>
  </si>
  <si>
    <t>HZP</t>
  </si>
  <si>
    <t>Fort Mackay / Horizon Airport</t>
  </si>
  <si>
    <t>Wood Buffalo</t>
  </si>
  <si>
    <t>I16</t>
  </si>
  <si>
    <t>Kee Field</t>
  </si>
  <si>
    <t>Pineville</t>
  </si>
  <si>
    <t>IAA</t>
  </si>
  <si>
    <t>Igarka Airport</t>
  </si>
  <si>
    <t>Igarka</t>
  </si>
  <si>
    <t>IAB</t>
  </si>
  <si>
    <t>Mc Connell Air Force Base</t>
  </si>
  <si>
    <t>IAD</t>
  </si>
  <si>
    <t>Washington Dulles International Airport</t>
  </si>
  <si>
    <t>IAG</t>
  </si>
  <si>
    <t>Niagara Falls International Airport</t>
  </si>
  <si>
    <t>Niagara Falls</t>
  </si>
  <si>
    <t>IAH</t>
  </si>
  <si>
    <t>George Bush Intercontinental Houston Airport</t>
  </si>
  <si>
    <t>IAM</t>
  </si>
  <si>
    <t>In Aménas Airport</t>
  </si>
  <si>
    <t>Zarzaitine</t>
  </si>
  <si>
    <t>IAN</t>
  </si>
  <si>
    <t>Bob Baker Memorial Airport</t>
  </si>
  <si>
    <t>Kiana</t>
  </si>
  <si>
    <t>IAO</t>
  </si>
  <si>
    <t>Siargao Airport</t>
  </si>
  <si>
    <t>Siargao</t>
  </si>
  <si>
    <t>IAR</t>
  </si>
  <si>
    <t>Tunoshna Airport</t>
  </si>
  <si>
    <t>Yaroslavl</t>
  </si>
  <si>
    <t>IAS</t>
  </si>
  <si>
    <t>Iaşi Airport</t>
  </si>
  <si>
    <t>Iasi</t>
  </si>
  <si>
    <t>IBA</t>
  </si>
  <si>
    <t>Ibadan Airport</t>
  </si>
  <si>
    <t>Ibadan</t>
  </si>
  <si>
    <t>IBE</t>
  </si>
  <si>
    <t>Perales Airport</t>
  </si>
  <si>
    <t>Ibague</t>
  </si>
  <si>
    <t>IBR</t>
  </si>
  <si>
    <t>Hyakuri Airport</t>
  </si>
  <si>
    <t>Ibaraki</t>
  </si>
  <si>
    <t>IBZ</t>
  </si>
  <si>
    <t>Ibiza Airport</t>
  </si>
  <si>
    <t>Ibiza</t>
  </si>
  <si>
    <t>ICI</t>
  </si>
  <si>
    <t>Cicia Airport</t>
  </si>
  <si>
    <t>Fiji</t>
  </si>
  <si>
    <t>Cicia</t>
  </si>
  <si>
    <t>ICK</t>
  </si>
  <si>
    <t>Nieuw Nickerie Airport</t>
  </si>
  <si>
    <t>Nieuw Nickerie</t>
  </si>
  <si>
    <t>ICN</t>
  </si>
  <si>
    <t>Incheon International Airport</t>
  </si>
  <si>
    <t>ICT</t>
  </si>
  <si>
    <t>Wichita Mid Continent Airport</t>
  </si>
  <si>
    <t>IDA</t>
  </si>
  <si>
    <t>Idaho Falls Regional Airport</t>
  </si>
  <si>
    <t>Idaho Falls</t>
  </si>
  <si>
    <t>IDL</t>
  </si>
  <si>
    <t>Indianola Municipal Airport</t>
  </si>
  <si>
    <t>IDP</t>
  </si>
  <si>
    <t>Independence Municipal Airport</t>
  </si>
  <si>
    <t>Independence</t>
  </si>
  <si>
    <t>IDR</t>
  </si>
  <si>
    <t>Devi Ahilyabai Holkar Airport</t>
  </si>
  <si>
    <t>Indore</t>
  </si>
  <si>
    <t>IDY</t>
  </si>
  <si>
    <t>Île d'Yeu Airport</t>
  </si>
  <si>
    <t>Île d'Yeu</t>
  </si>
  <si>
    <t>IEG</t>
  </si>
  <si>
    <t>Zielona Góra-Babimost Airport</t>
  </si>
  <si>
    <t>Zielona Gora</t>
  </si>
  <si>
    <t>IEJ</t>
  </si>
  <si>
    <t>Ie Jima Airport</t>
  </si>
  <si>
    <t>Ie</t>
  </si>
  <si>
    <t>IEO</t>
  </si>
  <si>
    <t>Aioun el Atrouss Airport</t>
  </si>
  <si>
    <t>Aioun El Atrouss</t>
  </si>
  <si>
    <t>IEV</t>
  </si>
  <si>
    <t>Kiev Zhuliany International Airport</t>
  </si>
  <si>
    <t>IFJ</t>
  </si>
  <si>
    <t>Ísafjörður Airport</t>
  </si>
  <si>
    <t>Isafjordur</t>
  </si>
  <si>
    <t>IFL</t>
  </si>
  <si>
    <t>Innisfail Airport</t>
  </si>
  <si>
    <t>Innisfail</t>
  </si>
  <si>
    <t>IFN</t>
  </si>
  <si>
    <t>Esfahan Shahid Beheshti International Airport</t>
  </si>
  <si>
    <t>IFO</t>
  </si>
  <si>
    <t>Ivano-Frankivsk International Airport</t>
  </si>
  <si>
    <t>Ivano-Frankivsk</t>
  </si>
  <si>
    <t>IFU</t>
  </si>
  <si>
    <t>Ifuru Airport</t>
  </si>
  <si>
    <t>Ifuru</t>
  </si>
  <si>
    <t>IGA</t>
  </si>
  <si>
    <t>Inagua Airport</t>
  </si>
  <si>
    <t>Matthew Town</t>
  </si>
  <si>
    <t>IGB</t>
  </si>
  <si>
    <t>Cabo F.A.A. H. R. Bordón Airport</t>
  </si>
  <si>
    <t>Ingeniero Jacobacci</t>
  </si>
  <si>
    <t>IGG</t>
  </si>
  <si>
    <t>Igiugig Airport</t>
  </si>
  <si>
    <t>Igiugig</t>
  </si>
  <si>
    <t>IGL</t>
  </si>
  <si>
    <t>Çiğli Airport</t>
  </si>
  <si>
    <t>IGQ</t>
  </si>
  <si>
    <t>Lansing Municipal Airport</t>
  </si>
  <si>
    <t>Lansing</t>
  </si>
  <si>
    <t>IGR</t>
  </si>
  <si>
    <t>Cataratas Del Iguazú International Airport</t>
  </si>
  <si>
    <t>Iguazu Falls</t>
  </si>
  <si>
    <t>IGS</t>
  </si>
  <si>
    <t>Ingolstadt Manching Airport</t>
  </si>
  <si>
    <t>Ingolstadt</t>
  </si>
  <si>
    <t>IGT</t>
  </si>
  <si>
    <t>Magas Airport</t>
  </si>
  <si>
    <t>Magas</t>
  </si>
  <si>
    <t>IGU</t>
  </si>
  <si>
    <t>Cataratas International Airport</t>
  </si>
  <si>
    <t>Foz Do Iguacu</t>
  </si>
  <si>
    <t>IGX</t>
  </si>
  <si>
    <t>Horace Williams Airport</t>
  </si>
  <si>
    <t>Chapel Hill</t>
  </si>
  <si>
    <t>IIA</t>
  </si>
  <si>
    <t>Inishmaan Aerodrome</t>
  </si>
  <si>
    <t>Inishmaan</t>
  </si>
  <si>
    <t>IIL</t>
  </si>
  <si>
    <t>Ilam Airport</t>
  </si>
  <si>
    <t>Ilam</t>
  </si>
  <si>
    <t>IJD</t>
  </si>
  <si>
    <t>Windham Airport</t>
  </si>
  <si>
    <t>Willimantic</t>
  </si>
  <si>
    <t>IJK</t>
  </si>
  <si>
    <t>Izhevsk Airport</t>
  </si>
  <si>
    <t>Izhevsk</t>
  </si>
  <si>
    <t>IKA</t>
  </si>
  <si>
    <t>Imam Khomeini International Airport</t>
  </si>
  <si>
    <t>Tehran</t>
  </si>
  <si>
    <t>IKI</t>
  </si>
  <si>
    <t>Iki Airport</t>
  </si>
  <si>
    <t>Iki</t>
  </si>
  <si>
    <t>IKK</t>
  </si>
  <si>
    <t>Greater Kankakee Airport</t>
  </si>
  <si>
    <t>Kankakee</t>
  </si>
  <si>
    <t>IKL</t>
  </si>
  <si>
    <t>Ikela Airport</t>
  </si>
  <si>
    <t>Ikela</t>
  </si>
  <si>
    <t>IKS</t>
  </si>
  <si>
    <t>Tiksi Airport</t>
  </si>
  <si>
    <t>Tiksi</t>
  </si>
  <si>
    <t>IKT</t>
  </si>
  <si>
    <t>Irkutsk Airport</t>
  </si>
  <si>
    <t>Irkutsk</t>
  </si>
  <si>
    <t>IKU</t>
  </si>
  <si>
    <t>Issyk-Kul International Airport</t>
  </si>
  <si>
    <t>Tamchy</t>
  </si>
  <si>
    <t>IKV</t>
  </si>
  <si>
    <t>Ankeny Regional Airport</t>
  </si>
  <si>
    <t>Ankeny</t>
  </si>
  <si>
    <t>ILD</t>
  </si>
  <si>
    <t>Lleida-Alguaire Airport</t>
  </si>
  <si>
    <t>Lleida</t>
  </si>
  <si>
    <t>ILF</t>
  </si>
  <si>
    <t>Ilford Airport</t>
  </si>
  <si>
    <t>Ilford</t>
  </si>
  <si>
    <t>ILG</t>
  </si>
  <si>
    <t>New Castle Airport</t>
  </si>
  <si>
    <t>Wilmington</t>
  </si>
  <si>
    <t>ILI</t>
  </si>
  <si>
    <t>Iliamna Airport</t>
  </si>
  <si>
    <t>Iliamna</t>
  </si>
  <si>
    <t>ILM</t>
  </si>
  <si>
    <t>Wilmington International Airport</t>
  </si>
  <si>
    <t>ILN</t>
  </si>
  <si>
    <t>Wilmington Airpark</t>
  </si>
  <si>
    <t>ILO</t>
  </si>
  <si>
    <t>Iloilo International Airport</t>
  </si>
  <si>
    <t>Iloilo</t>
  </si>
  <si>
    <t>ILP</t>
  </si>
  <si>
    <t>Île des Pins Airport</t>
  </si>
  <si>
    <t>Île des Pins</t>
  </si>
  <si>
    <t>ILR</t>
  </si>
  <si>
    <t>Ilorin International Airport</t>
  </si>
  <si>
    <t>Ilorin</t>
  </si>
  <si>
    <t>ILU</t>
  </si>
  <si>
    <t>Kilaguni Airport</t>
  </si>
  <si>
    <t>Kilaguni</t>
  </si>
  <si>
    <t>ILY</t>
  </si>
  <si>
    <t>Islay Airport</t>
  </si>
  <si>
    <t>Islay</t>
  </si>
  <si>
    <t>ILZ</t>
  </si>
  <si>
    <t>Žilina Airport</t>
  </si>
  <si>
    <t>Žilina</t>
  </si>
  <si>
    <t>IMB</t>
  </si>
  <si>
    <t>Imbaimadai Airport</t>
  </si>
  <si>
    <t>Imbaimadai</t>
  </si>
  <si>
    <t>IMF</t>
  </si>
  <si>
    <t>Imphal Airport</t>
  </si>
  <si>
    <t>Imphal</t>
  </si>
  <si>
    <t>IMK</t>
  </si>
  <si>
    <t>Simikot Airport</t>
  </si>
  <si>
    <t>Simikot</t>
  </si>
  <si>
    <t>IMM</t>
  </si>
  <si>
    <t>Immokalee Regional Airport</t>
  </si>
  <si>
    <t>Immokalee</t>
  </si>
  <si>
    <t>IMP</t>
  </si>
  <si>
    <t>Prefeito Renato Moreira Airport</t>
  </si>
  <si>
    <t>Imperatriz</t>
  </si>
  <si>
    <t>IMT</t>
  </si>
  <si>
    <t>Ford Airport</t>
  </si>
  <si>
    <t>Iron Mountain</t>
  </si>
  <si>
    <t>INA</t>
  </si>
  <si>
    <t>Inta Airport</t>
  </si>
  <si>
    <t>Inta</t>
  </si>
  <si>
    <t>INC</t>
  </si>
  <si>
    <t>Yinchuan Airport</t>
  </si>
  <si>
    <t>Yinchuan</t>
  </si>
  <si>
    <t>IND</t>
  </si>
  <si>
    <t>Indianapolis International Airport</t>
  </si>
  <si>
    <t>Indianapolis</t>
  </si>
  <si>
    <t>ING</t>
  </si>
  <si>
    <t>Lago Argentino Airport</t>
  </si>
  <si>
    <t>INH</t>
  </si>
  <si>
    <t>Inhambane Airport</t>
  </si>
  <si>
    <t>Inhambane</t>
  </si>
  <si>
    <t>INI</t>
  </si>
  <si>
    <t>Nis Airport</t>
  </si>
  <si>
    <t>Nis</t>
  </si>
  <si>
    <t>INJ</t>
  </si>
  <si>
    <t>Hillsboro Municipal Airport</t>
  </si>
  <si>
    <t>INK</t>
  </si>
  <si>
    <t>Winkler County Airport</t>
  </si>
  <si>
    <t>Wink</t>
  </si>
  <si>
    <t>INL</t>
  </si>
  <si>
    <t>Falls International Airport</t>
  </si>
  <si>
    <t>International Falls</t>
  </si>
  <si>
    <t>INN</t>
  </si>
  <si>
    <t>Innsbruck Airport</t>
  </si>
  <si>
    <t>Innsbruck</t>
  </si>
  <si>
    <t>INO</t>
  </si>
  <si>
    <t>Inongo Airport</t>
  </si>
  <si>
    <t>Inongo</t>
  </si>
  <si>
    <t>INQ</t>
  </si>
  <si>
    <t>Inisheer Aerodrome</t>
  </si>
  <si>
    <t>Inisheer</t>
  </si>
  <si>
    <t>INS</t>
  </si>
  <si>
    <t>Creech Air Force Base</t>
  </si>
  <si>
    <t>Indian Springs</t>
  </si>
  <si>
    <t>INT</t>
  </si>
  <si>
    <t>Smith Reynolds Airport</t>
  </si>
  <si>
    <t>Winston-salem</t>
  </si>
  <si>
    <t>INU</t>
  </si>
  <si>
    <t>Nauru International Airport</t>
  </si>
  <si>
    <t>Nauru</t>
  </si>
  <si>
    <t>INV</t>
  </si>
  <si>
    <t>Inverness Airport</t>
  </si>
  <si>
    <t>Inverness</t>
  </si>
  <si>
    <t>INW</t>
  </si>
  <si>
    <t>Winslow Lindbergh Regional Airport</t>
  </si>
  <si>
    <t>Winslow</t>
  </si>
  <si>
    <t>INZ</t>
  </si>
  <si>
    <t>In Salah Airport</t>
  </si>
  <si>
    <t>In Salah</t>
  </si>
  <si>
    <t>IOA</t>
  </si>
  <si>
    <t>Ioannina Airport</t>
  </si>
  <si>
    <t>Ioannina</t>
  </si>
  <si>
    <t>IOB</t>
  </si>
  <si>
    <t>Mount Sterling Montgomery County Airport</t>
  </si>
  <si>
    <t>Mount Sterling</t>
  </si>
  <si>
    <t>IOM</t>
  </si>
  <si>
    <t>Isle of Man Airport</t>
  </si>
  <si>
    <t>Isle of Man</t>
  </si>
  <si>
    <t>Isle Of Man</t>
  </si>
  <si>
    <t>IOR</t>
  </si>
  <si>
    <t>Inishmore Aerodrome</t>
  </si>
  <si>
    <t>Inis Mor</t>
  </si>
  <si>
    <t>IOS</t>
  </si>
  <si>
    <t>Bahia - Jorge Amado Airport</t>
  </si>
  <si>
    <t>Ilheus</t>
  </si>
  <si>
    <t>IOW</t>
  </si>
  <si>
    <t>Iowa City Municipal Airport</t>
  </si>
  <si>
    <t>Iowa City</t>
  </si>
  <si>
    <t>IPA</t>
  </si>
  <si>
    <t>Ipota Airport</t>
  </si>
  <si>
    <t>Ipota</t>
  </si>
  <si>
    <t>IPC</t>
  </si>
  <si>
    <t>Mataveri Airport</t>
  </si>
  <si>
    <t>Easter Island</t>
  </si>
  <si>
    <t>IPH</t>
  </si>
  <si>
    <t>Sultan Azlan Shah Airport</t>
  </si>
  <si>
    <t>Ipoh</t>
  </si>
  <si>
    <t>IPI</t>
  </si>
  <si>
    <t>Ipiales</t>
  </si>
  <si>
    <t>IPL</t>
  </si>
  <si>
    <t>Imperial County Airport</t>
  </si>
  <si>
    <t>Imperial</t>
  </si>
  <si>
    <t>IPN</t>
  </si>
  <si>
    <t>Usiminas Airport</t>
  </si>
  <si>
    <t>Ipatinga</t>
  </si>
  <si>
    <t>IPT</t>
  </si>
  <si>
    <t>Williamsport Regional Airport</t>
  </si>
  <si>
    <t>Williamsport</t>
  </si>
  <si>
    <t>IQM</t>
  </si>
  <si>
    <t>Qiemo Airport</t>
  </si>
  <si>
    <t>Qiemo</t>
  </si>
  <si>
    <t>IQN</t>
  </si>
  <si>
    <t>Qingyang Airport</t>
  </si>
  <si>
    <t>Qingyang</t>
  </si>
  <si>
    <t>IQQ</t>
  </si>
  <si>
    <t>Diego Aracena Airport</t>
  </si>
  <si>
    <t>Iquique</t>
  </si>
  <si>
    <t>IQT</t>
  </si>
  <si>
    <t>Coronel FAP Francisco Secada Vignetta International Airport</t>
  </si>
  <si>
    <t>Iquitos</t>
  </si>
  <si>
    <t>IRA</t>
  </si>
  <si>
    <t>Ngorangora Airport</t>
  </si>
  <si>
    <t>Kirakira</t>
  </si>
  <si>
    <t>IRC</t>
  </si>
  <si>
    <t>Circle City /New/ Airport</t>
  </si>
  <si>
    <t>Circle</t>
  </si>
  <si>
    <t>IRD</t>
  </si>
  <si>
    <t>Ishurdi Airport</t>
  </si>
  <si>
    <t>Ishurdi</t>
  </si>
  <si>
    <t>IRG</t>
  </si>
  <si>
    <t>Lockhart River Airport</t>
  </si>
  <si>
    <t>Lockhart River</t>
  </si>
  <si>
    <t>IRI</t>
  </si>
  <si>
    <t>Iringa Airport</t>
  </si>
  <si>
    <t>Iringa</t>
  </si>
  <si>
    <t>IRJ</t>
  </si>
  <si>
    <t>Capitan V A Almonacid Airport</t>
  </si>
  <si>
    <t>La Rioja</t>
  </si>
  <si>
    <t>IRK</t>
  </si>
  <si>
    <t>Kirksville Regional Airport</t>
  </si>
  <si>
    <t>Kirksville</t>
  </si>
  <si>
    <t>IRP</t>
  </si>
  <si>
    <t>Matari Airport</t>
  </si>
  <si>
    <t>Isiro</t>
  </si>
  <si>
    <t>IRZ</t>
  </si>
  <si>
    <t>Tapuruquara Airport</t>
  </si>
  <si>
    <t>Santa Isabel do Rio Negro</t>
  </si>
  <si>
    <t>ISA</t>
  </si>
  <si>
    <t>Mount Isa Airport</t>
  </si>
  <si>
    <t>Mount Isa</t>
  </si>
  <si>
    <t>ISB</t>
  </si>
  <si>
    <t>Benazir Bhutto International Airport</t>
  </si>
  <si>
    <t>Islamabad</t>
  </si>
  <si>
    <t>ISC</t>
  </si>
  <si>
    <t>St. Mary's Airport</t>
  </si>
  <si>
    <t>ST MARY\\'S</t>
  </si>
  <si>
    <t>ISE</t>
  </si>
  <si>
    <t>Süleyman Demirel International Airport</t>
  </si>
  <si>
    <t>ISG</t>
  </si>
  <si>
    <t>Ishigaki Airport</t>
  </si>
  <si>
    <t>Ishigaki</t>
  </si>
  <si>
    <t>ISJ</t>
  </si>
  <si>
    <t>Isla Mujeres Airport</t>
  </si>
  <si>
    <t>Isla Mujeres</t>
  </si>
  <si>
    <t>ISK</t>
  </si>
  <si>
    <t>Gandhinagar Airport</t>
  </si>
  <si>
    <t>Nasik Road</t>
  </si>
  <si>
    <t>ISM</t>
  </si>
  <si>
    <t>Kissimmee Gateway Airport</t>
  </si>
  <si>
    <t>Kissimmee</t>
  </si>
  <si>
    <t>ISN</t>
  </si>
  <si>
    <t>Sloulin Field International Airport</t>
  </si>
  <si>
    <t>Williston</t>
  </si>
  <si>
    <t>ISO</t>
  </si>
  <si>
    <t>Kinston Regional Jetport At Stallings Field</t>
  </si>
  <si>
    <t>Kinston</t>
  </si>
  <si>
    <t>ISP</t>
  </si>
  <si>
    <t>Long Island Mac Arthur Airport</t>
  </si>
  <si>
    <t>Islip</t>
  </si>
  <si>
    <t>IST</t>
  </si>
  <si>
    <t>Atatürk International Airport</t>
  </si>
  <si>
    <t>ISU</t>
  </si>
  <si>
    <t>Sulaymaniyah International Airport</t>
  </si>
  <si>
    <t>Sulaymaniyah</t>
  </si>
  <si>
    <t>ISW</t>
  </si>
  <si>
    <t>Alexander Field South Wood County Airport</t>
  </si>
  <si>
    <t>Wisconsin Rapids</t>
  </si>
  <si>
    <t>ITB</t>
  </si>
  <si>
    <t>Itaituba Airport</t>
  </si>
  <si>
    <t>ITH</t>
  </si>
  <si>
    <t>Ithaca Tompkins Regional Airport</t>
  </si>
  <si>
    <t>Ithaca</t>
  </si>
  <si>
    <t>ITM</t>
  </si>
  <si>
    <t>Osaka International Airport</t>
  </si>
  <si>
    <t>ITO</t>
  </si>
  <si>
    <t>Hilo International Airport</t>
  </si>
  <si>
    <t>Hilo</t>
  </si>
  <si>
    <t>ITP</t>
  </si>
  <si>
    <t>Itaperuna Airport</t>
  </si>
  <si>
    <t>Itaperuna</t>
  </si>
  <si>
    <t>IUD</t>
  </si>
  <si>
    <t>Al Udeid Air Base</t>
  </si>
  <si>
    <t>IUE</t>
  </si>
  <si>
    <t>Niue International Airport</t>
  </si>
  <si>
    <t>Niue</t>
  </si>
  <si>
    <t>Alofi</t>
  </si>
  <si>
    <t>IVA</t>
  </si>
  <si>
    <t>Ampampamena Airport</t>
  </si>
  <si>
    <t>Ampampamena</t>
  </si>
  <si>
    <t>IVC</t>
  </si>
  <si>
    <t>Invercargill Airport</t>
  </si>
  <si>
    <t>Invercargill</t>
  </si>
  <si>
    <t>IVL</t>
  </si>
  <si>
    <t>Ivalo Airport</t>
  </si>
  <si>
    <t>Ivalo</t>
  </si>
  <si>
    <t>IVR</t>
  </si>
  <si>
    <t>Inverell Airport</t>
  </si>
  <si>
    <t>Inverell</t>
  </si>
  <si>
    <t>IWA</t>
  </si>
  <si>
    <t>Ivanovo South Airport</t>
  </si>
  <si>
    <t>Ivanovo</t>
  </si>
  <si>
    <t>IWJ</t>
  </si>
  <si>
    <t>Iwami Airport</t>
  </si>
  <si>
    <t>Iwami</t>
  </si>
  <si>
    <t>IWO</t>
  </si>
  <si>
    <t>Iwo Jima Airport</t>
  </si>
  <si>
    <t>Iwojima</t>
  </si>
  <si>
    <t>IWS</t>
  </si>
  <si>
    <t>West Houston Airport</t>
  </si>
  <si>
    <t>IXA</t>
  </si>
  <si>
    <t>Agartala Airport</t>
  </si>
  <si>
    <t>Agartala</t>
  </si>
  <si>
    <t>IXB</t>
  </si>
  <si>
    <t>Bagdogra Airport</t>
  </si>
  <si>
    <t>Baghdogra</t>
  </si>
  <si>
    <t>IXC</t>
  </si>
  <si>
    <t>Chandigarh Airport</t>
  </si>
  <si>
    <t>Chandigarh</t>
  </si>
  <si>
    <t>IXD</t>
  </si>
  <si>
    <t>Allahabad Airport</t>
  </si>
  <si>
    <t>Allahabad</t>
  </si>
  <si>
    <t>IXE</t>
  </si>
  <si>
    <t>Mangalore International Airport</t>
  </si>
  <si>
    <t>Mangalore</t>
  </si>
  <si>
    <t>IXG</t>
  </si>
  <si>
    <t>Belgaum Airport</t>
  </si>
  <si>
    <t>Belgaum</t>
  </si>
  <si>
    <t>IXH</t>
  </si>
  <si>
    <t>Kailashahar Airport</t>
  </si>
  <si>
    <t>Kailashahar</t>
  </si>
  <si>
    <t>IXI</t>
  </si>
  <si>
    <t>North Lakhimpur Airport</t>
  </si>
  <si>
    <t>Lilabari</t>
  </si>
  <si>
    <t>IXJ</t>
  </si>
  <si>
    <t>Jammu Airport</t>
  </si>
  <si>
    <t>Jammu</t>
  </si>
  <si>
    <t>IXK</t>
  </si>
  <si>
    <t>Keshod Airport</t>
  </si>
  <si>
    <t>Keshod</t>
  </si>
  <si>
    <t>IXL</t>
  </si>
  <si>
    <t>Leh Kushok Bakula Rimpochee Airport</t>
  </si>
  <si>
    <t>Leh</t>
  </si>
  <si>
    <t>IXM</t>
  </si>
  <si>
    <t>Madurai Airport</t>
  </si>
  <si>
    <t>Madurai</t>
  </si>
  <si>
    <t>IXR</t>
  </si>
  <si>
    <t>Birsa Munda Airport</t>
  </si>
  <si>
    <t>Ranchi</t>
  </si>
  <si>
    <t>IXS</t>
  </si>
  <si>
    <t>Silchar Airport</t>
  </si>
  <si>
    <t>Silchar</t>
  </si>
  <si>
    <t>IXT</t>
  </si>
  <si>
    <t>Pasighat Airport</t>
  </si>
  <si>
    <t>Pasighat</t>
  </si>
  <si>
    <t>IXU</t>
  </si>
  <si>
    <t>Aurangabad Airport</t>
  </si>
  <si>
    <t>Aurangabad</t>
  </si>
  <si>
    <t>IXW</t>
  </si>
  <si>
    <t>Jamshedpur Airport</t>
  </si>
  <si>
    <t>Jamshedpur</t>
  </si>
  <si>
    <t>IXY</t>
  </si>
  <si>
    <t>Kandla Airport</t>
  </si>
  <si>
    <t>Kandla</t>
  </si>
  <si>
    <t>IXZ</t>
  </si>
  <si>
    <t>Vir Savarkar International Airport</t>
  </si>
  <si>
    <t>Port Blair</t>
  </si>
  <si>
    <t>IYK</t>
  </si>
  <si>
    <t>Inyokern Airport</t>
  </si>
  <si>
    <t>Inyokern</t>
  </si>
  <si>
    <t>IZA</t>
  </si>
  <si>
    <t>Zona da Mata Regional Airport</t>
  </si>
  <si>
    <t>Juiz de Fora</t>
  </si>
  <si>
    <t>IZG</t>
  </si>
  <si>
    <t>Eastern Slopes Regional Airport</t>
  </si>
  <si>
    <t>Fryeburg</t>
  </si>
  <si>
    <t>IZO</t>
  </si>
  <si>
    <t>Izumo Airport</t>
  </si>
  <si>
    <t>Izumo</t>
  </si>
  <si>
    <t>JAA</t>
  </si>
  <si>
    <t>Jalalabad Airport</t>
  </si>
  <si>
    <t>Jalalabad</t>
  </si>
  <si>
    <t>JAB</t>
  </si>
  <si>
    <t>Jabiru Airport</t>
  </si>
  <si>
    <t>Jabiru</t>
  </si>
  <si>
    <t>JAC</t>
  </si>
  <si>
    <t>Jackson Hole Airport</t>
  </si>
  <si>
    <t>Jacksn Hole</t>
  </si>
  <si>
    <t>JAD</t>
  </si>
  <si>
    <t>Perth Jandakot Airport</t>
  </si>
  <si>
    <t>JAE</t>
  </si>
  <si>
    <t>Shumba Airport</t>
  </si>
  <si>
    <t>Jaén</t>
  </si>
  <si>
    <t>JAF</t>
  </si>
  <si>
    <t>Kankesanturai Airport</t>
  </si>
  <si>
    <t>Jaffna</t>
  </si>
  <si>
    <t>JAI</t>
  </si>
  <si>
    <t>Jaipur International Airport</t>
  </si>
  <si>
    <t>Jaipur</t>
  </si>
  <si>
    <t>JAL</t>
  </si>
  <si>
    <t>El Lencero Airport</t>
  </si>
  <si>
    <t>Jalapa</t>
  </si>
  <si>
    <t>JAN</t>
  </si>
  <si>
    <t>Jackson-Medgar Wiley Evers International Airport</t>
  </si>
  <si>
    <t>Jackson</t>
  </si>
  <si>
    <t>JAS</t>
  </si>
  <si>
    <t>Jasper County Airport-Bell Field</t>
  </si>
  <si>
    <t>Jasper</t>
  </si>
  <si>
    <t>JAV</t>
  </si>
  <si>
    <t>Ilulissat Airport</t>
  </si>
  <si>
    <t>Ilulissat</t>
  </si>
  <si>
    <t>JAX</t>
  </si>
  <si>
    <t>Jacksonville International Airport</t>
  </si>
  <si>
    <t>JBQ</t>
  </si>
  <si>
    <t>La Isabela International Airport</t>
  </si>
  <si>
    <t>La Isabela</t>
  </si>
  <si>
    <t>JBR</t>
  </si>
  <si>
    <t>Jonesboro Municipal Airport</t>
  </si>
  <si>
    <t>Jonesboro</t>
  </si>
  <si>
    <t>JCB</t>
  </si>
  <si>
    <t>Santa Terezinha Airport</t>
  </si>
  <si>
    <t>Joacaba</t>
  </si>
  <si>
    <t>JCH</t>
  </si>
  <si>
    <t>Qasigiannguit Heliport</t>
  </si>
  <si>
    <t>Qasigiannguit</t>
  </si>
  <si>
    <t>JCI</t>
  </si>
  <si>
    <t>New Century Aircenter Airport</t>
  </si>
  <si>
    <t>Olathe</t>
  </si>
  <si>
    <t>JCK</t>
  </si>
  <si>
    <t>Julia Creek Airport</t>
  </si>
  <si>
    <t>Julia Creek</t>
  </si>
  <si>
    <t>JCT</t>
  </si>
  <si>
    <t>Kimble County Airport</t>
  </si>
  <si>
    <t>Junction</t>
  </si>
  <si>
    <t>JDF</t>
  </si>
  <si>
    <t>Francisco de Assis Airport</t>
  </si>
  <si>
    <t>Juiz De Fora</t>
  </si>
  <si>
    <t>JDH</t>
  </si>
  <si>
    <t>Jodhpur Airport</t>
  </si>
  <si>
    <t>Jodhpur</t>
  </si>
  <si>
    <t>JDO</t>
  </si>
  <si>
    <t>Orlando Bezerra de Menezes Airport</t>
  </si>
  <si>
    <t>Juazeiro Do Norte</t>
  </si>
  <si>
    <t>JDZ</t>
  </si>
  <si>
    <t>Jingdezhen Airport</t>
  </si>
  <si>
    <t>Jingdezhen</t>
  </si>
  <si>
    <t>JED</t>
  </si>
  <si>
    <t>King Abdulaziz International Airport</t>
  </si>
  <si>
    <t>JEE</t>
  </si>
  <si>
    <t>Jérémie Airport</t>
  </si>
  <si>
    <t>Jeremie</t>
  </si>
  <si>
    <t>JEF</t>
  </si>
  <si>
    <t>Jefferson City Memorial Airport</t>
  </si>
  <si>
    <t>Jefferson City</t>
  </si>
  <si>
    <t>JEG</t>
  </si>
  <si>
    <t>Aasiaat Airport</t>
  </si>
  <si>
    <t>Aasiaat</t>
  </si>
  <si>
    <t>JER</t>
  </si>
  <si>
    <t>Jersey Airport</t>
  </si>
  <si>
    <t>Jersey</t>
  </si>
  <si>
    <t>JES</t>
  </si>
  <si>
    <t>Jesup Wayne County Airport</t>
  </si>
  <si>
    <t>Jesup</t>
  </si>
  <si>
    <t>JFK</t>
  </si>
  <si>
    <t>John F Kennedy International Airport</t>
  </si>
  <si>
    <t>JFR</t>
  </si>
  <si>
    <t>Paamiut Heliport</t>
  </si>
  <si>
    <t>Paamiut</t>
  </si>
  <si>
    <t>JGA</t>
  </si>
  <si>
    <t>Jamnagar Airport</t>
  </si>
  <si>
    <t>Jamnagar</t>
  </si>
  <si>
    <t>JGG</t>
  </si>
  <si>
    <t>Williamsburg Jamestown Airport</t>
  </si>
  <si>
    <t>Williamsburg</t>
  </si>
  <si>
    <t>JGN</t>
  </si>
  <si>
    <t>Jiayuguan Airport</t>
  </si>
  <si>
    <t>Jiayuguan</t>
  </si>
  <si>
    <t>JGO</t>
  </si>
  <si>
    <t>Qeqertarsuaq Heliport</t>
  </si>
  <si>
    <t>Qeqertarsuaq Airport</t>
  </si>
  <si>
    <t>JHB</t>
  </si>
  <si>
    <t>Senai International Airport</t>
  </si>
  <si>
    <t>Johor Bahru</t>
  </si>
  <si>
    <t>JHG</t>
  </si>
  <si>
    <t>Xishuangbanna Gasa Airport</t>
  </si>
  <si>
    <t>Jinghonggasa</t>
  </si>
  <si>
    <t>JHM</t>
  </si>
  <si>
    <t>Kapalua Airport</t>
  </si>
  <si>
    <t>Lahania-kapalua</t>
  </si>
  <si>
    <t>JHQ</t>
  </si>
  <si>
    <t>Shute Harbour Airport</t>
  </si>
  <si>
    <t>Shute Harbour</t>
  </si>
  <si>
    <t>JHS</t>
  </si>
  <si>
    <t>Sisimiut Airport</t>
  </si>
  <si>
    <t>Sisimiut</t>
  </si>
  <si>
    <t>JHW</t>
  </si>
  <si>
    <t>Chautauqua County-Jamestown Airport</t>
  </si>
  <si>
    <t>Jamestown</t>
  </si>
  <si>
    <t>JIA</t>
  </si>
  <si>
    <t>Juína Airport</t>
  </si>
  <si>
    <t>Juina</t>
  </si>
  <si>
    <t>JIB</t>
  </si>
  <si>
    <t>Djibouti-Ambouli Airport</t>
  </si>
  <si>
    <t>Djibouti</t>
  </si>
  <si>
    <t>JIJ</t>
  </si>
  <si>
    <t>Wilwal International Airport</t>
  </si>
  <si>
    <t>Jijiga</t>
  </si>
  <si>
    <t>JIK</t>
  </si>
  <si>
    <t>Ikaria Airport</t>
  </si>
  <si>
    <t>Ikaria</t>
  </si>
  <si>
    <t>JIM</t>
  </si>
  <si>
    <t>Jimma Airport</t>
  </si>
  <si>
    <t>Jimma</t>
  </si>
  <si>
    <t>JIU</t>
  </si>
  <si>
    <t>Jiujiang Lushan Airport</t>
  </si>
  <si>
    <t>Jiujiang</t>
  </si>
  <si>
    <t>JIW</t>
  </si>
  <si>
    <t>Jiwani Airport</t>
  </si>
  <si>
    <t>Jiwani</t>
  </si>
  <si>
    <t>JJI</t>
  </si>
  <si>
    <t>Juanjui Airport</t>
  </si>
  <si>
    <t>Juanjui</t>
  </si>
  <si>
    <t>JJN</t>
  </si>
  <si>
    <t>Quanzhou Jinjiang International Airport</t>
  </si>
  <si>
    <t>Quanzhou</t>
  </si>
  <si>
    <t>JJU</t>
  </si>
  <si>
    <t>Qaqortoq Heliport</t>
  </si>
  <si>
    <t>Qaqortoq</t>
  </si>
  <si>
    <t>JKA</t>
  </si>
  <si>
    <t>Jack Edwards Airport</t>
  </si>
  <si>
    <t>Gulf Shores</t>
  </si>
  <si>
    <t>JKG</t>
  </si>
  <si>
    <t>Jönköping Airport</t>
  </si>
  <si>
    <t>Joenkoeping</t>
  </si>
  <si>
    <t>JKH</t>
  </si>
  <si>
    <t>Chios Island National Airport</t>
  </si>
  <si>
    <t>Chios</t>
  </si>
  <si>
    <t>JKL</t>
  </si>
  <si>
    <t>Kalymnos Airport</t>
  </si>
  <si>
    <t>Kalymnos</t>
  </si>
  <si>
    <t>JLD</t>
  </si>
  <si>
    <t>Landskrona Airport</t>
  </si>
  <si>
    <t>Landskrona</t>
  </si>
  <si>
    <t>JLN</t>
  </si>
  <si>
    <t>Joplin Regional Airport</t>
  </si>
  <si>
    <t>Joplin</t>
  </si>
  <si>
    <t>JLR</t>
  </si>
  <si>
    <t>Jabalpur Airport</t>
  </si>
  <si>
    <t>Jabalpur</t>
  </si>
  <si>
    <t>JMK</t>
  </si>
  <si>
    <t>Mikonos Airport</t>
  </si>
  <si>
    <t>Mykonos</t>
  </si>
  <si>
    <t>JMO</t>
  </si>
  <si>
    <t>Jomsom Airport</t>
  </si>
  <si>
    <t>Jomsom</t>
  </si>
  <si>
    <t>JMS</t>
  </si>
  <si>
    <t>Jamestown Regional Airport</t>
  </si>
  <si>
    <t>JMU</t>
  </si>
  <si>
    <t>Jiamusi Airport</t>
  </si>
  <si>
    <t>Jiamusi</t>
  </si>
  <si>
    <t>OR Tambo International Airport</t>
  </si>
  <si>
    <t>JNG</t>
  </si>
  <si>
    <t>Jining Qufu Airport</t>
  </si>
  <si>
    <t>Jining</t>
  </si>
  <si>
    <t>JNN</t>
  </si>
  <si>
    <t>Nanortalik Heliport</t>
  </si>
  <si>
    <t>Nanortalik</t>
  </si>
  <si>
    <t>JNS</t>
  </si>
  <si>
    <t>Narsaq Heliport</t>
  </si>
  <si>
    <t>Narsaq</t>
  </si>
  <si>
    <t>JNU</t>
  </si>
  <si>
    <t>Juneau International Airport</t>
  </si>
  <si>
    <t>Juneau</t>
  </si>
  <si>
    <t>JNX</t>
  </si>
  <si>
    <t>Naxos Airport</t>
  </si>
  <si>
    <t>Cyclades Islands</t>
  </si>
  <si>
    <t>JNZ</t>
  </si>
  <si>
    <t>Jinzhou Airport</t>
  </si>
  <si>
    <t>Jinzhou</t>
  </si>
  <si>
    <t>JOE</t>
  </si>
  <si>
    <t>Joensuu Airport</t>
  </si>
  <si>
    <t>Joensuu</t>
  </si>
  <si>
    <t>JOG</t>
  </si>
  <si>
    <t>Adi Sutjipto International Airport</t>
  </si>
  <si>
    <t>Yogyakarta</t>
  </si>
  <si>
    <t>JOI</t>
  </si>
  <si>
    <t>Lauro Carneiro de Loyola Airport</t>
  </si>
  <si>
    <t>Joinville</t>
  </si>
  <si>
    <t>JOK</t>
  </si>
  <si>
    <t>Yoshkar-Ola Airport</t>
  </si>
  <si>
    <t>Yoshkar-Ola</t>
  </si>
  <si>
    <t>JOL</t>
  </si>
  <si>
    <t>Jolo Airport</t>
  </si>
  <si>
    <t>Jolo</t>
  </si>
  <si>
    <t>JON</t>
  </si>
  <si>
    <t>Johnston Atoll Airport</t>
  </si>
  <si>
    <t>Johnston Atoll</t>
  </si>
  <si>
    <t>Johnston Island</t>
  </si>
  <si>
    <t>JOS</t>
  </si>
  <si>
    <t>Yakubu Gowon Airport</t>
  </si>
  <si>
    <t>Jos</t>
  </si>
  <si>
    <t>JOT</t>
  </si>
  <si>
    <t>Joliet Regional Airport</t>
  </si>
  <si>
    <t>Joliet</t>
  </si>
  <si>
    <t>JPA</t>
  </si>
  <si>
    <t>Presidente Castro Pinto International Airport</t>
  </si>
  <si>
    <t>Joao Pessoa</t>
  </si>
  <si>
    <t>JPR</t>
  </si>
  <si>
    <t>Ji-Paraná Airport</t>
  </si>
  <si>
    <t>Ji-Paraná</t>
  </si>
  <si>
    <t>JQA</t>
  </si>
  <si>
    <t>Qaarsut Airport</t>
  </si>
  <si>
    <t>Uummannaq</t>
  </si>
  <si>
    <t>JQE</t>
  </si>
  <si>
    <t>Jaqué Airport</t>
  </si>
  <si>
    <t>Jaqué</t>
  </si>
  <si>
    <t>JRH</t>
  </si>
  <si>
    <t>Jorhat Airport</t>
  </si>
  <si>
    <t>Jorhat</t>
  </si>
  <si>
    <t>JRN</t>
  </si>
  <si>
    <t>Juruena Airport</t>
  </si>
  <si>
    <t>Juruena</t>
  </si>
  <si>
    <t>JRO</t>
  </si>
  <si>
    <t>Kilimanjaro International Airport</t>
  </si>
  <si>
    <t>Kilimanjaro</t>
  </si>
  <si>
    <t>JSA</t>
  </si>
  <si>
    <t>Jaisalmer Airport</t>
  </si>
  <si>
    <t>Jaisalmer</t>
  </si>
  <si>
    <t>JSH</t>
  </si>
  <si>
    <t>Sitia Airport</t>
  </si>
  <si>
    <t>Sitia</t>
  </si>
  <si>
    <t>JSI</t>
  </si>
  <si>
    <t>Skiathos Island National Airport</t>
  </si>
  <si>
    <t>Skiathos</t>
  </si>
  <si>
    <t>JSM</t>
  </si>
  <si>
    <t>Jose De San Martin Airport</t>
  </si>
  <si>
    <t>Jose de San Martin</t>
  </si>
  <si>
    <t>JSR</t>
  </si>
  <si>
    <t>Jessore Airport</t>
  </si>
  <si>
    <t>Jessore</t>
  </si>
  <si>
    <t>JST</t>
  </si>
  <si>
    <t>John Murtha Johnstown Cambria County Airport</t>
  </si>
  <si>
    <t>Johnstown</t>
  </si>
  <si>
    <t>JSU</t>
  </si>
  <si>
    <t>Maniitsoq Airport</t>
  </si>
  <si>
    <t>Maniitsoq</t>
  </si>
  <si>
    <t>JSV</t>
  </si>
  <si>
    <t>Sallisaw Municipal Airport</t>
  </si>
  <si>
    <t>Sallisaw</t>
  </si>
  <si>
    <t>JSY</t>
  </si>
  <si>
    <t>Syros Airport</t>
  </si>
  <si>
    <t>Syros Island</t>
  </si>
  <si>
    <t>JTC</t>
  </si>
  <si>
    <t>Bauru - Arealva Airport</t>
  </si>
  <si>
    <t>JTR</t>
  </si>
  <si>
    <t>Santorini Airport</t>
  </si>
  <si>
    <t>Thira</t>
  </si>
  <si>
    <t>JTY</t>
  </si>
  <si>
    <t>Astypalaia Airport</t>
  </si>
  <si>
    <t>Astypalaia</t>
  </si>
  <si>
    <t>JUA</t>
  </si>
  <si>
    <t>Inácio Luís do Nascimento Airport</t>
  </si>
  <si>
    <t>Juara</t>
  </si>
  <si>
    <t>JUB</t>
  </si>
  <si>
    <t>Juba International Airport</t>
  </si>
  <si>
    <t>Juba</t>
  </si>
  <si>
    <t>JUI</t>
  </si>
  <si>
    <t>Juist Airport</t>
  </si>
  <si>
    <t>Juist</t>
  </si>
  <si>
    <t>JUJ</t>
  </si>
  <si>
    <t>Gobernador Horacio Guzman International Airport</t>
  </si>
  <si>
    <t>Jujuy</t>
  </si>
  <si>
    <t>JUL</t>
  </si>
  <si>
    <t>Inca Manco Capac International Airport</t>
  </si>
  <si>
    <t>Juliaca</t>
  </si>
  <si>
    <t>JUM</t>
  </si>
  <si>
    <t>Jumla Airport</t>
  </si>
  <si>
    <t>Jumla</t>
  </si>
  <si>
    <t>JUV</t>
  </si>
  <si>
    <t>Upernavik Airport</t>
  </si>
  <si>
    <t>Upernavik</t>
  </si>
  <si>
    <t>JUZ</t>
  </si>
  <si>
    <t>Quzhou Airport</t>
  </si>
  <si>
    <t>Quzhou</t>
  </si>
  <si>
    <t>JVA</t>
  </si>
  <si>
    <t>Ankavandra Airport</t>
  </si>
  <si>
    <t>Ankavandra</t>
  </si>
  <si>
    <t>JVL</t>
  </si>
  <si>
    <t>Southern Wisconsin Regional Airport</t>
  </si>
  <si>
    <t>Janesville</t>
  </si>
  <si>
    <t>JWA</t>
  </si>
  <si>
    <t>Jwaneng Airport</t>
  </si>
  <si>
    <t>Jwaneng</t>
  </si>
  <si>
    <t>JXA</t>
  </si>
  <si>
    <t>Jixi Xingkaihu Airport</t>
  </si>
  <si>
    <t>Jixi</t>
  </si>
  <si>
    <t>JXN</t>
  </si>
  <si>
    <t>Jackson County Reynolds Field</t>
  </si>
  <si>
    <t>JYL</t>
  </si>
  <si>
    <t>Plantation Airpark</t>
  </si>
  <si>
    <t>Sylvania</t>
  </si>
  <si>
    <t>JYO</t>
  </si>
  <si>
    <t>Leesburg Executive Airport</t>
  </si>
  <si>
    <t>Leesburg</t>
  </si>
  <si>
    <t>JYV</t>
  </si>
  <si>
    <t>Jyvaskyla Airport</t>
  </si>
  <si>
    <t>Jyvaskyla</t>
  </si>
  <si>
    <t>JZH</t>
  </si>
  <si>
    <t>Jiuzhai Huanglong Airport</t>
  </si>
  <si>
    <t>Jiuzhaigou</t>
  </si>
  <si>
    <t>JZI</t>
  </si>
  <si>
    <t>Charleston Executive Airport</t>
  </si>
  <si>
    <t>JZP</t>
  </si>
  <si>
    <t>Pickens County Airport</t>
  </si>
  <si>
    <t>K83</t>
  </si>
  <si>
    <t>Sabetha Municipal Airport</t>
  </si>
  <si>
    <t>Sabetha</t>
  </si>
  <si>
    <t>KAA</t>
  </si>
  <si>
    <t>Kasama Airport</t>
  </si>
  <si>
    <t>Kasama</t>
  </si>
  <si>
    <t>KAB</t>
  </si>
  <si>
    <t>Kariba International Airport</t>
  </si>
  <si>
    <t>Kariba</t>
  </si>
  <si>
    <t>KAC</t>
  </si>
  <si>
    <t>Kamishly Airport</t>
  </si>
  <si>
    <t>Kamishly</t>
  </si>
  <si>
    <t>KAD</t>
  </si>
  <si>
    <t>Kaduna Airport</t>
  </si>
  <si>
    <t>Kaduna</t>
  </si>
  <si>
    <t>KAG</t>
  </si>
  <si>
    <t>Gangneung Airport</t>
  </si>
  <si>
    <t>Kangnung</t>
  </si>
  <si>
    <t>KAI</t>
  </si>
  <si>
    <t>Kaieteur International Airport</t>
  </si>
  <si>
    <t>Kaieteur</t>
  </si>
  <si>
    <t>KAJ</t>
  </si>
  <si>
    <t>Kajaani Airport</t>
  </si>
  <si>
    <t>Kajaani</t>
  </si>
  <si>
    <t>KAL</t>
  </si>
  <si>
    <t>Kaltag Airport</t>
  </si>
  <si>
    <t>Kaltag</t>
  </si>
  <si>
    <t>KAN</t>
  </si>
  <si>
    <t>Mallam Aminu International Airport</t>
  </si>
  <si>
    <t>Kano</t>
  </si>
  <si>
    <t>KAO</t>
  </si>
  <si>
    <t>Kuusamo Airport</t>
  </si>
  <si>
    <t>Kuusamo</t>
  </si>
  <si>
    <t>KAR</t>
  </si>
  <si>
    <t>Kamarang Airport</t>
  </si>
  <si>
    <t>Kamarang</t>
  </si>
  <si>
    <t>KAT</t>
  </si>
  <si>
    <t>Kaitaia Airport</t>
  </si>
  <si>
    <t>Kaitaia</t>
  </si>
  <si>
    <t>KAU</t>
  </si>
  <si>
    <t>Kauhava Airport</t>
  </si>
  <si>
    <t>Kauhava</t>
  </si>
  <si>
    <t>KAW</t>
  </si>
  <si>
    <t>Kawthoung Airport</t>
  </si>
  <si>
    <t>Kawthoung</t>
  </si>
  <si>
    <t>KAX</t>
  </si>
  <si>
    <t>Kalbarri Airport</t>
  </si>
  <si>
    <t>Kalbarri</t>
  </si>
  <si>
    <t>KAZ</t>
  </si>
  <si>
    <t>Kao Airport</t>
  </si>
  <si>
    <t>Kao</t>
  </si>
  <si>
    <t>KBL</t>
  </si>
  <si>
    <t>Kabul International Airport</t>
  </si>
  <si>
    <t>KBN</t>
  </si>
  <si>
    <t>Tunta Airport</t>
  </si>
  <si>
    <t>Kabinda</t>
  </si>
  <si>
    <t>KBP</t>
  </si>
  <si>
    <t>Boryspil International Airport</t>
  </si>
  <si>
    <t>KBR</t>
  </si>
  <si>
    <t>Sultan Ismail Petra Airport</t>
  </si>
  <si>
    <t>Kota Bahru</t>
  </si>
  <si>
    <t>KBS</t>
  </si>
  <si>
    <t>Bo Airport</t>
  </si>
  <si>
    <t>Bo</t>
  </si>
  <si>
    <t>KBV</t>
  </si>
  <si>
    <t>Krabi Airport</t>
  </si>
  <si>
    <t>Krabi</t>
  </si>
  <si>
    <t>KBZ</t>
  </si>
  <si>
    <t>Kaikoura Airport</t>
  </si>
  <si>
    <t>Kaikoura</t>
  </si>
  <si>
    <t>KCA</t>
  </si>
  <si>
    <t>Kuqa Airport</t>
  </si>
  <si>
    <t>Kuqa</t>
  </si>
  <si>
    <t>KCH</t>
  </si>
  <si>
    <t>Kuching International Airport</t>
  </si>
  <si>
    <t>Kuching</t>
  </si>
  <si>
    <t>KCM</t>
  </si>
  <si>
    <t>Kahramanmaraş Airport</t>
  </si>
  <si>
    <t>Kahramanmaras</t>
  </si>
  <si>
    <t>KCT</t>
  </si>
  <si>
    <t>Koggala Airport</t>
  </si>
  <si>
    <t>Koggala</t>
  </si>
  <si>
    <t>KCZ</t>
  </si>
  <si>
    <t>Kōchi Ryōma Airport</t>
  </si>
  <si>
    <t>KDD</t>
  </si>
  <si>
    <t>Khuzdar Airport</t>
  </si>
  <si>
    <t>Khuzdar</t>
  </si>
  <si>
    <t>KDH</t>
  </si>
  <si>
    <t>Kandahar Airport</t>
  </si>
  <si>
    <t>Kandahar</t>
  </si>
  <si>
    <t>KDI</t>
  </si>
  <si>
    <t>Wolter Monginsidi Airport</t>
  </si>
  <si>
    <t>Kendari</t>
  </si>
  <si>
    <t>KDL</t>
  </si>
  <si>
    <t>Kärdla Airport</t>
  </si>
  <si>
    <t>Kardla</t>
  </si>
  <si>
    <t>KDM</t>
  </si>
  <si>
    <t>Kaadedhdhoo Airport</t>
  </si>
  <si>
    <t>Kaadedhdhoo</t>
  </si>
  <si>
    <t>KDO</t>
  </si>
  <si>
    <t>Kadhdhoo Airport</t>
  </si>
  <si>
    <t>Laamu Atoll</t>
  </si>
  <si>
    <t>KDU</t>
  </si>
  <si>
    <t>Skardu Airport</t>
  </si>
  <si>
    <t>Skardu</t>
  </si>
  <si>
    <t>KDV</t>
  </si>
  <si>
    <t>Vunisea Airport</t>
  </si>
  <si>
    <t>Vunisea</t>
  </si>
  <si>
    <t>KED</t>
  </si>
  <si>
    <t>Kaédi Airport</t>
  </si>
  <si>
    <t>Kaedi</t>
  </si>
  <si>
    <t>KEF</t>
  </si>
  <si>
    <t>Keflavik International Airport</t>
  </si>
  <si>
    <t>Keflavik</t>
  </si>
  <si>
    <t>KEJ</t>
  </si>
  <si>
    <t>Kemerovo Airport</t>
  </si>
  <si>
    <t>Kemorovo</t>
  </si>
  <si>
    <t>KEL</t>
  </si>
  <si>
    <t>Kiel-Holtenau Airport</t>
  </si>
  <si>
    <t>Kiel</t>
  </si>
  <si>
    <t>KEM</t>
  </si>
  <si>
    <t>Kemi-Tornio Airport</t>
  </si>
  <si>
    <t>Kemi</t>
  </si>
  <si>
    <t>KEN</t>
  </si>
  <si>
    <t>Kenema Airport</t>
  </si>
  <si>
    <t>Kenema</t>
  </si>
  <si>
    <t>KEP</t>
  </si>
  <si>
    <t>Nepalgunj Airport</t>
  </si>
  <si>
    <t>Nepalgunj</t>
  </si>
  <si>
    <t>KER</t>
  </si>
  <si>
    <t>Kerman Airport</t>
  </si>
  <si>
    <t>Kerman</t>
  </si>
  <si>
    <t>KES</t>
  </si>
  <si>
    <t>Kelsey Airport</t>
  </si>
  <si>
    <t>Kelsey</t>
  </si>
  <si>
    <t>KET</t>
  </si>
  <si>
    <t>Kengtung Airport</t>
  </si>
  <si>
    <t>Kengtung</t>
  </si>
  <si>
    <t>KEV</t>
  </si>
  <si>
    <t>Halli Airport</t>
  </si>
  <si>
    <t>Halli</t>
  </si>
  <si>
    <t>KEW</t>
  </si>
  <si>
    <t>Keewaywin Airport</t>
  </si>
  <si>
    <t>Keewaywin</t>
  </si>
  <si>
    <t>KEY</t>
  </si>
  <si>
    <t>Kericho Airport</t>
  </si>
  <si>
    <t>Kericho</t>
  </si>
  <si>
    <t>KFA</t>
  </si>
  <si>
    <t>Kiffa Airport</t>
  </si>
  <si>
    <t>Kiffa</t>
  </si>
  <si>
    <t>KFE</t>
  </si>
  <si>
    <t>Fortescue - Dave Forrest Aerodrome</t>
  </si>
  <si>
    <t>Cloudbreak</t>
  </si>
  <si>
    <t>KFG</t>
  </si>
  <si>
    <t>Kalkgurung Airport</t>
  </si>
  <si>
    <t>Kalkgurung</t>
  </si>
  <si>
    <t>KFP</t>
  </si>
  <si>
    <t>False Pass Airport</t>
  </si>
  <si>
    <t>False Pass</t>
  </si>
  <si>
    <t>KFS</t>
  </si>
  <si>
    <t>Kastamonu Airport</t>
  </si>
  <si>
    <t>Kastamonu</t>
  </si>
  <si>
    <t>KGA</t>
  </si>
  <si>
    <t>Kananga Airport</t>
  </si>
  <si>
    <t>Kananga</t>
  </si>
  <si>
    <t>KGC</t>
  </si>
  <si>
    <t>Kingscote Airport</t>
  </si>
  <si>
    <t>Kingscote</t>
  </si>
  <si>
    <t>KGD</t>
  </si>
  <si>
    <t>Khrabrovo Airport</t>
  </si>
  <si>
    <t>Kaliningrad</t>
  </si>
  <si>
    <t>KGE</t>
  </si>
  <si>
    <t>Kaghau Airport</t>
  </si>
  <si>
    <t>Kagau Island</t>
  </si>
  <si>
    <t>KGF</t>
  </si>
  <si>
    <t>Sary-Arka Airport</t>
  </si>
  <si>
    <t>Karaganda</t>
  </si>
  <si>
    <t>KGG</t>
  </si>
  <si>
    <t>Kédougou Airport</t>
  </si>
  <si>
    <t>Kedougou</t>
  </si>
  <si>
    <t>KGI</t>
  </si>
  <si>
    <t>Kalgoorlie Boulder Airport</t>
  </si>
  <si>
    <t>Kalgoorlie</t>
  </si>
  <si>
    <t>KGJ</t>
  </si>
  <si>
    <t>Karonga Airport</t>
  </si>
  <si>
    <t>Karonga</t>
  </si>
  <si>
    <t>KGK</t>
  </si>
  <si>
    <t>Koliganek Airport</t>
  </si>
  <si>
    <t>Koliganek</t>
  </si>
  <si>
    <t>KGL</t>
  </si>
  <si>
    <t>Kigali International Airport</t>
  </si>
  <si>
    <t>Kigali</t>
  </si>
  <si>
    <t>KGN</t>
  </si>
  <si>
    <t>Kasongo Airport</t>
  </si>
  <si>
    <t>Kasongo</t>
  </si>
  <si>
    <t>KGO</t>
  </si>
  <si>
    <t>Kirovograd Airport</t>
  </si>
  <si>
    <t>Kirovograd</t>
  </si>
  <si>
    <t>KGP</t>
  </si>
  <si>
    <t>Kogalym International Airport</t>
  </si>
  <si>
    <t>Kogalym</t>
  </si>
  <si>
    <t>KGS</t>
  </si>
  <si>
    <t>Kos Airport</t>
  </si>
  <si>
    <t>Kos</t>
  </si>
  <si>
    <t>KGY</t>
  </si>
  <si>
    <t>Kingaroy Airport</t>
  </si>
  <si>
    <t>KHC</t>
  </si>
  <si>
    <t>Kerch Airport</t>
  </si>
  <si>
    <t>Kerch</t>
  </si>
  <si>
    <t>KHD</t>
  </si>
  <si>
    <t>Khoram Abad Airport</t>
  </si>
  <si>
    <t>Khorram Abad</t>
  </si>
  <si>
    <t>KHE</t>
  </si>
  <si>
    <t>Chernobayevka Airport</t>
  </si>
  <si>
    <t>Kherson</t>
  </si>
  <si>
    <t>KHG</t>
  </si>
  <si>
    <t>Kashgar Airport</t>
  </si>
  <si>
    <t>Kashi</t>
  </si>
  <si>
    <t>KHH</t>
  </si>
  <si>
    <t>Kaohsiung International Airport</t>
  </si>
  <si>
    <t>Kaohsiung</t>
  </si>
  <si>
    <t>KHI</t>
  </si>
  <si>
    <t>Jinnah International Airport</t>
  </si>
  <si>
    <t>KHM</t>
  </si>
  <si>
    <t>Kanti Airport</t>
  </si>
  <si>
    <t>Khamti</t>
  </si>
  <si>
    <t>KHN</t>
  </si>
  <si>
    <t>Nanchang Changbei International Airport</t>
  </si>
  <si>
    <t>Nanchang</t>
  </si>
  <si>
    <t>KHS</t>
  </si>
  <si>
    <t>Khasab Air Base</t>
  </si>
  <si>
    <t>Khasab</t>
  </si>
  <si>
    <t>KHT</t>
  </si>
  <si>
    <t>Khost Airport</t>
  </si>
  <si>
    <t>Khost</t>
  </si>
  <si>
    <t>KHV</t>
  </si>
  <si>
    <t>Khabarovsk-Novy Airport</t>
  </si>
  <si>
    <t>KHW</t>
  </si>
  <si>
    <t>Khwai River Lodge Airport</t>
  </si>
  <si>
    <t>Khwai River</t>
  </si>
  <si>
    <t>KID</t>
  </si>
  <si>
    <t>Kristianstad Airport</t>
  </si>
  <si>
    <t>Kristianstad</t>
  </si>
  <si>
    <t>KIE</t>
  </si>
  <si>
    <t>Kieta Airport</t>
  </si>
  <si>
    <t>Kieta</t>
  </si>
  <si>
    <t>KIF</t>
  </si>
  <si>
    <t>Kingfisher Lake Airport</t>
  </si>
  <si>
    <t>Kingfisher Lake</t>
  </si>
  <si>
    <t>KIH</t>
  </si>
  <si>
    <t>Kish International Airport</t>
  </si>
  <si>
    <t>Kish Island</t>
  </si>
  <si>
    <t>KIJ</t>
  </si>
  <si>
    <t>Niigata Airport</t>
  </si>
  <si>
    <t>Niigata</t>
  </si>
  <si>
    <t>KIK</t>
  </si>
  <si>
    <t>Kirkuk Air Base</t>
  </si>
  <si>
    <t>Kirkuk</t>
  </si>
  <si>
    <t>KIM</t>
  </si>
  <si>
    <t>Kimberley Airport</t>
  </si>
  <si>
    <t>Kimberley</t>
  </si>
  <si>
    <t>KIN</t>
  </si>
  <si>
    <t>Norman Manley International Airport</t>
  </si>
  <si>
    <t>Jamaica</t>
  </si>
  <si>
    <t>Kingston</t>
  </si>
  <si>
    <t>KIO</t>
  </si>
  <si>
    <t>Kili Airport</t>
  </si>
  <si>
    <t>Kili Island</t>
  </si>
  <si>
    <t>KIR</t>
  </si>
  <si>
    <t>Kerry Airport</t>
  </si>
  <si>
    <t>Kerry</t>
  </si>
  <si>
    <t>KIS</t>
  </si>
  <si>
    <t>Kisumu Airport</t>
  </si>
  <si>
    <t>Kisumu</t>
  </si>
  <si>
    <t>KIT</t>
  </si>
  <si>
    <t>Kithira Airport</t>
  </si>
  <si>
    <t>Kithira</t>
  </si>
  <si>
    <t>KIV</t>
  </si>
  <si>
    <t>Chişinău International Airport</t>
  </si>
  <si>
    <t>Chisinau</t>
  </si>
  <si>
    <t>KIW</t>
  </si>
  <si>
    <t>Southdowns Airport</t>
  </si>
  <si>
    <t>Southdowns</t>
  </si>
  <si>
    <t>KIX</t>
  </si>
  <si>
    <t>Kansai International Airport</t>
  </si>
  <si>
    <t>KJA</t>
  </si>
  <si>
    <t>Yemelyanovo Airport</t>
  </si>
  <si>
    <t>KJH</t>
  </si>
  <si>
    <t>Kaili Airport</t>
  </si>
  <si>
    <t>Kaili</t>
  </si>
  <si>
    <t>KJI</t>
  </si>
  <si>
    <t>Kanas Airport</t>
  </si>
  <si>
    <t>Burqin</t>
  </si>
  <si>
    <t>KJP</t>
  </si>
  <si>
    <t>Kerama Airport</t>
  </si>
  <si>
    <t>Kerama</t>
  </si>
  <si>
    <t>KKA</t>
  </si>
  <si>
    <t>Koyuk Alfred Adams Airport</t>
  </si>
  <si>
    <t>Koyuk</t>
  </si>
  <si>
    <t>KKC</t>
  </si>
  <si>
    <t>Khon Kaen Airport</t>
  </si>
  <si>
    <t>Khon Kaen</t>
  </si>
  <si>
    <t>KKE</t>
  </si>
  <si>
    <t>Kerikeri Airport</t>
  </si>
  <si>
    <t>Kerikeri</t>
  </si>
  <si>
    <t>KKH</t>
  </si>
  <si>
    <t>Kongiganak Airport</t>
  </si>
  <si>
    <t>Kongiganak</t>
  </si>
  <si>
    <t>KKJ</t>
  </si>
  <si>
    <t>Kitakyūshū Airport</t>
  </si>
  <si>
    <t>Kitakyushu</t>
  </si>
  <si>
    <t>KKN</t>
  </si>
  <si>
    <t>Kirkenes Airport (Høybuktmoen)</t>
  </si>
  <si>
    <t>Kirkenes</t>
  </si>
  <si>
    <t>KKR</t>
  </si>
  <si>
    <t>Kaukura Airport</t>
  </si>
  <si>
    <t>Kaukura Atoll</t>
  </si>
  <si>
    <t>KKW</t>
  </si>
  <si>
    <t>Kikwit Airport</t>
  </si>
  <si>
    <t>Kikwit</t>
  </si>
  <si>
    <t>KKX</t>
  </si>
  <si>
    <t>Kikai Airport</t>
  </si>
  <si>
    <t>Kikai</t>
  </si>
  <si>
    <t>KLC</t>
  </si>
  <si>
    <t>Kaolack Airport</t>
  </si>
  <si>
    <t>Kaolack</t>
  </si>
  <si>
    <t>KLD</t>
  </si>
  <si>
    <t>Migalovo Air Base</t>
  </si>
  <si>
    <t>Tver</t>
  </si>
  <si>
    <t>KLF</t>
  </si>
  <si>
    <t>Grabtsevo Airport</t>
  </si>
  <si>
    <t>Kaluga</t>
  </si>
  <si>
    <t>KLG</t>
  </si>
  <si>
    <t>Kalskag Airport</t>
  </si>
  <si>
    <t>Kalskag</t>
  </si>
  <si>
    <t>KLH</t>
  </si>
  <si>
    <t>Kolhapur Airport</t>
  </si>
  <si>
    <t>Kolhapur</t>
  </si>
  <si>
    <t>KLN</t>
  </si>
  <si>
    <t>Larsen Bay Airport</t>
  </si>
  <si>
    <t>Larsen Bay</t>
  </si>
  <si>
    <t>KLO</t>
  </si>
  <si>
    <t>Kalibo International Airport</t>
  </si>
  <si>
    <t>Kalibo</t>
  </si>
  <si>
    <t>KLR</t>
  </si>
  <si>
    <t>Kalmar Airport</t>
  </si>
  <si>
    <t>Kalkmar</t>
  </si>
  <si>
    <t>KLS</t>
  </si>
  <si>
    <t>Southwest Washington Regional Airport</t>
  </si>
  <si>
    <t>Kelso</t>
  </si>
  <si>
    <t>KLU</t>
  </si>
  <si>
    <t>Klagenfurt Airport</t>
  </si>
  <si>
    <t>Klagenfurt</t>
  </si>
  <si>
    <t>KLV</t>
  </si>
  <si>
    <t>Karlovy Vary International Airport</t>
  </si>
  <si>
    <t>Karlovy Vary</t>
  </si>
  <si>
    <t>KLW</t>
  </si>
  <si>
    <t>Klawock Airport</t>
  </si>
  <si>
    <t>KLX</t>
  </si>
  <si>
    <t>Kalamata Airport</t>
  </si>
  <si>
    <t>Kalamata</t>
  </si>
  <si>
    <t>KLZ</t>
  </si>
  <si>
    <t>Kleinsee Airport</t>
  </si>
  <si>
    <t>Kleinsee</t>
  </si>
  <si>
    <t>KM8</t>
  </si>
  <si>
    <t>Opapimiskan Lake Airport</t>
  </si>
  <si>
    <t>Musselwhite Mine</t>
  </si>
  <si>
    <t>KMA</t>
  </si>
  <si>
    <t>Kerema Airport</t>
  </si>
  <si>
    <t>Kerema</t>
  </si>
  <si>
    <t>KME</t>
  </si>
  <si>
    <t>Kamembe Airport</t>
  </si>
  <si>
    <t>Kamembe</t>
  </si>
  <si>
    <t>KMG</t>
  </si>
  <si>
    <t>Kunming Changshui International Airport</t>
  </si>
  <si>
    <t>Kunming</t>
  </si>
  <si>
    <t>KMH</t>
  </si>
  <si>
    <t>Johan Pienaar Airport</t>
  </si>
  <si>
    <t>Kuruman</t>
  </si>
  <si>
    <t>KMI</t>
  </si>
  <si>
    <t>Miyazaki Airport</t>
  </si>
  <si>
    <t>Miyazaki</t>
  </si>
  <si>
    <t>KMJ</t>
  </si>
  <si>
    <t>Kumamoto Airport</t>
  </si>
  <si>
    <t>Kumamoto</t>
  </si>
  <si>
    <t>KMN</t>
  </si>
  <si>
    <t>Kamina Base Airport</t>
  </si>
  <si>
    <t>Kamina Base</t>
  </si>
  <si>
    <t>KMO</t>
  </si>
  <si>
    <t>Manokotak Airport</t>
  </si>
  <si>
    <t>Manokotak</t>
  </si>
  <si>
    <t>KMP</t>
  </si>
  <si>
    <t>Keetmanshoop Airport</t>
  </si>
  <si>
    <t>Keetmanshoop</t>
  </si>
  <si>
    <t>KMQ</t>
  </si>
  <si>
    <t>Komatsu Airport</t>
  </si>
  <si>
    <t>Kanazawa</t>
  </si>
  <si>
    <t>KMS</t>
  </si>
  <si>
    <t>Kumasi Airport</t>
  </si>
  <si>
    <t>Kumasi</t>
  </si>
  <si>
    <t>KMU</t>
  </si>
  <si>
    <t>Kisimayu Airport</t>
  </si>
  <si>
    <t>Kismayu</t>
  </si>
  <si>
    <t>KMV</t>
  </si>
  <si>
    <t>Kalay Airport</t>
  </si>
  <si>
    <t>Myanmar</t>
  </si>
  <si>
    <t>Kalemyo</t>
  </si>
  <si>
    <t>KMW</t>
  </si>
  <si>
    <t>Kostroma Sokerkino Airport</t>
  </si>
  <si>
    <t>KMX</t>
  </si>
  <si>
    <t>King Khaled Air Base</t>
  </si>
  <si>
    <t>KND</t>
  </si>
  <si>
    <t>Kindu Airport</t>
  </si>
  <si>
    <t>Kindu</t>
  </si>
  <si>
    <t>KNF</t>
  </si>
  <si>
    <t>RAF Marham</t>
  </si>
  <si>
    <t>Marham</t>
  </si>
  <si>
    <t>KNG</t>
  </si>
  <si>
    <t>Kaimana Airport</t>
  </si>
  <si>
    <t>Kaimana</t>
  </si>
  <si>
    <t>KNH</t>
  </si>
  <si>
    <t>Kinmen Airport</t>
  </si>
  <si>
    <t>Kinmen</t>
  </si>
  <si>
    <t>KNO</t>
  </si>
  <si>
    <t>Kualanamu International Airport</t>
  </si>
  <si>
    <t>Medan</t>
  </si>
  <si>
    <t>KNQ</t>
  </si>
  <si>
    <t>Koné Airport</t>
  </si>
  <si>
    <t>Kone</t>
  </si>
  <si>
    <t>KNR</t>
  </si>
  <si>
    <t>Jam Airport</t>
  </si>
  <si>
    <t>Kangan</t>
  </si>
  <si>
    <t>KNS</t>
  </si>
  <si>
    <t>King Island Airport</t>
  </si>
  <si>
    <t>King Island</t>
  </si>
  <si>
    <t>KNU</t>
  </si>
  <si>
    <t>Kanpur Airport</t>
  </si>
  <si>
    <t>Kanpur</t>
  </si>
  <si>
    <t>KNW</t>
  </si>
  <si>
    <t>New Stuyahok Airport</t>
  </si>
  <si>
    <t>New Stuyahok</t>
  </si>
  <si>
    <t>KNX</t>
  </si>
  <si>
    <t>Kununurra Airport</t>
  </si>
  <si>
    <t>Kununurra</t>
  </si>
  <si>
    <t>KOA</t>
  </si>
  <si>
    <t>Kona International At Keahole Airport</t>
  </si>
  <si>
    <t>Kona</t>
  </si>
  <si>
    <t>KOC</t>
  </si>
  <si>
    <t>Koumac Airport</t>
  </si>
  <si>
    <t>Koumac</t>
  </si>
  <si>
    <t>KOE</t>
  </si>
  <si>
    <t>El Tari Airport</t>
  </si>
  <si>
    <t>Kupang</t>
  </si>
  <si>
    <t>KOI</t>
  </si>
  <si>
    <t>Kirkwall Airport</t>
  </si>
  <si>
    <t>Kirkwall</t>
  </si>
  <si>
    <t>KOJ</t>
  </si>
  <si>
    <t>Kagoshima Airport</t>
  </si>
  <si>
    <t>Kagoshima</t>
  </si>
  <si>
    <t>KOK</t>
  </si>
  <si>
    <t>Kokkola-Pietarsaari Airport</t>
  </si>
  <si>
    <t>Kruunupyy</t>
  </si>
  <si>
    <t>KOO</t>
  </si>
  <si>
    <t>Kongolo Airport</t>
  </si>
  <si>
    <t>Kongolo</t>
  </si>
  <si>
    <t>KOP</t>
  </si>
  <si>
    <t>Nakhon Phanom Airport</t>
  </si>
  <si>
    <t>Nakhon Phanom</t>
  </si>
  <si>
    <t>KOS</t>
  </si>
  <si>
    <t>Sihanoukville International Airport</t>
  </si>
  <si>
    <t>KOT</t>
  </si>
  <si>
    <t>Kotlik Airport</t>
  </si>
  <si>
    <t>Kotlik</t>
  </si>
  <si>
    <t>KOU</t>
  </si>
  <si>
    <t>Koulamoutou Mabimbi Airport</t>
  </si>
  <si>
    <t>Koulamoutou</t>
  </si>
  <si>
    <t>KOV</t>
  </si>
  <si>
    <t>Kokshetau Airport</t>
  </si>
  <si>
    <t>Kokshetau</t>
  </si>
  <si>
    <t>KOW</t>
  </si>
  <si>
    <t>Ganzhou Airport</t>
  </si>
  <si>
    <t>Ganzhou</t>
  </si>
  <si>
    <t>KOX</t>
  </si>
  <si>
    <t>Kokonau Airport</t>
  </si>
  <si>
    <t>Kokonau</t>
  </si>
  <si>
    <t>KPN</t>
  </si>
  <si>
    <t>Kipnuk Airport</t>
  </si>
  <si>
    <t>Kipnuk</t>
  </si>
  <si>
    <t>KPO</t>
  </si>
  <si>
    <t>Pohang Airport</t>
  </si>
  <si>
    <t>Pohang</t>
  </si>
  <si>
    <t>KPS</t>
  </si>
  <si>
    <t>Kempsey Airport</t>
  </si>
  <si>
    <t>KPV</t>
  </si>
  <si>
    <t>Perryville Airport</t>
  </si>
  <si>
    <t>Perryville</t>
  </si>
  <si>
    <t>KQA</t>
  </si>
  <si>
    <t>Akutan Seaplane Base</t>
  </si>
  <si>
    <t>Akutan</t>
  </si>
  <si>
    <t>KRA</t>
  </si>
  <si>
    <t>Kerang Airport</t>
  </si>
  <si>
    <t>KRB</t>
  </si>
  <si>
    <t>Karumba Airport</t>
  </si>
  <si>
    <t>Karumba</t>
  </si>
  <si>
    <t>KRF</t>
  </si>
  <si>
    <t>Kramfors Sollefteå Airport</t>
  </si>
  <si>
    <t>Kramfors</t>
  </si>
  <si>
    <t>KRH</t>
  </si>
  <si>
    <t>Redhill Aerodrome</t>
  </si>
  <si>
    <t>Redhill</t>
  </si>
  <si>
    <t>KRI</t>
  </si>
  <si>
    <t>Kikori Airport</t>
  </si>
  <si>
    <t>Kikori</t>
  </si>
  <si>
    <t>KRK</t>
  </si>
  <si>
    <t>John Paul II International Airport Kraków-Balice Airport</t>
  </si>
  <si>
    <t>Krakow</t>
  </si>
  <si>
    <t>KRL</t>
  </si>
  <si>
    <t>Korla Airport</t>
  </si>
  <si>
    <t>Korla</t>
  </si>
  <si>
    <t>KRN</t>
  </si>
  <si>
    <t>Kiruna Airport</t>
  </si>
  <si>
    <t>Kiruna</t>
  </si>
  <si>
    <t>KRO</t>
  </si>
  <si>
    <t>Kurgan Airport</t>
  </si>
  <si>
    <t>Kurgan</t>
  </si>
  <si>
    <t>KRP</t>
  </si>
  <si>
    <t>Karup Airport</t>
  </si>
  <si>
    <t>Karup</t>
  </si>
  <si>
    <t>KRQ</t>
  </si>
  <si>
    <t>Kramatorsk Airport</t>
  </si>
  <si>
    <t>Kramatorsk</t>
  </si>
  <si>
    <t>KRR</t>
  </si>
  <si>
    <t>Krasnodar Pashkovsky International Airport</t>
  </si>
  <si>
    <t>Krasnodar</t>
  </si>
  <si>
    <t>KRS</t>
  </si>
  <si>
    <t>Kristiansand Airport</t>
  </si>
  <si>
    <t>Kristiansand</t>
  </si>
  <si>
    <t>KRT</t>
  </si>
  <si>
    <t>Khartoum International Airport</t>
  </si>
  <si>
    <t>Khartoum</t>
  </si>
  <si>
    <t>KRW</t>
  </si>
  <si>
    <t>Turkmenbashi Airport</t>
  </si>
  <si>
    <t>Krasnovodsk</t>
  </si>
  <si>
    <t>KRY</t>
  </si>
  <si>
    <t>Karamay Airport</t>
  </si>
  <si>
    <t>Karamay</t>
  </si>
  <si>
    <t>KRZ</t>
  </si>
  <si>
    <t>Basango Mboliasa Airport</t>
  </si>
  <si>
    <t>Kiri</t>
  </si>
  <si>
    <t>KSA</t>
  </si>
  <si>
    <t>Kosrae International Airport</t>
  </si>
  <si>
    <t>Micronesia</t>
  </si>
  <si>
    <t>Kosrae</t>
  </si>
  <si>
    <t>KSC</t>
  </si>
  <si>
    <t>Košice Airport</t>
  </si>
  <si>
    <t>Kosice</t>
  </si>
  <si>
    <t>KSD</t>
  </si>
  <si>
    <t>Karlstad Airport</t>
  </si>
  <si>
    <t>Karlstad</t>
  </si>
  <si>
    <t>KSF</t>
  </si>
  <si>
    <t>Kassel-Calden Airport</t>
  </si>
  <si>
    <t>Kassel</t>
  </si>
  <si>
    <t>KSH</t>
  </si>
  <si>
    <t>Shahid Ashrafi Esfahani Airport</t>
  </si>
  <si>
    <t>Bakhtaran</t>
  </si>
  <si>
    <t>KSI</t>
  </si>
  <si>
    <t>Kissidougou Airport</t>
  </si>
  <si>
    <t>Kissidougou</t>
  </si>
  <si>
    <t>KSJ</t>
  </si>
  <si>
    <t>Kasos Airport</t>
  </si>
  <si>
    <t>Kasos</t>
  </si>
  <si>
    <t>KSK</t>
  </si>
  <si>
    <t>Karlskoga Airport</t>
  </si>
  <si>
    <t>Karlskoga</t>
  </si>
  <si>
    <t>KSL</t>
  </si>
  <si>
    <t>Kassala Airport</t>
  </si>
  <si>
    <t>Kassala</t>
  </si>
  <si>
    <t>KSM</t>
  </si>
  <si>
    <t>St Mary's Airport</t>
  </si>
  <si>
    <t>St Mary's</t>
  </si>
  <si>
    <t>KSN</t>
  </si>
  <si>
    <t>Kostanay West Airport</t>
  </si>
  <si>
    <t>Kostanay</t>
  </si>
  <si>
    <t>KSO</t>
  </si>
  <si>
    <t>Kastoria National Airport</t>
  </si>
  <si>
    <t>Kastoria</t>
  </si>
  <si>
    <t>KSQ</t>
  </si>
  <si>
    <t>Karshi Khanabad Airport</t>
  </si>
  <si>
    <t>Khanabad</t>
  </si>
  <si>
    <t>KSS</t>
  </si>
  <si>
    <t>Sikasso Airport</t>
  </si>
  <si>
    <t>Sikasso</t>
  </si>
  <si>
    <t>KSU</t>
  </si>
  <si>
    <t>Kristiansund Airport (Kvernberget)</t>
  </si>
  <si>
    <t>Kristiansund</t>
  </si>
  <si>
    <t>KSY</t>
  </si>
  <si>
    <t>Kars Airport</t>
  </si>
  <si>
    <t>Kars</t>
  </si>
  <si>
    <t>KSZ</t>
  </si>
  <si>
    <t>Kotlas Airport</t>
  </si>
  <si>
    <t>Kotlas</t>
  </si>
  <si>
    <t>KTA</t>
  </si>
  <si>
    <t>Karratha Airport</t>
  </si>
  <si>
    <t>Karratha</t>
  </si>
  <si>
    <t>KTD</t>
  </si>
  <si>
    <t>Kitadaito Airport</t>
  </si>
  <si>
    <t>Kitadaito</t>
  </si>
  <si>
    <t>KTE</t>
  </si>
  <si>
    <t>Kerteh Airport</t>
  </si>
  <si>
    <t>Kerteh</t>
  </si>
  <si>
    <t>KTF</t>
  </si>
  <si>
    <t>Takaka Airport</t>
  </si>
  <si>
    <t>Takaka</t>
  </si>
  <si>
    <t>KTG</t>
  </si>
  <si>
    <t>Ketapang(Rahadi Usman) Airport</t>
  </si>
  <si>
    <t>Ketapang</t>
  </si>
  <si>
    <t>KTI</t>
  </si>
  <si>
    <t>Kratie Airport</t>
  </si>
  <si>
    <t>Kratie</t>
  </si>
  <si>
    <t>KTL</t>
  </si>
  <si>
    <t>Kitale Airport</t>
  </si>
  <si>
    <t>Kitale</t>
  </si>
  <si>
    <t>KTM</t>
  </si>
  <si>
    <t>Tribhuvan International Airport</t>
  </si>
  <si>
    <t>Kathmandu</t>
  </si>
  <si>
    <t>KTN</t>
  </si>
  <si>
    <t>Ketchikan International Airport</t>
  </si>
  <si>
    <t>Ketchikan</t>
  </si>
  <si>
    <t>KTP</t>
  </si>
  <si>
    <t>Tinson Pen Airport</t>
  </si>
  <si>
    <t>KTR</t>
  </si>
  <si>
    <t>Tindal Airport</t>
  </si>
  <si>
    <t>Katherine</t>
  </si>
  <si>
    <t>KTS</t>
  </si>
  <si>
    <t>Brevig Mission Airport</t>
  </si>
  <si>
    <t>Brevig Mission</t>
  </si>
  <si>
    <t>KTT</t>
  </si>
  <si>
    <t>Kittilä Airport</t>
  </si>
  <si>
    <t>Kittila</t>
  </si>
  <si>
    <t>KTU</t>
  </si>
  <si>
    <t>Kota Airport</t>
  </si>
  <si>
    <t>Kota</t>
  </si>
  <si>
    <t>KTW</t>
  </si>
  <si>
    <t>Katowice International Airport</t>
  </si>
  <si>
    <t>KUA</t>
  </si>
  <si>
    <t>Kuantan Airport</t>
  </si>
  <si>
    <t>Kuantan</t>
  </si>
  <si>
    <t>KUC</t>
  </si>
  <si>
    <t>Kuria Airport</t>
  </si>
  <si>
    <t>Kuria</t>
  </si>
  <si>
    <t>KUD</t>
  </si>
  <si>
    <t>Kudat Airport</t>
  </si>
  <si>
    <t>Kudat</t>
  </si>
  <si>
    <t>KUF</t>
  </si>
  <si>
    <t>Kurumoch International Airport</t>
  </si>
  <si>
    <t>KUG</t>
  </si>
  <si>
    <t>Kubin Airport</t>
  </si>
  <si>
    <t>Kubin</t>
  </si>
  <si>
    <t>KUH</t>
  </si>
  <si>
    <t>Kushiro Airport</t>
  </si>
  <si>
    <t>Kushiro</t>
  </si>
  <si>
    <t>KUK</t>
  </si>
  <si>
    <t>Kasigluk Airport</t>
  </si>
  <si>
    <t>Kasigluk</t>
  </si>
  <si>
    <t>KUL</t>
  </si>
  <si>
    <t>Kuala Lumpur International Airport</t>
  </si>
  <si>
    <t>Kuala Lumpur</t>
  </si>
  <si>
    <t>KUM</t>
  </si>
  <si>
    <t>Yakushima Airport</t>
  </si>
  <si>
    <t>Yakushima</t>
  </si>
  <si>
    <t>KUN</t>
  </si>
  <si>
    <t>Kaunas International Airport</t>
  </si>
  <si>
    <t>KUO</t>
  </si>
  <si>
    <t>Kuopio Airport</t>
  </si>
  <si>
    <t>Kuopio</t>
  </si>
  <si>
    <t>KUT</t>
  </si>
  <si>
    <t>Kopitnari Airport</t>
  </si>
  <si>
    <t>Kutaisi</t>
  </si>
  <si>
    <t>KUU</t>
  </si>
  <si>
    <t>Kullu Manali Airport</t>
  </si>
  <si>
    <t>Kulu</t>
  </si>
  <si>
    <t>KUV</t>
  </si>
  <si>
    <t>Kunsan Air Base</t>
  </si>
  <si>
    <t>Kunsan</t>
  </si>
  <si>
    <t>KVA</t>
  </si>
  <si>
    <t>Alexander the Great International Airport</t>
  </si>
  <si>
    <t>KVB</t>
  </si>
  <si>
    <t>Skövde Airport</t>
  </si>
  <si>
    <t>Skovde</t>
  </si>
  <si>
    <t>KVC</t>
  </si>
  <si>
    <t>King Cove Airport</t>
  </si>
  <si>
    <t>King Cove</t>
  </si>
  <si>
    <t>KVD</t>
  </si>
  <si>
    <t>Ganja Airport</t>
  </si>
  <si>
    <t>Ganja</t>
  </si>
  <si>
    <t>KVG</t>
  </si>
  <si>
    <t>Kavieng Airport</t>
  </si>
  <si>
    <t>Kavieng</t>
  </si>
  <si>
    <t>KVK</t>
  </si>
  <si>
    <t>Kirovsk-Apatity Airport</t>
  </si>
  <si>
    <t>Apatity</t>
  </si>
  <si>
    <t>KVL</t>
  </si>
  <si>
    <t>Kivalina Airport</t>
  </si>
  <si>
    <t>Kivalina</t>
  </si>
  <si>
    <t>KVM</t>
  </si>
  <si>
    <t>Markovo Airport</t>
  </si>
  <si>
    <t>Markovo</t>
  </si>
  <si>
    <t>KVX</t>
  </si>
  <si>
    <t>Pobedilovo Airport</t>
  </si>
  <si>
    <t>Kirov</t>
  </si>
  <si>
    <t>KWA</t>
  </si>
  <si>
    <t>Bucholz Army Air Field</t>
  </si>
  <si>
    <t>KWB</t>
  </si>
  <si>
    <t>Dewadaru - Kemujan Island</t>
  </si>
  <si>
    <t>Karimunjawa</t>
  </si>
  <si>
    <t>KWE</t>
  </si>
  <si>
    <t>Longdongbao Airport</t>
  </si>
  <si>
    <t>Guiyang</t>
  </si>
  <si>
    <t>KWG</t>
  </si>
  <si>
    <t>Kryvyi Rih International Airport</t>
  </si>
  <si>
    <t>Krivoy Rog</t>
  </si>
  <si>
    <t>KWI</t>
  </si>
  <si>
    <t>Kuwait International Airport</t>
  </si>
  <si>
    <t>KWJ</t>
  </si>
  <si>
    <t>Gwangju Airport</t>
  </si>
  <si>
    <t>Kwangju</t>
  </si>
  <si>
    <t>KWK</t>
  </si>
  <si>
    <t>Kwigillingok Airport</t>
  </si>
  <si>
    <t>Kwigillingok</t>
  </si>
  <si>
    <t>KWL</t>
  </si>
  <si>
    <t>Guilin Liangjiang International Airport</t>
  </si>
  <si>
    <t>Guilin</t>
  </si>
  <si>
    <t>KWM</t>
  </si>
  <si>
    <t>Kowanyama Airport</t>
  </si>
  <si>
    <t>Kowanyama</t>
  </si>
  <si>
    <t>KWN</t>
  </si>
  <si>
    <t>Quinhagak Airport</t>
  </si>
  <si>
    <t>Quinhagak</t>
  </si>
  <si>
    <t>KWT</t>
  </si>
  <si>
    <t>Kwethluk Airport</t>
  </si>
  <si>
    <t>Kwethluk</t>
  </si>
  <si>
    <t>KWZ</t>
  </si>
  <si>
    <t>Kolwezi Airport</t>
  </si>
  <si>
    <t>Kolwezi</t>
  </si>
  <si>
    <t>KXF</t>
  </si>
  <si>
    <t>Koro Island Airport</t>
  </si>
  <si>
    <t>Koro Island</t>
  </si>
  <si>
    <t>KXK</t>
  </si>
  <si>
    <t>Komsomolsk-on-Amur Airport</t>
  </si>
  <si>
    <t>KYA</t>
  </si>
  <si>
    <t>Konya Airport</t>
  </si>
  <si>
    <t>Konya</t>
  </si>
  <si>
    <t>KYD</t>
  </si>
  <si>
    <t>Lanyu Airport</t>
  </si>
  <si>
    <t>Lanyu</t>
  </si>
  <si>
    <t>KYK</t>
  </si>
  <si>
    <t>Karluk Airport</t>
  </si>
  <si>
    <t>Karluk</t>
  </si>
  <si>
    <t>KYP</t>
  </si>
  <si>
    <t>Kyaukpyu Airport</t>
  </si>
  <si>
    <t>Kyaukpyu</t>
  </si>
  <si>
    <t>KYS</t>
  </si>
  <si>
    <t>Kayes Dag Dag Airport</t>
  </si>
  <si>
    <t>Kayes</t>
  </si>
  <si>
    <t>KYU</t>
  </si>
  <si>
    <t>Koyukuk Airport</t>
  </si>
  <si>
    <t>Koyukuk</t>
  </si>
  <si>
    <t>KYZ</t>
  </si>
  <si>
    <t>Kyzyl Airport</t>
  </si>
  <si>
    <t>Kyzyl</t>
  </si>
  <si>
    <t>KZI</t>
  </si>
  <si>
    <t>Filippos Airport</t>
  </si>
  <si>
    <t>Kozani</t>
  </si>
  <si>
    <t>KZN</t>
  </si>
  <si>
    <t>Kazan International Airport</t>
  </si>
  <si>
    <t>KZO</t>
  </si>
  <si>
    <t>Kzyl-Orda Southwest Airport</t>
  </si>
  <si>
    <t>Kzyl-Orda</t>
  </si>
  <si>
    <t>KZR</t>
  </si>
  <si>
    <t>Zafer Airport</t>
  </si>
  <si>
    <t>KZS</t>
  </si>
  <si>
    <t>Kastelorizo Airport</t>
  </si>
  <si>
    <t>Kastelorizo</t>
  </si>
  <si>
    <t>LAA</t>
  </si>
  <si>
    <t>Lamar Municipal Airport</t>
  </si>
  <si>
    <t>Lamar</t>
  </si>
  <si>
    <t>LAD</t>
  </si>
  <si>
    <t>Quatro de Fevereiro Airport</t>
  </si>
  <si>
    <t>Luanda</t>
  </si>
  <si>
    <t>LAE</t>
  </si>
  <si>
    <t>Nadzab Airport</t>
  </si>
  <si>
    <t>Nadzab</t>
  </si>
  <si>
    <t>LAF</t>
  </si>
  <si>
    <t>Purdue University Airport</t>
  </si>
  <si>
    <t>Lafayette</t>
  </si>
  <si>
    <t>LAI</t>
  </si>
  <si>
    <t>Lannion-Côte de Granit Airport</t>
  </si>
  <si>
    <t>Lannion</t>
  </si>
  <si>
    <t>LAK</t>
  </si>
  <si>
    <t>Aklavik/Freddie Carmichael Airport</t>
  </si>
  <si>
    <t>Aklavik</t>
  </si>
  <si>
    <t>LAL</t>
  </si>
  <si>
    <t>Lakeland Linder Regional Airport</t>
  </si>
  <si>
    <t>Lakeland</t>
  </si>
  <si>
    <t>LAM</t>
  </si>
  <si>
    <t>Los Alamos Airport</t>
  </si>
  <si>
    <t>Los Alamos</t>
  </si>
  <si>
    <t>LAN</t>
  </si>
  <si>
    <t>LAO</t>
  </si>
  <si>
    <t>Laoag International Airport</t>
  </si>
  <si>
    <t>Laoag</t>
  </si>
  <si>
    <t>LAP</t>
  </si>
  <si>
    <t>Manuel Márquez de León International Airport</t>
  </si>
  <si>
    <t>La Paz</t>
  </si>
  <si>
    <t>LAQ</t>
  </si>
  <si>
    <t>La Abraq Airport</t>
  </si>
  <si>
    <t>Al Bayda'</t>
  </si>
  <si>
    <t>LAR</t>
  </si>
  <si>
    <t>Laramie Regional Airport</t>
  </si>
  <si>
    <t>Laramie</t>
  </si>
  <si>
    <t>LAS</t>
  </si>
  <si>
    <t>McCarran International Airport</t>
  </si>
  <si>
    <t>Las Vegas</t>
  </si>
  <si>
    <t>LAU</t>
  </si>
  <si>
    <t>Manda Airstrip</t>
  </si>
  <si>
    <t>Lamu</t>
  </si>
  <si>
    <t>LAW</t>
  </si>
  <si>
    <t>Lawton Fort Sill Regional Airport</t>
  </si>
  <si>
    <t>Lawton</t>
  </si>
  <si>
    <t>LAX</t>
  </si>
  <si>
    <t>Los Angeles International Airport</t>
  </si>
  <si>
    <t>Los Angeles</t>
  </si>
  <si>
    <t>LAY</t>
  </si>
  <si>
    <t>Ladysmith Airport</t>
  </si>
  <si>
    <t>Ladysmith</t>
  </si>
  <si>
    <t>LAZ</t>
  </si>
  <si>
    <t>Bom Jesus da Lapa Airport</t>
  </si>
  <si>
    <t>Bom Jesus Da Lapa</t>
  </si>
  <si>
    <t>LBA</t>
  </si>
  <si>
    <t>Leeds Bradford Airport</t>
  </si>
  <si>
    <t>LBB</t>
  </si>
  <si>
    <t>Lubbock Preston Smith International Airport</t>
  </si>
  <si>
    <t>Lubbock</t>
  </si>
  <si>
    <t>LBC</t>
  </si>
  <si>
    <t>Lübeck Blankensee Airport</t>
  </si>
  <si>
    <t>Luebeck</t>
  </si>
  <si>
    <t>LBD</t>
  </si>
  <si>
    <t>Khudzhand Airport</t>
  </si>
  <si>
    <t>Khudzhand</t>
  </si>
  <si>
    <t>LBE</t>
  </si>
  <si>
    <t>Arnold Palmer Regional Airport</t>
  </si>
  <si>
    <t>Latrobe</t>
  </si>
  <si>
    <t>LBF</t>
  </si>
  <si>
    <t>North Platte Regional Airport Lee Bird Field</t>
  </si>
  <si>
    <t>North Platte</t>
  </si>
  <si>
    <t>LBG</t>
  </si>
  <si>
    <t>Paris-Le Bourget Airport</t>
  </si>
  <si>
    <t>LBI</t>
  </si>
  <si>
    <t>Albi-Le Séquestre Airport</t>
  </si>
  <si>
    <t>Albi</t>
  </si>
  <si>
    <t>LBJ</t>
  </si>
  <si>
    <t>Komodo (Mutiara II) Airport</t>
  </si>
  <si>
    <t>Labuhan Bajo</t>
  </si>
  <si>
    <t>LBL</t>
  </si>
  <si>
    <t>Liberal Mid-America Regional Airport</t>
  </si>
  <si>
    <t>Liberal</t>
  </si>
  <si>
    <t>LBQ</t>
  </si>
  <si>
    <t>Lambarene Airport</t>
  </si>
  <si>
    <t>Lambarene</t>
  </si>
  <si>
    <t>LBR</t>
  </si>
  <si>
    <t>Lábrea Airport</t>
  </si>
  <si>
    <t>Labrea</t>
  </si>
  <si>
    <t>LBS</t>
  </si>
  <si>
    <t>Labasa Airport</t>
  </si>
  <si>
    <t>Lambasa</t>
  </si>
  <si>
    <t>LBT</t>
  </si>
  <si>
    <t>Lumberton Regional Airport</t>
  </si>
  <si>
    <t>Lumberton</t>
  </si>
  <si>
    <t>LBU</t>
  </si>
  <si>
    <t>Labuan Airport</t>
  </si>
  <si>
    <t>Labuan</t>
  </si>
  <si>
    <t>LBV</t>
  </si>
  <si>
    <t>Libreville Leon M'ba International Airport</t>
  </si>
  <si>
    <t>Libreville</t>
  </si>
  <si>
    <t>LBW</t>
  </si>
  <si>
    <t>Long Bawan Airport</t>
  </si>
  <si>
    <t>Long Bawan-Borneo Island</t>
  </si>
  <si>
    <t>LBX</t>
  </si>
  <si>
    <t>Lubang Airport</t>
  </si>
  <si>
    <t>Lubang</t>
  </si>
  <si>
    <t>LBZ</t>
  </si>
  <si>
    <t>Lucapa Airport</t>
  </si>
  <si>
    <t>Lucapa</t>
  </si>
  <si>
    <t>LCA</t>
  </si>
  <si>
    <t>Larnaca International Airport</t>
  </si>
  <si>
    <t>Larnaca</t>
  </si>
  <si>
    <t>LCC</t>
  </si>
  <si>
    <t>Lecce Galatina Air Base</t>
  </si>
  <si>
    <t>Lecce</t>
  </si>
  <si>
    <t>LCE</t>
  </si>
  <si>
    <t>Goloson International Airport</t>
  </si>
  <si>
    <t>La Ceiba</t>
  </si>
  <si>
    <t>LCG</t>
  </si>
  <si>
    <t>A Coruña Airport</t>
  </si>
  <si>
    <t>La Coruna</t>
  </si>
  <si>
    <t>LCH</t>
  </si>
  <si>
    <t>Lake Charles Regional Airport</t>
  </si>
  <si>
    <t>Lake Charles</t>
  </si>
  <si>
    <t>LCJ</t>
  </si>
  <si>
    <t>Łódź Władysław Reymont Airport</t>
  </si>
  <si>
    <t>Lodz</t>
  </si>
  <si>
    <t>LCK</t>
  </si>
  <si>
    <t>Rickenbacker International Airport</t>
  </si>
  <si>
    <t>LCL</t>
  </si>
  <si>
    <t>La Coloma Airport</t>
  </si>
  <si>
    <t>La Coloma</t>
  </si>
  <si>
    <t>LCQ</t>
  </si>
  <si>
    <t>Lake City Gateway Airport</t>
  </si>
  <si>
    <t>Lake City</t>
  </si>
  <si>
    <t>LCX</t>
  </si>
  <si>
    <t>Longyan Guanzhishan Airport</t>
  </si>
  <si>
    <t>Longyan</t>
  </si>
  <si>
    <t>LCY</t>
  </si>
  <si>
    <t>London City Airport</t>
  </si>
  <si>
    <t>LDB</t>
  </si>
  <si>
    <t>Governador José Richa Airport</t>
  </si>
  <si>
    <t>Londrina</t>
  </si>
  <si>
    <t>LDE</t>
  </si>
  <si>
    <t>Tarbes-Lourdes-Pyrénées Airport</t>
  </si>
  <si>
    <t>Tarbes</t>
  </si>
  <si>
    <t>LDG</t>
  </si>
  <si>
    <t>Leshukonskoye Airport</t>
  </si>
  <si>
    <t>LDH</t>
  </si>
  <si>
    <t>Lord Howe Island Airport</t>
  </si>
  <si>
    <t>Lord Howe Island</t>
  </si>
  <si>
    <t>LDI</t>
  </si>
  <si>
    <t>Kikwetu Airport</t>
  </si>
  <si>
    <t>Lindi</t>
  </si>
  <si>
    <t>LDJ</t>
  </si>
  <si>
    <t>LDK</t>
  </si>
  <si>
    <t>Lidköping-Hovby Airport</t>
  </si>
  <si>
    <t>Lidkoping</t>
  </si>
  <si>
    <t>LDM</t>
  </si>
  <si>
    <t>Mason County Airport</t>
  </si>
  <si>
    <t>Ludington</t>
  </si>
  <si>
    <t>LDN</t>
  </si>
  <si>
    <t>Lamidanda Airport</t>
  </si>
  <si>
    <t>Lamidanda</t>
  </si>
  <si>
    <t>LDS</t>
  </si>
  <si>
    <t>Lindu Airport</t>
  </si>
  <si>
    <t>Yinchun</t>
  </si>
  <si>
    <t>LDU</t>
  </si>
  <si>
    <t>Lahad Datu Airport</t>
  </si>
  <si>
    <t>Lahad Datu</t>
  </si>
  <si>
    <t>LDX</t>
  </si>
  <si>
    <t>Saint-Laurent-du-Maroni Airport</t>
  </si>
  <si>
    <t>Saint-Laurent-du-Maroni</t>
  </si>
  <si>
    <t>LDY</t>
  </si>
  <si>
    <t>City of Derry Airport</t>
  </si>
  <si>
    <t>Londonderry</t>
  </si>
  <si>
    <t>LEA</t>
  </si>
  <si>
    <t>Learmonth Airport</t>
  </si>
  <si>
    <t>Learmonth</t>
  </si>
  <si>
    <t>LEB</t>
  </si>
  <si>
    <t>Lebanon Municipal Airport</t>
  </si>
  <si>
    <t>LEC</t>
  </si>
  <si>
    <t>Coronel Horácio de Mattos Airport</t>
  </si>
  <si>
    <t>Lençóis</t>
  </si>
  <si>
    <t>LED</t>
  </si>
  <si>
    <t>Pulkovo Airport</t>
  </si>
  <si>
    <t>LEE</t>
  </si>
  <si>
    <t>Leesburg International Airport</t>
  </si>
  <si>
    <t>LEH</t>
  </si>
  <si>
    <t>Le Havre Octeville Airport</t>
  </si>
  <si>
    <t>Le Havre</t>
  </si>
  <si>
    <t>LEI</t>
  </si>
  <si>
    <t>Almería International Airport</t>
  </si>
  <si>
    <t>Almeria</t>
  </si>
  <si>
    <t>LEJ</t>
  </si>
  <si>
    <t>Leipzig Halle Airport</t>
  </si>
  <si>
    <t>Leipzig</t>
  </si>
  <si>
    <t>LEK</t>
  </si>
  <si>
    <t>Tata Airport</t>
  </si>
  <si>
    <t>Labe</t>
  </si>
  <si>
    <t>LEL</t>
  </si>
  <si>
    <t>Lake Evella Airport</t>
  </si>
  <si>
    <t>Lake Evella</t>
  </si>
  <si>
    <t>LEN</t>
  </si>
  <si>
    <t>Leon Airport</t>
  </si>
  <si>
    <t>LEQ</t>
  </si>
  <si>
    <t>Land's End Airport</t>
  </si>
  <si>
    <t>Land's End</t>
  </si>
  <si>
    <t>LER</t>
  </si>
  <si>
    <t>Leinster Airport</t>
  </si>
  <si>
    <t>Leinster</t>
  </si>
  <si>
    <t>LET</t>
  </si>
  <si>
    <t>Alfredo Vásquez Cobo International Airport</t>
  </si>
  <si>
    <t>Leticia</t>
  </si>
  <si>
    <t>LEU</t>
  </si>
  <si>
    <t>Pirineus - la Seu d'Urgel Airport</t>
  </si>
  <si>
    <t>Seo De Urgel</t>
  </si>
  <si>
    <t>LEV</t>
  </si>
  <si>
    <t>Levuka Airfield</t>
  </si>
  <si>
    <t>Levuka</t>
  </si>
  <si>
    <t>LEW</t>
  </si>
  <si>
    <t>Auburn Lewiston Municipal Airport</t>
  </si>
  <si>
    <t>Lewiston</t>
  </si>
  <si>
    <t>LEX</t>
  </si>
  <si>
    <t>Blue Grass Airport</t>
  </si>
  <si>
    <t>Lexington KY</t>
  </si>
  <si>
    <t>LEY</t>
  </si>
  <si>
    <t>Lelystad Airport</t>
  </si>
  <si>
    <t>Lelystad</t>
  </si>
  <si>
    <t>LFI</t>
  </si>
  <si>
    <t>Langley Air Force Base</t>
  </si>
  <si>
    <t>LFK</t>
  </si>
  <si>
    <t>Angelina County Airport</t>
  </si>
  <si>
    <t>Lufkin</t>
  </si>
  <si>
    <t>LFR</t>
  </si>
  <si>
    <t>La Fria Airport</t>
  </si>
  <si>
    <t>La Fria</t>
  </si>
  <si>
    <t>LFT</t>
  </si>
  <si>
    <t>Lafayette Regional Airport</t>
  </si>
  <si>
    <t>LFW</t>
  </si>
  <si>
    <t>Lomé-Tokoin Airport</t>
  </si>
  <si>
    <t>Togo</t>
  </si>
  <si>
    <t>Lome</t>
  </si>
  <si>
    <t>LGA</t>
  </si>
  <si>
    <t>La Guardia Airport</t>
  </si>
  <si>
    <t>LGB</t>
  </si>
  <si>
    <t>Long Beach /Daugherty Field/ Airport</t>
  </si>
  <si>
    <t>Long Beach</t>
  </si>
  <si>
    <t>LGC</t>
  </si>
  <si>
    <t>Lagrange Callaway Airport</t>
  </si>
  <si>
    <t>LaGrange</t>
  </si>
  <si>
    <t>LGD</t>
  </si>
  <si>
    <t>La Grande/Union County Airport</t>
  </si>
  <si>
    <t>La Grande</t>
  </si>
  <si>
    <t>LGG</t>
  </si>
  <si>
    <t>Liège Airport</t>
  </si>
  <si>
    <t>Liege</t>
  </si>
  <si>
    <t>LGH</t>
  </si>
  <si>
    <t>Leigh Creek Airport</t>
  </si>
  <si>
    <t>Leigh Creek</t>
  </si>
  <si>
    <t>LGI</t>
  </si>
  <si>
    <t>Deadman's Cay Airport</t>
  </si>
  <si>
    <t>Dead Man's Cay</t>
  </si>
  <si>
    <t>LGK</t>
  </si>
  <si>
    <t>Langkawi International Airport</t>
  </si>
  <si>
    <t>Langkawi</t>
  </si>
  <si>
    <t>LGL</t>
  </si>
  <si>
    <t>Long Lellang Airport</t>
  </si>
  <si>
    <t>Long Datih</t>
  </si>
  <si>
    <t>LGO</t>
  </si>
  <si>
    <t>Langeoog Airport</t>
  </si>
  <si>
    <t>Langeoog</t>
  </si>
  <si>
    <t>LGP</t>
  </si>
  <si>
    <t>Legazpi City International Airport</t>
  </si>
  <si>
    <t>Legazpi</t>
  </si>
  <si>
    <t>LGR</t>
  </si>
  <si>
    <t>Cochrane Airport</t>
  </si>
  <si>
    <t>Cochrane</t>
  </si>
  <si>
    <t>LGS</t>
  </si>
  <si>
    <t>Comodoro D.R. Salomón Airport</t>
  </si>
  <si>
    <t>Malargue</t>
  </si>
  <si>
    <t>LGU</t>
  </si>
  <si>
    <t>Logan-Cache Airport</t>
  </si>
  <si>
    <t>Logan</t>
  </si>
  <si>
    <t>LGW</t>
  </si>
  <si>
    <t>London Gatwick Airport</t>
  </si>
  <si>
    <t>LHA</t>
  </si>
  <si>
    <t>Lahr Airport</t>
  </si>
  <si>
    <t>Lahr</t>
  </si>
  <si>
    <t>LHC</t>
  </si>
  <si>
    <t>Caballococha Airport</t>
  </si>
  <si>
    <t>Caballococha</t>
  </si>
  <si>
    <t>LHD</t>
  </si>
  <si>
    <t>Lake Hood Seaplane Base</t>
  </si>
  <si>
    <t>LHE</t>
  </si>
  <si>
    <t>Alama Iqbal International Airport</t>
  </si>
  <si>
    <t>LHG</t>
  </si>
  <si>
    <t>Lightning Ridge Airport</t>
  </si>
  <si>
    <t>Lightning Ridge</t>
  </si>
  <si>
    <t>LHK</t>
  </si>
  <si>
    <t>Guangzhou MR Air Base</t>
  </si>
  <si>
    <t>Guanghua</t>
  </si>
  <si>
    <t>LHM</t>
  </si>
  <si>
    <t>Lincoln Regional Karl Harder Field</t>
  </si>
  <si>
    <t>Lincoln</t>
  </si>
  <si>
    <t>LHR</t>
  </si>
  <si>
    <t>London Heathrow Airport</t>
  </si>
  <si>
    <t>LHS</t>
  </si>
  <si>
    <t>Las Heras Airport</t>
  </si>
  <si>
    <t>Las Heras</t>
  </si>
  <si>
    <t>LHV</t>
  </si>
  <si>
    <t>William T. Piper Memorial Airport</t>
  </si>
  <si>
    <t>Lock Haven</t>
  </si>
  <si>
    <t>LHW</t>
  </si>
  <si>
    <t>Lanzhou Zhongchuan Airport</t>
  </si>
  <si>
    <t>LHX</t>
  </si>
  <si>
    <t>La Junta Municipal Airport</t>
  </si>
  <si>
    <t>La Junta</t>
  </si>
  <si>
    <t>LID</t>
  </si>
  <si>
    <t>Valkenburg Naval Air Base</t>
  </si>
  <si>
    <t>Valkenburg</t>
  </si>
  <si>
    <t>LIF</t>
  </si>
  <si>
    <t>Lifou Airport</t>
  </si>
  <si>
    <t>Lifou</t>
  </si>
  <si>
    <t>LIG</t>
  </si>
  <si>
    <t>Limoges Airport</t>
  </si>
  <si>
    <t>Limoges</t>
  </si>
  <si>
    <t>LIH</t>
  </si>
  <si>
    <t>Lihue Airport</t>
  </si>
  <si>
    <t>Lihue</t>
  </si>
  <si>
    <t>LII</t>
  </si>
  <si>
    <t>Mulia Airport</t>
  </si>
  <si>
    <t>Mulia</t>
  </si>
  <si>
    <t>LIL</t>
  </si>
  <si>
    <t>Lille-Lesquin Airport</t>
  </si>
  <si>
    <t>Lille</t>
  </si>
  <si>
    <t>LIM</t>
  </si>
  <si>
    <t>Jorge Chávez International Airport</t>
  </si>
  <si>
    <t>LIN</t>
  </si>
  <si>
    <t>Milano Linate Airport</t>
  </si>
  <si>
    <t>Milan</t>
  </si>
  <si>
    <t>LIO</t>
  </si>
  <si>
    <t>Limon International Airport</t>
  </si>
  <si>
    <t>Limon</t>
  </si>
  <si>
    <t>LIP</t>
  </si>
  <si>
    <t>Lins Airport</t>
  </si>
  <si>
    <t>Lins</t>
  </si>
  <si>
    <t>LIQ</t>
  </si>
  <si>
    <t>Lisala Airport</t>
  </si>
  <si>
    <t>Lisala</t>
  </si>
  <si>
    <t>LIR</t>
  </si>
  <si>
    <t>Daniel Oduber Quiros International Airport</t>
  </si>
  <si>
    <t>LIS</t>
  </si>
  <si>
    <t>Lisbon Portela Airport</t>
  </si>
  <si>
    <t>Lisbon</t>
  </si>
  <si>
    <t>LIT</t>
  </si>
  <si>
    <t>Bill &amp; Hillary Clinton National Airport/Adams Field</t>
  </si>
  <si>
    <t>Little Rock</t>
  </si>
  <si>
    <t>LIW</t>
  </si>
  <si>
    <t>Loikaw Airport</t>
  </si>
  <si>
    <t>Loikaw</t>
  </si>
  <si>
    <t>LIX</t>
  </si>
  <si>
    <t>Likoma Island Airport</t>
  </si>
  <si>
    <t>Likoma Island</t>
  </si>
  <si>
    <t>LJA</t>
  </si>
  <si>
    <t>Lodja Airport</t>
  </si>
  <si>
    <t>Lodja</t>
  </si>
  <si>
    <t>LJG</t>
  </si>
  <si>
    <t>Lijiang Airport</t>
  </si>
  <si>
    <t>Lijiang</t>
  </si>
  <si>
    <t>LJU</t>
  </si>
  <si>
    <t>Ljubljana Jože Pučnik Airport</t>
  </si>
  <si>
    <t>Ljubljana</t>
  </si>
  <si>
    <t>LKB</t>
  </si>
  <si>
    <t>Lakeba Island Airport</t>
  </si>
  <si>
    <t>Lakeba Island</t>
  </si>
  <si>
    <t>LKG</t>
  </si>
  <si>
    <t>Lokichoggio Airport</t>
  </si>
  <si>
    <t>Lokichoggio</t>
  </si>
  <si>
    <t>LKH</t>
  </si>
  <si>
    <t>Long Akah Airport</t>
  </si>
  <si>
    <t>Long Akah</t>
  </si>
  <si>
    <t>LKL</t>
  </si>
  <si>
    <t>Banak Airport</t>
  </si>
  <si>
    <t>Lakselv</t>
  </si>
  <si>
    <t>LKN</t>
  </si>
  <si>
    <t>Leknes Airport</t>
  </si>
  <si>
    <t>Leknes</t>
  </si>
  <si>
    <t>LKO</t>
  </si>
  <si>
    <t>Chaudhary Charan Singh International Airport</t>
  </si>
  <si>
    <t>Lucknow</t>
  </si>
  <si>
    <t>LKP</t>
  </si>
  <si>
    <t>Lake Placid Airport</t>
  </si>
  <si>
    <t>Lake Placid</t>
  </si>
  <si>
    <t>LKS</t>
  </si>
  <si>
    <t>Sazená Airport</t>
  </si>
  <si>
    <t>Sazena</t>
  </si>
  <si>
    <t>LKY</t>
  </si>
  <si>
    <t>Lake Manyara Airport</t>
  </si>
  <si>
    <t>Lake Manyara</t>
  </si>
  <si>
    <t>LLA</t>
  </si>
  <si>
    <t>Luleå Airport</t>
  </si>
  <si>
    <t>Lulea</t>
  </si>
  <si>
    <t>LLF</t>
  </si>
  <si>
    <t>Lingling Airport</t>
  </si>
  <si>
    <t>Yongzhou</t>
  </si>
  <si>
    <t>LLI</t>
  </si>
  <si>
    <t>Lalibella Airport</t>
  </si>
  <si>
    <t>Lalibella</t>
  </si>
  <si>
    <t>LLK</t>
  </si>
  <si>
    <t>Lankaran International Airport</t>
  </si>
  <si>
    <t>Lankaran</t>
  </si>
  <si>
    <t>LLQ</t>
  </si>
  <si>
    <t>Monticello Municipal Ellis Field</t>
  </si>
  <si>
    <t>Monticello</t>
  </si>
  <si>
    <t>LLU</t>
  </si>
  <si>
    <t>Alluitsup Paa Heliport</t>
  </si>
  <si>
    <t>Alluitsup Paa</t>
  </si>
  <si>
    <t>LLW</t>
  </si>
  <si>
    <t>Lilongwe International Airport</t>
  </si>
  <si>
    <t>Lilongwe</t>
  </si>
  <si>
    <t>LME</t>
  </si>
  <si>
    <t>Le Mans-Arnage Airport</t>
  </si>
  <si>
    <t>Le Mans</t>
  </si>
  <si>
    <t>LMM</t>
  </si>
  <si>
    <t>Valle del Fuerte International Airport</t>
  </si>
  <si>
    <t>Los Mochis</t>
  </si>
  <si>
    <t>LMN</t>
  </si>
  <si>
    <t>Limbang Airport</t>
  </si>
  <si>
    <t>Limbang</t>
  </si>
  <si>
    <t>LMO</t>
  </si>
  <si>
    <t>RAF Lossiemouth</t>
  </si>
  <si>
    <t>Lossiemouth</t>
  </si>
  <si>
    <t>LMP</t>
  </si>
  <si>
    <t>Lampedusa Airport</t>
  </si>
  <si>
    <t>Lampedusa</t>
  </si>
  <si>
    <t>LMR</t>
  </si>
  <si>
    <t>Lime Acres Finsch Mine Airport</t>
  </si>
  <si>
    <t>Lime Acres</t>
  </si>
  <si>
    <t>LMT</t>
  </si>
  <si>
    <t>Klamath Falls Airport</t>
  </si>
  <si>
    <t>Klamath Falls</t>
  </si>
  <si>
    <t>LNA</t>
  </si>
  <si>
    <t>Palm Beach County Park Airport</t>
  </si>
  <si>
    <t>West Palm Beach</t>
  </si>
  <si>
    <t>LNB</t>
  </si>
  <si>
    <t>Lamen Bay Airport</t>
  </si>
  <si>
    <t>Lamen Bay</t>
  </si>
  <si>
    <t>LND</t>
  </si>
  <si>
    <t>Hunt Field</t>
  </si>
  <si>
    <t>Lindau</t>
  </si>
  <si>
    <t>LNE</t>
  </si>
  <si>
    <t>Lonorore Airport</t>
  </si>
  <si>
    <t>Lonorore</t>
  </si>
  <si>
    <t>LNK</t>
  </si>
  <si>
    <t>Lincoln Airport</t>
  </si>
  <si>
    <t>LNN</t>
  </si>
  <si>
    <t>Willoughby Lost Nation Municipal Airport</t>
  </si>
  <si>
    <t>Willoughby</t>
  </si>
  <si>
    <t>LNO</t>
  </si>
  <si>
    <t>Leonora Airport</t>
  </si>
  <si>
    <t>Leonora</t>
  </si>
  <si>
    <t>LNR</t>
  </si>
  <si>
    <t>Tri-County Regional Airport</t>
  </si>
  <si>
    <t>Lone Rock</t>
  </si>
  <si>
    <t>LNS</t>
  </si>
  <si>
    <t>Lancaster Airport</t>
  </si>
  <si>
    <t>Lancaster</t>
  </si>
  <si>
    <t>LNY</t>
  </si>
  <si>
    <t>Lanai Airport</t>
  </si>
  <si>
    <t>Lanai</t>
  </si>
  <si>
    <t>LNZ</t>
  </si>
  <si>
    <t>Linz Hörsching Airport</t>
  </si>
  <si>
    <t>Linz</t>
  </si>
  <si>
    <t>LOD</t>
  </si>
  <si>
    <t>Longana Airport</t>
  </si>
  <si>
    <t>Longana</t>
  </si>
  <si>
    <t>LOE</t>
  </si>
  <si>
    <t>Loei Airport</t>
  </si>
  <si>
    <t>Loei</t>
  </si>
  <si>
    <t>LOH</t>
  </si>
  <si>
    <t>Camilo Ponce Enriquez Airport</t>
  </si>
  <si>
    <t>La Toma (Catamayo)</t>
  </si>
  <si>
    <t>LOK</t>
  </si>
  <si>
    <t>Lodwar Airport</t>
  </si>
  <si>
    <t>Lodwar</t>
  </si>
  <si>
    <t>LOL</t>
  </si>
  <si>
    <t>Derby Field</t>
  </si>
  <si>
    <t>Lovelock</t>
  </si>
  <si>
    <t>LOO</t>
  </si>
  <si>
    <t>Laghouat Airport</t>
  </si>
  <si>
    <t>Laghouat</t>
  </si>
  <si>
    <t>LOP</t>
  </si>
  <si>
    <t>Lombok International Airport</t>
  </si>
  <si>
    <t>Praya</t>
  </si>
  <si>
    <t>Murtala Muhammed International Airport</t>
  </si>
  <si>
    <t>LOT</t>
  </si>
  <si>
    <t>Lewis University Airport</t>
  </si>
  <si>
    <t>Lockport</t>
  </si>
  <si>
    <t>LOU</t>
  </si>
  <si>
    <t>Bowman Field</t>
  </si>
  <si>
    <t>Louisville</t>
  </si>
  <si>
    <t>LOV</t>
  </si>
  <si>
    <t>Monclova International Airport</t>
  </si>
  <si>
    <t>Monclova</t>
  </si>
  <si>
    <t>LOZ</t>
  </si>
  <si>
    <t>London-Corbin Airport/Magee Field</t>
  </si>
  <si>
    <t>LPA</t>
  </si>
  <si>
    <t>Gran Canaria Airport</t>
  </si>
  <si>
    <t>Gran Canaria</t>
  </si>
  <si>
    <t>LPB</t>
  </si>
  <si>
    <t>El Alto International Airport</t>
  </si>
  <si>
    <t>LPC</t>
  </si>
  <si>
    <t>Lompoc Airport</t>
  </si>
  <si>
    <t>Lompoc</t>
  </si>
  <si>
    <t>LPD</t>
  </si>
  <si>
    <t>La Pedrera Airport</t>
  </si>
  <si>
    <t>La Pedrera</t>
  </si>
  <si>
    <t>LPG</t>
  </si>
  <si>
    <t>La Plata Airport</t>
  </si>
  <si>
    <t>La Plata</t>
  </si>
  <si>
    <t>LPI</t>
  </si>
  <si>
    <t>Linköping City Airport</t>
  </si>
  <si>
    <t>LPK</t>
  </si>
  <si>
    <t>Lipetsk Airport</t>
  </si>
  <si>
    <t>Lipetsk</t>
  </si>
  <si>
    <t>LPL</t>
  </si>
  <si>
    <t>Liverpool John Lennon Airport</t>
  </si>
  <si>
    <t>LPM</t>
  </si>
  <si>
    <t>Lamap Airport</t>
  </si>
  <si>
    <t>Lamap</t>
  </si>
  <si>
    <t>LPP</t>
  </si>
  <si>
    <t>Lappeenranta Airport</t>
  </si>
  <si>
    <t>Lappeenranta</t>
  </si>
  <si>
    <t>LPQ</t>
  </si>
  <si>
    <t>Luang Phabang International Airport</t>
  </si>
  <si>
    <t>Luang Prabang</t>
  </si>
  <si>
    <t>LPR</t>
  </si>
  <si>
    <t>Lorain County Regional Airport</t>
  </si>
  <si>
    <t>Lorain-Elyria</t>
  </si>
  <si>
    <t>LPS</t>
  </si>
  <si>
    <t>Lopez Island Airport</t>
  </si>
  <si>
    <t>Lopez</t>
  </si>
  <si>
    <t>LPT</t>
  </si>
  <si>
    <t>Lampang Airport</t>
  </si>
  <si>
    <t>Lampang</t>
  </si>
  <si>
    <t>LPU</t>
  </si>
  <si>
    <t>Long Apung Airport</t>
  </si>
  <si>
    <t>Long Apung-Borneo Island</t>
  </si>
  <si>
    <t>LPX</t>
  </si>
  <si>
    <t>Liepāja International Airport</t>
  </si>
  <si>
    <t>Liepaja</t>
  </si>
  <si>
    <t>LPY</t>
  </si>
  <si>
    <t>Le Puy-Loudes Airport</t>
  </si>
  <si>
    <t>Le Puy</t>
  </si>
  <si>
    <t>LQM</t>
  </si>
  <si>
    <t>Caucaya Airport</t>
  </si>
  <si>
    <t>Puerto Leguízamo</t>
  </si>
  <si>
    <t>LQR</t>
  </si>
  <si>
    <t>Larned Pawnee County Airport</t>
  </si>
  <si>
    <t>Larned</t>
  </si>
  <si>
    <t>LRA</t>
  </si>
  <si>
    <t>Larisa Airport</t>
  </si>
  <si>
    <t>Larissa</t>
  </si>
  <si>
    <t>LRD</t>
  </si>
  <si>
    <t>Laredo International Airport</t>
  </si>
  <si>
    <t>Laredo</t>
  </si>
  <si>
    <t>LRE</t>
  </si>
  <si>
    <t>Longreach Airport</t>
  </si>
  <si>
    <t>Longreach</t>
  </si>
  <si>
    <t>LRF</t>
  </si>
  <si>
    <t>Little Rock Air Force Base</t>
  </si>
  <si>
    <t>LRH</t>
  </si>
  <si>
    <t>La Rochelle-Île de Ré Airport</t>
  </si>
  <si>
    <t>LRL</t>
  </si>
  <si>
    <t>Niamtougou International Airport</t>
  </si>
  <si>
    <t>Niatougou</t>
  </si>
  <si>
    <t>LRM</t>
  </si>
  <si>
    <t>Casa De Campo International Airport</t>
  </si>
  <si>
    <t>La Romana</t>
  </si>
  <si>
    <t>LRO</t>
  </si>
  <si>
    <t>Mt Pleasant Regional-Faison field</t>
  </si>
  <si>
    <t>Mount Pleasant</t>
  </si>
  <si>
    <t>LRR</t>
  </si>
  <si>
    <t>Lar Airport</t>
  </si>
  <si>
    <t>Lar</t>
  </si>
  <si>
    <t>LRS</t>
  </si>
  <si>
    <t>Leros Airport</t>
  </si>
  <si>
    <t>Leros</t>
  </si>
  <si>
    <t>LRT</t>
  </si>
  <si>
    <t>Lorient South Brittany (Bretagne Sud) Airport</t>
  </si>
  <si>
    <t>Lorient</t>
  </si>
  <si>
    <t>LRU</t>
  </si>
  <si>
    <t>Las Cruces International Airport</t>
  </si>
  <si>
    <t>Las Cruces</t>
  </si>
  <si>
    <t>LRV</t>
  </si>
  <si>
    <t>Los Roques Airport</t>
  </si>
  <si>
    <t>Los Roques</t>
  </si>
  <si>
    <t>LSC</t>
  </si>
  <si>
    <t>La Florida Airport</t>
  </si>
  <si>
    <t>La Serena</t>
  </si>
  <si>
    <t>LSE</t>
  </si>
  <si>
    <t>La Crosse Municipal Airport</t>
  </si>
  <si>
    <t>La Crosse</t>
  </si>
  <si>
    <t>LSF</t>
  </si>
  <si>
    <t>Lawson Army Air Field (Fort Benning)</t>
  </si>
  <si>
    <t>Fort Benning</t>
  </si>
  <si>
    <t>LSH</t>
  </si>
  <si>
    <t>Lashio Airport</t>
  </si>
  <si>
    <t>Lashio</t>
  </si>
  <si>
    <t>LSI</t>
  </si>
  <si>
    <t>Sumburgh Airport</t>
  </si>
  <si>
    <t>Sumburgh</t>
  </si>
  <si>
    <t>LSP</t>
  </si>
  <si>
    <t>Josefa Camejo International Airport</t>
  </si>
  <si>
    <t>Paraguana</t>
  </si>
  <si>
    <t>LSQ</t>
  </si>
  <si>
    <t>María Dolores Airport</t>
  </si>
  <si>
    <t>LSS</t>
  </si>
  <si>
    <t>Terre-de-Haut Airport</t>
  </si>
  <si>
    <t>Les Saintes</t>
  </si>
  <si>
    <t>LST</t>
  </si>
  <si>
    <t>Launceston Airport</t>
  </si>
  <si>
    <t>Launceston</t>
  </si>
  <si>
    <t>LSV</t>
  </si>
  <si>
    <t>Nellis Air Force Base</t>
  </si>
  <si>
    <t>LSW</t>
  </si>
  <si>
    <t>Malikus Saleh Airport</t>
  </si>
  <si>
    <t>Lhok Seumawe-Sumatra Island</t>
  </si>
  <si>
    <t>LSY</t>
  </si>
  <si>
    <t>Lismore Airport</t>
  </si>
  <si>
    <t>Lismore</t>
  </si>
  <si>
    <t>LSZ</t>
  </si>
  <si>
    <t>Lošinj Island Airport</t>
  </si>
  <si>
    <t>Mali Losinj</t>
  </si>
  <si>
    <t>LTA</t>
  </si>
  <si>
    <t>Tzaneen Airport</t>
  </si>
  <si>
    <t>Tzaneen</t>
  </si>
  <si>
    <t>LTD</t>
  </si>
  <si>
    <t>Ghadames East Airport</t>
  </si>
  <si>
    <t>Ghadames</t>
  </si>
  <si>
    <t>LTI</t>
  </si>
  <si>
    <t>Altai Airport</t>
  </si>
  <si>
    <t>Altai</t>
  </si>
  <si>
    <t>LTK</t>
  </si>
  <si>
    <t>Bassel Al-Assad International Airport</t>
  </si>
  <si>
    <t>Latakia</t>
  </si>
  <si>
    <t>LTM</t>
  </si>
  <si>
    <t>Lethem Airport</t>
  </si>
  <si>
    <t>Lethem</t>
  </si>
  <si>
    <t>LTN</t>
  </si>
  <si>
    <t>London Luton Airport</t>
  </si>
  <si>
    <t>LTO</t>
  </si>
  <si>
    <t>Loreto International Airport</t>
  </si>
  <si>
    <t>Loreto</t>
  </si>
  <si>
    <t>LTQ</t>
  </si>
  <si>
    <t>Le Touquet-Côte d'Opale Airport</t>
  </si>
  <si>
    <t>Le Tourquet</t>
  </si>
  <si>
    <t>LTS</t>
  </si>
  <si>
    <t>Altus Air Force Base</t>
  </si>
  <si>
    <t>Altus</t>
  </si>
  <si>
    <t>LTT</t>
  </si>
  <si>
    <t>La Môle Airport</t>
  </si>
  <si>
    <t>La Môle</t>
  </si>
  <si>
    <t>LTX</t>
  </si>
  <si>
    <t>Cotopaxi International Airport</t>
  </si>
  <si>
    <t>Latacunga</t>
  </si>
  <si>
    <t>LUA</t>
  </si>
  <si>
    <t>Lukla Airport</t>
  </si>
  <si>
    <t>Lukla</t>
  </si>
  <si>
    <t>LUD</t>
  </si>
  <si>
    <t>Luderitz Airport</t>
  </si>
  <si>
    <t>Luderitz</t>
  </si>
  <si>
    <t>LUF</t>
  </si>
  <si>
    <t>Luke Air Force Base</t>
  </si>
  <si>
    <t>LUG</t>
  </si>
  <si>
    <t>Lugano Airport</t>
  </si>
  <si>
    <t>Lugano</t>
  </si>
  <si>
    <t>LUH</t>
  </si>
  <si>
    <t>Ludhiana Airport</t>
  </si>
  <si>
    <t>Ludhiaha</t>
  </si>
  <si>
    <t>LUK</t>
  </si>
  <si>
    <t>Cincinnati Municipal Airport Lunken Field</t>
  </si>
  <si>
    <t>LUM</t>
  </si>
  <si>
    <t>Mangshi Airport</t>
  </si>
  <si>
    <t>Luxi</t>
  </si>
  <si>
    <t>LUN</t>
  </si>
  <si>
    <t>Kenneth Kaunda International Airport Lusaka</t>
  </si>
  <si>
    <t>LUO</t>
  </si>
  <si>
    <t>Luena Airport</t>
  </si>
  <si>
    <t>Luena</t>
  </si>
  <si>
    <t>LUP</t>
  </si>
  <si>
    <t>Kalaupapa Airport</t>
  </si>
  <si>
    <t>Molokai</t>
  </si>
  <si>
    <t>LUQ</t>
  </si>
  <si>
    <t>Brigadier Mayor D Cesar Raul Ojeda Airport</t>
  </si>
  <si>
    <t>LUR</t>
  </si>
  <si>
    <t>Cape Lisburne LRRS Airport</t>
  </si>
  <si>
    <t>Cape Lisburne</t>
  </si>
  <si>
    <t>LUV</t>
  </si>
  <si>
    <t>Dumatumbun Airport</t>
  </si>
  <si>
    <t>Langgur-Kei Islands</t>
  </si>
  <si>
    <t>LUW</t>
  </si>
  <si>
    <t>Bubung Airport</t>
  </si>
  <si>
    <t>Luwuk</t>
  </si>
  <si>
    <t>LUX</t>
  </si>
  <si>
    <t>Luxembourg-Findel International Airport</t>
  </si>
  <si>
    <t>Luxembourg</t>
  </si>
  <si>
    <t>Luxemburg</t>
  </si>
  <si>
    <t>LVA</t>
  </si>
  <si>
    <t>Laval-Entrammes Airport</t>
  </si>
  <si>
    <t>Laval</t>
  </si>
  <si>
    <t>LVI</t>
  </si>
  <si>
    <t>Livingstone Airport</t>
  </si>
  <si>
    <t>Livingstone</t>
  </si>
  <si>
    <t>LVK</t>
  </si>
  <si>
    <t>Livermore Municipal Airport</t>
  </si>
  <si>
    <t>Livermore</t>
  </si>
  <si>
    <t>LVM</t>
  </si>
  <si>
    <t>Mission Field</t>
  </si>
  <si>
    <t>Livingston-Montana</t>
  </si>
  <si>
    <t>LVO</t>
  </si>
  <si>
    <t>Laverton Airport</t>
  </si>
  <si>
    <t>LVR</t>
  </si>
  <si>
    <t>Fazenda Colen Airport</t>
  </si>
  <si>
    <t>Lucas do Rio Verde</t>
  </si>
  <si>
    <t>LVS</t>
  </si>
  <si>
    <t>Las Vegas Municipal Airport</t>
  </si>
  <si>
    <t>LWA</t>
  </si>
  <si>
    <t>South Haven Area Regional Airport</t>
  </si>
  <si>
    <t>South Haven</t>
  </si>
  <si>
    <t>LWB</t>
  </si>
  <si>
    <t>Greenbrier Valley Airport</t>
  </si>
  <si>
    <t>Lewisburg</t>
  </si>
  <si>
    <t>LWC</t>
  </si>
  <si>
    <t>Lawrence Municipal Airport</t>
  </si>
  <si>
    <t>Lawrence</t>
  </si>
  <si>
    <t>LWK</t>
  </si>
  <si>
    <t>Lerwick / Tingwall Airport</t>
  </si>
  <si>
    <t>Lerwick</t>
  </si>
  <si>
    <t>LWM</t>
  </si>
  <si>
    <t>LWN</t>
  </si>
  <si>
    <t>Gyumri Shirak Airport</t>
  </si>
  <si>
    <t>Gyumri</t>
  </si>
  <si>
    <t>LWO</t>
  </si>
  <si>
    <t>Lviv International Airport</t>
  </si>
  <si>
    <t>Lvov</t>
  </si>
  <si>
    <t>LWR</t>
  </si>
  <si>
    <t>Leeuwarden Air Base</t>
  </si>
  <si>
    <t>Leeuwarden</t>
  </si>
  <si>
    <t>LWS</t>
  </si>
  <si>
    <t>Lewiston Nez Perce County Airport</t>
  </si>
  <si>
    <t>LWT</t>
  </si>
  <si>
    <t>Lewistown Municipal Airport</t>
  </si>
  <si>
    <t>Lewistown</t>
  </si>
  <si>
    <t>LWY</t>
  </si>
  <si>
    <t>Lawas Airport</t>
  </si>
  <si>
    <t>Lawas</t>
  </si>
  <si>
    <t>LXA</t>
  </si>
  <si>
    <t>Lhasa Gonggar Airport</t>
  </si>
  <si>
    <t>Lhasa</t>
  </si>
  <si>
    <t>LXG</t>
  </si>
  <si>
    <t>Luang Namtha Airport</t>
  </si>
  <si>
    <t>Luang Namtha</t>
  </si>
  <si>
    <t>LXN</t>
  </si>
  <si>
    <t>Jim Kelly Field</t>
  </si>
  <si>
    <t>Lexington</t>
  </si>
  <si>
    <t>LXR</t>
  </si>
  <si>
    <t>Luxor International Airport</t>
  </si>
  <si>
    <t>Luxor</t>
  </si>
  <si>
    <t>LXS</t>
  </si>
  <si>
    <t>Limnos Airport</t>
  </si>
  <si>
    <t>Limnos</t>
  </si>
  <si>
    <t>LYA</t>
  </si>
  <si>
    <t>Luoyang Airport</t>
  </si>
  <si>
    <t>Luoyang</t>
  </si>
  <si>
    <t>LYB</t>
  </si>
  <si>
    <t>Edward Bodden Airfield</t>
  </si>
  <si>
    <t>Little Cayman</t>
  </si>
  <si>
    <t>LYC</t>
  </si>
  <si>
    <t>Lycksele Airport</t>
  </si>
  <si>
    <t>Lycksele</t>
  </si>
  <si>
    <t>LYE</t>
  </si>
  <si>
    <t>RAF Lyneham</t>
  </si>
  <si>
    <t>Lyneham</t>
  </si>
  <si>
    <t>LYG</t>
  </si>
  <si>
    <t>Lianyungang Airport</t>
  </si>
  <si>
    <t>Lianyungang</t>
  </si>
  <si>
    <t>LYH</t>
  </si>
  <si>
    <t>Lynchburg Regional Preston Glenn Field</t>
  </si>
  <si>
    <t>Lynchburg</t>
  </si>
  <si>
    <t>LYI</t>
  </si>
  <si>
    <t>Shubuling Airport</t>
  </si>
  <si>
    <t>Linyi</t>
  </si>
  <si>
    <t>LYM</t>
  </si>
  <si>
    <t>Lympne Airport</t>
  </si>
  <si>
    <t>Lympne</t>
  </si>
  <si>
    <t>LYN</t>
  </si>
  <si>
    <t>Lyon-Bron Airport</t>
  </si>
  <si>
    <t>Lyon</t>
  </si>
  <si>
    <t>LYP</t>
  </si>
  <si>
    <t>Faisalabad International Airport</t>
  </si>
  <si>
    <t>Faisalabad</t>
  </si>
  <si>
    <t>LYR</t>
  </si>
  <si>
    <t>Svalbard Airport, Longyear</t>
  </si>
  <si>
    <t>LYS</t>
  </si>
  <si>
    <t>Lyon Saint-Exupéry Airport</t>
  </si>
  <si>
    <t>LYU</t>
  </si>
  <si>
    <t>Ely Municipal Airport</t>
  </si>
  <si>
    <t>LYX</t>
  </si>
  <si>
    <t>Lydd Airport</t>
  </si>
  <si>
    <t>Lydd</t>
  </si>
  <si>
    <t>LZC</t>
  </si>
  <si>
    <t>Lázaro Cárdenas Airport</t>
  </si>
  <si>
    <t>Lazard Cardenas</t>
  </si>
  <si>
    <t>LZH</t>
  </si>
  <si>
    <t>Liuzhou Bailian Airport</t>
  </si>
  <si>
    <t>Liuzhou</t>
  </si>
  <si>
    <t>LZN</t>
  </si>
  <si>
    <t>Matsu Nangan Airport</t>
  </si>
  <si>
    <t>Matsu Islands</t>
  </si>
  <si>
    <t>LZO</t>
  </si>
  <si>
    <t>Luzhou Airport</t>
  </si>
  <si>
    <t>Luzhou</t>
  </si>
  <si>
    <t>LZR</t>
  </si>
  <si>
    <t>Lizard Island Airport</t>
  </si>
  <si>
    <t>Lizard Island</t>
  </si>
  <si>
    <t>LZU</t>
  </si>
  <si>
    <t>Gwinnett County Briscoe Field</t>
  </si>
  <si>
    <t>Lawrenceville</t>
  </si>
  <si>
    <t>LZY</t>
  </si>
  <si>
    <t>Nyingchi Airport</t>
  </si>
  <si>
    <t>Nyingchi</t>
  </si>
  <si>
    <t>LZZ</t>
  </si>
  <si>
    <t>Lampasas Airport</t>
  </si>
  <si>
    <t>Lampasas</t>
  </si>
  <si>
    <t>M94</t>
  </si>
  <si>
    <t>Desert Aire Airport</t>
  </si>
  <si>
    <t>Mattawa</t>
  </si>
  <si>
    <t>MAA</t>
  </si>
  <si>
    <t>Chennai International Airport</t>
  </si>
  <si>
    <t>Madras</t>
  </si>
  <si>
    <t>MAB</t>
  </si>
  <si>
    <t>João Correa da Rocha Airport</t>
  </si>
  <si>
    <t>Maraba</t>
  </si>
  <si>
    <t>MAD</t>
  </si>
  <si>
    <t>Adolfo Suárez Madrid–Barajas Airport</t>
  </si>
  <si>
    <t>MAE</t>
  </si>
  <si>
    <t>Madera Municipal Airport</t>
  </si>
  <si>
    <t>Madera</t>
  </si>
  <si>
    <t>MAF</t>
  </si>
  <si>
    <t>Midland International Airport</t>
  </si>
  <si>
    <t>Midland</t>
  </si>
  <si>
    <t>MAG</t>
  </si>
  <si>
    <t>Madang Airport</t>
  </si>
  <si>
    <t>Madang</t>
  </si>
  <si>
    <t>MAH</t>
  </si>
  <si>
    <t>Menorca Airport</t>
  </si>
  <si>
    <t>Menorca</t>
  </si>
  <si>
    <t>MAI</t>
  </si>
  <si>
    <t>Mangochi Airport</t>
  </si>
  <si>
    <t>Mangochi</t>
  </si>
  <si>
    <t>MAJ</t>
  </si>
  <si>
    <t>Marshall Islands International Airport</t>
  </si>
  <si>
    <t>Majuro</t>
  </si>
  <si>
    <t>MAK</t>
  </si>
  <si>
    <t>Malakal Airport</t>
  </si>
  <si>
    <t>Malakal</t>
  </si>
  <si>
    <t>MAM</t>
  </si>
  <si>
    <t>General Servando Canales International Airport</t>
  </si>
  <si>
    <t>Matamoros</t>
  </si>
  <si>
    <t>MAN</t>
  </si>
  <si>
    <t>Manchester Airport</t>
  </si>
  <si>
    <t>MAO</t>
  </si>
  <si>
    <t>Eduardo Gomes International Airport</t>
  </si>
  <si>
    <t>Manaus</t>
  </si>
  <si>
    <t>MAQ</t>
  </si>
  <si>
    <t>Mae Sot Airport</t>
  </si>
  <si>
    <t>MAR</t>
  </si>
  <si>
    <t>La Chinita International Airport</t>
  </si>
  <si>
    <t>MAS</t>
  </si>
  <si>
    <t>Momote Airport</t>
  </si>
  <si>
    <t>Momote</t>
  </si>
  <si>
    <t>MAT</t>
  </si>
  <si>
    <t>Tshimpi Airport</t>
  </si>
  <si>
    <t>Matadi</t>
  </si>
  <si>
    <t>MAU</t>
  </si>
  <si>
    <t>Maupiti Airport</t>
  </si>
  <si>
    <t>Maupiti</t>
  </si>
  <si>
    <t>MAX</t>
  </si>
  <si>
    <t>Ouro Sogui Airport</t>
  </si>
  <si>
    <t>Matam</t>
  </si>
  <si>
    <t>MAZ</t>
  </si>
  <si>
    <t>Eugenio Maria De Hostos Airport</t>
  </si>
  <si>
    <t>Mayaguez</t>
  </si>
  <si>
    <t>MBA</t>
  </si>
  <si>
    <t>Mombasa Moi International Airport</t>
  </si>
  <si>
    <t>Mombasa</t>
  </si>
  <si>
    <t>MBD</t>
  </si>
  <si>
    <t>Mmabatho International Airport</t>
  </si>
  <si>
    <t>Mafeking</t>
  </si>
  <si>
    <t>MBE</t>
  </si>
  <si>
    <t>Monbetsu Airport</t>
  </si>
  <si>
    <t>Monbetsu</t>
  </si>
  <si>
    <t>MBG</t>
  </si>
  <si>
    <t>Mobridge Municipal Airport</t>
  </si>
  <si>
    <t>Mobridge</t>
  </si>
  <si>
    <t>MBH</t>
  </si>
  <si>
    <t>Maryborough Airport</t>
  </si>
  <si>
    <t>Maryborough</t>
  </si>
  <si>
    <t>MBI</t>
  </si>
  <si>
    <t>Mbeya Airport</t>
  </si>
  <si>
    <t>Mbeya</t>
  </si>
  <si>
    <t>MBJ</t>
  </si>
  <si>
    <t>Sangster International Airport</t>
  </si>
  <si>
    <t>Montego Bay</t>
  </si>
  <si>
    <t>MBL</t>
  </si>
  <si>
    <t>Manistee Co Blacker Airport</t>
  </si>
  <si>
    <t>Manistee</t>
  </si>
  <si>
    <t>MBS</t>
  </si>
  <si>
    <t>MBS International Airport</t>
  </si>
  <si>
    <t>Saginaw</t>
  </si>
  <si>
    <t>MBT</t>
  </si>
  <si>
    <t>Moises R. Espinosa Airport</t>
  </si>
  <si>
    <t>Masbate</t>
  </si>
  <si>
    <t>MBU</t>
  </si>
  <si>
    <t>Babanakira Airport</t>
  </si>
  <si>
    <t>Mbambanakira</t>
  </si>
  <si>
    <t>MBW</t>
  </si>
  <si>
    <t>Melbourne Moorabbin Airport</t>
  </si>
  <si>
    <t>Melbourne</t>
  </si>
  <si>
    <t>MBX</t>
  </si>
  <si>
    <t>Maribor Airport</t>
  </si>
  <si>
    <t>Maribor</t>
  </si>
  <si>
    <t>MBZ</t>
  </si>
  <si>
    <t>Maués Airport</t>
  </si>
  <si>
    <t>Maues</t>
  </si>
  <si>
    <t>MCB</t>
  </si>
  <si>
    <t>Mc Comb/Pike County Airport/John E Lewis Field</t>
  </si>
  <si>
    <t>Mc Comb</t>
  </si>
  <si>
    <t>MCC</t>
  </si>
  <si>
    <t>Mc Clellan Airfield</t>
  </si>
  <si>
    <t>Sacramento</t>
  </si>
  <si>
    <t>MCE</t>
  </si>
  <si>
    <t>Merced Regional Macready Field</t>
  </si>
  <si>
    <t>Merced</t>
  </si>
  <si>
    <t>MCF</t>
  </si>
  <si>
    <t>Mac Dill Air Force Base</t>
  </si>
  <si>
    <t>Tampa</t>
  </si>
  <si>
    <t>MCG</t>
  </si>
  <si>
    <t>McGrath Airport</t>
  </si>
  <si>
    <t>Mcgrath</t>
  </si>
  <si>
    <t>MCH</t>
  </si>
  <si>
    <t>General Manuel Serrano Airport</t>
  </si>
  <si>
    <t>Machala</t>
  </si>
  <si>
    <t>MCI</t>
  </si>
  <si>
    <t>Kansas City International Airport</t>
  </si>
  <si>
    <t>Kansas City</t>
  </si>
  <si>
    <t>MCK</t>
  </si>
  <si>
    <t>Mc Cook Ben Nelson Regional Airport</t>
  </si>
  <si>
    <t>McCook</t>
  </si>
  <si>
    <t>MCL</t>
  </si>
  <si>
    <t>McKinley National Park Airport</t>
  </si>
  <si>
    <t>McKinley Park</t>
  </si>
  <si>
    <t>MCN</t>
  </si>
  <si>
    <t>Middle Georgia Regional Airport</t>
  </si>
  <si>
    <t>Macon</t>
  </si>
  <si>
    <t>MCO</t>
  </si>
  <si>
    <t>Orlando International Airport</t>
  </si>
  <si>
    <t>Orlando</t>
  </si>
  <si>
    <t>MCP</t>
  </si>
  <si>
    <t>Alberto Alcolumbre Airport</t>
  </si>
  <si>
    <t>Macapa</t>
  </si>
  <si>
    <t>MCT</t>
  </si>
  <si>
    <t>Muscat International Airport</t>
  </si>
  <si>
    <t>Muscat</t>
  </si>
  <si>
    <t>MCU</t>
  </si>
  <si>
    <t>Montluçon-Guéret Airport</t>
  </si>
  <si>
    <t>Montlucon-gueret</t>
  </si>
  <si>
    <t>MCV</t>
  </si>
  <si>
    <t>McArthur River Mine Airport</t>
  </si>
  <si>
    <t>McArthur River Mine</t>
  </si>
  <si>
    <t>MCW</t>
  </si>
  <si>
    <t>Mason City Municipal Airport</t>
  </si>
  <si>
    <t>Mason City</t>
  </si>
  <si>
    <t>MCX</t>
  </si>
  <si>
    <t>Uytash Airport</t>
  </si>
  <si>
    <t>Makhachkala</t>
  </si>
  <si>
    <t>MCY</t>
  </si>
  <si>
    <t>Sunshine Coast Airport</t>
  </si>
  <si>
    <t>Maroochydore</t>
  </si>
  <si>
    <t>MCZ</t>
  </si>
  <si>
    <t>Zumbi dos Palmares Airport</t>
  </si>
  <si>
    <t>Maceio</t>
  </si>
  <si>
    <t>MDC</t>
  </si>
  <si>
    <t>Sam Ratulangi Airport</t>
  </si>
  <si>
    <t>Manado</t>
  </si>
  <si>
    <t>MDE</t>
  </si>
  <si>
    <t>Jose Maria Córdova International Airport</t>
  </si>
  <si>
    <t>Rio Negro</t>
  </si>
  <si>
    <t>MDG</t>
  </si>
  <si>
    <t>Mudanjiang Hailang International Airport</t>
  </si>
  <si>
    <t>Mudanjiang</t>
  </si>
  <si>
    <t>MDH</t>
  </si>
  <si>
    <t>Southern Illinois Airport</t>
  </si>
  <si>
    <t>Carbondale/Murphysboro</t>
  </si>
  <si>
    <t>MDI</t>
  </si>
  <si>
    <t>Makurdi Airport</t>
  </si>
  <si>
    <t>Makurdi</t>
  </si>
  <si>
    <t>MDK</t>
  </si>
  <si>
    <t>Mbandaka Airport</t>
  </si>
  <si>
    <t>Mbandaka</t>
  </si>
  <si>
    <t>MDL</t>
  </si>
  <si>
    <t>Mandalay International Airport</t>
  </si>
  <si>
    <t>Mandalay</t>
  </si>
  <si>
    <t>MDO</t>
  </si>
  <si>
    <t>El Jagüel / Punta del Este Airport</t>
  </si>
  <si>
    <t>Maldonado</t>
  </si>
  <si>
    <t>MDQ</t>
  </si>
  <si>
    <t>Ástor Piazzola International Airport</t>
  </si>
  <si>
    <t>Mar Del Plata</t>
  </si>
  <si>
    <t>MDS</t>
  </si>
  <si>
    <t>Middle Caicos Airport</t>
  </si>
  <si>
    <t>Middle Caicos</t>
  </si>
  <si>
    <t>MDT</t>
  </si>
  <si>
    <t>Harrisburg International Airport</t>
  </si>
  <si>
    <t>MDU</t>
  </si>
  <si>
    <t>Mendi Airport</t>
  </si>
  <si>
    <t>Mendi</t>
  </si>
  <si>
    <t>MDW</t>
  </si>
  <si>
    <t>Chicago Midway International Airport</t>
  </si>
  <si>
    <t>MDY</t>
  </si>
  <si>
    <t>Midway Islands</t>
  </si>
  <si>
    <t>Midway</t>
  </si>
  <si>
    <t>MDZ</t>
  </si>
  <si>
    <t>El Plumerillo Airport</t>
  </si>
  <si>
    <t>Mendoza</t>
  </si>
  <si>
    <t>MEA</t>
  </si>
  <si>
    <t>Macaé Airport</t>
  </si>
  <si>
    <t>Macaé</t>
  </si>
  <si>
    <t>MEB</t>
  </si>
  <si>
    <t>Melbourne Essendon Airport</t>
  </si>
  <si>
    <t>MEC</t>
  </si>
  <si>
    <t>Eloy Alfaro International Airport</t>
  </si>
  <si>
    <t>Manta</t>
  </si>
  <si>
    <t>MED</t>
  </si>
  <si>
    <t>Prince Mohammad Bin Abdulaziz Airport</t>
  </si>
  <si>
    <t>Madinah</t>
  </si>
  <si>
    <t>MEE</t>
  </si>
  <si>
    <t>Maré Airport</t>
  </si>
  <si>
    <t>Mare</t>
  </si>
  <si>
    <t>MEG</t>
  </si>
  <si>
    <t>Malanje Airport</t>
  </si>
  <si>
    <t>Malanje</t>
  </si>
  <si>
    <t>MEH</t>
  </si>
  <si>
    <t>Mehamn Airport</t>
  </si>
  <si>
    <t>Mehamn</t>
  </si>
  <si>
    <t>MEI</t>
  </si>
  <si>
    <t>Key Field</t>
  </si>
  <si>
    <t>Meridian</t>
  </si>
  <si>
    <t>MEJ</t>
  </si>
  <si>
    <t>Meade Municipal Airport</t>
  </si>
  <si>
    <t>Meade</t>
  </si>
  <si>
    <t>MEK</t>
  </si>
  <si>
    <t>Bassatine Airport</t>
  </si>
  <si>
    <t>Meknes</t>
  </si>
  <si>
    <t>MEL</t>
  </si>
  <si>
    <t>Melbourne International Airport</t>
  </si>
  <si>
    <t>MEM</t>
  </si>
  <si>
    <t>Memphis International Airport</t>
  </si>
  <si>
    <t>MEN</t>
  </si>
  <si>
    <t>Mende-Brenoux Airport</t>
  </si>
  <si>
    <t>Mende</t>
  </si>
  <si>
    <t>MEO</t>
  </si>
  <si>
    <t>Dare County Regional Airport</t>
  </si>
  <si>
    <t>Manteo</t>
  </si>
  <si>
    <t>MEQ</t>
  </si>
  <si>
    <t>Seunagan Airport</t>
  </si>
  <si>
    <t>Nagan Raya</t>
  </si>
  <si>
    <t>MER</t>
  </si>
  <si>
    <t>Castle Airport</t>
  </si>
  <si>
    <t>MES</t>
  </si>
  <si>
    <t>Soewondo Air Force Base</t>
  </si>
  <si>
    <t>MEX</t>
  </si>
  <si>
    <t>Licenciado Benito Juarez International Airport</t>
  </si>
  <si>
    <t>Mexico City</t>
  </si>
  <si>
    <t>MEY</t>
  </si>
  <si>
    <t>Meghauli Airport</t>
  </si>
  <si>
    <t>Meghauli</t>
  </si>
  <si>
    <t>MEZ</t>
  </si>
  <si>
    <t>Morningside Farm Airport</t>
  </si>
  <si>
    <t>Musina</t>
  </si>
  <si>
    <t>MFA</t>
  </si>
  <si>
    <t>Mafia Island Airport</t>
  </si>
  <si>
    <t>Mafia Island</t>
  </si>
  <si>
    <t>MFD</t>
  </si>
  <si>
    <t>Mansfield Lahm Regional Airport</t>
  </si>
  <si>
    <t>Mansfield</t>
  </si>
  <si>
    <t>MFE</t>
  </si>
  <si>
    <t>Mc Allen Miller International Airport</t>
  </si>
  <si>
    <t>Mcallen</t>
  </si>
  <si>
    <t>MFG</t>
  </si>
  <si>
    <t>Muzaffarabad Airport</t>
  </si>
  <si>
    <t>Muzaffarabad</t>
  </si>
  <si>
    <t>MFI</t>
  </si>
  <si>
    <t>Marshfield Municipal Airport</t>
  </si>
  <si>
    <t>MFJ</t>
  </si>
  <si>
    <t>Moala Airport</t>
  </si>
  <si>
    <t>Moala</t>
  </si>
  <si>
    <t>MFK</t>
  </si>
  <si>
    <t>Matsu Beigan Airport</t>
  </si>
  <si>
    <t>MFM</t>
  </si>
  <si>
    <t>Macau International Airport</t>
  </si>
  <si>
    <t>Macau</t>
  </si>
  <si>
    <t>MFN</t>
  </si>
  <si>
    <t>Milford Sound Airport</t>
  </si>
  <si>
    <t>Milford Sound</t>
  </si>
  <si>
    <t>MFQ</t>
  </si>
  <si>
    <t>Maradi Airport</t>
  </si>
  <si>
    <t>Maradi</t>
  </si>
  <si>
    <t>MFR</t>
  </si>
  <si>
    <t>Rogue Valley International Medford Airport</t>
  </si>
  <si>
    <t>Medford</t>
  </si>
  <si>
    <t>MFU</t>
  </si>
  <si>
    <t>Mfuwe Airport</t>
  </si>
  <si>
    <t>Mfuwe</t>
  </si>
  <si>
    <t>MFX</t>
  </si>
  <si>
    <t>Méribel Altiport</t>
  </si>
  <si>
    <t>MGA</t>
  </si>
  <si>
    <t>Augusto C. Sandino (Managua) International Airport</t>
  </si>
  <si>
    <t>Managua</t>
  </si>
  <si>
    <t>MGB</t>
  </si>
  <si>
    <t>Mount Gambier Airport</t>
  </si>
  <si>
    <t>Mount Gambier</t>
  </si>
  <si>
    <t>MGC</t>
  </si>
  <si>
    <t>Michigan City Municipal Airport</t>
  </si>
  <si>
    <t>Michigan City</t>
  </si>
  <si>
    <t>MGE</t>
  </si>
  <si>
    <t>Dobbins Air Reserve Base</t>
  </si>
  <si>
    <t>Marietta</t>
  </si>
  <si>
    <t>MGF</t>
  </si>
  <si>
    <t>Regional de Maringá - Sílvio Nane Junior Airport</t>
  </si>
  <si>
    <t>Maringa</t>
  </si>
  <si>
    <t>MGH</t>
  </si>
  <si>
    <t>Margate Airport</t>
  </si>
  <si>
    <t>Margate</t>
  </si>
  <si>
    <t>MGJ</t>
  </si>
  <si>
    <t>Orange County Airport</t>
  </si>
  <si>
    <t>Montgomery</t>
  </si>
  <si>
    <t>MGL</t>
  </si>
  <si>
    <t>Mönchengladbach Airport</t>
  </si>
  <si>
    <t>Moenchengladbach</t>
  </si>
  <si>
    <t>MGM</t>
  </si>
  <si>
    <t>Montgomery Regional (Dannelly Field) Airport</t>
  </si>
  <si>
    <t>MONTGOMERY</t>
  </si>
  <si>
    <t>MGN</t>
  </si>
  <si>
    <t>Baracoa Airport</t>
  </si>
  <si>
    <t>Magangue</t>
  </si>
  <si>
    <t>MGQ</t>
  </si>
  <si>
    <t>Aden Adde International Airport</t>
  </si>
  <si>
    <t>Mogadishu</t>
  </si>
  <si>
    <t>MGS</t>
  </si>
  <si>
    <t>Mangaia Island Airport</t>
  </si>
  <si>
    <t>Mangaia Island</t>
  </si>
  <si>
    <t>MGT</t>
  </si>
  <si>
    <t>Milingimbi Airport</t>
  </si>
  <si>
    <t>Milingimbi</t>
  </si>
  <si>
    <t>MGW</t>
  </si>
  <si>
    <t>Morgantown Municipal Walter L. Bill Hart Field</t>
  </si>
  <si>
    <t>Morgantown</t>
  </si>
  <si>
    <t>MGY</t>
  </si>
  <si>
    <t>Dayton-Wright Brothers Airport</t>
  </si>
  <si>
    <t>MGZ</t>
  </si>
  <si>
    <t>Myeik Airport</t>
  </si>
  <si>
    <t>Myeik</t>
  </si>
  <si>
    <t>MHA</t>
  </si>
  <si>
    <t>Mahdia Airport</t>
  </si>
  <si>
    <t>Mahdia</t>
  </si>
  <si>
    <t>MHC</t>
  </si>
  <si>
    <t>Mocopulli Airport</t>
  </si>
  <si>
    <t>Castro</t>
  </si>
  <si>
    <t>MHD</t>
  </si>
  <si>
    <t>Mashhad International Airport</t>
  </si>
  <si>
    <t>Mashhad</t>
  </si>
  <si>
    <t>MHG</t>
  </si>
  <si>
    <t>Mannheim-City Airport</t>
  </si>
  <si>
    <t>Mannheim</t>
  </si>
  <si>
    <t>MHH</t>
  </si>
  <si>
    <t>Marsh Harbour International Airport</t>
  </si>
  <si>
    <t>Marsh Harbor</t>
  </si>
  <si>
    <t>MHK</t>
  </si>
  <si>
    <t>Manhattan Regional Airport</t>
  </si>
  <si>
    <t>Manhattan</t>
  </si>
  <si>
    <t>MHM</t>
  </si>
  <si>
    <t>Minchumina Airport</t>
  </si>
  <si>
    <t>Lake Minchumina</t>
  </si>
  <si>
    <t>MHP</t>
  </si>
  <si>
    <t>Minsk 1 Airport</t>
  </si>
  <si>
    <t>MHQ</t>
  </si>
  <si>
    <t>Mariehamn Airport</t>
  </si>
  <si>
    <t>Mariehamn</t>
  </si>
  <si>
    <t>MHR</t>
  </si>
  <si>
    <t>Sacramento Mather Airport</t>
  </si>
  <si>
    <t>MHT</t>
  </si>
  <si>
    <t>Manchester NH</t>
  </si>
  <si>
    <t>MHU</t>
  </si>
  <si>
    <t>Mount Hotham Airport</t>
  </si>
  <si>
    <t>Mount Hotham</t>
  </si>
  <si>
    <t>MHV</t>
  </si>
  <si>
    <t>Mojave Airport</t>
  </si>
  <si>
    <t>Mojave</t>
  </si>
  <si>
    <t>MHX</t>
  </si>
  <si>
    <t>Manihiki Island Airport</t>
  </si>
  <si>
    <t>Manihiki Island</t>
  </si>
  <si>
    <t>MHZ</t>
  </si>
  <si>
    <t>RAF Mildenhall</t>
  </si>
  <si>
    <t>Mildenhall</t>
  </si>
  <si>
    <t>MIA</t>
  </si>
  <si>
    <t>Miami International Airport</t>
  </si>
  <si>
    <t>Miami</t>
  </si>
  <si>
    <t>MIB</t>
  </si>
  <si>
    <t>Minot Air Force Base</t>
  </si>
  <si>
    <t>Minot</t>
  </si>
  <si>
    <t>MIC</t>
  </si>
  <si>
    <t>Crystal Airport</t>
  </si>
  <si>
    <t>Crystal</t>
  </si>
  <si>
    <t>MID</t>
  </si>
  <si>
    <t>Licenciado Manuel Crescencio Rejon Int Airport</t>
  </si>
  <si>
    <t>Merida</t>
  </si>
  <si>
    <t>MIE</t>
  </si>
  <si>
    <t>Delaware County Johnson Field</t>
  </si>
  <si>
    <t>Muncie</t>
  </si>
  <si>
    <t>MIG</t>
  </si>
  <si>
    <t>Mianyang Airport</t>
  </si>
  <si>
    <t>Mianyang</t>
  </si>
  <si>
    <t>MII</t>
  </si>
  <si>
    <t>Frank Miloye Milenkowichi–Marília State Airport</t>
  </si>
  <si>
    <t>Marília</t>
  </si>
  <si>
    <t>MIJ</t>
  </si>
  <si>
    <t>Mili Island Airport</t>
  </si>
  <si>
    <t>Mili Island</t>
  </si>
  <si>
    <t>MIK</t>
  </si>
  <si>
    <t>Mikkeli Airport</t>
  </si>
  <si>
    <t>Mikkeli</t>
  </si>
  <si>
    <t>MIM</t>
  </si>
  <si>
    <t>Merimbula Airport</t>
  </si>
  <si>
    <t>Merimbula</t>
  </si>
  <si>
    <t>MIR</t>
  </si>
  <si>
    <t>Monastir Habib Bourguiba International Airport</t>
  </si>
  <si>
    <t>Monastir</t>
  </si>
  <si>
    <t>MIS</t>
  </si>
  <si>
    <t>Misima Island Airport</t>
  </si>
  <si>
    <t>Misima Island</t>
  </si>
  <si>
    <t>MIU</t>
  </si>
  <si>
    <t>Maiduguri International Airport</t>
  </si>
  <si>
    <t>Maiduguri</t>
  </si>
  <si>
    <t>MIV</t>
  </si>
  <si>
    <t>Millville Municipal Airport</t>
  </si>
  <si>
    <t>Millville</t>
  </si>
  <si>
    <t>MJA</t>
  </si>
  <si>
    <t>Manja Airport</t>
  </si>
  <si>
    <t>Manja</t>
  </si>
  <si>
    <t>MJC</t>
  </si>
  <si>
    <t>Man Airport</t>
  </si>
  <si>
    <t>Man</t>
  </si>
  <si>
    <t>MJD</t>
  </si>
  <si>
    <t>Moenjodaro Airport</t>
  </si>
  <si>
    <t>Moenjodaro</t>
  </si>
  <si>
    <t>MJF</t>
  </si>
  <si>
    <t>Mosjøen Airport (Kjærstad)</t>
  </si>
  <si>
    <t>Mosjoen</t>
  </si>
  <si>
    <t>MJI</t>
  </si>
  <si>
    <t>Mitiga Airport</t>
  </si>
  <si>
    <t>Tripoli</t>
  </si>
  <si>
    <t>MJK</t>
  </si>
  <si>
    <t>Shark Bay Airport</t>
  </si>
  <si>
    <t>Shark Bay</t>
  </si>
  <si>
    <t>MJL</t>
  </si>
  <si>
    <t>Mouilla Ville Airport</t>
  </si>
  <si>
    <t>Mouila</t>
  </si>
  <si>
    <t>MJM</t>
  </si>
  <si>
    <t>Mbuji Mayi Airport</t>
  </si>
  <si>
    <t>Mbuji-mayi</t>
  </si>
  <si>
    <t>MJN</t>
  </si>
  <si>
    <t>Amborovy Airport</t>
  </si>
  <si>
    <t>Mahajanga</t>
  </si>
  <si>
    <t>MJT</t>
  </si>
  <si>
    <t>Mytilene International Airport</t>
  </si>
  <si>
    <t>Mytilini</t>
  </si>
  <si>
    <t>MJV</t>
  </si>
  <si>
    <t>San Javier Airport</t>
  </si>
  <si>
    <t>MJZ</t>
  </si>
  <si>
    <t>Mirny Airport</t>
  </si>
  <si>
    <t>Mirnyj</t>
  </si>
  <si>
    <t>MKC</t>
  </si>
  <si>
    <t>Charles B. Wheeler Downtown Airport</t>
  </si>
  <si>
    <t>MKE</t>
  </si>
  <si>
    <t>General Mitchell International Airport</t>
  </si>
  <si>
    <t>Milwaukee</t>
  </si>
  <si>
    <t>MKG</t>
  </si>
  <si>
    <t>Muskegon County Airport</t>
  </si>
  <si>
    <t>Muskegon</t>
  </si>
  <si>
    <t>MKK</t>
  </si>
  <si>
    <t>Molokai Airport</t>
  </si>
  <si>
    <t>MKL</t>
  </si>
  <si>
    <t>Mc Kellar Sipes Regional Airport</t>
  </si>
  <si>
    <t>MKM</t>
  </si>
  <si>
    <t>Mukah Airport</t>
  </si>
  <si>
    <t>Mukah</t>
  </si>
  <si>
    <t>MKO</t>
  </si>
  <si>
    <t>Davis Field</t>
  </si>
  <si>
    <t>Muskogee</t>
  </si>
  <si>
    <t>MKP</t>
  </si>
  <si>
    <t>Makemo Airport</t>
  </si>
  <si>
    <t>Makemo</t>
  </si>
  <si>
    <t>MKQ</t>
  </si>
  <si>
    <t>Mopah Airport</t>
  </si>
  <si>
    <t>Merauke</t>
  </si>
  <si>
    <t>MKR</t>
  </si>
  <si>
    <t>Meekatharra Airport</t>
  </si>
  <si>
    <t>Meekatharra</t>
  </si>
  <si>
    <t>MKS</t>
  </si>
  <si>
    <t>Mekane Selam Airport</t>
  </si>
  <si>
    <t>Mekane Selam</t>
  </si>
  <si>
    <t>MKT</t>
  </si>
  <si>
    <t>Mankato Regional Airport</t>
  </si>
  <si>
    <t>Mankato</t>
  </si>
  <si>
    <t>MKU</t>
  </si>
  <si>
    <t>Makokou Airport</t>
  </si>
  <si>
    <t>Makokou</t>
  </si>
  <si>
    <t>MKW</t>
  </si>
  <si>
    <t>Rendani Airport</t>
  </si>
  <si>
    <t>Manokwari</t>
  </si>
  <si>
    <t>MKY</t>
  </si>
  <si>
    <t>Mackay Airport</t>
  </si>
  <si>
    <t>Mackay</t>
  </si>
  <si>
    <t>MKZ</t>
  </si>
  <si>
    <t>Malacca Airport</t>
  </si>
  <si>
    <t>Malacca</t>
  </si>
  <si>
    <t>MLA</t>
  </si>
  <si>
    <t>Malta International Airport</t>
  </si>
  <si>
    <t>MLB</t>
  </si>
  <si>
    <t>MLC</t>
  </si>
  <si>
    <t>Mc Alester Regional Airport</t>
  </si>
  <si>
    <t>Mcalester</t>
  </si>
  <si>
    <t>MLD</t>
  </si>
  <si>
    <t>Malad City Airport</t>
  </si>
  <si>
    <t>Malad City</t>
  </si>
  <si>
    <t>MLE</t>
  </si>
  <si>
    <t>Malé International Airport</t>
  </si>
  <si>
    <t>Male</t>
  </si>
  <si>
    <t>MLG</t>
  </si>
  <si>
    <t>Abdul Rachman Saleh Airport</t>
  </si>
  <si>
    <t>Malang</t>
  </si>
  <si>
    <t>MLI</t>
  </si>
  <si>
    <t>Quad City International Airport</t>
  </si>
  <si>
    <t>Moline</t>
  </si>
  <si>
    <t>MLJ</t>
  </si>
  <si>
    <t>Baldwin County Airport</t>
  </si>
  <si>
    <t>Milledgeville</t>
  </si>
  <si>
    <t>MLL</t>
  </si>
  <si>
    <t>Marshall Don Hunter Sr Airport</t>
  </si>
  <si>
    <t>MLM</t>
  </si>
  <si>
    <t>General Francisco J. Mujica International Airport</t>
  </si>
  <si>
    <t>Morelia</t>
  </si>
  <si>
    <t>MLN</t>
  </si>
  <si>
    <t>Melilla Airport</t>
  </si>
  <si>
    <t>Melilla</t>
  </si>
  <si>
    <t>MLO</t>
  </si>
  <si>
    <t>Milos Airport</t>
  </si>
  <si>
    <t>Milos</t>
  </si>
  <si>
    <t>MLS</t>
  </si>
  <si>
    <t>Frank Wiley Field</t>
  </si>
  <si>
    <t>Miles City</t>
  </si>
  <si>
    <t>MLT</t>
  </si>
  <si>
    <t>Millinocket Municipal Airport</t>
  </si>
  <si>
    <t>Millinocket</t>
  </si>
  <si>
    <t>MLU</t>
  </si>
  <si>
    <t>Monroe Regional Airport</t>
  </si>
  <si>
    <t>MLW</t>
  </si>
  <si>
    <t>Spriggs Payne Airport</t>
  </si>
  <si>
    <t>Monrovia</t>
  </si>
  <si>
    <t>MLX</t>
  </si>
  <si>
    <t>Malatya Tulga Airport</t>
  </si>
  <si>
    <t>MLY</t>
  </si>
  <si>
    <t>Manley Hot Springs Airport</t>
  </si>
  <si>
    <t>Manley Hot Springs</t>
  </si>
  <si>
    <t>MLZ</t>
  </si>
  <si>
    <t>Cerro Largo International Airport</t>
  </si>
  <si>
    <t>Melo</t>
  </si>
  <si>
    <t>MMB</t>
  </si>
  <si>
    <t>Memanbetsu Airport</t>
  </si>
  <si>
    <t>Memanbetsu</t>
  </si>
  <si>
    <t>MMD</t>
  </si>
  <si>
    <t>Minami-Daito Airport</t>
  </si>
  <si>
    <t>Minami Daito</t>
  </si>
  <si>
    <t>MME</t>
  </si>
  <si>
    <t>Durham Tees Valley Airport</t>
  </si>
  <si>
    <t>Teesside</t>
  </si>
  <si>
    <t>MMG</t>
  </si>
  <si>
    <t>Mount Magnet Airport</t>
  </si>
  <si>
    <t>Mount Magnet</t>
  </si>
  <si>
    <t>MMH</t>
  </si>
  <si>
    <t>Mammoth Yosemite Airport</t>
  </si>
  <si>
    <t>Mammoth Lakes</t>
  </si>
  <si>
    <t>MMI</t>
  </si>
  <si>
    <t>McMinn County Airport</t>
  </si>
  <si>
    <t>MMJ</t>
  </si>
  <si>
    <t>Matsumoto Airport</t>
  </si>
  <si>
    <t>Matsumoto</t>
  </si>
  <si>
    <t>MMK</t>
  </si>
  <si>
    <t>Murmansk Airport</t>
  </si>
  <si>
    <t>MMO</t>
  </si>
  <si>
    <t>Maio Airport</t>
  </si>
  <si>
    <t>Maio</t>
  </si>
  <si>
    <t>MMT</t>
  </si>
  <si>
    <t>Mc Entire Joint National Guard Base</t>
  </si>
  <si>
    <t>Eastover</t>
  </si>
  <si>
    <t>MMU</t>
  </si>
  <si>
    <t>Morristown Municipal Airport</t>
  </si>
  <si>
    <t>MMV</t>
  </si>
  <si>
    <t>Mc Minnville Municipal Airport</t>
  </si>
  <si>
    <t>Mackminnville</t>
  </si>
  <si>
    <t>MMX</t>
  </si>
  <si>
    <t>Malmö Sturup Airport</t>
  </si>
  <si>
    <t>Malmoe</t>
  </si>
  <si>
    <t>MMY</t>
  </si>
  <si>
    <t>Miyako Airport</t>
  </si>
  <si>
    <t>Miyako</t>
  </si>
  <si>
    <t>MMZ</t>
  </si>
  <si>
    <t>Maimana Airport</t>
  </si>
  <si>
    <t>Maimama</t>
  </si>
  <si>
    <t>MNA</t>
  </si>
  <si>
    <t>Melangguane Airport</t>
  </si>
  <si>
    <t>Melonguane</t>
  </si>
  <si>
    <t>MNB</t>
  </si>
  <si>
    <t>Muanda Airport</t>
  </si>
  <si>
    <t>Muanda</t>
  </si>
  <si>
    <t>MNC</t>
  </si>
  <si>
    <t>Nacala Airport</t>
  </si>
  <si>
    <t>Nacala</t>
  </si>
  <si>
    <t>MNF</t>
  </si>
  <si>
    <t>Mana Island Airport</t>
  </si>
  <si>
    <t>Mana Island</t>
  </si>
  <si>
    <t>MNG</t>
  </si>
  <si>
    <t>Maningrida Airport</t>
  </si>
  <si>
    <t>Maningrida</t>
  </si>
  <si>
    <t>MNI</t>
  </si>
  <si>
    <t>John A. Osborne Airport</t>
  </si>
  <si>
    <t>Montserrat</t>
  </si>
  <si>
    <t>Geralds</t>
  </si>
  <si>
    <t>MNJ</t>
  </si>
  <si>
    <t>Mananjary Airport</t>
  </si>
  <si>
    <t>Mananjary</t>
  </si>
  <si>
    <t>MNK</t>
  </si>
  <si>
    <t>Maiana Airport</t>
  </si>
  <si>
    <t>Maiana</t>
  </si>
  <si>
    <t>MNL</t>
  </si>
  <si>
    <t>Ninoy Aquino International Airport</t>
  </si>
  <si>
    <t>Manila</t>
  </si>
  <si>
    <t>MNM</t>
  </si>
  <si>
    <t>Menominee Marinette Twin County Airport</t>
  </si>
  <si>
    <t>MNU</t>
  </si>
  <si>
    <t>Mawlamyine Airport</t>
  </si>
  <si>
    <t>Mawlamyine</t>
  </si>
  <si>
    <t>MNX</t>
  </si>
  <si>
    <t>Manicoré Airport</t>
  </si>
  <si>
    <t>Manicore</t>
  </si>
  <si>
    <t>MNY</t>
  </si>
  <si>
    <t>Mono Airport</t>
  </si>
  <si>
    <t>Stirling Island</t>
  </si>
  <si>
    <t>MNZ</t>
  </si>
  <si>
    <t>Manassas Regional Airport/Harry P. Davis Field</t>
  </si>
  <si>
    <t>Manassas</t>
  </si>
  <si>
    <t>MOA</t>
  </si>
  <si>
    <t>Orestes Acosta Airport</t>
  </si>
  <si>
    <t>Moa</t>
  </si>
  <si>
    <t>MOB</t>
  </si>
  <si>
    <t>Mobile Regional Airport</t>
  </si>
  <si>
    <t>MOC</t>
  </si>
  <si>
    <t>Mário Ribeiro Airport</t>
  </si>
  <si>
    <t>Montes Claros</t>
  </si>
  <si>
    <t>MOD</t>
  </si>
  <si>
    <t>Modesto City Co-Harry Sham Field</t>
  </si>
  <si>
    <t>Modesto</t>
  </si>
  <si>
    <t>MOF</t>
  </si>
  <si>
    <t>Maumere(Wai Oti) Airport</t>
  </si>
  <si>
    <t>Maumere</t>
  </si>
  <si>
    <t>MOG</t>
  </si>
  <si>
    <t>Mong Hsat Airport</t>
  </si>
  <si>
    <t>Mong Hsat</t>
  </si>
  <si>
    <t>MOI</t>
  </si>
  <si>
    <t>Mitiaro Island Airport</t>
  </si>
  <si>
    <t>Mitiaro Island</t>
  </si>
  <si>
    <t>MOL</t>
  </si>
  <si>
    <t>Molde Airport</t>
  </si>
  <si>
    <t>Molde</t>
  </si>
  <si>
    <t>MON</t>
  </si>
  <si>
    <t>Mount Cook Airport</t>
  </si>
  <si>
    <t>Mount Cook</t>
  </si>
  <si>
    <t>MOO</t>
  </si>
  <si>
    <t>Moomba Airport</t>
  </si>
  <si>
    <t>Moomba</t>
  </si>
  <si>
    <t>MOQ</t>
  </si>
  <si>
    <t>Morondava Airport</t>
  </si>
  <si>
    <t>Morondava</t>
  </si>
  <si>
    <t>MOT</t>
  </si>
  <si>
    <t>Minot International Airport</t>
  </si>
  <si>
    <t>MOU</t>
  </si>
  <si>
    <t>Mountain Village Airport</t>
  </si>
  <si>
    <t>Mountain Village</t>
  </si>
  <si>
    <t>MOV</t>
  </si>
  <si>
    <t>Moranbah Airport</t>
  </si>
  <si>
    <t>Moranbah</t>
  </si>
  <si>
    <t>MOZ</t>
  </si>
  <si>
    <t>Moorea Airport</t>
  </si>
  <si>
    <t>Moorea</t>
  </si>
  <si>
    <t>MPA</t>
  </si>
  <si>
    <t>Katima Mulilo Airport</t>
  </si>
  <si>
    <t>Mpacha</t>
  </si>
  <si>
    <t>MPD</t>
  </si>
  <si>
    <t>Mirpur Khas Air Base</t>
  </si>
  <si>
    <t>Mirpur Khas</t>
  </si>
  <si>
    <t>MPH</t>
  </si>
  <si>
    <t>Godofredo P. Ramos Airport</t>
  </si>
  <si>
    <t>Caticlan</t>
  </si>
  <si>
    <t>MPK</t>
  </si>
  <si>
    <t>Mokpo Heliport</t>
  </si>
  <si>
    <t>Mokpo</t>
  </si>
  <si>
    <t>MPL</t>
  </si>
  <si>
    <t>Montpellier-Méditerranée Airport</t>
  </si>
  <si>
    <t>Montpellier</t>
  </si>
  <si>
    <t>MPM</t>
  </si>
  <si>
    <t>Maputo Airport</t>
  </si>
  <si>
    <t>Maputo</t>
  </si>
  <si>
    <t>MPN</t>
  </si>
  <si>
    <t>Mount Pleasant Airport</t>
  </si>
  <si>
    <t>Falkland Islands</t>
  </si>
  <si>
    <t>MPO</t>
  </si>
  <si>
    <t>Pocono Mountains Municipal Airport</t>
  </si>
  <si>
    <t>Mount Pocono</t>
  </si>
  <si>
    <t>MPR</t>
  </si>
  <si>
    <t>Mc Pherson Airport</t>
  </si>
  <si>
    <t>Mc Pherson</t>
  </si>
  <si>
    <t>MPV</t>
  </si>
  <si>
    <t>Edward F Knapp State Airport</t>
  </si>
  <si>
    <t>Montpelier</t>
  </si>
  <si>
    <t>MPW</t>
  </si>
  <si>
    <t>Mariupol International Airport</t>
  </si>
  <si>
    <t>Mariupol International</t>
  </si>
  <si>
    <t>MPY</t>
  </si>
  <si>
    <t>Maripasoula Airport</t>
  </si>
  <si>
    <t>Maripasoula</t>
  </si>
  <si>
    <t>MQC</t>
  </si>
  <si>
    <t>Miquelon Airport</t>
  </si>
  <si>
    <t>Miquelon</t>
  </si>
  <si>
    <t>MQF</t>
  </si>
  <si>
    <t>Magnitogorsk International Airport</t>
  </si>
  <si>
    <t>Magnetiogorsk</t>
  </si>
  <si>
    <t>MQH</t>
  </si>
  <si>
    <t>Minaçu Airport</t>
  </si>
  <si>
    <t>Minacu</t>
  </si>
  <si>
    <t>MQL</t>
  </si>
  <si>
    <t>Mildura Airport</t>
  </si>
  <si>
    <t>Mildura</t>
  </si>
  <si>
    <t>MQM</t>
  </si>
  <si>
    <t>Mardin Airport</t>
  </si>
  <si>
    <t>Mardin</t>
  </si>
  <si>
    <t>MQN</t>
  </si>
  <si>
    <t>Mo i Rana Airport, Røssvoll</t>
  </si>
  <si>
    <t>Mo i Rana</t>
  </si>
  <si>
    <t>MQP</t>
  </si>
  <si>
    <t>Kruger Mpumalanga International Airport</t>
  </si>
  <si>
    <t>Mpumalanga</t>
  </si>
  <si>
    <t>MQQ</t>
  </si>
  <si>
    <t>Moundou Airport</t>
  </si>
  <si>
    <t>Moundou</t>
  </si>
  <si>
    <t>MQS</t>
  </si>
  <si>
    <t>Mustique Airport</t>
  </si>
  <si>
    <t>Mustique</t>
  </si>
  <si>
    <t>MQT</t>
  </si>
  <si>
    <t>Sawyer International Airport</t>
  </si>
  <si>
    <t>Gwinn</t>
  </si>
  <si>
    <t>MQX</t>
  </si>
  <si>
    <t>Mekele Airport</t>
  </si>
  <si>
    <t>Makale</t>
  </si>
  <si>
    <t>MQZ</t>
  </si>
  <si>
    <t>Marandúa Air Base</t>
  </si>
  <si>
    <t>Marandúa</t>
  </si>
  <si>
    <t>MRB</t>
  </si>
  <si>
    <t>Eastern WV Regional Airport/Shepherd Field</t>
  </si>
  <si>
    <t>Martinsburg</t>
  </si>
  <si>
    <t>MRD</t>
  </si>
  <si>
    <t>Alberto Carnevalli Airport</t>
  </si>
  <si>
    <t>MRE</t>
  </si>
  <si>
    <t>Mara Serena Lodge Airstrip</t>
  </si>
  <si>
    <t>Masai Mara</t>
  </si>
  <si>
    <t>MRF</t>
  </si>
  <si>
    <t>Marfa Municipal Airport</t>
  </si>
  <si>
    <t>Marfa</t>
  </si>
  <si>
    <t>MRG</t>
  </si>
  <si>
    <t>Mareeba Airport</t>
  </si>
  <si>
    <t>MRI</t>
  </si>
  <si>
    <t>Merrill Field</t>
  </si>
  <si>
    <t>MRK</t>
  </si>
  <si>
    <t>Marco Island Airport</t>
  </si>
  <si>
    <t>MRN</t>
  </si>
  <si>
    <t>Foothills Regional Airport</t>
  </si>
  <si>
    <t>Morganton</t>
  </si>
  <si>
    <t>MRO</t>
  </si>
  <si>
    <t>Hood Airport</t>
  </si>
  <si>
    <t>Masterton</t>
  </si>
  <si>
    <t>MRQ</t>
  </si>
  <si>
    <t>Marinduque Airport</t>
  </si>
  <si>
    <t>Gasan</t>
  </si>
  <si>
    <t>MRS</t>
  </si>
  <si>
    <t>Marseille Provence Airport</t>
  </si>
  <si>
    <t>Marseille</t>
  </si>
  <si>
    <t>MRT</t>
  </si>
  <si>
    <t>Union County Airport</t>
  </si>
  <si>
    <t>MRU</t>
  </si>
  <si>
    <t>Sir Seewoosagur Ramgoolam International Airport</t>
  </si>
  <si>
    <t>Plaisance</t>
  </si>
  <si>
    <t>MRV</t>
  </si>
  <si>
    <t>Mineralnyye Vody Airport</t>
  </si>
  <si>
    <t>Mineralnye Vody</t>
  </si>
  <si>
    <t>MRX</t>
  </si>
  <si>
    <t>Mahshahr Airport</t>
  </si>
  <si>
    <t>Bandar Mahshahr</t>
  </si>
  <si>
    <t>MRY</t>
  </si>
  <si>
    <t>Monterey Peninsula Airport</t>
  </si>
  <si>
    <t>Monterey</t>
  </si>
  <si>
    <t>MRZ</t>
  </si>
  <si>
    <t>Moree Airport</t>
  </si>
  <si>
    <t>Moree</t>
  </si>
  <si>
    <t>MSA</t>
  </si>
  <si>
    <t>Muskrat Dam Airport</t>
  </si>
  <si>
    <t>Muskrat Dam</t>
  </si>
  <si>
    <t>MSE</t>
  </si>
  <si>
    <t>Kent International Airport</t>
  </si>
  <si>
    <t>Manston</t>
  </si>
  <si>
    <t>MSH</t>
  </si>
  <si>
    <t>Masirah Air Base</t>
  </si>
  <si>
    <t>Masirah</t>
  </si>
  <si>
    <t>MSI</t>
  </si>
  <si>
    <t>Fazenda Palmital Airport</t>
  </si>
  <si>
    <t>South Aari Atoll</t>
  </si>
  <si>
    <t>MSJ</t>
  </si>
  <si>
    <t>Misawa Air Base</t>
  </si>
  <si>
    <t>Misawa</t>
  </si>
  <si>
    <t>MSL</t>
  </si>
  <si>
    <t>Northwest Alabama Regional Airport</t>
  </si>
  <si>
    <t>Muscle Shoals</t>
  </si>
  <si>
    <t>MSN</t>
  </si>
  <si>
    <t>Dane County Regional Truax Field</t>
  </si>
  <si>
    <t>MSO</t>
  </si>
  <si>
    <t>Missoula International Airport</t>
  </si>
  <si>
    <t>Missoula</t>
  </si>
  <si>
    <t>MSP</t>
  </si>
  <si>
    <t>Minneapolis-St Paul International/Wold-Chamberlain Airport</t>
  </si>
  <si>
    <t>Minneapolis</t>
  </si>
  <si>
    <t>MSQ</t>
  </si>
  <si>
    <t>Minsk National Airport</t>
  </si>
  <si>
    <t>Minsk 2</t>
  </si>
  <si>
    <t>MSR</t>
  </si>
  <si>
    <t>Muş Airport</t>
  </si>
  <si>
    <t>Mus</t>
  </si>
  <si>
    <t>MSS</t>
  </si>
  <si>
    <t>Massena International Richards Field</t>
  </si>
  <si>
    <t>Massena</t>
  </si>
  <si>
    <t>MST</t>
  </si>
  <si>
    <t>Maastricht Aachen Airport</t>
  </si>
  <si>
    <t>Maastricht</t>
  </si>
  <si>
    <t>MSU</t>
  </si>
  <si>
    <t>Moshoeshoe I International Airport</t>
  </si>
  <si>
    <t>MSW</t>
  </si>
  <si>
    <t>Massawa International Airport</t>
  </si>
  <si>
    <t>Massawa</t>
  </si>
  <si>
    <t>MSY</t>
  </si>
  <si>
    <t>Louis Armstrong New Orleans International Airport</t>
  </si>
  <si>
    <t>New Orleans</t>
  </si>
  <si>
    <t>MSZ</t>
  </si>
  <si>
    <t>Namibe Airport</t>
  </si>
  <si>
    <t>Mocamedes</t>
  </si>
  <si>
    <t>MTC</t>
  </si>
  <si>
    <t>Selfridge Angb Airport</t>
  </si>
  <si>
    <t>Mount Clemens</t>
  </si>
  <si>
    <t>MTF</t>
  </si>
  <si>
    <t>Mizan Teferi Airport</t>
  </si>
  <si>
    <t>Mizan Teferi</t>
  </si>
  <si>
    <t>MTH</t>
  </si>
  <si>
    <t>The Florida Keys Marathon Airport</t>
  </si>
  <si>
    <t>Marathon</t>
  </si>
  <si>
    <t>MTJ</t>
  </si>
  <si>
    <t>Montrose Regional Airport</t>
  </si>
  <si>
    <t>Montrose CO</t>
  </si>
  <si>
    <t>MTK</t>
  </si>
  <si>
    <t>Makin Island Airport</t>
  </si>
  <si>
    <t>Makin</t>
  </si>
  <si>
    <t>MTL</t>
  </si>
  <si>
    <t>Maitland Airport</t>
  </si>
  <si>
    <t>Maitland</t>
  </si>
  <si>
    <t>MTM</t>
  </si>
  <si>
    <t>Metlakatla Seaplane Base</t>
  </si>
  <si>
    <t>Metakatla</t>
  </si>
  <si>
    <t>MTN</t>
  </si>
  <si>
    <t>Martin State Airport</t>
  </si>
  <si>
    <t>MTP</t>
  </si>
  <si>
    <t>Montauk Airport</t>
  </si>
  <si>
    <t>Montauk</t>
  </si>
  <si>
    <t>MTR</t>
  </si>
  <si>
    <t>Los Garzones Airport</t>
  </si>
  <si>
    <t>Monteria</t>
  </si>
  <si>
    <t>MTS</t>
  </si>
  <si>
    <t>Matsapha Airport</t>
  </si>
  <si>
    <t>Swaziland</t>
  </si>
  <si>
    <t>Manzini</t>
  </si>
  <si>
    <t>MTT</t>
  </si>
  <si>
    <t>Minatitlán/Coatzacoalcos National Airport</t>
  </si>
  <si>
    <t>Minatitlan</t>
  </si>
  <si>
    <t>MTV</t>
  </si>
  <si>
    <t>Mota Lava Airport</t>
  </si>
  <si>
    <t>Ablow</t>
  </si>
  <si>
    <t>MTY</t>
  </si>
  <si>
    <t>General Mariano Escobedo International Airport</t>
  </si>
  <si>
    <t>Monterrey</t>
  </si>
  <si>
    <t>MUA</t>
  </si>
  <si>
    <t>Munda Airport</t>
  </si>
  <si>
    <t>Munda</t>
  </si>
  <si>
    <t>MUB</t>
  </si>
  <si>
    <t>Maun Airport</t>
  </si>
  <si>
    <t>Maun</t>
  </si>
  <si>
    <t>MUC</t>
  </si>
  <si>
    <t>Munich International Airport</t>
  </si>
  <si>
    <t>Munich</t>
  </si>
  <si>
    <t>MUE</t>
  </si>
  <si>
    <t>Waimea Kohala Airport</t>
  </si>
  <si>
    <t>Kamuela</t>
  </si>
  <si>
    <t>MUH</t>
  </si>
  <si>
    <t>Mersa Matruh Airport</t>
  </si>
  <si>
    <t>Mersa-matruh</t>
  </si>
  <si>
    <t>MUI</t>
  </si>
  <si>
    <t>Muir Army Air Field (Fort Indiantown Gap) Airport</t>
  </si>
  <si>
    <t>Muir</t>
  </si>
  <si>
    <t>MUK</t>
  </si>
  <si>
    <t>Mauke Airport</t>
  </si>
  <si>
    <t>Mauke Island</t>
  </si>
  <si>
    <t>MUN</t>
  </si>
  <si>
    <t>Maturín Airport</t>
  </si>
  <si>
    <t>Maturin</t>
  </si>
  <si>
    <t>MUO</t>
  </si>
  <si>
    <t>Mountain Home Air Force Base</t>
  </si>
  <si>
    <t>Mountain Home</t>
  </si>
  <si>
    <t>MUR</t>
  </si>
  <si>
    <t>Marudi Airport</t>
  </si>
  <si>
    <t>Marudi</t>
  </si>
  <si>
    <t>MUW</t>
  </si>
  <si>
    <t>Ghriss Airport</t>
  </si>
  <si>
    <t>Ghriss</t>
  </si>
  <si>
    <t>MUX</t>
  </si>
  <si>
    <t>Multan International Airport</t>
  </si>
  <si>
    <t>Multan</t>
  </si>
  <si>
    <t>MUZ</t>
  </si>
  <si>
    <t>Musoma Airport</t>
  </si>
  <si>
    <t>Musoma</t>
  </si>
  <si>
    <t>MVA</t>
  </si>
  <si>
    <t>Reykjahlíð Airport</t>
  </si>
  <si>
    <t>Myvatn</t>
  </si>
  <si>
    <t>MVB</t>
  </si>
  <si>
    <t>M'Vengue El Hadj Omar Bongo Ondimba International Airport</t>
  </si>
  <si>
    <t>Franceville</t>
  </si>
  <si>
    <t>MVD</t>
  </si>
  <si>
    <t>Carrasco International /General C L Berisso Airport</t>
  </si>
  <si>
    <t>MVF</t>
  </si>
  <si>
    <t>Dix-Sept Rosado Airport</t>
  </si>
  <si>
    <t>Mocord</t>
  </si>
  <si>
    <t>MVL</t>
  </si>
  <si>
    <t>Morrisville Stowe State Airport</t>
  </si>
  <si>
    <t>Morrisville</t>
  </si>
  <si>
    <t>MVP</t>
  </si>
  <si>
    <t>Fabio Alberto Leon Bentley Airport</t>
  </si>
  <si>
    <t>Mitu</t>
  </si>
  <si>
    <t>MVQ</t>
  </si>
  <si>
    <t>Mogilev Airport</t>
  </si>
  <si>
    <t>Mogilev</t>
  </si>
  <si>
    <t>MVR</t>
  </si>
  <si>
    <t>Salak Airport</t>
  </si>
  <si>
    <t>Maroua</t>
  </si>
  <si>
    <t>MVS</t>
  </si>
  <si>
    <t>Mucuri Airport</t>
  </si>
  <si>
    <t>Mucuri</t>
  </si>
  <si>
    <t>MVT</t>
  </si>
  <si>
    <t>Mataiva Airport</t>
  </si>
  <si>
    <t>Mataiva</t>
  </si>
  <si>
    <t>MVV</t>
  </si>
  <si>
    <t>Megève Airport</t>
  </si>
  <si>
    <t>MVY</t>
  </si>
  <si>
    <t>Martha's Vineyard Airport</t>
  </si>
  <si>
    <t>Vineyard Haven MA</t>
  </si>
  <si>
    <t>MVZ</t>
  </si>
  <si>
    <t>Masvingo International Airport</t>
  </si>
  <si>
    <t>Masvingo</t>
  </si>
  <si>
    <t>MWA</t>
  </si>
  <si>
    <t>Williamson County Regional Airport</t>
  </si>
  <si>
    <t>Marion</t>
  </si>
  <si>
    <t>MWC</t>
  </si>
  <si>
    <t>Lawrence J Timmerman Airport</t>
  </si>
  <si>
    <t>MWE</t>
  </si>
  <si>
    <t>Merowe New Airport</t>
  </si>
  <si>
    <t>Merowe</t>
  </si>
  <si>
    <t>MWF</t>
  </si>
  <si>
    <t>Maewo-Naone Airport</t>
  </si>
  <si>
    <t>Maewo Island</t>
  </si>
  <si>
    <t>MWH</t>
  </si>
  <si>
    <t>Grant County International Airport</t>
  </si>
  <si>
    <t>Grant County Airport</t>
  </si>
  <si>
    <t>MWK</t>
  </si>
  <si>
    <t>Tarempa Airport</t>
  </si>
  <si>
    <t>Anambas Islands</t>
  </si>
  <si>
    <t>MWL</t>
  </si>
  <si>
    <t>Mineral Wells Airport</t>
  </si>
  <si>
    <t>Mineral Wells</t>
  </si>
  <si>
    <t>MWM</t>
  </si>
  <si>
    <t>Windom Municipal Airport</t>
  </si>
  <si>
    <t>Windom</t>
  </si>
  <si>
    <t>MWQ</t>
  </si>
  <si>
    <t>Magway Airport</t>
  </si>
  <si>
    <t>Magwe</t>
  </si>
  <si>
    <t>MWX</t>
  </si>
  <si>
    <t>Muan International Airport</t>
  </si>
  <si>
    <t>Muan</t>
  </si>
  <si>
    <t>MWZ</t>
  </si>
  <si>
    <t>Mwanza Airport</t>
  </si>
  <si>
    <t>Mwanza</t>
  </si>
  <si>
    <t>MXF</t>
  </si>
  <si>
    <t>Maxwell Air Force Base</t>
  </si>
  <si>
    <t>MXH</t>
  </si>
  <si>
    <t>Moro Airport</t>
  </si>
  <si>
    <t>Moro</t>
  </si>
  <si>
    <t>MXI</t>
  </si>
  <si>
    <t>Mati National Airport</t>
  </si>
  <si>
    <t>MXJ</t>
  </si>
  <si>
    <t>Minna Airport</t>
  </si>
  <si>
    <t>Minna</t>
  </si>
  <si>
    <t>MXL</t>
  </si>
  <si>
    <t>General Rodolfo Sánchez Taboada International Airport</t>
  </si>
  <si>
    <t>Mexicali</t>
  </si>
  <si>
    <t>MXM</t>
  </si>
  <si>
    <t>Morombe Airport</t>
  </si>
  <si>
    <t>Morombe</t>
  </si>
  <si>
    <t>MXN</t>
  </si>
  <si>
    <t>Morlaix-Ploujean Airport</t>
  </si>
  <si>
    <t>Morlaix</t>
  </si>
  <si>
    <t>MXP</t>
  </si>
  <si>
    <t>Malpensa International Airport</t>
  </si>
  <si>
    <t>MXS</t>
  </si>
  <si>
    <t>Maota Airport</t>
  </si>
  <si>
    <t>Savaii Island</t>
  </si>
  <si>
    <t>MXT</t>
  </si>
  <si>
    <t>Maintirano Airport</t>
  </si>
  <si>
    <t>Maintirano</t>
  </si>
  <si>
    <t>MXV</t>
  </si>
  <si>
    <t>Mörön Airport</t>
  </si>
  <si>
    <t>Muren</t>
  </si>
  <si>
    <t>MXX</t>
  </si>
  <si>
    <t>Mora Airport</t>
  </si>
  <si>
    <t>Mora</t>
  </si>
  <si>
    <t>MXZ</t>
  </si>
  <si>
    <t>Meixian Airport</t>
  </si>
  <si>
    <t>Meixian</t>
  </si>
  <si>
    <t>MYA</t>
  </si>
  <si>
    <t>Moruya Airport</t>
  </si>
  <si>
    <t>Moruya</t>
  </si>
  <si>
    <t>MYB</t>
  </si>
  <si>
    <t>Mayumba Airport</t>
  </si>
  <si>
    <t>Mayumba</t>
  </si>
  <si>
    <t>MYC</t>
  </si>
  <si>
    <t>Escuela Mariscal Sucre Airport</t>
  </si>
  <si>
    <t>Maracay</t>
  </si>
  <si>
    <t>MYD</t>
  </si>
  <si>
    <t>Malindi Airport</t>
  </si>
  <si>
    <t>Malindi</t>
  </si>
  <si>
    <t>MYE</t>
  </si>
  <si>
    <t>Miyakejima Airport</t>
  </si>
  <si>
    <t>Miyakejima</t>
  </si>
  <si>
    <t>MYG</t>
  </si>
  <si>
    <t>Mayaguana Airport</t>
  </si>
  <si>
    <t>Mayaguana</t>
  </si>
  <si>
    <t>MYI</t>
  </si>
  <si>
    <t>Murray Island Airport</t>
  </si>
  <si>
    <t>Murray Island</t>
  </si>
  <si>
    <t>MYJ</t>
  </si>
  <si>
    <t>Matsuyama Airport</t>
  </si>
  <si>
    <t>Matsuyama</t>
  </si>
  <si>
    <t>MYL</t>
  </si>
  <si>
    <t>McCall Municipal Airport</t>
  </si>
  <si>
    <t>McCall</t>
  </si>
  <si>
    <t>MYP</t>
  </si>
  <si>
    <t>Mary Airport</t>
  </si>
  <si>
    <t>Mary</t>
  </si>
  <si>
    <t>MYQ</t>
  </si>
  <si>
    <t>Mysore Airport</t>
  </si>
  <si>
    <t>Mysore</t>
  </si>
  <si>
    <t>MYR</t>
  </si>
  <si>
    <t>Myrtle Beach International Airport</t>
  </si>
  <si>
    <t>Myrtle Beach</t>
  </si>
  <si>
    <t>MYT</t>
  </si>
  <si>
    <t>Myitkyina Airport</t>
  </si>
  <si>
    <t>Myitkyina</t>
  </si>
  <si>
    <t>MYU</t>
  </si>
  <si>
    <t>Mekoryuk Airport</t>
  </si>
  <si>
    <t>Mekoryuk</t>
  </si>
  <si>
    <t>MYV</t>
  </si>
  <si>
    <t>Yuba County Airport</t>
  </si>
  <si>
    <t>Yuba City</t>
  </si>
  <si>
    <t>MYW</t>
  </si>
  <si>
    <t>Mtwara Airport</t>
  </si>
  <si>
    <t>Mtwara</t>
  </si>
  <si>
    <t>MYY</t>
  </si>
  <si>
    <t>Miri Airport</t>
  </si>
  <si>
    <t>Miri</t>
  </si>
  <si>
    <t>MZB</t>
  </si>
  <si>
    <t>Mocímboa da Praia Airport</t>
  </si>
  <si>
    <t>Mocimboa Da Praia</t>
  </si>
  <si>
    <t>MZG</t>
  </si>
  <si>
    <t>Makung Airport</t>
  </si>
  <si>
    <t>Makung</t>
  </si>
  <si>
    <t>MZH</t>
  </si>
  <si>
    <t>Amasya Merzifon Airport</t>
  </si>
  <si>
    <t>Merzifon</t>
  </si>
  <si>
    <t>MZI</t>
  </si>
  <si>
    <t>Mopti Airport</t>
  </si>
  <si>
    <t>Mopti</t>
  </si>
  <si>
    <t>MZJ</t>
  </si>
  <si>
    <t>Pinal Airpark</t>
  </si>
  <si>
    <t>Marana</t>
  </si>
  <si>
    <t>MZK</t>
  </si>
  <si>
    <t>Marakei Airport</t>
  </si>
  <si>
    <t>Marakei</t>
  </si>
  <si>
    <t>MZL</t>
  </si>
  <si>
    <t>La Nubia Airport</t>
  </si>
  <si>
    <t>Manizales</t>
  </si>
  <si>
    <t>MZM</t>
  </si>
  <si>
    <t>Metz-Frescaty (BA 128) Air Base</t>
  </si>
  <si>
    <t>MZO</t>
  </si>
  <si>
    <t>Sierra Maestra Airport</t>
  </si>
  <si>
    <t>Manzanillo</t>
  </si>
  <si>
    <t>MZP</t>
  </si>
  <si>
    <t>Motueka Airport</t>
  </si>
  <si>
    <t>Motueka</t>
  </si>
  <si>
    <t>MZR</t>
  </si>
  <si>
    <t>Mazar I Sharif Airport</t>
  </si>
  <si>
    <t>Mazar-i-sharif</t>
  </si>
  <si>
    <t>MZT</t>
  </si>
  <si>
    <t>General Rafael Buelna International Airport</t>
  </si>
  <si>
    <t>Mazatlan</t>
  </si>
  <si>
    <t>MZV</t>
  </si>
  <si>
    <t>Mulu Airport</t>
  </si>
  <si>
    <t>Mulu</t>
  </si>
  <si>
    <t>N/A</t>
  </si>
  <si>
    <t>Francisco de Miranda Airport</t>
  </si>
  <si>
    <t>NAA</t>
  </si>
  <si>
    <t>Narrabri Airport</t>
  </si>
  <si>
    <t>Narrabri</t>
  </si>
  <si>
    <t>NAG</t>
  </si>
  <si>
    <t>Dr. Babasaheb Ambedkar International Airport</t>
  </si>
  <si>
    <t>Nagpur</t>
  </si>
  <si>
    <t>NAH</t>
  </si>
  <si>
    <t>Naha Airport</t>
  </si>
  <si>
    <t>Naha</t>
  </si>
  <si>
    <t>NAI</t>
  </si>
  <si>
    <t>Annai Airport</t>
  </si>
  <si>
    <t>Annai</t>
  </si>
  <si>
    <t>NAJ</t>
  </si>
  <si>
    <t>Nakhchivan Airport</t>
  </si>
  <si>
    <t>Nakhchivan</t>
  </si>
  <si>
    <t>NAK</t>
  </si>
  <si>
    <t>Nakhon Ratchasima Airport</t>
  </si>
  <si>
    <t>NAL</t>
  </si>
  <si>
    <t>Nalchik Airport</t>
  </si>
  <si>
    <t>Nalchik</t>
  </si>
  <si>
    <t>NAN</t>
  </si>
  <si>
    <t>Nadi International Airport</t>
  </si>
  <si>
    <t>Nandi</t>
  </si>
  <si>
    <t>NAO</t>
  </si>
  <si>
    <t>Nanchong Airport</t>
  </si>
  <si>
    <t>Nanchong</t>
  </si>
  <si>
    <t>NAP</t>
  </si>
  <si>
    <t>Naples International Airport</t>
  </si>
  <si>
    <t>NAQ</t>
  </si>
  <si>
    <t>Qaanaaq Airport</t>
  </si>
  <si>
    <t>Qaanaaq</t>
  </si>
  <si>
    <t>NAS</t>
  </si>
  <si>
    <t>Lynden Pindling International Airport</t>
  </si>
  <si>
    <t>Nassau</t>
  </si>
  <si>
    <t>NAT</t>
  </si>
  <si>
    <t>Governador Aluízio Alves International Airport</t>
  </si>
  <si>
    <t>Natal</t>
  </si>
  <si>
    <t>NAV</t>
  </si>
  <si>
    <t>Nevşehir Kapadokya Airport</t>
  </si>
  <si>
    <t>Nevsehir</t>
  </si>
  <si>
    <t>NAW</t>
  </si>
  <si>
    <t>Narathiwat Airport</t>
  </si>
  <si>
    <t>Narathiwat</t>
  </si>
  <si>
    <t>NAY</t>
  </si>
  <si>
    <t>Beijing Nanyuan Airport</t>
  </si>
  <si>
    <t>Beijing</t>
  </si>
  <si>
    <t>NBB</t>
  </si>
  <si>
    <t>Berezovo Airport</t>
  </si>
  <si>
    <t>Berezovo</t>
  </si>
  <si>
    <t>NBC</t>
  </si>
  <si>
    <t>Begishevo Airport</t>
  </si>
  <si>
    <t>Nizhnekamsk</t>
  </si>
  <si>
    <t>NBG</t>
  </si>
  <si>
    <t>New Orleans NAS JRB/Alvin Callender Field</t>
  </si>
  <si>
    <t>Jomo Kenyatta International Airport</t>
  </si>
  <si>
    <t>NBX</t>
  </si>
  <si>
    <t>Nabire Airport</t>
  </si>
  <si>
    <t>Nabire</t>
  </si>
  <si>
    <t>NCA</t>
  </si>
  <si>
    <t>North Caicos Airport</t>
  </si>
  <si>
    <t>North Caicos</t>
  </si>
  <si>
    <t>NCE</t>
  </si>
  <si>
    <t>Nice-Côte d'Azur Airport</t>
  </si>
  <si>
    <t>Nice</t>
  </si>
  <si>
    <t>NCL</t>
  </si>
  <si>
    <t>Newcastle Airport</t>
  </si>
  <si>
    <t>NCN</t>
  </si>
  <si>
    <t>Chenega Bay Airport</t>
  </si>
  <si>
    <t>Chenega</t>
  </si>
  <si>
    <t>NCS</t>
  </si>
  <si>
    <t>NCU</t>
  </si>
  <si>
    <t>Nukus Airport</t>
  </si>
  <si>
    <t>Nukus</t>
  </si>
  <si>
    <t>NCY</t>
  </si>
  <si>
    <t>Annecy-Haute-Savoie-Mont Blanc Airport</t>
  </si>
  <si>
    <t>Annecy</t>
  </si>
  <si>
    <t>ND4</t>
  </si>
  <si>
    <t>Stanhope Municipal Airport</t>
  </si>
  <si>
    <t>Haliburton</t>
  </si>
  <si>
    <t>NDB</t>
  </si>
  <si>
    <t>Nouadhibou International Airport</t>
  </si>
  <si>
    <t>Nouadhibou</t>
  </si>
  <si>
    <t>NDC</t>
  </si>
  <si>
    <t>Nanded Airport</t>
  </si>
  <si>
    <t>Nanded</t>
  </si>
  <si>
    <t>NDD</t>
  </si>
  <si>
    <t>Sumbe Airport</t>
  </si>
  <si>
    <t>Sumbe</t>
  </si>
  <si>
    <t>NDG</t>
  </si>
  <si>
    <t>Qiqihar Sanjiazi Airport</t>
  </si>
  <si>
    <t>Qiqihar</t>
  </si>
  <si>
    <t>NDJ</t>
  </si>
  <si>
    <t>N'Djamena International Airport</t>
  </si>
  <si>
    <t>N'djamena</t>
  </si>
  <si>
    <t>NDR</t>
  </si>
  <si>
    <t>Nador International Airport</t>
  </si>
  <si>
    <t>El Aroui</t>
  </si>
  <si>
    <t>NDU</t>
  </si>
  <si>
    <t>Rundu Airport</t>
  </si>
  <si>
    <t>Rundu</t>
  </si>
  <si>
    <t>NDY</t>
  </si>
  <si>
    <t>Sanday Airport</t>
  </si>
  <si>
    <t>Sanday</t>
  </si>
  <si>
    <t>NDZ</t>
  </si>
  <si>
    <t>Whiting Field Naval Air Station South Airport</t>
  </si>
  <si>
    <t>NEC</t>
  </si>
  <si>
    <t>Necochea Airport</t>
  </si>
  <si>
    <t>Necochea</t>
  </si>
  <si>
    <t>NEG</t>
  </si>
  <si>
    <t>Negril Airport</t>
  </si>
  <si>
    <t>Negril</t>
  </si>
  <si>
    <t>NEL</t>
  </si>
  <si>
    <t>Lakehurst Maxfield Field Airport</t>
  </si>
  <si>
    <t>Lakehurst</t>
  </si>
  <si>
    <t>NEV</t>
  </si>
  <si>
    <t>Vance W. Amory International Airport</t>
  </si>
  <si>
    <t>Saint Kitts and Nevis</t>
  </si>
  <si>
    <t>Charlestown</t>
  </si>
  <si>
    <t>NEW</t>
  </si>
  <si>
    <t>Lakefront Airport</t>
  </si>
  <si>
    <t>NF4</t>
  </si>
  <si>
    <t>Lindsay Airport</t>
  </si>
  <si>
    <t>Lindsay</t>
  </si>
  <si>
    <t>NFG</t>
  </si>
  <si>
    <t>Nefteyugansk Airport</t>
  </si>
  <si>
    <t>Nefteyugansk</t>
  </si>
  <si>
    <t>NFO</t>
  </si>
  <si>
    <t>Mata'aho Airport</t>
  </si>
  <si>
    <t>Angaha, Niuafo'ou Island</t>
  </si>
  <si>
    <t>NGA</t>
  </si>
  <si>
    <t>Young Airport</t>
  </si>
  <si>
    <t>NGB</t>
  </si>
  <si>
    <t>Ningbo Lishe International Airport</t>
  </si>
  <si>
    <t>Ninbo</t>
  </si>
  <si>
    <t>NGD</t>
  </si>
  <si>
    <t>Captain Auguste George Airport</t>
  </si>
  <si>
    <t>Anegada</t>
  </si>
  <si>
    <t>NGE</t>
  </si>
  <si>
    <t>N'Gaoundéré Airport</t>
  </si>
  <si>
    <t>N'gaoundere</t>
  </si>
  <si>
    <t>NGF</t>
  </si>
  <si>
    <t>Kaneohe Bay MCAS (Marion E. Carl Field) Airport</t>
  </si>
  <si>
    <t>Kaneohe Bay</t>
  </si>
  <si>
    <t>NGI</t>
  </si>
  <si>
    <t>Ngau Airport</t>
  </si>
  <si>
    <t>Ngau</t>
  </si>
  <si>
    <t>NGO</t>
  </si>
  <si>
    <t>Chubu Centrair International Airport</t>
  </si>
  <si>
    <t>Nagoya</t>
  </si>
  <si>
    <t>NGP</t>
  </si>
  <si>
    <t>Corpus Christi Naval Air Station/Truax Field</t>
  </si>
  <si>
    <t>NGQ</t>
  </si>
  <si>
    <t>Ngari Gunsa Airport</t>
  </si>
  <si>
    <t>Shiquanhe</t>
  </si>
  <si>
    <t>NGS</t>
  </si>
  <si>
    <t>Nagasaki Airport</t>
  </si>
  <si>
    <t>Nagasaki</t>
  </si>
  <si>
    <t>NGU</t>
  </si>
  <si>
    <t>Norfolk Ns (Chambers Fld) Airport</t>
  </si>
  <si>
    <t>Norfolk</t>
  </si>
  <si>
    <t>NGX</t>
  </si>
  <si>
    <t>Manang Airport</t>
  </si>
  <si>
    <t>Manang</t>
  </si>
  <si>
    <t>NHA</t>
  </si>
  <si>
    <t>Nha Trang Air Base</t>
  </si>
  <si>
    <t>Nhatrang</t>
  </si>
  <si>
    <t>NHD</t>
  </si>
  <si>
    <t>Al Minhad Air Base</t>
  </si>
  <si>
    <t>Minhad AB</t>
  </si>
  <si>
    <t>NHK</t>
  </si>
  <si>
    <t>Patuxent River Naval Air Station/Trapnell Field Aiport</t>
  </si>
  <si>
    <t>Patuxent River</t>
  </si>
  <si>
    <t>NHT</t>
  </si>
  <si>
    <t>RAF Northolt</t>
  </si>
  <si>
    <t>Northolt</t>
  </si>
  <si>
    <t>NHV</t>
  </si>
  <si>
    <t>Nuku Hiva Airport</t>
  </si>
  <si>
    <t>Nuku Hiva</t>
  </si>
  <si>
    <t>NHZ</t>
  </si>
  <si>
    <t>Brunswick Executive Airport</t>
  </si>
  <si>
    <t>NIB</t>
  </si>
  <si>
    <t>Nikolai Airport</t>
  </si>
  <si>
    <t>Nikolai</t>
  </si>
  <si>
    <t>NID</t>
  </si>
  <si>
    <t>China Lake Naws (Armitage Field) Airport</t>
  </si>
  <si>
    <t>China Lake</t>
  </si>
  <si>
    <t>NIG</t>
  </si>
  <si>
    <t>Nikunau Airport</t>
  </si>
  <si>
    <t>Nikunau</t>
  </si>
  <si>
    <t>NIM</t>
  </si>
  <si>
    <t>Diori Hamani International Airport</t>
  </si>
  <si>
    <t>Niamey</t>
  </si>
  <si>
    <t>NIO</t>
  </si>
  <si>
    <t>Nioki Airport</t>
  </si>
  <si>
    <t>Nioki</t>
  </si>
  <si>
    <t>NIT</t>
  </si>
  <si>
    <t>Niort-Souché Airport</t>
  </si>
  <si>
    <t>Niort</t>
  </si>
  <si>
    <t>NIU</t>
  </si>
  <si>
    <t>Naiu Airport</t>
  </si>
  <si>
    <t>Niau</t>
  </si>
  <si>
    <t>NJC</t>
  </si>
  <si>
    <t>Nizhnevartovsk Airport</t>
  </si>
  <si>
    <t>Nizhnevartovsk</t>
  </si>
  <si>
    <t>NJF</t>
  </si>
  <si>
    <t>Al Najaf International Airport</t>
  </si>
  <si>
    <t>Najaf</t>
  </si>
  <si>
    <t>NJK</t>
  </si>
  <si>
    <t>El Centro Naf Airport</t>
  </si>
  <si>
    <t>El Centro</t>
  </si>
  <si>
    <t>NKC</t>
  </si>
  <si>
    <t>Nouakchott International Airport</t>
  </si>
  <si>
    <t>Nouakschott</t>
  </si>
  <si>
    <t>NKG</t>
  </si>
  <si>
    <t>Nanjing Lukou Airport</t>
  </si>
  <si>
    <t>Nanjing</t>
  </si>
  <si>
    <t>NKM</t>
  </si>
  <si>
    <t>Nagoya Airport</t>
  </si>
  <si>
    <t>NKT</t>
  </si>
  <si>
    <t>Şırnak Şerafettin Elçi Airport</t>
  </si>
  <si>
    <t>Cizre</t>
  </si>
  <si>
    <t>NKX</t>
  </si>
  <si>
    <t>Miramar Marine Corps Air Station - Mitscher Field</t>
  </si>
  <si>
    <t>Miramar</t>
  </si>
  <si>
    <t>NLA</t>
  </si>
  <si>
    <t>Simon Mwansa Kapwepwe International Airport</t>
  </si>
  <si>
    <t>Ndola</t>
  </si>
  <si>
    <t>NLC</t>
  </si>
  <si>
    <t>Lemoore Naval Air Station (Reeves Field) Airport</t>
  </si>
  <si>
    <t>Lemoore</t>
  </si>
  <si>
    <t>NLD</t>
  </si>
  <si>
    <t>Quetzalcóatl International Airport</t>
  </si>
  <si>
    <t>Nuevo Laredo</t>
  </si>
  <si>
    <t>NLF</t>
  </si>
  <si>
    <t>Darnley Island Airport</t>
  </si>
  <si>
    <t>Darnley Island</t>
  </si>
  <si>
    <t>NLG</t>
  </si>
  <si>
    <t>Nelson Lagoon Airport</t>
  </si>
  <si>
    <t>Nelson Lagoon</t>
  </si>
  <si>
    <t>NLI</t>
  </si>
  <si>
    <t>Nikolayevsk-na-Amure Airport</t>
  </si>
  <si>
    <t>NLK</t>
  </si>
  <si>
    <t>Norfolk Island International Airport</t>
  </si>
  <si>
    <t>Norfolk Island</t>
  </si>
  <si>
    <t>NLO</t>
  </si>
  <si>
    <t>Ndolo Airport</t>
  </si>
  <si>
    <t>NLP</t>
  </si>
  <si>
    <t>Nelspruit Airport</t>
  </si>
  <si>
    <t>Nelspruit</t>
  </si>
  <si>
    <t>NLT</t>
  </si>
  <si>
    <t>Xinyuan Nalati Airport</t>
  </si>
  <si>
    <t>Xinyuan</t>
  </si>
  <si>
    <t>NLV</t>
  </si>
  <si>
    <t>Mykolaiv International Airport</t>
  </si>
  <si>
    <t>Nikolayev</t>
  </si>
  <si>
    <t>NMA</t>
  </si>
  <si>
    <t>Namangan Airport</t>
  </si>
  <si>
    <t>Namangan</t>
  </si>
  <si>
    <t>NMB</t>
  </si>
  <si>
    <t>Daman Airport</t>
  </si>
  <si>
    <t>Daman</t>
  </si>
  <si>
    <t>NME</t>
  </si>
  <si>
    <t>Nightmute Airport</t>
  </si>
  <si>
    <t>Nightmute</t>
  </si>
  <si>
    <t>NNA</t>
  </si>
  <si>
    <t>Kenitra Airport</t>
  </si>
  <si>
    <t>Kentira</t>
  </si>
  <si>
    <t>NNB</t>
  </si>
  <si>
    <t>NNG</t>
  </si>
  <si>
    <t>Nanning Wuxu Airport</t>
  </si>
  <si>
    <t>Nanning</t>
  </si>
  <si>
    <t>NNL</t>
  </si>
  <si>
    <t>Nondalton Airport</t>
  </si>
  <si>
    <t>Nondalton</t>
  </si>
  <si>
    <t>NNM</t>
  </si>
  <si>
    <t>Naryan Mar Airport</t>
  </si>
  <si>
    <t>Naryan-Mar</t>
  </si>
  <si>
    <t>NNR</t>
  </si>
  <si>
    <t>Connemara Regional Airport</t>
  </si>
  <si>
    <t>Indreabhan</t>
  </si>
  <si>
    <t>NNT</t>
  </si>
  <si>
    <t>Nan Airport</t>
  </si>
  <si>
    <t>Nan</t>
  </si>
  <si>
    <t>NNX</t>
  </si>
  <si>
    <t>Nunukan Airport</t>
  </si>
  <si>
    <t>Nunukan-Nunukan Island</t>
  </si>
  <si>
    <t>NNY</t>
  </si>
  <si>
    <t>Nanyang Jiangying Airport</t>
  </si>
  <si>
    <t>Nanyang</t>
  </si>
  <si>
    <t>NOA</t>
  </si>
  <si>
    <t>Nowra Airport</t>
  </si>
  <si>
    <t>Nowra</t>
  </si>
  <si>
    <t>NOB</t>
  </si>
  <si>
    <t>Nosara Airport</t>
  </si>
  <si>
    <t>Nosara Beach</t>
  </si>
  <si>
    <t>NOC</t>
  </si>
  <si>
    <t>Ireland West Knock Airport</t>
  </si>
  <si>
    <t>Connaught</t>
  </si>
  <si>
    <t>NOE</t>
  </si>
  <si>
    <t>Norden-Norddeich Airport</t>
  </si>
  <si>
    <t>Norden</t>
  </si>
  <si>
    <t>NOG</t>
  </si>
  <si>
    <t>Nogales International Airport</t>
  </si>
  <si>
    <t>Nogales</t>
  </si>
  <si>
    <t>NOJ</t>
  </si>
  <si>
    <t>Noyabrsk Airport</t>
  </si>
  <si>
    <t>Noyabrsk</t>
  </si>
  <si>
    <t>NON</t>
  </si>
  <si>
    <t>Nonouti Airport</t>
  </si>
  <si>
    <t>Nonouti</t>
  </si>
  <si>
    <t>NOR</t>
  </si>
  <si>
    <t>Norðfjörður Airport</t>
  </si>
  <si>
    <t>Nordfjordur</t>
  </si>
  <si>
    <t>NOS</t>
  </si>
  <si>
    <t>Fascene Airport</t>
  </si>
  <si>
    <t>Nosy-be</t>
  </si>
  <si>
    <t>NOU</t>
  </si>
  <si>
    <t>La Tontouta International Airport</t>
  </si>
  <si>
    <t>NOV</t>
  </si>
  <si>
    <t>Nova Lisboa Airport</t>
  </si>
  <si>
    <t>Huambo</t>
  </si>
  <si>
    <t>NOW</t>
  </si>
  <si>
    <t>Port Angeles Cgas Airport</t>
  </si>
  <si>
    <t>NOZ</t>
  </si>
  <si>
    <t>Spichenkovo Airport</t>
  </si>
  <si>
    <t>Novokuznetsk</t>
  </si>
  <si>
    <t>NPA</t>
  </si>
  <si>
    <t>Pensacola Naval Air Station/Forrest Sherman Field</t>
  </si>
  <si>
    <t>Pensacola</t>
  </si>
  <si>
    <t>NPE</t>
  </si>
  <si>
    <t>Hawke's Bay Airport</t>
  </si>
  <si>
    <t>NAPIER</t>
  </si>
  <si>
    <t>NPL</t>
  </si>
  <si>
    <t>New Plymouth Airport</t>
  </si>
  <si>
    <t>New Plymouth</t>
  </si>
  <si>
    <t>NQA</t>
  </si>
  <si>
    <t>Millington Regional Jetport Airport</t>
  </si>
  <si>
    <t>Millington</t>
  </si>
  <si>
    <t>NQN</t>
  </si>
  <si>
    <t>Presidente Peron Airport</t>
  </si>
  <si>
    <t>Neuquen</t>
  </si>
  <si>
    <t>NQT</t>
  </si>
  <si>
    <t>Nottingham Airport</t>
  </si>
  <si>
    <t>Nottingham</t>
  </si>
  <si>
    <t>NQU</t>
  </si>
  <si>
    <t>Reyes Murillo Airport</t>
  </si>
  <si>
    <t>Nuquí</t>
  </si>
  <si>
    <t>NQX</t>
  </si>
  <si>
    <t>Naval Air Station Key West/Boca Chica Field</t>
  </si>
  <si>
    <t>NQY</t>
  </si>
  <si>
    <t>Newquay Cornwall Airport</t>
  </si>
  <si>
    <t>Newquai</t>
  </si>
  <si>
    <t>NRA</t>
  </si>
  <si>
    <t>Narrandera Airport</t>
  </si>
  <si>
    <t>Narrandera</t>
  </si>
  <si>
    <t>NRB</t>
  </si>
  <si>
    <t>Naval Station Mayport (Admiral David L. Mcdonald Field)</t>
  </si>
  <si>
    <t>Mayport</t>
  </si>
  <si>
    <t>NRD</t>
  </si>
  <si>
    <t>Norderney Airport</t>
  </si>
  <si>
    <t>Norderney</t>
  </si>
  <si>
    <t>NRK</t>
  </si>
  <si>
    <t>Norrköping Airport</t>
  </si>
  <si>
    <t>NRL</t>
  </si>
  <si>
    <t>North Ronaldsay Airport</t>
  </si>
  <si>
    <t>North Ronaldsay</t>
  </si>
  <si>
    <t>NRN</t>
  </si>
  <si>
    <t>Weeze Airport</t>
  </si>
  <si>
    <t>Weeze</t>
  </si>
  <si>
    <t>NRT</t>
  </si>
  <si>
    <t>Narita International Airport</t>
  </si>
  <si>
    <t>NSE</t>
  </si>
  <si>
    <t>Whiting Field Naval Air Station - North</t>
  </si>
  <si>
    <t>Milton</t>
  </si>
  <si>
    <t>NSH</t>
  </si>
  <si>
    <t>Noshahr Airport</t>
  </si>
  <si>
    <t>Noshahr</t>
  </si>
  <si>
    <t>NSI</t>
  </si>
  <si>
    <t>Yaoundé Nsimalen International Airport</t>
  </si>
  <si>
    <t>Yaounde</t>
  </si>
  <si>
    <t>NSK</t>
  </si>
  <si>
    <t>Norilsk-Alykel Airport</t>
  </si>
  <si>
    <t>Norilsk</t>
  </si>
  <si>
    <t>NSN</t>
  </si>
  <si>
    <t>Nelson Airport</t>
  </si>
  <si>
    <t>Nelson</t>
  </si>
  <si>
    <t>NSO</t>
  </si>
  <si>
    <t>Scone Airport</t>
  </si>
  <si>
    <t>Scone</t>
  </si>
  <si>
    <t>NST</t>
  </si>
  <si>
    <t>Nakhon Si Thammarat Airport</t>
  </si>
  <si>
    <t>NSY</t>
  </si>
  <si>
    <t>Sigonella Navy Air Base</t>
  </si>
  <si>
    <t>Sigonella</t>
  </si>
  <si>
    <t>NTB</t>
  </si>
  <si>
    <t>Notodden Airport</t>
  </si>
  <si>
    <t>Notodden</t>
  </si>
  <si>
    <t>NTD</t>
  </si>
  <si>
    <t>Point Mugu Naval Air Station (Naval Base Ventura Co)</t>
  </si>
  <si>
    <t>Point Mugu</t>
  </si>
  <si>
    <t>NTE</t>
  </si>
  <si>
    <t>Nantes Atlantique Airport</t>
  </si>
  <si>
    <t>Nantes</t>
  </si>
  <si>
    <t>NTI</t>
  </si>
  <si>
    <t>Stenkol Airport</t>
  </si>
  <si>
    <t>Bintuni</t>
  </si>
  <si>
    <t>NTL</t>
  </si>
  <si>
    <t>NTN</t>
  </si>
  <si>
    <t>Normanton Airport</t>
  </si>
  <si>
    <t>Normanton</t>
  </si>
  <si>
    <t>NTQ</t>
  </si>
  <si>
    <t>Noto Airport</t>
  </si>
  <si>
    <t>Wajima</t>
  </si>
  <si>
    <t>NTR</t>
  </si>
  <si>
    <t>Del Norte International Airport</t>
  </si>
  <si>
    <t>NTT</t>
  </si>
  <si>
    <t>Kuini Lavenia Airport</t>
  </si>
  <si>
    <t>Niuatoputapu</t>
  </si>
  <si>
    <t>NTU</t>
  </si>
  <si>
    <t>Oceana NAS</t>
  </si>
  <si>
    <t>Oceana</t>
  </si>
  <si>
    <t>NTX</t>
  </si>
  <si>
    <t>Ranai Airport</t>
  </si>
  <si>
    <t>Ranai-Natuna Besar Island</t>
  </si>
  <si>
    <t>NTY</t>
  </si>
  <si>
    <t>Pilanesberg International Airport</t>
  </si>
  <si>
    <t>Pilanesberg</t>
  </si>
  <si>
    <t>NU8</t>
  </si>
  <si>
    <t>Markham Airport</t>
  </si>
  <si>
    <t>Markham</t>
  </si>
  <si>
    <t>NUE</t>
  </si>
  <si>
    <t>Nuremberg Airport</t>
  </si>
  <si>
    <t>Nuernberg</t>
  </si>
  <si>
    <t>NUI</t>
  </si>
  <si>
    <t>Nuiqsut Airport</t>
  </si>
  <si>
    <t>Nuiqsut</t>
  </si>
  <si>
    <t>NUL</t>
  </si>
  <si>
    <t>Nulato Airport</t>
  </si>
  <si>
    <t>Nulato</t>
  </si>
  <si>
    <t>NUQ</t>
  </si>
  <si>
    <t>Moffett Federal Airfield</t>
  </si>
  <si>
    <t>Mountain View</t>
  </si>
  <si>
    <t>NUS</t>
  </si>
  <si>
    <t>Norsup Airport</t>
  </si>
  <si>
    <t>Norsup</t>
  </si>
  <si>
    <t>NUW</t>
  </si>
  <si>
    <t>Whidbey Island Naval Air Station /Ault Field/ Airport</t>
  </si>
  <si>
    <t>Whidbey Island</t>
  </si>
  <si>
    <t>NUX</t>
  </si>
  <si>
    <t>Novy Urengoy Airport</t>
  </si>
  <si>
    <t>Novy Urengoy</t>
  </si>
  <si>
    <t>NVA</t>
  </si>
  <si>
    <t>Benito Salas Airport</t>
  </si>
  <si>
    <t>Neiva</t>
  </si>
  <si>
    <t>NVI</t>
  </si>
  <si>
    <t>Navoi Airport</t>
  </si>
  <si>
    <t>Navoi</t>
  </si>
  <si>
    <t>NVK</t>
  </si>
  <si>
    <t>Narvik Framnes Airport</t>
  </si>
  <si>
    <t>Narvik</t>
  </si>
  <si>
    <t>NVP</t>
  </si>
  <si>
    <t>Novo Aripuanã Airport</t>
  </si>
  <si>
    <t>Novo Aripuana</t>
  </si>
  <si>
    <t>NVS</t>
  </si>
  <si>
    <t>Nevers-Fourchambault Airport</t>
  </si>
  <si>
    <t>Nevers</t>
  </si>
  <si>
    <t>NVT</t>
  </si>
  <si>
    <t>Ministro Victor Konder International Airport</t>
  </si>
  <si>
    <t>Navegantes</t>
  </si>
  <si>
    <t>NWA</t>
  </si>
  <si>
    <t>Mohéli Bandar Es Eslam Airport</t>
  </si>
  <si>
    <t>Moheli</t>
  </si>
  <si>
    <t>NWI</t>
  </si>
  <si>
    <t>Norwich International Airport</t>
  </si>
  <si>
    <t>Norwich</t>
  </si>
  <si>
    <t>NXP</t>
  </si>
  <si>
    <t>Twentynine Palms (Self) Airport</t>
  </si>
  <si>
    <t>Twenty Nine Palms</t>
  </si>
  <si>
    <t>NXX</t>
  </si>
  <si>
    <t>Willow Grove Naval Air Station/Joint Reserve Base</t>
  </si>
  <si>
    <t>Willow Grove</t>
  </si>
  <si>
    <t>NYA</t>
  </si>
  <si>
    <t>Nyagan Airport</t>
  </si>
  <si>
    <t>Nyagan</t>
  </si>
  <si>
    <t>NYE</t>
  </si>
  <si>
    <t>Nyeri Airport</t>
  </si>
  <si>
    <t>NYERI</t>
  </si>
  <si>
    <t>NYG</t>
  </si>
  <si>
    <t>Quantico MCAF /Turner field</t>
  </si>
  <si>
    <t>Quantico</t>
  </si>
  <si>
    <t>NYI</t>
  </si>
  <si>
    <t>Sunyani Airport</t>
  </si>
  <si>
    <t>Sunyani</t>
  </si>
  <si>
    <t>NYK</t>
  </si>
  <si>
    <t>Nanyuki Airport</t>
  </si>
  <si>
    <t>Nanyuki</t>
  </si>
  <si>
    <t>NYM</t>
  </si>
  <si>
    <t>Nadym Airport</t>
  </si>
  <si>
    <t>Nadym</t>
  </si>
  <si>
    <t>NYO</t>
  </si>
  <si>
    <t>Stockholm Skavsta Airport</t>
  </si>
  <si>
    <t>NYT</t>
  </si>
  <si>
    <t>Naypyidaw Airport</t>
  </si>
  <si>
    <t>NYU</t>
  </si>
  <si>
    <t>Bagan Airport</t>
  </si>
  <si>
    <t>NZA</t>
  </si>
  <si>
    <t>Nzagi Airport</t>
  </si>
  <si>
    <t>Nzagi</t>
  </si>
  <si>
    <t>NZC</t>
  </si>
  <si>
    <t>Maria Reiche Neuman Airport</t>
  </si>
  <si>
    <t>Nazca</t>
  </si>
  <si>
    <t>NZY</t>
  </si>
  <si>
    <t>North Island Naval Air Station-Halsey Field</t>
  </si>
  <si>
    <t>San Diego</t>
  </si>
  <si>
    <t>OAG</t>
  </si>
  <si>
    <t>Orange Airport</t>
  </si>
  <si>
    <t>OAJ</t>
  </si>
  <si>
    <t>Albert J Ellis Airport</t>
  </si>
  <si>
    <t>Jacksonville NC</t>
  </si>
  <si>
    <t>OAK</t>
  </si>
  <si>
    <t>Metropolitan Oakland International Airport</t>
  </si>
  <si>
    <t>Oakland</t>
  </si>
  <si>
    <t>OAL</t>
  </si>
  <si>
    <t>Cacoal Airport</t>
  </si>
  <si>
    <t>Cacoal</t>
  </si>
  <si>
    <t>OAM</t>
  </si>
  <si>
    <t>Oamaru Airport</t>
  </si>
  <si>
    <t>Oamaru</t>
  </si>
  <si>
    <t>OAR</t>
  </si>
  <si>
    <t>Marina Municipal Airport</t>
  </si>
  <si>
    <t>Fort Ord</t>
  </si>
  <si>
    <t>OAX</t>
  </si>
  <si>
    <t>Xoxocotlán International Airport</t>
  </si>
  <si>
    <t>Oaxaca</t>
  </si>
  <si>
    <t>OBC</t>
  </si>
  <si>
    <t>Obock Airport</t>
  </si>
  <si>
    <t>Obock</t>
  </si>
  <si>
    <t>OBE</t>
  </si>
  <si>
    <t>Okeechobee County Airport</t>
  </si>
  <si>
    <t>Okeechobee</t>
  </si>
  <si>
    <t>OBF</t>
  </si>
  <si>
    <t>Oberpfaffenhofen Airport</t>
  </si>
  <si>
    <t>Oberpfaffenhofen</t>
  </si>
  <si>
    <t>OBN</t>
  </si>
  <si>
    <t>Oban Airport</t>
  </si>
  <si>
    <t>North Connel</t>
  </si>
  <si>
    <t>OBO</t>
  </si>
  <si>
    <t>Tokachi-Obihiro Airport</t>
  </si>
  <si>
    <t>Obihiro</t>
  </si>
  <si>
    <t>OBS</t>
  </si>
  <si>
    <t>Aubenas-Ardèche Méridional Airport</t>
  </si>
  <si>
    <t>Aubenas-vals-lanas</t>
  </si>
  <si>
    <t>OBU</t>
  </si>
  <si>
    <t>Kobuk Airport</t>
  </si>
  <si>
    <t>Kobuk</t>
  </si>
  <si>
    <t>OBY</t>
  </si>
  <si>
    <t>Ittoqqortoormiit Heliport</t>
  </si>
  <si>
    <t>Ittoqqortoormiit</t>
  </si>
  <si>
    <t>OCA</t>
  </si>
  <si>
    <t>Ocean Reef Club Airport</t>
  </si>
  <si>
    <t>OCC</t>
  </si>
  <si>
    <t>Francisco De Orellana Airport</t>
  </si>
  <si>
    <t>Coca</t>
  </si>
  <si>
    <t>OCF</t>
  </si>
  <si>
    <t>Ocala International Airport - Jim Taylor Field</t>
  </si>
  <si>
    <t>Ocala</t>
  </si>
  <si>
    <t>OCJ</t>
  </si>
  <si>
    <t>Boscobel Aerodrome</t>
  </si>
  <si>
    <t>Ocho Rios</t>
  </si>
  <si>
    <t>OCV</t>
  </si>
  <si>
    <t>Aguas Claras Airport</t>
  </si>
  <si>
    <t>OCW</t>
  </si>
  <si>
    <t>Warren Field</t>
  </si>
  <si>
    <t>ODB</t>
  </si>
  <si>
    <t>Córdoba Airport</t>
  </si>
  <si>
    <t>ODE</t>
  </si>
  <si>
    <t>Odense Airport</t>
  </si>
  <si>
    <t>Odense</t>
  </si>
  <si>
    <t>ODH</t>
  </si>
  <si>
    <t>RAF Odiham</t>
  </si>
  <si>
    <t>Odiham</t>
  </si>
  <si>
    <t>ODN</t>
  </si>
  <si>
    <t>Long Seridan Airport</t>
  </si>
  <si>
    <t>Long Seridan</t>
  </si>
  <si>
    <t>ODO</t>
  </si>
  <si>
    <t>Bodaybo Airport</t>
  </si>
  <si>
    <t>Bodaibo</t>
  </si>
  <si>
    <t>ODS</t>
  </si>
  <si>
    <t>Odessa International Airport</t>
  </si>
  <si>
    <t>Odessa</t>
  </si>
  <si>
    <t>ODY</t>
  </si>
  <si>
    <t>Oudomsay Airport</t>
  </si>
  <si>
    <t>Muang Xay</t>
  </si>
  <si>
    <t>OEB</t>
  </si>
  <si>
    <t>Branch County Memorial Airport</t>
  </si>
  <si>
    <t>Coldwater</t>
  </si>
  <si>
    <t>OEL</t>
  </si>
  <si>
    <t>Oryol Yuzhny Airport</t>
  </si>
  <si>
    <t>Oakley</t>
  </si>
  <si>
    <t>OEM</t>
  </si>
  <si>
    <t>Vincent Fayks Airport</t>
  </si>
  <si>
    <t>Paloemeu</t>
  </si>
  <si>
    <t>OER</t>
  </si>
  <si>
    <t>Örnsköldsvik Airport</t>
  </si>
  <si>
    <t>Ornskoldsvik</t>
  </si>
  <si>
    <t>OES</t>
  </si>
  <si>
    <t>Antoine De St Exupery Airport</t>
  </si>
  <si>
    <t>San Antonio Oeste</t>
  </si>
  <si>
    <t>OFF</t>
  </si>
  <si>
    <t>Offutt Air Force Base</t>
  </si>
  <si>
    <t>Omaha</t>
  </si>
  <si>
    <t>OFK</t>
  </si>
  <si>
    <t>Karl Stefan Memorial Airport</t>
  </si>
  <si>
    <t>Norfolk Nebraska</t>
  </si>
  <si>
    <t>OGB</t>
  </si>
  <si>
    <t>Orangeburg Municipal Airport</t>
  </si>
  <si>
    <t>Orangeburg</t>
  </si>
  <si>
    <t>OGD</t>
  </si>
  <si>
    <t>Ogden Hinckley Airport</t>
  </si>
  <si>
    <t>OGG</t>
  </si>
  <si>
    <t>Kahului Airport</t>
  </si>
  <si>
    <t>Kahului</t>
  </si>
  <si>
    <t>OGL</t>
  </si>
  <si>
    <t>Ogle Airport</t>
  </si>
  <si>
    <t>OGN</t>
  </si>
  <si>
    <t>Yonaguni Airport</t>
  </si>
  <si>
    <t>Yonaguni Jima</t>
  </si>
  <si>
    <t>OGS</t>
  </si>
  <si>
    <t>Ogdensburg International Airport</t>
  </si>
  <si>
    <t>Ogdensburg</t>
  </si>
  <si>
    <t>OGX</t>
  </si>
  <si>
    <t>Ain el Beida Airport</t>
  </si>
  <si>
    <t>Ouargla</t>
  </si>
  <si>
    <t>OGZ</t>
  </si>
  <si>
    <t>Beslan Airport</t>
  </si>
  <si>
    <t>Beslan</t>
  </si>
  <si>
    <t>OHD</t>
  </si>
  <si>
    <t>Ohrid St. Paul the Apostle Airport</t>
  </si>
  <si>
    <t>Macedonia</t>
  </si>
  <si>
    <t>Ohrid</t>
  </si>
  <si>
    <t>OHE</t>
  </si>
  <si>
    <t>Gu-Lian Airport</t>
  </si>
  <si>
    <t>Mohe County</t>
  </si>
  <si>
    <t>OHO</t>
  </si>
  <si>
    <t>Okhotsk Airport</t>
  </si>
  <si>
    <t>Okhotsk</t>
  </si>
  <si>
    <t>OHS</t>
  </si>
  <si>
    <t>Sohar Airport</t>
  </si>
  <si>
    <t>Sohar</t>
  </si>
  <si>
    <t>OIA</t>
  </si>
  <si>
    <t>Ourilândia do Norte Airport</t>
  </si>
  <si>
    <t>Ourilandia do Norte</t>
  </si>
  <si>
    <t>OIM</t>
  </si>
  <si>
    <t>Oshima Airport</t>
  </si>
  <si>
    <t>Oshima</t>
  </si>
  <si>
    <t>OIR</t>
  </si>
  <si>
    <t>Okushiri Airport</t>
  </si>
  <si>
    <t>Okushiri</t>
  </si>
  <si>
    <t>OIT</t>
  </si>
  <si>
    <t>Oita Airport</t>
  </si>
  <si>
    <t>Oita</t>
  </si>
  <si>
    <t>OJC</t>
  </si>
  <si>
    <t>Johnson County Executive Airport</t>
  </si>
  <si>
    <t>OKA</t>
  </si>
  <si>
    <t>Okinawa</t>
  </si>
  <si>
    <t>OKB</t>
  </si>
  <si>
    <t>Oceanside Municipal Airport</t>
  </si>
  <si>
    <t>Fraser Island</t>
  </si>
  <si>
    <t>OKC</t>
  </si>
  <si>
    <t>Will Rogers World Airport</t>
  </si>
  <si>
    <t>OKD</t>
  </si>
  <si>
    <t>Okadama Airport</t>
  </si>
  <si>
    <t>OKF</t>
  </si>
  <si>
    <t>Okaukuejo Airport</t>
  </si>
  <si>
    <t>Okaukuejo</t>
  </si>
  <si>
    <t>OKI</t>
  </si>
  <si>
    <t>Oki Airport</t>
  </si>
  <si>
    <t>Oki Island</t>
  </si>
  <si>
    <t>OKJ</t>
  </si>
  <si>
    <t>Okayama Airport</t>
  </si>
  <si>
    <t>Okayama</t>
  </si>
  <si>
    <t>OKK</t>
  </si>
  <si>
    <t>Kokomo Municipal Airport</t>
  </si>
  <si>
    <t>Kokomo</t>
  </si>
  <si>
    <t>OKL</t>
  </si>
  <si>
    <t>Oksibil Airport</t>
  </si>
  <si>
    <t>Oksibil</t>
  </si>
  <si>
    <t>OKN</t>
  </si>
  <si>
    <t>Okondja Airport</t>
  </si>
  <si>
    <t>Okondja</t>
  </si>
  <si>
    <t>OKO</t>
  </si>
  <si>
    <t>Yokota Air Base</t>
  </si>
  <si>
    <t>Yokota</t>
  </si>
  <si>
    <t>OKR</t>
  </si>
  <si>
    <t>Yorke Island Airport</t>
  </si>
  <si>
    <t>Yorke Island</t>
  </si>
  <si>
    <t>OKU</t>
  </si>
  <si>
    <t>Mokuti Lodge Airport</t>
  </si>
  <si>
    <t>Mokuti Lodge</t>
  </si>
  <si>
    <t>OKY</t>
  </si>
  <si>
    <t>Oakey Airport</t>
  </si>
  <si>
    <t>Oakey</t>
  </si>
  <si>
    <t>OLA</t>
  </si>
  <si>
    <t>Ørland Airport</t>
  </si>
  <si>
    <t>Orland</t>
  </si>
  <si>
    <t>OLB</t>
  </si>
  <si>
    <t>Olbia Costa Smeralda Airport</t>
  </si>
  <si>
    <t>Olbia</t>
  </si>
  <si>
    <t>OLC</t>
  </si>
  <si>
    <t>Senadora Eunice Micheles Airport</t>
  </si>
  <si>
    <t>Sao Paulo de Olivenca</t>
  </si>
  <si>
    <t>OLF</t>
  </si>
  <si>
    <t>L M Clayton Airport</t>
  </si>
  <si>
    <t>Wolf Point</t>
  </si>
  <si>
    <t>OLM</t>
  </si>
  <si>
    <t>Olympia Regional Airport</t>
  </si>
  <si>
    <t>Olympia</t>
  </si>
  <si>
    <t>OLP</t>
  </si>
  <si>
    <t>Olympic Dam Airport</t>
  </si>
  <si>
    <t>Olympic Dam</t>
  </si>
  <si>
    <t>OLS</t>
  </si>
  <si>
    <t>OLU</t>
  </si>
  <si>
    <t>OLV</t>
  </si>
  <si>
    <t>Olive Branch Airport</t>
  </si>
  <si>
    <t>Olive Branch</t>
  </si>
  <si>
    <t>OLZ</t>
  </si>
  <si>
    <t>North West Santo Airport</t>
  </si>
  <si>
    <t>Olpoi</t>
  </si>
  <si>
    <t>OMA</t>
  </si>
  <si>
    <t>Eppley Airfield</t>
  </si>
  <si>
    <t>OMB</t>
  </si>
  <si>
    <t>Omboue Hopital Airport</t>
  </si>
  <si>
    <t>Omboue Hospial</t>
  </si>
  <si>
    <t>OMC</t>
  </si>
  <si>
    <t>Ormoc Airport</t>
  </si>
  <si>
    <t>Ormoc City</t>
  </si>
  <si>
    <t>OMD</t>
  </si>
  <si>
    <t>Oranjemund Airport</t>
  </si>
  <si>
    <t>Oranjemund</t>
  </si>
  <si>
    <t>OME</t>
  </si>
  <si>
    <t>Nome Airport</t>
  </si>
  <si>
    <t>Nome</t>
  </si>
  <si>
    <t>OMF</t>
  </si>
  <si>
    <t>King Hussein Air College</t>
  </si>
  <si>
    <t>Mafraq</t>
  </si>
  <si>
    <t>OMH</t>
  </si>
  <si>
    <t>Urmia Airport</t>
  </si>
  <si>
    <t>Uromiyeh</t>
  </si>
  <si>
    <t>OMN</t>
  </si>
  <si>
    <t>Ormond Beach Municipal Airport</t>
  </si>
  <si>
    <t>Ormond Beach</t>
  </si>
  <si>
    <t>OMO</t>
  </si>
  <si>
    <t>Mostar International Airport</t>
  </si>
  <si>
    <t>Mostar</t>
  </si>
  <si>
    <t>OMR</t>
  </si>
  <si>
    <t>Oradea International Airport</t>
  </si>
  <si>
    <t>Oradea</t>
  </si>
  <si>
    <t>OMS</t>
  </si>
  <si>
    <t>Omsk Central Airport</t>
  </si>
  <si>
    <t>OND</t>
  </si>
  <si>
    <t>Ondangwa Airport</t>
  </si>
  <si>
    <t>Ondangwa</t>
  </si>
  <si>
    <t>ONG</t>
  </si>
  <si>
    <t>Mornington Island Airport</t>
  </si>
  <si>
    <t>Mornington Island</t>
  </si>
  <si>
    <t>ONJ</t>
  </si>
  <si>
    <t>Odate Noshiro Airport</t>
  </si>
  <si>
    <t>Odate Noshiro</t>
  </si>
  <si>
    <t>ONP</t>
  </si>
  <si>
    <t>Newport Municipal Airport</t>
  </si>
  <si>
    <t>Newport</t>
  </si>
  <si>
    <t>ONQ</t>
  </si>
  <si>
    <t>Zonguldak Airport</t>
  </si>
  <si>
    <t>Zonguldak</t>
  </si>
  <si>
    <t>ONS</t>
  </si>
  <si>
    <t>Onslow Airport</t>
  </si>
  <si>
    <t>Onslow</t>
  </si>
  <si>
    <t>ONT</t>
  </si>
  <si>
    <t>Ontario International Airport</t>
  </si>
  <si>
    <t>ONX</t>
  </si>
  <si>
    <t>Enrique Adolfo Jimenez Airport</t>
  </si>
  <si>
    <t>Colón</t>
  </si>
  <si>
    <t>OOK</t>
  </si>
  <si>
    <t>Toksook Bay Airport</t>
  </si>
  <si>
    <t>Toksook Bay</t>
  </si>
  <si>
    <t>OOL</t>
  </si>
  <si>
    <t>Gold Coast Airport</t>
  </si>
  <si>
    <t>Coolangatta</t>
  </si>
  <si>
    <t>OOM</t>
  </si>
  <si>
    <t>Cooma Snowy Mountains Airport</t>
  </si>
  <si>
    <t>Cooma</t>
  </si>
  <si>
    <t>OPF</t>
  </si>
  <si>
    <t>Opa-locka Executive Airport</t>
  </si>
  <si>
    <t>OPO</t>
  </si>
  <si>
    <t>Francisco de Sá Carneiro Airport</t>
  </si>
  <si>
    <t>Porto</t>
  </si>
  <si>
    <t>OPS</t>
  </si>
  <si>
    <t>Presidente João Batista Figueiredo Airport</t>
  </si>
  <si>
    <t>Sinop</t>
  </si>
  <si>
    <t>OQN</t>
  </si>
  <si>
    <t>Brandywine Airport</t>
  </si>
  <si>
    <t>West Goshen Township</t>
  </si>
  <si>
    <t>OQU</t>
  </si>
  <si>
    <t>Quonset State Airport</t>
  </si>
  <si>
    <t>North Kingstown</t>
  </si>
  <si>
    <t>ORA</t>
  </si>
  <si>
    <t>Orán Airport</t>
  </si>
  <si>
    <t>Oran</t>
  </si>
  <si>
    <t>ORB</t>
  </si>
  <si>
    <t>Örebro Airport</t>
  </si>
  <si>
    <t>Orebro</t>
  </si>
  <si>
    <t>ORD</t>
  </si>
  <si>
    <t>Chicago O'Hare International Airport</t>
  </si>
  <si>
    <t>ORE</t>
  </si>
  <si>
    <t>Orléans-Bricy (BA 123) Air Base</t>
  </si>
  <si>
    <t>ORF</t>
  </si>
  <si>
    <t>Norfolk International Airport</t>
  </si>
  <si>
    <t>ORG</t>
  </si>
  <si>
    <t>Zorg en Hoop Airport</t>
  </si>
  <si>
    <t>Paramaribo</t>
  </si>
  <si>
    <t>ORH</t>
  </si>
  <si>
    <t>Worcester Regional Airport</t>
  </si>
  <si>
    <t>Worcester</t>
  </si>
  <si>
    <t>ORJ</t>
  </si>
  <si>
    <t>Orinduik Airport</t>
  </si>
  <si>
    <t>Orinduik</t>
  </si>
  <si>
    <t>ORK</t>
  </si>
  <si>
    <t>Cork Airport</t>
  </si>
  <si>
    <t>Cork</t>
  </si>
  <si>
    <t>ORL</t>
  </si>
  <si>
    <t>Orlando Executive Airport</t>
  </si>
  <si>
    <t>ORN</t>
  </si>
  <si>
    <t>Es Senia Airport</t>
  </si>
  <si>
    <t>ORP</t>
  </si>
  <si>
    <t>Orapa Airport</t>
  </si>
  <si>
    <t>Orapa</t>
  </si>
  <si>
    <t>ORT</t>
  </si>
  <si>
    <t>Northway Airport</t>
  </si>
  <si>
    <t>Northway</t>
  </si>
  <si>
    <t>ORV</t>
  </si>
  <si>
    <t>Robert (Bob) Curtis Memorial Airport</t>
  </si>
  <si>
    <t>Noorvik</t>
  </si>
  <si>
    <t>ORW</t>
  </si>
  <si>
    <t>Ormara Airport</t>
  </si>
  <si>
    <t>Ormara Raik</t>
  </si>
  <si>
    <t>ORX</t>
  </si>
  <si>
    <t>Oriximiná Airport</t>
  </si>
  <si>
    <t>Oriximina</t>
  </si>
  <si>
    <t>ORY</t>
  </si>
  <si>
    <t>Paris-Orly Airport</t>
  </si>
  <si>
    <t>OSB</t>
  </si>
  <si>
    <t>Mosul International Airport</t>
  </si>
  <si>
    <t>Mosul</t>
  </si>
  <si>
    <t>OSC</t>
  </si>
  <si>
    <t>Oscoda Wurtsmith Airport</t>
  </si>
  <si>
    <t>Oscoda</t>
  </si>
  <si>
    <t>OSD</t>
  </si>
  <si>
    <t>Åre Östersund Airport</t>
  </si>
  <si>
    <t>Östersund</t>
  </si>
  <si>
    <t>OSH</t>
  </si>
  <si>
    <t>Wittman Regional Airport</t>
  </si>
  <si>
    <t>Oshkosh</t>
  </si>
  <si>
    <t>OSI</t>
  </si>
  <si>
    <t>Osijek Airport</t>
  </si>
  <si>
    <t>Osijek</t>
  </si>
  <si>
    <t>OSK</t>
  </si>
  <si>
    <t>Oskarshamn Airport</t>
  </si>
  <si>
    <t>Oskarshamn</t>
  </si>
  <si>
    <t>OSL</t>
  </si>
  <si>
    <t>Oslo Gardermoen Airport</t>
  </si>
  <si>
    <t>OSN</t>
  </si>
  <si>
    <t>Osan Air Base</t>
  </si>
  <si>
    <t>Osan</t>
  </si>
  <si>
    <t>OSP</t>
  </si>
  <si>
    <t>Redzikowo Air Base</t>
  </si>
  <si>
    <t>Slupsk</t>
  </si>
  <si>
    <t>OSR</t>
  </si>
  <si>
    <t>Ostrava Leos Janáček Airport</t>
  </si>
  <si>
    <t>Ostrava</t>
  </si>
  <si>
    <t>OSS</t>
  </si>
  <si>
    <t>Osh Airport</t>
  </si>
  <si>
    <t>Osh</t>
  </si>
  <si>
    <t>OST</t>
  </si>
  <si>
    <t>Ostend-Bruges International Airport</t>
  </si>
  <si>
    <t>Ostend</t>
  </si>
  <si>
    <t>OSU</t>
  </si>
  <si>
    <t>Ohio State University Airport</t>
  </si>
  <si>
    <t>OSW</t>
  </si>
  <si>
    <t>Orsk Airport</t>
  </si>
  <si>
    <t>Orsk</t>
  </si>
  <si>
    <t>OSY</t>
  </si>
  <si>
    <t>Namsos Høknesøra Airport</t>
  </si>
  <si>
    <t>Namsos</t>
  </si>
  <si>
    <t>OSZ</t>
  </si>
  <si>
    <t>Koszalin Zegrze Pomorskie Air Base</t>
  </si>
  <si>
    <t>Koszalin</t>
  </si>
  <si>
    <t>OTH</t>
  </si>
  <si>
    <t>Southwest Oregon Regional Airport</t>
  </si>
  <si>
    <t>North Bend</t>
  </si>
  <si>
    <t>OTI</t>
  </si>
  <si>
    <t>Pitu Airport</t>
  </si>
  <si>
    <t>Morotai Island</t>
  </si>
  <si>
    <t>OTM</t>
  </si>
  <si>
    <t>Ottumwa Regional Airport</t>
  </si>
  <si>
    <t>Ottumwa</t>
  </si>
  <si>
    <t>OTP</t>
  </si>
  <si>
    <t>Henri Coandă International Airport</t>
  </si>
  <si>
    <t>OTR</t>
  </si>
  <si>
    <t>Coto 47 Airport</t>
  </si>
  <si>
    <t>Coto 47</t>
  </si>
  <si>
    <t>OTU</t>
  </si>
  <si>
    <t>Otu Airport</t>
  </si>
  <si>
    <t>Otu</t>
  </si>
  <si>
    <t>OTZ</t>
  </si>
  <si>
    <t>Ralph Wien Memorial Airport</t>
  </si>
  <si>
    <t>Kotzebue</t>
  </si>
  <si>
    <t>OUA</t>
  </si>
  <si>
    <t>Ouagadougou Airport</t>
  </si>
  <si>
    <t>Ouagadougou</t>
  </si>
  <si>
    <t>OUD</t>
  </si>
  <si>
    <t>Angads Airport</t>
  </si>
  <si>
    <t>Oujda</t>
  </si>
  <si>
    <t>OUE</t>
  </si>
  <si>
    <t>Ouesso Airport</t>
  </si>
  <si>
    <t>Ouesso</t>
  </si>
  <si>
    <t>OUI</t>
  </si>
  <si>
    <t>Ban Huoeisay Airport</t>
  </si>
  <si>
    <t>Huay Xai</t>
  </si>
  <si>
    <t>OUL</t>
  </si>
  <si>
    <t>Oulu Airport</t>
  </si>
  <si>
    <t>Oulu</t>
  </si>
  <si>
    <t>OUZ</t>
  </si>
  <si>
    <t>Tazadit Airport</t>
  </si>
  <si>
    <t>Zouerat</t>
  </si>
  <si>
    <t>OVA</t>
  </si>
  <si>
    <t>Bekily Airport</t>
  </si>
  <si>
    <t>Bekily</t>
  </si>
  <si>
    <t>OVB</t>
  </si>
  <si>
    <t>Tolmachevo Airport</t>
  </si>
  <si>
    <t>OVD</t>
  </si>
  <si>
    <t>Asturias Airport</t>
  </si>
  <si>
    <t>Aviles</t>
  </si>
  <si>
    <t>OVS</t>
  </si>
  <si>
    <t>Sovetskiy Airport</t>
  </si>
  <si>
    <t>Sovetskiy</t>
  </si>
  <si>
    <t>OWB</t>
  </si>
  <si>
    <t>Owensboro Daviess County Airport</t>
  </si>
  <si>
    <t>Owensboro</t>
  </si>
  <si>
    <t>OWD</t>
  </si>
  <si>
    <t>Norwood Memorial Airport</t>
  </si>
  <si>
    <t>Norwood</t>
  </si>
  <si>
    <t>OXB</t>
  </si>
  <si>
    <t>Osvaldo Vieira International Airport</t>
  </si>
  <si>
    <t>Bissau</t>
  </si>
  <si>
    <t>OXC</t>
  </si>
  <si>
    <t>Waterbury Oxford Airport</t>
  </si>
  <si>
    <t>OXF</t>
  </si>
  <si>
    <t>Oxford (Kidlington) Airport</t>
  </si>
  <si>
    <t>OXR</t>
  </si>
  <si>
    <t>Oxnard Airport</t>
  </si>
  <si>
    <t>Oxnard</t>
  </si>
  <si>
    <t>OYE</t>
  </si>
  <si>
    <t>Oyem Airport</t>
  </si>
  <si>
    <t>Oyem</t>
  </si>
  <si>
    <t>OYL</t>
  </si>
  <si>
    <t>Moyale Airport</t>
  </si>
  <si>
    <t>Moyale</t>
  </si>
  <si>
    <t>OZA</t>
  </si>
  <si>
    <t>Ozona Municipal Airport</t>
  </si>
  <si>
    <t>Ozona</t>
  </si>
  <si>
    <t>OZC</t>
  </si>
  <si>
    <t>Labo Airport</t>
  </si>
  <si>
    <t>Ozamis</t>
  </si>
  <si>
    <t>OZH</t>
  </si>
  <si>
    <t>Zaporizhzhia International Airport</t>
  </si>
  <si>
    <t>Zaporozhye</t>
  </si>
  <si>
    <t>OZP</t>
  </si>
  <si>
    <t>Moron Air Base</t>
  </si>
  <si>
    <t>OZR</t>
  </si>
  <si>
    <t>Cairns AAF (Fort Rucker) Air Field</t>
  </si>
  <si>
    <t>Fort Rucker/Ozark</t>
  </si>
  <si>
    <t>OZZ</t>
  </si>
  <si>
    <t>Ouarzazate Airport</t>
  </si>
  <si>
    <t>Ouarzazate</t>
  </si>
  <si>
    <t>P08</t>
  </si>
  <si>
    <t>Coolidge Municipal Airport</t>
  </si>
  <si>
    <t>Cooldige</t>
  </si>
  <si>
    <t>P52</t>
  </si>
  <si>
    <t>Cottonwood Airport</t>
  </si>
  <si>
    <t>Cottonwood</t>
  </si>
  <si>
    <t>PAB</t>
  </si>
  <si>
    <t>Bilaspur Airport</t>
  </si>
  <si>
    <t>Bilaspur</t>
  </si>
  <si>
    <t>PAC</t>
  </si>
  <si>
    <t>Marcos A. Gelabert International Airport</t>
  </si>
  <si>
    <t>PAD</t>
  </si>
  <si>
    <t>Paderborn Lippstadt Airport</t>
  </si>
  <si>
    <t>Paderborn</t>
  </si>
  <si>
    <t>PAE</t>
  </si>
  <si>
    <t>Snohomish County (Paine Field) Airport</t>
  </si>
  <si>
    <t>Everett</t>
  </si>
  <si>
    <t>PAF</t>
  </si>
  <si>
    <t>Bugungu Airport</t>
  </si>
  <si>
    <t>Pakuba</t>
  </si>
  <si>
    <t>PAG</t>
  </si>
  <si>
    <t>Pagadian Airport</t>
  </si>
  <si>
    <t>Pagadian</t>
  </si>
  <si>
    <t>PAH</t>
  </si>
  <si>
    <t>Barkley Regional Airport</t>
  </si>
  <si>
    <t>PADUCAH</t>
  </si>
  <si>
    <t>PAJ</t>
  </si>
  <si>
    <t>Parachinar Airport</t>
  </si>
  <si>
    <t>Parachinar</t>
  </si>
  <si>
    <t>PAL</t>
  </si>
  <si>
    <t>German Olano Air Base</t>
  </si>
  <si>
    <t>La Dorada</t>
  </si>
  <si>
    <t>PAM</t>
  </si>
  <si>
    <t>Tyndall Air Force Base</t>
  </si>
  <si>
    <t>PAN</t>
  </si>
  <si>
    <t>Pattani Airport</t>
  </si>
  <si>
    <t>Pattani</t>
  </si>
  <si>
    <t>PAO</t>
  </si>
  <si>
    <t>Palo Alto Airport of Santa Clara County</t>
  </si>
  <si>
    <t>Palo Alto</t>
  </si>
  <si>
    <t>PAP</t>
  </si>
  <si>
    <t>Toussaint Louverture International Airport</t>
  </si>
  <si>
    <t>Port-au-prince</t>
  </si>
  <si>
    <t>PAQ</t>
  </si>
  <si>
    <t>Palmer Municipal Airport</t>
  </si>
  <si>
    <t>Palmer</t>
  </si>
  <si>
    <t>PAS</t>
  </si>
  <si>
    <t>Paros Airport</t>
  </si>
  <si>
    <t>Paros</t>
  </si>
  <si>
    <t>PAT</t>
  </si>
  <si>
    <t>Lok Nayak Jayaprakash Airport</t>
  </si>
  <si>
    <t>Patina</t>
  </si>
  <si>
    <t>PAV</t>
  </si>
  <si>
    <t>Paulo Afonso Airport</t>
  </si>
  <si>
    <t>Paulo Alfonso</t>
  </si>
  <si>
    <t>PAX</t>
  </si>
  <si>
    <t>Port-de-Paix Airport</t>
  </si>
  <si>
    <t>Port-de-Paix</t>
  </si>
  <si>
    <t>PAZ</t>
  </si>
  <si>
    <t>El Tajín National Airport</t>
  </si>
  <si>
    <t>Poza Rico</t>
  </si>
  <si>
    <t>PBC</t>
  </si>
  <si>
    <t>Hermanos Serdán International Airport</t>
  </si>
  <si>
    <t>Puebla</t>
  </si>
  <si>
    <t>PBD</t>
  </si>
  <si>
    <t>Porbandar Airport</t>
  </si>
  <si>
    <t>Porbandar</t>
  </si>
  <si>
    <t>PBF</t>
  </si>
  <si>
    <t>Grider Field</t>
  </si>
  <si>
    <t>Pine Bluff</t>
  </si>
  <si>
    <t>PBG</t>
  </si>
  <si>
    <t>Plattsburgh International Airport</t>
  </si>
  <si>
    <t>Plattsburgh</t>
  </si>
  <si>
    <t>PBH</t>
  </si>
  <si>
    <t>Paro Airport</t>
  </si>
  <si>
    <t>Thimphu</t>
  </si>
  <si>
    <t>PBI</t>
  </si>
  <si>
    <t>Palm Beach International Airport</t>
  </si>
  <si>
    <t>PBJ</t>
  </si>
  <si>
    <t>Tavie Airport</t>
  </si>
  <si>
    <t>Paama Island</t>
  </si>
  <si>
    <t>PBL</t>
  </si>
  <si>
    <t>General Bartolome Salom International Airport</t>
  </si>
  <si>
    <t>Puerto Cabello</t>
  </si>
  <si>
    <t>PBM</t>
  </si>
  <si>
    <t>Johan Adolf Pengel International Airport</t>
  </si>
  <si>
    <t>Zandery</t>
  </si>
  <si>
    <t>PBN</t>
  </si>
  <si>
    <t>Porto Amboim Airport</t>
  </si>
  <si>
    <t>Porto Amboim</t>
  </si>
  <si>
    <t>PBO</t>
  </si>
  <si>
    <t>Paraburdoo Airport</t>
  </si>
  <si>
    <t>Paraburdoo</t>
  </si>
  <si>
    <t>PBP</t>
  </si>
  <si>
    <t>Islita Airport</t>
  </si>
  <si>
    <t>Nandayure</t>
  </si>
  <si>
    <t>PBR</t>
  </si>
  <si>
    <t>Puerto Barrios Airport</t>
  </si>
  <si>
    <t>Puerto Barrios</t>
  </si>
  <si>
    <t>PBU</t>
  </si>
  <si>
    <t>Putao Airport</t>
  </si>
  <si>
    <t>Putao</t>
  </si>
  <si>
    <t>PBX</t>
  </si>
  <si>
    <t>Pike County-Hatcher Field</t>
  </si>
  <si>
    <t>Pikeville</t>
  </si>
  <si>
    <t>PCA</t>
  </si>
  <si>
    <t>Ingeniero Juan Guillermo Villasana Airport</t>
  </si>
  <si>
    <t>Pachuca</t>
  </si>
  <si>
    <t>PCB</t>
  </si>
  <si>
    <t>Pondok Cabe Air Base</t>
  </si>
  <si>
    <t>PCL</t>
  </si>
  <si>
    <t>Cap FAP David Abenzur Rengifo International Airport</t>
  </si>
  <si>
    <t>Pucallpa</t>
  </si>
  <si>
    <t>PCN</t>
  </si>
  <si>
    <t>Picton Aerodrome</t>
  </si>
  <si>
    <t>Picton</t>
  </si>
  <si>
    <t>PCP</t>
  </si>
  <si>
    <t>Principe Airport</t>
  </si>
  <si>
    <t>Sao Tome and Principe</t>
  </si>
  <si>
    <t>Principe</t>
  </si>
  <si>
    <t>PCR</t>
  </si>
  <si>
    <t>German Olano Airport</t>
  </si>
  <si>
    <t>Puerto Carreno</t>
  </si>
  <si>
    <t>PCS</t>
  </si>
  <si>
    <t>Picos Airport</t>
  </si>
  <si>
    <t>Picos</t>
  </si>
  <si>
    <t>PCW</t>
  </si>
  <si>
    <t>Carl R Keller Field</t>
  </si>
  <si>
    <t>Port Clinton</t>
  </si>
  <si>
    <t>PCZ</t>
  </si>
  <si>
    <t>Waupaca Municipal Airport</t>
  </si>
  <si>
    <t>Waupaca</t>
  </si>
  <si>
    <t>PDA</t>
  </si>
  <si>
    <t>Obando Airport</t>
  </si>
  <si>
    <t>Puerto Inírida</t>
  </si>
  <si>
    <t>PDG</t>
  </si>
  <si>
    <t>Tabing Airport</t>
  </si>
  <si>
    <t>PDK</t>
  </si>
  <si>
    <t>DeKalb Peachtree Airport</t>
  </si>
  <si>
    <t>PDL</t>
  </si>
  <si>
    <t>João Paulo II Airport</t>
  </si>
  <si>
    <t>Ponta Delgada</t>
  </si>
  <si>
    <t>PDO</t>
  </si>
  <si>
    <t>Pendopo Airport</t>
  </si>
  <si>
    <t>Talang Gudang-Sumatra Island</t>
  </si>
  <si>
    <t>PDP</t>
  </si>
  <si>
    <t>Capitan Corbeta CA Curbelo International Airport</t>
  </si>
  <si>
    <t>Punta del Este</t>
  </si>
  <si>
    <t>PDS</t>
  </si>
  <si>
    <t>Piedras Negras International Airport</t>
  </si>
  <si>
    <t>Piedras Negras</t>
  </si>
  <si>
    <t>PDT</t>
  </si>
  <si>
    <t>Eastern Oregon Regional At Pendleton Airport</t>
  </si>
  <si>
    <t>Pendleton</t>
  </si>
  <si>
    <t>PDU</t>
  </si>
  <si>
    <t>Tydeo Larre Borges Airport</t>
  </si>
  <si>
    <t>Paysandu</t>
  </si>
  <si>
    <t>PDV</t>
  </si>
  <si>
    <t>Plovdiv International Airport</t>
  </si>
  <si>
    <t>Plovdiv</t>
  </si>
  <si>
    <t>PDX</t>
  </si>
  <si>
    <t>Portland International Airport</t>
  </si>
  <si>
    <t>Portland</t>
  </si>
  <si>
    <t>PEA</t>
  </si>
  <si>
    <t>Penneshaw Airport</t>
  </si>
  <si>
    <t>Penneshaw</t>
  </si>
  <si>
    <t>PED</t>
  </si>
  <si>
    <t>Pardubice Airport</t>
  </si>
  <si>
    <t>Pardubice</t>
  </si>
  <si>
    <t>PEE</t>
  </si>
  <si>
    <t>Bolshoye Savino Airport</t>
  </si>
  <si>
    <t>Perm</t>
  </si>
  <si>
    <t>PEF</t>
  </si>
  <si>
    <t>Peenemünde Airport</t>
  </si>
  <si>
    <t>Peenemunde</t>
  </si>
  <si>
    <t>PEG</t>
  </si>
  <si>
    <t>Perugia San Francesco d'Assisi – Umbria International Airport</t>
  </si>
  <si>
    <t>Perugia</t>
  </si>
  <si>
    <t>PEI</t>
  </si>
  <si>
    <t>Matecaña International Airport</t>
  </si>
  <si>
    <t>Pereira</t>
  </si>
  <si>
    <t>PEK</t>
  </si>
  <si>
    <t>Beijing Capital International Airport</t>
  </si>
  <si>
    <t>PEM</t>
  </si>
  <si>
    <t>Padre Aldamiz International Airport</t>
  </si>
  <si>
    <t>Puerto Maldonado</t>
  </si>
  <si>
    <t>PEN</t>
  </si>
  <si>
    <t>Penang International Airport</t>
  </si>
  <si>
    <t>Penang</t>
  </si>
  <si>
    <t>PEQ</t>
  </si>
  <si>
    <t>Pecos Municipal Airport</t>
  </si>
  <si>
    <t>Pecos</t>
  </si>
  <si>
    <t>PER</t>
  </si>
  <si>
    <t>Perth International Airport</t>
  </si>
  <si>
    <t>PES</t>
  </si>
  <si>
    <t>Petrozavodsk Airport</t>
  </si>
  <si>
    <t>PET</t>
  </si>
  <si>
    <t>João Simões Lopes Neto International Airport</t>
  </si>
  <si>
    <t>Pelotas</t>
  </si>
  <si>
    <t>PEU</t>
  </si>
  <si>
    <t>Puerto Lempira Airport</t>
  </si>
  <si>
    <t>Puerto Lempira</t>
  </si>
  <si>
    <t>PEV</t>
  </si>
  <si>
    <t>Pécs-Pogány Airport</t>
  </si>
  <si>
    <t>Pécs-Pogány</t>
  </si>
  <si>
    <t>PEW</t>
  </si>
  <si>
    <t>Peshawar International Airport</t>
  </si>
  <si>
    <t>Peshawar</t>
  </si>
  <si>
    <t>PEX</t>
  </si>
  <si>
    <t>Pechora Airport</t>
  </si>
  <si>
    <t>Pechora</t>
  </si>
  <si>
    <t>PEZ</t>
  </si>
  <si>
    <t>Penza Airport</t>
  </si>
  <si>
    <t>Penza</t>
  </si>
  <si>
    <t>PFB</t>
  </si>
  <si>
    <t>Lauro Kurtz Airport</t>
  </si>
  <si>
    <t>Passo Fundo</t>
  </si>
  <si>
    <t>PFJ</t>
  </si>
  <si>
    <t>Patreksfjörður Airport</t>
  </si>
  <si>
    <t>Patreksfjordur</t>
  </si>
  <si>
    <t>PFN</t>
  </si>
  <si>
    <t>Panama City-Bay Co International Airport</t>
  </si>
  <si>
    <t>PFO</t>
  </si>
  <si>
    <t>Paphos International Airport</t>
  </si>
  <si>
    <t>Paphos</t>
  </si>
  <si>
    <t>PFQ</t>
  </si>
  <si>
    <t>Parsabade Moghan Airport</t>
  </si>
  <si>
    <t>Parsabad</t>
  </si>
  <si>
    <t>PFR</t>
  </si>
  <si>
    <t>Ilebo Airport</t>
  </si>
  <si>
    <t>Ilebo</t>
  </si>
  <si>
    <t>PGA</t>
  </si>
  <si>
    <t>Page Municipal Airport</t>
  </si>
  <si>
    <t>Page</t>
  </si>
  <si>
    <t>PGD</t>
  </si>
  <si>
    <t>Charlotte County Airport</t>
  </si>
  <si>
    <t>Punta Gorda</t>
  </si>
  <si>
    <t>PGF</t>
  </si>
  <si>
    <t>Perpignan-Rivesaltes (Llabanère) Airport</t>
  </si>
  <si>
    <t>Perpignan</t>
  </si>
  <si>
    <t>PGH</t>
  </si>
  <si>
    <t>Pantnagar Airport</t>
  </si>
  <si>
    <t>Nainital</t>
  </si>
  <si>
    <t>PGK</t>
  </si>
  <si>
    <t>Pangkal Pinang (Depati Amir) Airport</t>
  </si>
  <si>
    <t>Pangkal Pinang</t>
  </si>
  <si>
    <t>PGU</t>
  </si>
  <si>
    <t>Persian Gulf International Airport</t>
  </si>
  <si>
    <t>Khalije Fars</t>
  </si>
  <si>
    <t>PGV</t>
  </si>
  <si>
    <t>Pitt Greenville Airport</t>
  </si>
  <si>
    <t>PGX</t>
  </si>
  <si>
    <t>Périgueux-Bassillac Airport</t>
  </si>
  <si>
    <t>Perigueux</t>
  </si>
  <si>
    <t>PHA</t>
  </si>
  <si>
    <t>Phan Rang Airport</t>
  </si>
  <si>
    <t>Phan Rang</t>
  </si>
  <si>
    <t>PHC</t>
  </si>
  <si>
    <t>Port Harcourt International Airport</t>
  </si>
  <si>
    <t>Port Hartcourt</t>
  </si>
  <si>
    <t>PHD</t>
  </si>
  <si>
    <t>Harry Clever Field</t>
  </si>
  <si>
    <t>New Philadelpha</t>
  </si>
  <si>
    <t>PHE</t>
  </si>
  <si>
    <t>Port Hedland International Airport</t>
  </si>
  <si>
    <t>Port Hedland</t>
  </si>
  <si>
    <t>PHF</t>
  </si>
  <si>
    <t>Newport News Williamsburg International Airport</t>
  </si>
  <si>
    <t>Newport News</t>
  </si>
  <si>
    <t>PHK</t>
  </si>
  <si>
    <t>Palm Beach County Glades Airport</t>
  </si>
  <si>
    <t>Pahokee</t>
  </si>
  <si>
    <t>PHL</t>
  </si>
  <si>
    <t>Philadelphia International Airport</t>
  </si>
  <si>
    <t>PHN</t>
  </si>
  <si>
    <t>St Clair County International Airport</t>
  </si>
  <si>
    <t>Port Huron</t>
  </si>
  <si>
    <t>PHS</t>
  </si>
  <si>
    <t>Phitsanulok Airport</t>
  </si>
  <si>
    <t>Phitsanulok</t>
  </si>
  <si>
    <t>PHW</t>
  </si>
  <si>
    <t>Hendrik Van Eck Airport</t>
  </si>
  <si>
    <t>Phalaborwa</t>
  </si>
  <si>
    <t>PHX</t>
  </si>
  <si>
    <t>Phoenix Sky Harbor International Airport</t>
  </si>
  <si>
    <t>PHY</t>
  </si>
  <si>
    <t>Phetchabun Airport</t>
  </si>
  <si>
    <t>PIA</t>
  </si>
  <si>
    <t>General Wayne A. Downing Peoria International Airport</t>
  </si>
  <si>
    <t>Peoria</t>
  </si>
  <si>
    <t>PIB</t>
  </si>
  <si>
    <t>Hattiesburg Laurel Regional Airport</t>
  </si>
  <si>
    <t>Hattiesburg/Laurel</t>
  </si>
  <si>
    <t>PID</t>
  </si>
  <si>
    <t>Nassau Paradise Island Airport</t>
  </si>
  <si>
    <t>PIE</t>
  </si>
  <si>
    <t>St Petersburg Clearwater International Airport</t>
  </si>
  <si>
    <t>PIF</t>
  </si>
  <si>
    <t>Pingtung North Airport</t>
  </si>
  <si>
    <t>PIH</t>
  </si>
  <si>
    <t>Pocatello Regional Airport</t>
  </si>
  <si>
    <t>Pocatello</t>
  </si>
  <si>
    <t>PIK</t>
  </si>
  <si>
    <t>Glasgow Prestwick Airport</t>
  </si>
  <si>
    <t>Prestwick</t>
  </si>
  <si>
    <t>PIM</t>
  </si>
  <si>
    <t>Harris County Airport</t>
  </si>
  <si>
    <t>Pine Mountain</t>
  </si>
  <si>
    <t>PIN</t>
  </si>
  <si>
    <t>Parintins Airport</t>
  </si>
  <si>
    <t>Parintins</t>
  </si>
  <si>
    <t>PIO</t>
  </si>
  <si>
    <t>Capitán FAP Renán Elías Olivera International Airport</t>
  </si>
  <si>
    <t>Pisco</t>
  </si>
  <si>
    <t>PIP</t>
  </si>
  <si>
    <t>Pilot Point Airport</t>
  </si>
  <si>
    <t>Pilot Point</t>
  </si>
  <si>
    <t>PIR</t>
  </si>
  <si>
    <t>Pierre Regional Airport</t>
  </si>
  <si>
    <t>Pierre</t>
  </si>
  <si>
    <t>PIS</t>
  </si>
  <si>
    <t>Poitiers-Biard Airport</t>
  </si>
  <si>
    <t>Poitiers</t>
  </si>
  <si>
    <t>PIT</t>
  </si>
  <si>
    <t>Pittsburgh International Airport</t>
  </si>
  <si>
    <t>PIU</t>
  </si>
  <si>
    <t>Capitán FAP Guillermo Concha Iberico International Airport</t>
  </si>
  <si>
    <t>Piura</t>
  </si>
  <si>
    <t>PIW</t>
  </si>
  <si>
    <t>Pikwitonei Airport</t>
  </si>
  <si>
    <t>Pikwitonei</t>
  </si>
  <si>
    <t>PIX</t>
  </si>
  <si>
    <t>Pico Airport</t>
  </si>
  <si>
    <t>Pico</t>
  </si>
  <si>
    <t>PIZ</t>
  </si>
  <si>
    <t>Point Lay LRRS Airport</t>
  </si>
  <si>
    <t>Point Lay</t>
  </si>
  <si>
    <t>PJA</t>
  </si>
  <si>
    <t>Pajala Airport</t>
  </si>
  <si>
    <t>Pajala</t>
  </si>
  <si>
    <t>PJC</t>
  </si>
  <si>
    <t>Dr Augusto Roberto Fuster International Airport</t>
  </si>
  <si>
    <t>Pedro Juan Caballero</t>
  </si>
  <si>
    <t>PJG</t>
  </si>
  <si>
    <t>Panjgur Airport</t>
  </si>
  <si>
    <t>Panjgur</t>
  </si>
  <si>
    <t>PJM</t>
  </si>
  <si>
    <t>Puerto Jimenez Airport</t>
  </si>
  <si>
    <t>Puerto Jimenez</t>
  </si>
  <si>
    <t>PKA</t>
  </si>
  <si>
    <t>Napaskiak Airport</t>
  </si>
  <si>
    <t>Napaskiak</t>
  </si>
  <si>
    <t>PKB</t>
  </si>
  <si>
    <t>Mid Ohio Valley Regional Airport</t>
  </si>
  <si>
    <t>PARKERSBURG</t>
  </si>
  <si>
    <t>PKC</t>
  </si>
  <si>
    <t>Yelizovo Airport</t>
  </si>
  <si>
    <t>Petropavlovsk</t>
  </si>
  <si>
    <t>PKE</t>
  </si>
  <si>
    <t>Parkes Airport</t>
  </si>
  <si>
    <t>Parkes</t>
  </si>
  <si>
    <t>PKG</t>
  </si>
  <si>
    <t>Pulau Pangkor Airport</t>
  </si>
  <si>
    <t>Pangkor Island</t>
  </si>
  <si>
    <t>PKH</t>
  </si>
  <si>
    <t>Porto Cheli Airport</t>
  </si>
  <si>
    <t>Porto Heli</t>
  </si>
  <si>
    <t>PKK</t>
  </si>
  <si>
    <t>Pakhokku Airport</t>
  </si>
  <si>
    <t>Pakhokku</t>
  </si>
  <si>
    <t>PKN</t>
  </si>
  <si>
    <t>Iskandar Airport</t>
  </si>
  <si>
    <t>Pangkalan Bun</t>
  </si>
  <si>
    <t>PKP</t>
  </si>
  <si>
    <t>Puka Puka Airport</t>
  </si>
  <si>
    <t>Puka Puka</t>
  </si>
  <si>
    <t>PKR</t>
  </si>
  <si>
    <t>Pokhara Airport</t>
  </si>
  <si>
    <t>Pokhara</t>
  </si>
  <si>
    <t>PKT</t>
  </si>
  <si>
    <t>Port Keats Airport</t>
  </si>
  <si>
    <t>Wadeye</t>
  </si>
  <si>
    <t>PKU</t>
  </si>
  <si>
    <t>Sultan Syarif Kasim Ii (Simpang Tiga) Airport</t>
  </si>
  <si>
    <t>Pekanbaru</t>
  </si>
  <si>
    <t>PKV</t>
  </si>
  <si>
    <t>Pskov Airport</t>
  </si>
  <si>
    <t>Pskov</t>
  </si>
  <si>
    <t>PKW</t>
  </si>
  <si>
    <t>Selebi Phikwe Airport</t>
  </si>
  <si>
    <t>Selebi-phikwe</t>
  </si>
  <si>
    <t>PKY</t>
  </si>
  <si>
    <t>Tjilik Riwut Airport</t>
  </si>
  <si>
    <t>Palangkaraya</t>
  </si>
  <si>
    <t>PKZ</t>
  </si>
  <si>
    <t>Pakse International Airport</t>
  </si>
  <si>
    <t>Pakse</t>
  </si>
  <si>
    <t>PLD</t>
  </si>
  <si>
    <t>Playa Samara/Carrillo Airport</t>
  </si>
  <si>
    <t>Carrillo</t>
  </si>
  <si>
    <t>PLH</t>
  </si>
  <si>
    <t>Plymouth City Airport</t>
  </si>
  <si>
    <t>Plymouth</t>
  </si>
  <si>
    <t>PLL</t>
  </si>
  <si>
    <t>Ponta Pelada Airport</t>
  </si>
  <si>
    <t>PLM</t>
  </si>
  <si>
    <t>Sultan Mahmud Badaruddin II Airport</t>
  </si>
  <si>
    <t>Palembang</t>
  </si>
  <si>
    <t>PLN</t>
  </si>
  <si>
    <t>Pellston Regional Airport of Emmet County Airport</t>
  </si>
  <si>
    <t>Pellston</t>
  </si>
  <si>
    <t>PLO</t>
  </si>
  <si>
    <t>Port Lincoln Airport</t>
  </si>
  <si>
    <t>Port Lincoln</t>
  </si>
  <si>
    <t>PLP</t>
  </si>
  <si>
    <t>Captain Ramon Xatruch Airport</t>
  </si>
  <si>
    <t>La Palma</t>
  </si>
  <si>
    <t>PLQ</t>
  </si>
  <si>
    <t>Palanga International Airport</t>
  </si>
  <si>
    <t>Palanga</t>
  </si>
  <si>
    <t>PLS</t>
  </si>
  <si>
    <t>Providenciales Airport</t>
  </si>
  <si>
    <t>Providenciales</t>
  </si>
  <si>
    <t>PLU</t>
  </si>
  <si>
    <t>Pampulha - Carlos Drummond de Andrade Airport</t>
  </si>
  <si>
    <t>PLV</t>
  </si>
  <si>
    <t>Suprunovka Airport</t>
  </si>
  <si>
    <t>Poltava</t>
  </si>
  <si>
    <t>PLW</t>
  </si>
  <si>
    <t>Mutiara Airport</t>
  </si>
  <si>
    <t>Palu</t>
  </si>
  <si>
    <t>PLX</t>
  </si>
  <si>
    <t>Semipalatinsk Airport</t>
  </si>
  <si>
    <t>Semiplatinsk</t>
  </si>
  <si>
    <t>PLZ</t>
  </si>
  <si>
    <t>Port Elizabeth Airport</t>
  </si>
  <si>
    <t>Port Elizabeth</t>
  </si>
  <si>
    <t>PMA</t>
  </si>
  <si>
    <t>Pemba Airport</t>
  </si>
  <si>
    <t>Pemba</t>
  </si>
  <si>
    <t>PMB</t>
  </si>
  <si>
    <t>Pembina Municipal Airport</t>
  </si>
  <si>
    <t>Pembina</t>
  </si>
  <si>
    <t>PMC</t>
  </si>
  <si>
    <t>El Tepual Airport</t>
  </si>
  <si>
    <t>Puerto Montt</t>
  </si>
  <si>
    <t>PMD</t>
  </si>
  <si>
    <t>Palmdale Regional/USAF Plant 42 Airport</t>
  </si>
  <si>
    <t>Palmdale</t>
  </si>
  <si>
    <t>PMF</t>
  </si>
  <si>
    <t>Parma Airport</t>
  </si>
  <si>
    <t>Parma</t>
  </si>
  <si>
    <t>PMG</t>
  </si>
  <si>
    <t>Ponta Porã Airport</t>
  </si>
  <si>
    <t>Ponta Pora</t>
  </si>
  <si>
    <t>PMI</t>
  </si>
  <si>
    <t>Palma De Mallorca Airport</t>
  </si>
  <si>
    <t>Palma de Mallorca</t>
  </si>
  <si>
    <t>PMK</t>
  </si>
  <si>
    <t>Palm Island Airport</t>
  </si>
  <si>
    <t>Palm Island</t>
  </si>
  <si>
    <t>PML</t>
  </si>
  <si>
    <t>Port Moller Airport</t>
  </si>
  <si>
    <t>PMO</t>
  </si>
  <si>
    <t>Falcone–Borsellino Airport</t>
  </si>
  <si>
    <t>PMP</t>
  </si>
  <si>
    <t>Pompano Beach Airpark</t>
  </si>
  <si>
    <t>Pompano Beach</t>
  </si>
  <si>
    <t>PMQ</t>
  </si>
  <si>
    <t>Perito Moreno Airport</t>
  </si>
  <si>
    <t>Perito Moreno</t>
  </si>
  <si>
    <t>PMR</t>
  </si>
  <si>
    <t>Palmerston North Airport</t>
  </si>
  <si>
    <t>Palmerston North</t>
  </si>
  <si>
    <t>PMS</t>
  </si>
  <si>
    <t>Palmyra Airport</t>
  </si>
  <si>
    <t>Palmyra</t>
  </si>
  <si>
    <t>PMV</t>
  </si>
  <si>
    <t>Del Caribe Santiago Mariño International Airport</t>
  </si>
  <si>
    <t>Porlamar</t>
  </si>
  <si>
    <t>PMW</t>
  </si>
  <si>
    <t>Brigadeiro Lysias Rodrigues Airport</t>
  </si>
  <si>
    <t>Palmas</t>
  </si>
  <si>
    <t>PMY</t>
  </si>
  <si>
    <t>El Tehuelche Airport</t>
  </si>
  <si>
    <t>Puerto Madryn</t>
  </si>
  <si>
    <t>PMZ</t>
  </si>
  <si>
    <t>Palmar Sur Airport</t>
  </si>
  <si>
    <t>Palmar Sur</t>
  </si>
  <si>
    <t>PNA</t>
  </si>
  <si>
    <t>Pamplona Airport</t>
  </si>
  <si>
    <t>Pamplona</t>
  </si>
  <si>
    <t>PNB</t>
  </si>
  <si>
    <t>Porto Nacional Airport</t>
  </si>
  <si>
    <t>Porto Nacional</t>
  </si>
  <si>
    <t>PNC</t>
  </si>
  <si>
    <t>Ponca City Regional Airport</t>
  </si>
  <si>
    <t>Ponca City</t>
  </si>
  <si>
    <t>PNE</t>
  </si>
  <si>
    <t>Northeast Philadelphia Airport</t>
  </si>
  <si>
    <t>PNH</t>
  </si>
  <si>
    <t>Phnom Penh International Airport</t>
  </si>
  <si>
    <t>Phnom-penh</t>
  </si>
  <si>
    <t>PNI</t>
  </si>
  <si>
    <t>Pohnpei International Airport</t>
  </si>
  <si>
    <t>Pohnpei</t>
  </si>
  <si>
    <t>PNK</t>
  </si>
  <si>
    <t>Supadio Airport</t>
  </si>
  <si>
    <t>Pontianak</t>
  </si>
  <si>
    <t>PNL</t>
  </si>
  <si>
    <t>Pantelleria Airport</t>
  </si>
  <si>
    <t>Pantelleria</t>
  </si>
  <si>
    <t>PNM</t>
  </si>
  <si>
    <t>Princeton Municipal Airport</t>
  </si>
  <si>
    <t>Princeton</t>
  </si>
  <si>
    <t>PNP</t>
  </si>
  <si>
    <t>Girua Airport</t>
  </si>
  <si>
    <t>Girua</t>
  </si>
  <si>
    <t>PNQ</t>
  </si>
  <si>
    <t>Pune Airport</t>
  </si>
  <si>
    <t>Pune</t>
  </si>
  <si>
    <t>PNR</t>
  </si>
  <si>
    <t>Pointe Noire Airport</t>
  </si>
  <si>
    <t>Pointe-noire</t>
  </si>
  <si>
    <t>PNS</t>
  </si>
  <si>
    <t>Pensacola Regional Airport</t>
  </si>
  <si>
    <t>PNT</t>
  </si>
  <si>
    <t>Tte. Julio Gallardo Airport</t>
  </si>
  <si>
    <t>Puerto Natales</t>
  </si>
  <si>
    <t>PNV</t>
  </si>
  <si>
    <t>Panevėžys Air Base</t>
  </si>
  <si>
    <t>Panevezys</t>
  </si>
  <si>
    <t>PNY</t>
  </si>
  <si>
    <t>Pondicherry Airport</t>
  </si>
  <si>
    <t>Pendicherry</t>
  </si>
  <si>
    <t>PNZ</t>
  </si>
  <si>
    <t>Senador Nilo Coelho Airport</t>
  </si>
  <si>
    <t>Petrolina</t>
  </si>
  <si>
    <t>POA</t>
  </si>
  <si>
    <t>Salgado Filho Airport</t>
  </si>
  <si>
    <t>POB</t>
  </si>
  <si>
    <t>Pope Field</t>
  </si>
  <si>
    <t>Fort Bragg</t>
  </si>
  <si>
    <t>POC</t>
  </si>
  <si>
    <t>Brackett Field</t>
  </si>
  <si>
    <t>La Verne</t>
  </si>
  <si>
    <t>POE</t>
  </si>
  <si>
    <t>Polk Army Air Field</t>
  </si>
  <si>
    <t>Fort Polk</t>
  </si>
  <si>
    <t>POF</t>
  </si>
  <si>
    <t>Poplar Bluff Municipal Airport</t>
  </si>
  <si>
    <t>Poplar Bluff</t>
  </si>
  <si>
    <t>POG</t>
  </si>
  <si>
    <t>Port Gentil Airport</t>
  </si>
  <si>
    <t>Port Gentil</t>
  </si>
  <si>
    <t>POI</t>
  </si>
  <si>
    <t>Capitan Nicolas Rojas Airport</t>
  </si>
  <si>
    <t>Potosi</t>
  </si>
  <si>
    <t>POJ</t>
  </si>
  <si>
    <t>Patos de Minas Airport</t>
  </si>
  <si>
    <t>Patos de Minas</t>
  </si>
  <si>
    <t>POL</t>
  </si>
  <si>
    <t>POM</t>
  </si>
  <si>
    <t>Port Moresby Jacksons International Airport</t>
  </si>
  <si>
    <t>Port Moresby</t>
  </si>
  <si>
    <t>POO</t>
  </si>
  <si>
    <t>Poços de Caldas - Embaixador Walther Moreira Salles Airport</t>
  </si>
  <si>
    <t>Pocos De Caldas</t>
  </si>
  <si>
    <t>POP</t>
  </si>
  <si>
    <t>Gregorio Luperon International Airport</t>
  </si>
  <si>
    <t>Puerto Plata</t>
  </si>
  <si>
    <t>POR</t>
  </si>
  <si>
    <t>Pori Airport</t>
  </si>
  <si>
    <t>Pori</t>
  </si>
  <si>
    <t>POS</t>
  </si>
  <si>
    <t>Piarco International Airport</t>
  </si>
  <si>
    <t>Trinidad and Tobago</t>
  </si>
  <si>
    <t>Port-of-spain</t>
  </si>
  <si>
    <t>POT</t>
  </si>
  <si>
    <t>Ken Jones Airport</t>
  </si>
  <si>
    <t>Port Antonio</t>
  </si>
  <si>
    <t>POU</t>
  </si>
  <si>
    <t>Dutchess County Airport</t>
  </si>
  <si>
    <t>Poughkeepsie</t>
  </si>
  <si>
    <t>POW</t>
  </si>
  <si>
    <t>Portoroz Airport</t>
  </si>
  <si>
    <t>Portoroz</t>
  </si>
  <si>
    <t>POX</t>
  </si>
  <si>
    <t>Pontoise - Cormeilles-en-Vexin Airport</t>
  </si>
  <si>
    <t>Pontoise</t>
  </si>
  <si>
    <t>POZ</t>
  </si>
  <si>
    <t>Poznań-Ławica Airport</t>
  </si>
  <si>
    <t>PPB</t>
  </si>
  <si>
    <t>Presidente Prudente Airport</t>
  </si>
  <si>
    <t>President Prudente</t>
  </si>
  <si>
    <t>PPC</t>
  </si>
  <si>
    <t>Prospect Creek Airport</t>
  </si>
  <si>
    <t>Prospect Creek</t>
  </si>
  <si>
    <t>PPE</t>
  </si>
  <si>
    <t>Puerto Peñasco International Airport</t>
  </si>
  <si>
    <t>Punta Penasco</t>
  </si>
  <si>
    <t>PPG</t>
  </si>
  <si>
    <t>Pago Pago International Airport</t>
  </si>
  <si>
    <t>Pago Pago</t>
  </si>
  <si>
    <t>PPI</t>
  </si>
  <si>
    <t>Port Pirie Airport</t>
  </si>
  <si>
    <t>PPK</t>
  </si>
  <si>
    <t>Petropavlosk South Airport</t>
  </si>
  <si>
    <t>Petropavlosk</t>
  </si>
  <si>
    <t>PPL</t>
  </si>
  <si>
    <t>Phaplu Airport</t>
  </si>
  <si>
    <t>Phaplu</t>
  </si>
  <si>
    <t>PPN</t>
  </si>
  <si>
    <t>Guillermo León Valencia Airport</t>
  </si>
  <si>
    <t>Popayan</t>
  </si>
  <si>
    <t>PPP</t>
  </si>
  <si>
    <t>Proserpine Whitsunday Coast Airport</t>
  </si>
  <si>
    <t>Prosserpine</t>
  </si>
  <si>
    <t>PPQ</t>
  </si>
  <si>
    <t>Paraparaumu Airport</t>
  </si>
  <si>
    <t>Paraparaumu</t>
  </si>
  <si>
    <t>PPS</t>
  </si>
  <si>
    <t>Puerto Princesa Airport</t>
  </si>
  <si>
    <t>Puerto Princesa</t>
  </si>
  <si>
    <t>PPT</t>
  </si>
  <si>
    <t>Faa'a International Airport</t>
  </si>
  <si>
    <t>Papeete</t>
  </si>
  <si>
    <t>PPW</t>
  </si>
  <si>
    <t>Papa Westray Airport</t>
  </si>
  <si>
    <t>Papa Westray</t>
  </si>
  <si>
    <t>PPY</t>
  </si>
  <si>
    <t>Pouso Alegre Airport</t>
  </si>
  <si>
    <t>Pouso Alegre</t>
  </si>
  <si>
    <t>PQC</t>
  </si>
  <si>
    <t>Phu Quoc International Airport</t>
  </si>
  <si>
    <t>Phuquoc</t>
  </si>
  <si>
    <t>PQI</t>
  </si>
  <si>
    <t>Northern Maine Regional Airport at Presque Isle</t>
  </si>
  <si>
    <t>Presque Isle</t>
  </si>
  <si>
    <t>PQQ</t>
  </si>
  <si>
    <t>Port Macquarie Airport</t>
  </si>
  <si>
    <t>Port Macquarie</t>
  </si>
  <si>
    <t>PRA</t>
  </si>
  <si>
    <t>General Urquiza Airport</t>
  </si>
  <si>
    <t>Parana</t>
  </si>
  <si>
    <t>PRB</t>
  </si>
  <si>
    <t>Paso Robles Municipal Airport</t>
  </si>
  <si>
    <t>Paso Robles</t>
  </si>
  <si>
    <t>PRC</t>
  </si>
  <si>
    <t>Ernest A. Love Field</t>
  </si>
  <si>
    <t>Prescott</t>
  </si>
  <si>
    <t>PRG</t>
  </si>
  <si>
    <t>Václav Havel Airport Prague</t>
  </si>
  <si>
    <t>Prague</t>
  </si>
  <si>
    <t>PRH</t>
  </si>
  <si>
    <t>Phrae Airport</t>
  </si>
  <si>
    <t>Phrae</t>
  </si>
  <si>
    <t>PRI</t>
  </si>
  <si>
    <t>Praslin Airport</t>
  </si>
  <si>
    <t>Praslin</t>
  </si>
  <si>
    <t>PRN</t>
  </si>
  <si>
    <t>Priština International Airport</t>
  </si>
  <si>
    <t>Pristina</t>
  </si>
  <si>
    <t>PRV</t>
  </si>
  <si>
    <t>Přerov Air Base</t>
  </si>
  <si>
    <t>Prerov</t>
  </si>
  <si>
    <t>PRX</t>
  </si>
  <si>
    <t>Cox Field</t>
  </si>
  <si>
    <t>PRY</t>
  </si>
  <si>
    <t>Wonderboom Airport</t>
  </si>
  <si>
    <t>Pretoria</t>
  </si>
  <si>
    <t>PSA</t>
  </si>
  <si>
    <t>Pisa International Airport</t>
  </si>
  <si>
    <t>Pisa</t>
  </si>
  <si>
    <t>PSC</t>
  </si>
  <si>
    <t>Pasco</t>
  </si>
  <si>
    <t>PSD</t>
  </si>
  <si>
    <t>Port Said Airport</t>
  </si>
  <si>
    <t>Port Said</t>
  </si>
  <si>
    <t>PSE</t>
  </si>
  <si>
    <t>Mercedita Airport</t>
  </si>
  <si>
    <t>Ponce</t>
  </si>
  <si>
    <t>PSG</t>
  </si>
  <si>
    <t>Petersburg James A Johnson Airport</t>
  </si>
  <si>
    <t>Petersburg</t>
  </si>
  <si>
    <t>PSH</t>
  </si>
  <si>
    <t>St. Peter-Ording Airport</t>
  </si>
  <si>
    <t>Sankt Peter-Ording</t>
  </si>
  <si>
    <t>PSI</t>
  </si>
  <si>
    <t>Pasni Airport</t>
  </si>
  <si>
    <t>Pasni</t>
  </si>
  <si>
    <t>PSJ</t>
  </si>
  <si>
    <t>Kasiguncu Airport</t>
  </si>
  <si>
    <t>Poso</t>
  </si>
  <si>
    <t>PSL</t>
  </si>
  <si>
    <t>Perth/Scone Airport</t>
  </si>
  <si>
    <t>PSM</t>
  </si>
  <si>
    <t>Portsmouth International at Pease Airport</t>
  </si>
  <si>
    <t>Portsmouth</t>
  </si>
  <si>
    <t>PSO</t>
  </si>
  <si>
    <t>Antonio Narino Airport</t>
  </si>
  <si>
    <t>Pasto</t>
  </si>
  <si>
    <t>PSP</t>
  </si>
  <si>
    <t>Palm Springs International Airport</t>
  </si>
  <si>
    <t>Palm Springs</t>
  </si>
  <si>
    <t>PSR</t>
  </si>
  <si>
    <t>Pescara International Airport</t>
  </si>
  <si>
    <t>Pescara</t>
  </si>
  <si>
    <t>PSS</t>
  </si>
  <si>
    <t>Libertador Gral D Jose De San Martin Airport</t>
  </si>
  <si>
    <t>Posadas</t>
  </si>
  <si>
    <t>PSU</t>
  </si>
  <si>
    <t>Pangsuma Airport</t>
  </si>
  <si>
    <t>Putussibau-Borneo Island</t>
  </si>
  <si>
    <t>PSX</t>
  </si>
  <si>
    <t>Palacios Municipal Airport</t>
  </si>
  <si>
    <t>Palacios</t>
  </si>
  <si>
    <t>PSY</t>
  </si>
  <si>
    <t>Port Stanley Airport</t>
  </si>
  <si>
    <t>Stanley</t>
  </si>
  <si>
    <t>PSZ</t>
  </si>
  <si>
    <t>Capitán Av. Salvador Ogaya G. airport</t>
  </si>
  <si>
    <t>Puerto Suarez</t>
  </si>
  <si>
    <t>PTB</t>
  </si>
  <si>
    <t>Dinwiddie County Airport</t>
  </si>
  <si>
    <t>PTF</t>
  </si>
  <si>
    <t>Malolo Lailai Island Airport</t>
  </si>
  <si>
    <t>Malolo Lailai Island</t>
  </si>
  <si>
    <t>PTG</t>
  </si>
  <si>
    <t>Polokwane International Airport</t>
  </si>
  <si>
    <t>Potgietersrus</t>
  </si>
  <si>
    <t>PTH</t>
  </si>
  <si>
    <t>Port Heiden Airport</t>
  </si>
  <si>
    <t>Port Heiden</t>
  </si>
  <si>
    <t>PTJ</t>
  </si>
  <si>
    <t>Portland Airport</t>
  </si>
  <si>
    <t>PTK</t>
  </si>
  <si>
    <t>Oakland County International Airport</t>
  </si>
  <si>
    <t>Pontiac</t>
  </si>
  <si>
    <t>PTP</t>
  </si>
  <si>
    <t>Pointe-à-Pitre Le Raizet</t>
  </si>
  <si>
    <t>Pointe-a-pitre</t>
  </si>
  <si>
    <t>PTT</t>
  </si>
  <si>
    <t>Pratt Regional Airport</t>
  </si>
  <si>
    <t>Pratt</t>
  </si>
  <si>
    <t>PTU</t>
  </si>
  <si>
    <t>Platinum Airport</t>
  </si>
  <si>
    <t>Port Moller</t>
  </si>
  <si>
    <t>PTY</t>
  </si>
  <si>
    <t>Tocumen International Airport</t>
  </si>
  <si>
    <t>PTZ</t>
  </si>
  <si>
    <t>Rio Amazonas Airport</t>
  </si>
  <si>
    <t>Pastaza</t>
  </si>
  <si>
    <t>PUB</t>
  </si>
  <si>
    <t>Pueblo Memorial Airport</t>
  </si>
  <si>
    <t>Pueblo</t>
  </si>
  <si>
    <t>PUC</t>
  </si>
  <si>
    <t>Carbon County Regional/Buck Davis Field</t>
  </si>
  <si>
    <t>Price</t>
  </si>
  <si>
    <t>PUD</t>
  </si>
  <si>
    <t>Puerto Deseado Airport</t>
  </si>
  <si>
    <t>Puerto Deseado</t>
  </si>
  <si>
    <t>PUE</t>
  </si>
  <si>
    <t>Puerto Obaldia Airport</t>
  </si>
  <si>
    <t>Puerto Obaldia</t>
  </si>
  <si>
    <t>PUF</t>
  </si>
  <si>
    <t>Pau Pyrénées Airport</t>
  </si>
  <si>
    <t>Pau</t>
  </si>
  <si>
    <t>PUG</t>
  </si>
  <si>
    <t>Port Augusta Airport</t>
  </si>
  <si>
    <t>PUJ</t>
  </si>
  <si>
    <t>Punta Cana International Airport</t>
  </si>
  <si>
    <t>Punta Cana</t>
  </si>
  <si>
    <t>PUK</t>
  </si>
  <si>
    <t>Pukarua Airport</t>
  </si>
  <si>
    <t>Pukarua</t>
  </si>
  <si>
    <t>PUQ</t>
  </si>
  <si>
    <t>Pdte. carlos Ibañez del Campo Airport</t>
  </si>
  <si>
    <t>Punta Arenas</t>
  </si>
  <si>
    <t>PUR</t>
  </si>
  <si>
    <t>Puerto Rico Airport</t>
  </si>
  <si>
    <t>Puerto Rico/Manuripi</t>
  </si>
  <si>
    <t>PUS</t>
  </si>
  <si>
    <t>Gimhae International Airport</t>
  </si>
  <si>
    <t>Busan</t>
  </si>
  <si>
    <t>PUT</t>
  </si>
  <si>
    <t>Sri Sathya Sai Airport</t>
  </si>
  <si>
    <t>Puttaparthi</t>
  </si>
  <si>
    <t>PUU</t>
  </si>
  <si>
    <t>Tres De Mayo Airport</t>
  </si>
  <si>
    <t>Puerto Asis</t>
  </si>
  <si>
    <t>PUW</t>
  </si>
  <si>
    <t>Pullman Moscow Regional Airport</t>
  </si>
  <si>
    <t>Pullman</t>
  </si>
  <si>
    <t>PUY</t>
  </si>
  <si>
    <t>Pula Airport</t>
  </si>
  <si>
    <t>Pula</t>
  </si>
  <si>
    <t>PUZ</t>
  </si>
  <si>
    <t>Puerto Cabezas Airport</t>
  </si>
  <si>
    <t>Puerto Cabezas</t>
  </si>
  <si>
    <t>PVA</t>
  </si>
  <si>
    <t>El Embrujo Airport</t>
  </si>
  <si>
    <t>Providencia</t>
  </si>
  <si>
    <t>PVC</t>
  </si>
  <si>
    <t>Provincetown Municipal Airport</t>
  </si>
  <si>
    <t>Provincetown</t>
  </si>
  <si>
    <t>PVD</t>
  </si>
  <si>
    <t>Theodore Francis Green State Airport</t>
  </si>
  <si>
    <t>Providence</t>
  </si>
  <si>
    <t>PVG</t>
  </si>
  <si>
    <t>Shanghai Pudong International Airport</t>
  </si>
  <si>
    <t>Shanghai</t>
  </si>
  <si>
    <t>PVH</t>
  </si>
  <si>
    <t>Governador Jorge Teixeira de Oliveira Airport</t>
  </si>
  <si>
    <t>Porto Velho</t>
  </si>
  <si>
    <t>PVK</t>
  </si>
  <si>
    <t>Aktion National Airport</t>
  </si>
  <si>
    <t>Preveza</t>
  </si>
  <si>
    <t>PVO</t>
  </si>
  <si>
    <t>Reales Tamarindos Airport</t>
  </si>
  <si>
    <t>Portoviejo</t>
  </si>
  <si>
    <t>PVR</t>
  </si>
  <si>
    <t>Licenciado Gustavo Díaz Ordaz International Airport</t>
  </si>
  <si>
    <t>Puerto Vallarta</t>
  </si>
  <si>
    <t>PVS</t>
  </si>
  <si>
    <t>Provideniya Bay Airport</t>
  </si>
  <si>
    <t>Provideniya Bay</t>
  </si>
  <si>
    <t>PVU</t>
  </si>
  <si>
    <t>Provo Municipal Airport</t>
  </si>
  <si>
    <t>Provo</t>
  </si>
  <si>
    <t>PWE</t>
  </si>
  <si>
    <t>Pevek Airport</t>
  </si>
  <si>
    <t>Pevek</t>
  </si>
  <si>
    <t>PWK</t>
  </si>
  <si>
    <t>Chicago Executive Airport</t>
  </si>
  <si>
    <t>Chicago-Wheeling</t>
  </si>
  <si>
    <t>PWM</t>
  </si>
  <si>
    <t>Portland International Jetport Airport</t>
  </si>
  <si>
    <t>PWQ</t>
  </si>
  <si>
    <t>Pavlodar Airport</t>
  </si>
  <si>
    <t>Pavlodar</t>
  </si>
  <si>
    <t>PWT</t>
  </si>
  <si>
    <t>Bremerton National Airport</t>
  </si>
  <si>
    <t>Bremerton</t>
  </si>
  <si>
    <t>PWY</t>
  </si>
  <si>
    <t>Ralph Wenz Field</t>
  </si>
  <si>
    <t>Pinedale</t>
  </si>
  <si>
    <t>PXE</t>
  </si>
  <si>
    <t>Perry Houston County Airport</t>
  </si>
  <si>
    <t>PXH</t>
  </si>
  <si>
    <t>Prominent Hill Airport</t>
  </si>
  <si>
    <t>Prominent Hill</t>
  </si>
  <si>
    <t>PXM</t>
  </si>
  <si>
    <t>Puerto Escondido International Airport</t>
  </si>
  <si>
    <t>Puerto Escondido</t>
  </si>
  <si>
    <t>PXO</t>
  </si>
  <si>
    <t>Porto Santo Airport</t>
  </si>
  <si>
    <t>Porto Santo</t>
  </si>
  <si>
    <t>PXU</t>
  </si>
  <si>
    <t>Pleiku Airport</t>
  </si>
  <si>
    <t>Pleiku</t>
  </si>
  <si>
    <t>PYE</t>
  </si>
  <si>
    <t>Tongareva Airport</t>
  </si>
  <si>
    <t>Penrhyn Island</t>
  </si>
  <si>
    <t>PYH</t>
  </si>
  <si>
    <t>Cacique Aramare Airport</t>
  </si>
  <si>
    <t>Puerto Ayacucho</t>
  </si>
  <si>
    <t>PYJ</t>
  </si>
  <si>
    <t>Polyarny Airport</t>
  </si>
  <si>
    <t>Yakutia</t>
  </si>
  <si>
    <t>PYK</t>
  </si>
  <si>
    <t>Payam International Airport</t>
  </si>
  <si>
    <t>Karaj</t>
  </si>
  <si>
    <t>PYM</t>
  </si>
  <si>
    <t>Plymouth Municipal Airport</t>
  </si>
  <si>
    <t>PYP</t>
  </si>
  <si>
    <t>Centre-Piedmont-Cherokee County Regional Airport</t>
  </si>
  <si>
    <t>Centre</t>
  </si>
  <si>
    <t>PYR</t>
  </si>
  <si>
    <t>Andravida Air Base</t>
  </si>
  <si>
    <t>Andravida</t>
  </si>
  <si>
    <t>PYY</t>
  </si>
  <si>
    <t>Pai</t>
  </si>
  <si>
    <t>PZA</t>
  </si>
  <si>
    <t>Paz De Ariporo Airport</t>
  </si>
  <si>
    <t>Paz De Ariporo</t>
  </si>
  <si>
    <t>PZB</t>
  </si>
  <si>
    <t>Pietermaritzburg Airport</t>
  </si>
  <si>
    <t>Pietermaritzburg</t>
  </si>
  <si>
    <t>PZE</t>
  </si>
  <si>
    <t>Penzance Heliport</t>
  </si>
  <si>
    <t>Penzance</t>
  </si>
  <si>
    <t>PZH</t>
  </si>
  <si>
    <t>Zhob Airport</t>
  </si>
  <si>
    <t>Zhob</t>
  </si>
  <si>
    <t>PZL</t>
  </si>
  <si>
    <t>Zulu Inyala Airport</t>
  </si>
  <si>
    <t>Phinda</t>
  </si>
  <si>
    <t>PZO</t>
  </si>
  <si>
    <t>General Manuel Carlos Piar International Airport</t>
  </si>
  <si>
    <t>Guayana</t>
  </si>
  <si>
    <t>PZU</t>
  </si>
  <si>
    <t>Port Sudan New International Airport</t>
  </si>
  <si>
    <t>Port Sudan</t>
  </si>
  <si>
    <t>PZY</t>
  </si>
  <si>
    <t>Piešťany Airport</t>
  </si>
  <si>
    <t>Piestany</t>
  </si>
  <si>
    <t>QAS</t>
  </si>
  <si>
    <t>Ech Cheliff Airport</t>
  </si>
  <si>
    <t>Ech-cheliff</t>
  </si>
  <si>
    <t>QBC</t>
  </si>
  <si>
    <t>Bella Coola Airport</t>
  </si>
  <si>
    <t>Bella Coola</t>
  </si>
  <si>
    <t>QBX</t>
  </si>
  <si>
    <t>Sobral Airport</t>
  </si>
  <si>
    <t>Sobral</t>
  </si>
  <si>
    <t>QCJ</t>
  </si>
  <si>
    <t>Botucatu - Tancredo de Almeida Neves Airport</t>
  </si>
  <si>
    <t>Botucatu</t>
  </si>
  <si>
    <t>QCY</t>
  </si>
  <si>
    <t>RAF Coningsby</t>
  </si>
  <si>
    <t>Coningsby</t>
  </si>
  <si>
    <t>QDJ</t>
  </si>
  <si>
    <t>Tsletsi Airport</t>
  </si>
  <si>
    <t>Djelfa</t>
  </si>
  <si>
    <t>QEF</t>
  </si>
  <si>
    <t>Frankfurt-Egelsbach Airport</t>
  </si>
  <si>
    <t>Egelsbach</t>
  </si>
  <si>
    <t>QFD</t>
  </si>
  <si>
    <t>Boufarik Airport</t>
  </si>
  <si>
    <t>Boufarik</t>
  </si>
  <si>
    <t>QFO</t>
  </si>
  <si>
    <t>Duxford Airport</t>
  </si>
  <si>
    <t>Duxford</t>
  </si>
  <si>
    <t>QGY</t>
  </si>
  <si>
    <t>Győr-Pér International Airport</t>
  </si>
  <si>
    <t>Győr</t>
  </si>
  <si>
    <t>QHP</t>
  </si>
  <si>
    <t>Base de Aviação de Taubaté Airport</t>
  </si>
  <si>
    <t>Taubaté</t>
  </si>
  <si>
    <t>QHR</t>
  </si>
  <si>
    <t>Harar Meda Airport</t>
  </si>
  <si>
    <t>Debre Zeyit</t>
  </si>
  <si>
    <t>QKT</t>
  </si>
  <si>
    <t>Wevelgem Airport</t>
  </si>
  <si>
    <t>Kortrijk-vevelgem</t>
  </si>
  <si>
    <t>QLA</t>
  </si>
  <si>
    <t>Lasham Airport</t>
  </si>
  <si>
    <t>Lasham</t>
  </si>
  <si>
    <t>QLP</t>
  </si>
  <si>
    <t>Sarzana-Luni Air Base</t>
  </si>
  <si>
    <t>Sarzana (SP)</t>
  </si>
  <si>
    <t>QLS</t>
  </si>
  <si>
    <t>Lausanne-Blécherette Airport</t>
  </si>
  <si>
    <t>Lausanne</t>
  </si>
  <si>
    <t>QLT</t>
  </si>
  <si>
    <t>Latina Air Base</t>
  </si>
  <si>
    <t>Latina</t>
  </si>
  <si>
    <t>QMJ</t>
  </si>
  <si>
    <t>Shahid Asyaee Airport</t>
  </si>
  <si>
    <t>Masjed Soleiman</t>
  </si>
  <si>
    <t>QNC</t>
  </si>
  <si>
    <t>Neuchatel Airport</t>
  </si>
  <si>
    <t>Neuchatel</t>
  </si>
  <si>
    <t>QNJ</t>
  </si>
  <si>
    <t>Annemasse Airport</t>
  </si>
  <si>
    <t>Annemasse</t>
  </si>
  <si>
    <t>QNV</t>
  </si>
  <si>
    <t>Aeroclube Airport</t>
  </si>
  <si>
    <t>Nova Iguacu</t>
  </si>
  <si>
    <t>QNX</t>
  </si>
  <si>
    <t>Mâcon-Charnay Airport</t>
  </si>
  <si>
    <t>QOW</t>
  </si>
  <si>
    <t>Sam Mbakwe International Airport</t>
  </si>
  <si>
    <t>Imo</t>
  </si>
  <si>
    <t>QPA</t>
  </si>
  <si>
    <t>Padova Airport</t>
  </si>
  <si>
    <t>Padova</t>
  </si>
  <si>
    <t>QPG</t>
  </si>
  <si>
    <t>Paya Lebar Air Base</t>
  </si>
  <si>
    <t>Paya Lebar</t>
  </si>
  <si>
    <t>QPS</t>
  </si>
  <si>
    <t>Campo Fontenelle Airport</t>
  </si>
  <si>
    <t>Piracununga</t>
  </si>
  <si>
    <t>QPZ</t>
  </si>
  <si>
    <t>Piacenza San Damiano Air Base</t>
  </si>
  <si>
    <t>Piacenza</t>
  </si>
  <si>
    <t>QRA</t>
  </si>
  <si>
    <t>Rand Airport</t>
  </si>
  <si>
    <t>QRM</t>
  </si>
  <si>
    <t>Narromine Airport</t>
  </si>
  <si>
    <t>QRO</t>
  </si>
  <si>
    <t>Querétaro Intercontinental Airport</t>
  </si>
  <si>
    <t>Queretaro</t>
  </si>
  <si>
    <t>QRR</t>
  </si>
  <si>
    <t>Warren Airport</t>
  </si>
  <si>
    <t>QSA</t>
  </si>
  <si>
    <t>Sabadell Airport</t>
  </si>
  <si>
    <t>Sabadell</t>
  </si>
  <si>
    <t>QSC</t>
  </si>
  <si>
    <t>São Carlos Airport</t>
  </si>
  <si>
    <t>Sao Carlos</t>
  </si>
  <si>
    <t>QSF</t>
  </si>
  <si>
    <t>Ain Arnat Airport</t>
  </si>
  <si>
    <t>Setif</t>
  </si>
  <si>
    <t>QSN</t>
  </si>
  <si>
    <t>San Nicolas De Bari Airport</t>
  </si>
  <si>
    <t>San Nicolás</t>
  </si>
  <si>
    <t>QSR</t>
  </si>
  <si>
    <t>Salerno Costa d'Amalfi Airport</t>
  </si>
  <si>
    <t>Salerno</t>
  </si>
  <si>
    <t>QUO</t>
  </si>
  <si>
    <t>Akwa Ibom International Airport</t>
  </si>
  <si>
    <t>Uyo</t>
  </si>
  <si>
    <t>QUS</t>
  </si>
  <si>
    <t>Gusau Airport</t>
  </si>
  <si>
    <t>Gusau</t>
  </si>
  <si>
    <t>QUT</t>
  </si>
  <si>
    <t>Utsunomiya Airport</t>
  </si>
  <si>
    <t>QVY</t>
  </si>
  <si>
    <t>Utti Air Base</t>
  </si>
  <si>
    <t>Utti</t>
  </si>
  <si>
    <t>QXB</t>
  </si>
  <si>
    <t>Aix-en-Provence (BA 114) Airport</t>
  </si>
  <si>
    <t>Aix-les-milles</t>
  </si>
  <si>
    <t>QXR</t>
  </si>
  <si>
    <t>Radom Airport</t>
  </si>
  <si>
    <t>RADOM</t>
  </si>
  <si>
    <t>QYD</t>
  </si>
  <si>
    <t>Oksywie Military Air Base</t>
  </si>
  <si>
    <t>Gdynia</t>
  </si>
  <si>
    <t>QYR</t>
  </si>
  <si>
    <t>Troyes-Barberey Airport</t>
  </si>
  <si>
    <t>Troyes</t>
  </si>
  <si>
    <t>RAB</t>
  </si>
  <si>
    <t>Tokua Airport</t>
  </si>
  <si>
    <t>Tokua</t>
  </si>
  <si>
    <t>RAC</t>
  </si>
  <si>
    <t>John H Batten Airport</t>
  </si>
  <si>
    <t>Racine</t>
  </si>
  <si>
    <t>RAE</t>
  </si>
  <si>
    <t>Arar Domestic Airport</t>
  </si>
  <si>
    <t>Arar</t>
  </si>
  <si>
    <t>RAH</t>
  </si>
  <si>
    <t>Rafha Domestic Airport</t>
  </si>
  <si>
    <t>Rafha</t>
  </si>
  <si>
    <t>RAI</t>
  </si>
  <si>
    <t>Praia International Airport</t>
  </si>
  <si>
    <t>Praia, Santiago Island</t>
  </si>
  <si>
    <t>RAJ</t>
  </si>
  <si>
    <t>Rajkot Airport</t>
  </si>
  <si>
    <t>Rajkot</t>
  </si>
  <si>
    <t>Menara Airport</t>
  </si>
  <si>
    <t>RAL</t>
  </si>
  <si>
    <t>Riverside Municipal Airport</t>
  </si>
  <si>
    <t>Riverside</t>
  </si>
  <si>
    <t>RAM</t>
  </si>
  <si>
    <t>Ramingining Airport</t>
  </si>
  <si>
    <t>Ramingining</t>
  </si>
  <si>
    <t>RAO</t>
  </si>
  <si>
    <t>Leite Lopes Airport</t>
  </si>
  <si>
    <t>Ribeirao Preto</t>
  </si>
  <si>
    <t>RAP</t>
  </si>
  <si>
    <t>Rapid City Regional Airport</t>
  </si>
  <si>
    <t>Rapid City</t>
  </si>
  <si>
    <t>RAR</t>
  </si>
  <si>
    <t>Rarotonga International Airport</t>
  </si>
  <si>
    <t>Avarua</t>
  </si>
  <si>
    <t>RAS</t>
  </si>
  <si>
    <t>Sardar-e-Jangal Airport</t>
  </si>
  <si>
    <t>Rasht</t>
  </si>
  <si>
    <t>RAT</t>
  </si>
  <si>
    <t>Raduzhny Airport</t>
  </si>
  <si>
    <t>Raduzhnyi</t>
  </si>
  <si>
    <t>RAZ</t>
  </si>
  <si>
    <t>Rawalakot Airport</t>
  </si>
  <si>
    <t>Rawala Kot</t>
  </si>
  <si>
    <t>RBA</t>
  </si>
  <si>
    <t>Rabat-Salé Airport</t>
  </si>
  <si>
    <t>Rabat</t>
  </si>
  <si>
    <t>RBB</t>
  </si>
  <si>
    <t>Borba Airport</t>
  </si>
  <si>
    <t>Borba</t>
  </si>
  <si>
    <t>RBD</t>
  </si>
  <si>
    <t>Dallas Executive Airport</t>
  </si>
  <si>
    <t>RBE</t>
  </si>
  <si>
    <t>Ratanakiri Airport</t>
  </si>
  <si>
    <t>Ratanakiri</t>
  </si>
  <si>
    <t>RBK</t>
  </si>
  <si>
    <t>French Valley Airport</t>
  </si>
  <si>
    <t>Murrieta-Temecula</t>
  </si>
  <si>
    <t>RBM</t>
  </si>
  <si>
    <t>Straubing Airport</t>
  </si>
  <si>
    <t>Straubing</t>
  </si>
  <si>
    <t>RBR</t>
  </si>
  <si>
    <t>Plácido de Castro Airport</t>
  </si>
  <si>
    <t>Rio Branco</t>
  </si>
  <si>
    <t>RBV</t>
  </si>
  <si>
    <t>Ramata Airport</t>
  </si>
  <si>
    <t>Ramata</t>
  </si>
  <si>
    <t>RBX</t>
  </si>
  <si>
    <t>Rumbek Airport</t>
  </si>
  <si>
    <t>Rumbek</t>
  </si>
  <si>
    <t>RBY</t>
  </si>
  <si>
    <t>Ruby Airport</t>
  </si>
  <si>
    <t>Ruby</t>
  </si>
  <si>
    <t>RCA</t>
  </si>
  <si>
    <t>Ellsworth Air Force Base</t>
  </si>
  <si>
    <t>RCB</t>
  </si>
  <si>
    <t>Richards Bay Airport</t>
  </si>
  <si>
    <t>Richard's Bay</t>
  </si>
  <si>
    <t>RCH</t>
  </si>
  <si>
    <t>Almirante Padilla Airport</t>
  </si>
  <si>
    <t>Rio Hacha</t>
  </si>
  <si>
    <t>RCL</t>
  </si>
  <si>
    <t>Redcliffe</t>
  </si>
  <si>
    <t>RCM</t>
  </si>
  <si>
    <t>Richmond Airport</t>
  </si>
  <si>
    <t>RCO</t>
  </si>
  <si>
    <t>Rochefort-Saint-Agnant (BA 721) Airport</t>
  </si>
  <si>
    <t>Rochefort</t>
  </si>
  <si>
    <t>RCS</t>
  </si>
  <si>
    <t>Rochester Airport</t>
  </si>
  <si>
    <t>RCU</t>
  </si>
  <si>
    <t>Area De Material Airport</t>
  </si>
  <si>
    <t>Rio Cuarto</t>
  </si>
  <si>
    <t>RCZ</t>
  </si>
  <si>
    <t>Richmond County Airport</t>
  </si>
  <si>
    <t>Rockingham</t>
  </si>
  <si>
    <t>RDC</t>
  </si>
  <si>
    <t>Redenção Airport</t>
  </si>
  <si>
    <t>Redencao</t>
  </si>
  <si>
    <t>RDD</t>
  </si>
  <si>
    <t>Redding Municipal Airport</t>
  </si>
  <si>
    <t>Redding</t>
  </si>
  <si>
    <t>RDG</t>
  </si>
  <si>
    <t>Reading Regional Carl A Spaatz Field</t>
  </si>
  <si>
    <t>Reading</t>
  </si>
  <si>
    <t>RDM</t>
  </si>
  <si>
    <t>Roberts Field</t>
  </si>
  <si>
    <t>Redmond-Bend</t>
  </si>
  <si>
    <t>RDN</t>
  </si>
  <si>
    <t>LTS Pulau Redang Airport</t>
  </si>
  <si>
    <t>Redang</t>
  </si>
  <si>
    <t>RDP</t>
  </si>
  <si>
    <t>Kazi Nazrul Islam Airport</t>
  </si>
  <si>
    <t>Durgapur</t>
  </si>
  <si>
    <t>RDR</t>
  </si>
  <si>
    <t>Grand Forks Air Force Base</t>
  </si>
  <si>
    <t>Red River</t>
  </si>
  <si>
    <t>RDS</t>
  </si>
  <si>
    <t>Rincon De Los Sauces Airport</t>
  </si>
  <si>
    <t>Rincon de los Sauces</t>
  </si>
  <si>
    <t>RDU</t>
  </si>
  <si>
    <t>Raleigh Durham International Airport</t>
  </si>
  <si>
    <t>Raleigh-durham</t>
  </si>
  <si>
    <t>RDZ</t>
  </si>
  <si>
    <t>Rodez-Marcillac Airport</t>
  </si>
  <si>
    <t>Rodez</t>
  </si>
  <si>
    <t>REA</t>
  </si>
  <si>
    <t>Reao Airport</t>
  </si>
  <si>
    <t>Reao</t>
  </si>
  <si>
    <t>REC</t>
  </si>
  <si>
    <t>Guararapes - Gilberto Freyre International Airport</t>
  </si>
  <si>
    <t>Recife</t>
  </si>
  <si>
    <t>REG</t>
  </si>
  <si>
    <t>Reggio Calabria Airport</t>
  </si>
  <si>
    <t>Reggio Calabria</t>
  </si>
  <si>
    <t>REI</t>
  </si>
  <si>
    <t>Redlands Municipal Airport</t>
  </si>
  <si>
    <t>Redlands</t>
  </si>
  <si>
    <t>REL</t>
  </si>
  <si>
    <t>Almirante Marco Andres Zar Airport</t>
  </si>
  <si>
    <t>Trelew</t>
  </si>
  <si>
    <t>REN</t>
  </si>
  <si>
    <t>Orenburg Central Airport</t>
  </si>
  <si>
    <t>Orenburg</t>
  </si>
  <si>
    <t>REP</t>
  </si>
  <si>
    <t>Siem Reap International Airport</t>
  </si>
  <si>
    <t>Siem-reap</t>
  </si>
  <si>
    <t>RES</t>
  </si>
  <si>
    <t>Resistencia International Airport</t>
  </si>
  <si>
    <t>Resistencia</t>
  </si>
  <si>
    <t>RET</t>
  </si>
  <si>
    <t>Røst Airport</t>
  </si>
  <si>
    <t>Røst</t>
  </si>
  <si>
    <t>REU</t>
  </si>
  <si>
    <t>Reus Air Base</t>
  </si>
  <si>
    <t>Reus</t>
  </si>
  <si>
    <t>REX</t>
  </si>
  <si>
    <t>General Lucio Blanco International Airport</t>
  </si>
  <si>
    <t>Reynosa</t>
  </si>
  <si>
    <t>REY</t>
  </si>
  <si>
    <t>Reyes Airport</t>
  </si>
  <si>
    <t>Reyes</t>
  </si>
  <si>
    <t>RFD</t>
  </si>
  <si>
    <t>Chicago Rockford International Airport</t>
  </si>
  <si>
    <t>Rockford</t>
  </si>
  <si>
    <t>RFP</t>
  </si>
  <si>
    <t>Raiatea Airport</t>
  </si>
  <si>
    <t>Raiatea Island</t>
  </si>
  <si>
    <t>RFS</t>
  </si>
  <si>
    <t>Rosita Airport</t>
  </si>
  <si>
    <t>Rosita</t>
  </si>
  <si>
    <t>RGA</t>
  </si>
  <si>
    <t>Hermes Quijada International Airport</t>
  </si>
  <si>
    <t>Rio Grande</t>
  </si>
  <si>
    <t>RGI</t>
  </si>
  <si>
    <t>Rangiroa Airport</t>
  </si>
  <si>
    <t>Rangiroa</t>
  </si>
  <si>
    <t>RGK</t>
  </si>
  <si>
    <t>Gorno-Altaysk Airport</t>
  </si>
  <si>
    <t>Gorno-Altaysk</t>
  </si>
  <si>
    <t>RGL</t>
  </si>
  <si>
    <t>Piloto Civil N. Fernández Airport</t>
  </si>
  <si>
    <t>Rio Gallegos</t>
  </si>
  <si>
    <t>RGN</t>
  </si>
  <si>
    <t>Yangon International Airport</t>
  </si>
  <si>
    <t>Yangon</t>
  </si>
  <si>
    <t>RGS</t>
  </si>
  <si>
    <t>Burgos Airport</t>
  </si>
  <si>
    <t>Burgos</t>
  </si>
  <si>
    <t>RGT</t>
  </si>
  <si>
    <t>Japura Airport</t>
  </si>
  <si>
    <t>Rengat</t>
  </si>
  <si>
    <t>RHD</t>
  </si>
  <si>
    <t>Termas de Río Hondo international Airport</t>
  </si>
  <si>
    <t>Rio Hondo</t>
  </si>
  <si>
    <t>RHE</t>
  </si>
  <si>
    <t>Reims-Champagne (BA 112) Air Base</t>
  </si>
  <si>
    <t>RHI</t>
  </si>
  <si>
    <t>Rhinelander Oneida County Airport</t>
  </si>
  <si>
    <t>Rhinelander</t>
  </si>
  <si>
    <t>RHO</t>
  </si>
  <si>
    <t>Diagoras Airport</t>
  </si>
  <si>
    <t>RHP</t>
  </si>
  <si>
    <t>Ramechhap Airport</t>
  </si>
  <si>
    <t>Ramechhap</t>
  </si>
  <si>
    <t>RHV</t>
  </si>
  <si>
    <t>Reid-Hillview Airport of Santa Clara County</t>
  </si>
  <si>
    <t>RIA</t>
  </si>
  <si>
    <t>Santa Maria</t>
  </si>
  <si>
    <t>RIB</t>
  </si>
  <si>
    <t>Capitán Av. Selin Zeitun Lopez Airport</t>
  </si>
  <si>
    <t>Riberalta</t>
  </si>
  <si>
    <t>RIC</t>
  </si>
  <si>
    <t>Richmond International Airport</t>
  </si>
  <si>
    <t>RID</t>
  </si>
  <si>
    <t>Richmond Municipal Airport</t>
  </si>
  <si>
    <t>RIF</t>
  </si>
  <si>
    <t>Richfield Municipal Airport</t>
  </si>
  <si>
    <t>Richfield</t>
  </si>
  <si>
    <t>RIJ</t>
  </si>
  <si>
    <t>Juan Simons Vela Airport</t>
  </si>
  <si>
    <t>Rioja</t>
  </si>
  <si>
    <t>RIL</t>
  </si>
  <si>
    <t>Garfield County Regional Airport</t>
  </si>
  <si>
    <t>Rifle</t>
  </si>
  <si>
    <t>RIN</t>
  </si>
  <si>
    <t>Ringi Cove Airport</t>
  </si>
  <si>
    <t>Ringi Cove</t>
  </si>
  <si>
    <t>RIR</t>
  </si>
  <si>
    <t>Flabob Airport</t>
  </si>
  <si>
    <t>RIS</t>
  </si>
  <si>
    <t>Rishiri Airport</t>
  </si>
  <si>
    <t>Rishiri Island</t>
  </si>
  <si>
    <t>RIU</t>
  </si>
  <si>
    <t>Rancho Murieta Airport</t>
  </si>
  <si>
    <t>Rancho Murieta</t>
  </si>
  <si>
    <t>RIV</t>
  </si>
  <si>
    <t>March ARB Airport</t>
  </si>
  <si>
    <t>RIW</t>
  </si>
  <si>
    <t>Riverton Regional Airport</t>
  </si>
  <si>
    <t>Riverton WY</t>
  </si>
  <si>
    <t>RIX</t>
  </si>
  <si>
    <t>Riga International Airport</t>
  </si>
  <si>
    <t>Riga</t>
  </si>
  <si>
    <t>RIY</t>
  </si>
  <si>
    <t>Mukalla International Airport</t>
  </si>
  <si>
    <t>Mukalla</t>
  </si>
  <si>
    <t>RJA</t>
  </si>
  <si>
    <t>Rajahmundry Airport</t>
  </si>
  <si>
    <t>Rajahmundry</t>
  </si>
  <si>
    <t>RJH</t>
  </si>
  <si>
    <t>Shah Mokhdum Airport</t>
  </si>
  <si>
    <t>Rajshahi</t>
  </si>
  <si>
    <t>RJK</t>
  </si>
  <si>
    <t>Rijeka Airport</t>
  </si>
  <si>
    <t>Rijeka</t>
  </si>
  <si>
    <t>RJL</t>
  </si>
  <si>
    <t>Logroño-Agoncillo Airport</t>
  </si>
  <si>
    <t>Logroño-Agoncillo</t>
  </si>
  <si>
    <t>RJN</t>
  </si>
  <si>
    <t>Rafsanjan Airport</t>
  </si>
  <si>
    <t>Rafsanjan</t>
  </si>
  <si>
    <t>RKD</t>
  </si>
  <si>
    <t>Knox County Regional Airport</t>
  </si>
  <si>
    <t>Rockland</t>
  </si>
  <si>
    <t>RKE</t>
  </si>
  <si>
    <t>Copenhagen Roskilde Airport</t>
  </si>
  <si>
    <t>RKH</t>
  </si>
  <si>
    <t>Rock Hill - York County Airport</t>
  </si>
  <si>
    <t>Rock Hill</t>
  </si>
  <si>
    <t>RKP</t>
  </si>
  <si>
    <t>Aransas County Airport</t>
  </si>
  <si>
    <t>Rockport</t>
  </si>
  <si>
    <t>RKR</t>
  </si>
  <si>
    <t>Robert S Kerr Airport</t>
  </si>
  <si>
    <t>Poteau</t>
  </si>
  <si>
    <t>RKS</t>
  </si>
  <si>
    <t>Rock Springs Sweetwater County Airport</t>
  </si>
  <si>
    <t>Rock Springs</t>
  </si>
  <si>
    <t>RKT</t>
  </si>
  <si>
    <t>Ras Al Khaimah International Airport</t>
  </si>
  <si>
    <t>Ras Al Khaimah</t>
  </si>
  <si>
    <t>RKV</t>
  </si>
  <si>
    <t>Reykjavik Airport</t>
  </si>
  <si>
    <t>Reykjavik</t>
  </si>
  <si>
    <t>RLG</t>
  </si>
  <si>
    <t>Rostock-Laage Airport</t>
  </si>
  <si>
    <t>Laage</t>
  </si>
  <si>
    <t>RLK</t>
  </si>
  <si>
    <t>Bayannur Tianjitai Airport</t>
  </si>
  <si>
    <t>Bayannur</t>
  </si>
  <si>
    <t>RMA</t>
  </si>
  <si>
    <t>Roma Airport</t>
  </si>
  <si>
    <t>Roma</t>
  </si>
  <si>
    <t>RME</t>
  </si>
  <si>
    <t>Griffiss International Airport</t>
  </si>
  <si>
    <t>RMF</t>
  </si>
  <si>
    <t>Marsa Alam International Airport</t>
  </si>
  <si>
    <t>Marsa Alam</t>
  </si>
  <si>
    <t>RMG</t>
  </si>
  <si>
    <t>Richard B Russell Airport</t>
  </si>
  <si>
    <t>RMI</t>
  </si>
  <si>
    <t>Federico Fellini International Airport</t>
  </si>
  <si>
    <t>Rimini</t>
  </si>
  <si>
    <t>RMK</t>
  </si>
  <si>
    <t>Renmark Airport</t>
  </si>
  <si>
    <t>Renmark</t>
  </si>
  <si>
    <t>RML</t>
  </si>
  <si>
    <t>Colombo Ratmalana Airport</t>
  </si>
  <si>
    <t>RMQ</t>
  </si>
  <si>
    <t>Taichung Ching Chuang Kang Airport</t>
  </si>
  <si>
    <t>Taichung</t>
  </si>
  <si>
    <t>RMS</t>
  </si>
  <si>
    <t>Ramstein Air Base</t>
  </si>
  <si>
    <t>Ramstein</t>
  </si>
  <si>
    <t>RMT</t>
  </si>
  <si>
    <t>Rimatara Airport</t>
  </si>
  <si>
    <t>Rimatara</t>
  </si>
  <si>
    <t>RMY</t>
  </si>
  <si>
    <t>Mariposa Yosemite Airport</t>
  </si>
  <si>
    <t>Mariposa</t>
  </si>
  <si>
    <t>RNA</t>
  </si>
  <si>
    <t>Ulawa Airport</t>
  </si>
  <si>
    <t>Ulawa</t>
  </si>
  <si>
    <t>RNB</t>
  </si>
  <si>
    <t>Ronneby Airport</t>
  </si>
  <si>
    <t>Ronneby</t>
  </si>
  <si>
    <t>RND</t>
  </si>
  <si>
    <t>Randolph Air Force Base</t>
  </si>
  <si>
    <t>RNE</t>
  </si>
  <si>
    <t>Roanne-Renaison Airport</t>
  </si>
  <si>
    <t>Roanne</t>
  </si>
  <si>
    <t>RNH</t>
  </si>
  <si>
    <t>New Richmond Regional Airport</t>
  </si>
  <si>
    <t>New Richmond</t>
  </si>
  <si>
    <t>RNI</t>
  </si>
  <si>
    <t>Corn Island</t>
  </si>
  <si>
    <t>RNJ</t>
  </si>
  <si>
    <t>Yoron Airport</t>
  </si>
  <si>
    <t>Yoron</t>
  </si>
  <si>
    <t>RNL</t>
  </si>
  <si>
    <t>Rennell/Tingoa Airport</t>
  </si>
  <si>
    <t>Rennell Island</t>
  </si>
  <si>
    <t>RNM</t>
  </si>
  <si>
    <t>Ramona Airport</t>
  </si>
  <si>
    <t>Ramona</t>
  </si>
  <si>
    <t>RNN</t>
  </si>
  <si>
    <t>Bornholm Airport</t>
  </si>
  <si>
    <t>Ronne</t>
  </si>
  <si>
    <t>RNO</t>
  </si>
  <si>
    <t>Reno Tahoe International Airport</t>
  </si>
  <si>
    <t>Reno</t>
  </si>
  <si>
    <t>RNS</t>
  </si>
  <si>
    <t>Rennes-Saint-Jacques Airport</t>
  </si>
  <si>
    <t>Rennes</t>
  </si>
  <si>
    <t>RNT</t>
  </si>
  <si>
    <t>Renton Municipal Airport</t>
  </si>
  <si>
    <t>Renton</t>
  </si>
  <si>
    <t>ROA</t>
  </si>
  <si>
    <t>Roanoke–Blacksburg Regional Airport</t>
  </si>
  <si>
    <t>Roanoke VA</t>
  </si>
  <si>
    <t>ROB</t>
  </si>
  <si>
    <t>Roberts International Airport</t>
  </si>
  <si>
    <t>ROC</t>
  </si>
  <si>
    <t>Greater Rochester International Airport</t>
  </si>
  <si>
    <t>ROD</t>
  </si>
  <si>
    <t>Robertson Airport</t>
  </si>
  <si>
    <t>Robertson</t>
  </si>
  <si>
    <t>ROI</t>
  </si>
  <si>
    <t>Roi Et Airport</t>
  </si>
  <si>
    <t>ROK</t>
  </si>
  <si>
    <t>Rockhampton Airport</t>
  </si>
  <si>
    <t>Rockhampton</t>
  </si>
  <si>
    <t>ROO</t>
  </si>
  <si>
    <t>Maestro Marinho Franco Airport</t>
  </si>
  <si>
    <t>Rondonopolis</t>
  </si>
  <si>
    <t>ROP</t>
  </si>
  <si>
    <t>Rota International Airport</t>
  </si>
  <si>
    <t>Northern Mariana Islands</t>
  </si>
  <si>
    <t>ROR</t>
  </si>
  <si>
    <t>Babelthuap Airport</t>
  </si>
  <si>
    <t>Palau</t>
  </si>
  <si>
    <t>Babelthuap</t>
  </si>
  <si>
    <t>ROS</t>
  </si>
  <si>
    <t>Islas Malvinas Airport</t>
  </si>
  <si>
    <t>Rosario</t>
  </si>
  <si>
    <t>ROT</t>
  </si>
  <si>
    <t>Rotorua Regional Airport</t>
  </si>
  <si>
    <t>Rotorua</t>
  </si>
  <si>
    <t>ROV</t>
  </si>
  <si>
    <t>Rostov-on-Don Airport</t>
  </si>
  <si>
    <t>Rostov</t>
  </si>
  <si>
    <t>ROW</t>
  </si>
  <si>
    <t>Roswell International Air Center Airport</t>
  </si>
  <si>
    <t>Roswell</t>
  </si>
  <si>
    <t>RPB</t>
  </si>
  <si>
    <t>Roper Bar Airport</t>
  </si>
  <si>
    <t>Roper Bar</t>
  </si>
  <si>
    <t>RPM</t>
  </si>
  <si>
    <t>Ngukurr Airport</t>
  </si>
  <si>
    <t>RPN</t>
  </si>
  <si>
    <t>Ben Ya'akov Airport</t>
  </si>
  <si>
    <t>Rosh Pina</t>
  </si>
  <si>
    <t>RPR</t>
  </si>
  <si>
    <t>Raipur Airport</t>
  </si>
  <si>
    <t>Raipur</t>
  </si>
  <si>
    <t>RQW</t>
  </si>
  <si>
    <t>Qayyarah West Airport</t>
  </si>
  <si>
    <t>Qayyarah</t>
  </si>
  <si>
    <t>RRG</t>
  </si>
  <si>
    <t>Sir Charles Gaetan Duval Airport</t>
  </si>
  <si>
    <t>Rodriguez Island</t>
  </si>
  <si>
    <t>RRK</t>
  </si>
  <si>
    <t>Rourkela Airport</t>
  </si>
  <si>
    <t>Rourkela</t>
  </si>
  <si>
    <t>RRS</t>
  </si>
  <si>
    <t>Røros Airport</t>
  </si>
  <si>
    <t>Roros</t>
  </si>
  <si>
    <t>RSA</t>
  </si>
  <si>
    <t>Santa Rosa Airport</t>
  </si>
  <si>
    <t>RSD</t>
  </si>
  <si>
    <t>Rock Sound Airport</t>
  </si>
  <si>
    <t>Rock Sound</t>
  </si>
  <si>
    <t>RSH</t>
  </si>
  <si>
    <t>Russian Mission Airport</t>
  </si>
  <si>
    <t>Russian Mission</t>
  </si>
  <si>
    <t>RSL</t>
  </si>
  <si>
    <t>Russell Municipal Airport</t>
  </si>
  <si>
    <t>Russell</t>
  </si>
  <si>
    <t>RST</t>
  </si>
  <si>
    <t>Rochester International Airport</t>
  </si>
  <si>
    <t>RSU</t>
  </si>
  <si>
    <t>Yeosu Airport</t>
  </si>
  <si>
    <t>Yeosu</t>
  </si>
  <si>
    <t>RSW</t>
  </si>
  <si>
    <t>Southwest Florida International Airport</t>
  </si>
  <si>
    <t>RTA</t>
  </si>
  <si>
    <t>Rotuma Airport</t>
  </si>
  <si>
    <t>Rotuma</t>
  </si>
  <si>
    <t>RTB</t>
  </si>
  <si>
    <t>Juan Manuel Galvez International Airport</t>
  </si>
  <si>
    <t>Roatan</t>
  </si>
  <si>
    <t>RTC</t>
  </si>
  <si>
    <t>Ratnagiri Airport</t>
  </si>
  <si>
    <t>RTG</t>
  </si>
  <si>
    <t>Frans Sales Lega Airport</t>
  </si>
  <si>
    <t>Ruteng</t>
  </si>
  <si>
    <t>RTM</t>
  </si>
  <si>
    <t>Rotterdam The Hague Airport</t>
  </si>
  <si>
    <t>Rotterdam</t>
  </si>
  <si>
    <t>RTS</t>
  </si>
  <si>
    <t>Rottnest Island Airport</t>
  </si>
  <si>
    <t>Rottnest Island</t>
  </si>
  <si>
    <t>RTW</t>
  </si>
  <si>
    <t>Saratov Central Airport</t>
  </si>
  <si>
    <t>Saratov</t>
  </si>
  <si>
    <t>RUA</t>
  </si>
  <si>
    <t>Arua Airport</t>
  </si>
  <si>
    <t>Arua</t>
  </si>
  <si>
    <t>RUG</t>
  </si>
  <si>
    <t>Rugao Air Base</t>
  </si>
  <si>
    <t>Rugao</t>
  </si>
  <si>
    <t>RUH</t>
  </si>
  <si>
    <t>King Khaled International Airport</t>
  </si>
  <si>
    <t>Riyadh</t>
  </si>
  <si>
    <t>RUK</t>
  </si>
  <si>
    <t>Rukumkot Airport</t>
  </si>
  <si>
    <t>Rukumkot</t>
  </si>
  <si>
    <t>RUM</t>
  </si>
  <si>
    <t>Rumjatar Airport</t>
  </si>
  <si>
    <t>Rumjatar</t>
  </si>
  <si>
    <t>RUN</t>
  </si>
  <si>
    <t>Roland Garros Airport</t>
  </si>
  <si>
    <t>St.-denis</t>
  </si>
  <si>
    <t>RUR</t>
  </si>
  <si>
    <t>Rurutu Airport</t>
  </si>
  <si>
    <t>Rurutu</t>
  </si>
  <si>
    <t>RUS</t>
  </si>
  <si>
    <t>Marau Airport</t>
  </si>
  <si>
    <t>Marau</t>
  </si>
  <si>
    <t>RUT</t>
  </si>
  <si>
    <t>Rutland - Southern Vermont Regional Airport</t>
  </si>
  <si>
    <t>Rutland</t>
  </si>
  <si>
    <t>RUV</t>
  </si>
  <si>
    <t>Rubelsanto Airport</t>
  </si>
  <si>
    <t>Rubelsanto</t>
  </si>
  <si>
    <t>RVA</t>
  </si>
  <si>
    <t>Farafangana Airport</t>
  </si>
  <si>
    <t>Farafangana</t>
  </si>
  <si>
    <t>RVD</t>
  </si>
  <si>
    <t>General Leite de Castro Airport</t>
  </si>
  <si>
    <t>Rio Verde</t>
  </si>
  <si>
    <t>RVE</t>
  </si>
  <si>
    <t>Los Colonizadores Airport</t>
  </si>
  <si>
    <t>Saravena</t>
  </si>
  <si>
    <t>RVK</t>
  </si>
  <si>
    <t>Rørvik Airport, Ryum</t>
  </si>
  <si>
    <t>Rørvik</t>
  </si>
  <si>
    <t>RVN</t>
  </si>
  <si>
    <t>Rovaniemi Airport</t>
  </si>
  <si>
    <t>Rovaniemi</t>
  </si>
  <si>
    <t>RVR</t>
  </si>
  <si>
    <t>José Aponte de la Torre Airport</t>
  </si>
  <si>
    <t>Ceiba</t>
  </si>
  <si>
    <t>RVS</t>
  </si>
  <si>
    <t>Richard Lloyd Jones Jr Airport</t>
  </si>
  <si>
    <t>Tulsa</t>
  </si>
  <si>
    <t>RVT</t>
  </si>
  <si>
    <t>Ravensthorpe Airport</t>
  </si>
  <si>
    <t>Ravensthorpe</t>
  </si>
  <si>
    <t>RVV</t>
  </si>
  <si>
    <t>Raivavae Airport</t>
  </si>
  <si>
    <t>Raivavae</t>
  </si>
  <si>
    <t>RVY</t>
  </si>
  <si>
    <t>Presidente General Don Oscar D. Gestido International Airport</t>
  </si>
  <si>
    <t>Rivera</t>
  </si>
  <si>
    <t>RWF</t>
  </si>
  <si>
    <t>Redwood Falls Municipal Airport</t>
  </si>
  <si>
    <t>Redwood Falls</t>
  </si>
  <si>
    <t>RWI</t>
  </si>
  <si>
    <t>Rocky Mount Wilson Regional Airport</t>
  </si>
  <si>
    <t>Rocky Mount</t>
  </si>
  <si>
    <t>RWL</t>
  </si>
  <si>
    <t>Rawlins Municipal Airport/Harvey Field</t>
  </si>
  <si>
    <t>Rawlins</t>
  </si>
  <si>
    <t>RWN</t>
  </si>
  <si>
    <t>Rivne International Airport</t>
  </si>
  <si>
    <t>Rivne</t>
  </si>
  <si>
    <t>RXS</t>
  </si>
  <si>
    <t>Roxas Airport</t>
  </si>
  <si>
    <t>Roxas City</t>
  </si>
  <si>
    <t>RYB</t>
  </si>
  <si>
    <t>Staroselye Airport</t>
  </si>
  <si>
    <t>Rybinsk</t>
  </si>
  <si>
    <t>RYG</t>
  </si>
  <si>
    <t>Moss-Rygge Airport</t>
  </si>
  <si>
    <t>Rygge</t>
  </si>
  <si>
    <t>RYK</t>
  </si>
  <si>
    <t>Shaikh Zaid Airport</t>
  </si>
  <si>
    <t>Rahim Yar Khan</t>
  </si>
  <si>
    <t>RYN</t>
  </si>
  <si>
    <t>Royan-Médis Airport</t>
  </si>
  <si>
    <t>Royan</t>
  </si>
  <si>
    <t>RYY</t>
  </si>
  <si>
    <t>Cobb County-Mc Collum Field</t>
  </si>
  <si>
    <t>RZA</t>
  </si>
  <si>
    <t>Santa Cruz Airport</t>
  </si>
  <si>
    <t>Santa Cruz</t>
  </si>
  <si>
    <t>RZE</t>
  </si>
  <si>
    <t>Rzeszów-Jasionka Airport</t>
  </si>
  <si>
    <t>Rzeszow</t>
  </si>
  <si>
    <t>RZP</t>
  </si>
  <si>
    <t>Cesar Lim Rodriguez Airport</t>
  </si>
  <si>
    <t>Taytay</t>
  </si>
  <si>
    <t>RZR</t>
  </si>
  <si>
    <t>Ramsar Airport</t>
  </si>
  <si>
    <t>Ramsar</t>
  </si>
  <si>
    <t>RZS</t>
  </si>
  <si>
    <t>Sahiwal Airport</t>
  </si>
  <si>
    <t>Sindh</t>
  </si>
  <si>
    <t>S40</t>
  </si>
  <si>
    <t>Prosser Airport</t>
  </si>
  <si>
    <t>Prosser</t>
  </si>
  <si>
    <t>S46</t>
  </si>
  <si>
    <t>Port O'Connor Private Airport</t>
  </si>
  <si>
    <t>Port O\\'Connor</t>
  </si>
  <si>
    <t>SAA</t>
  </si>
  <si>
    <t>Shively Field</t>
  </si>
  <si>
    <t>SARATOGA</t>
  </si>
  <si>
    <t>SAB</t>
  </si>
  <si>
    <t>Juancho E. Yrausquin Airport</t>
  </si>
  <si>
    <t>Saba</t>
  </si>
  <si>
    <t>SAC</t>
  </si>
  <si>
    <t>Sacramento Executive Airport</t>
  </si>
  <si>
    <t>SAD</t>
  </si>
  <si>
    <t>Safford Regional Airport</t>
  </si>
  <si>
    <t>Safford</t>
  </si>
  <si>
    <t>SAF</t>
  </si>
  <si>
    <t>Santa Fe Municipal Airport</t>
  </si>
  <si>
    <t>Santa Fe</t>
  </si>
  <si>
    <t>SAH</t>
  </si>
  <si>
    <t>Sana'a International Airport</t>
  </si>
  <si>
    <t>Sanaa</t>
  </si>
  <si>
    <t>SAK</t>
  </si>
  <si>
    <t>Sauðárkrókur Airport</t>
  </si>
  <si>
    <t>Saudarkrokur</t>
  </si>
  <si>
    <t>SAL</t>
  </si>
  <si>
    <t>El Salvador International Airport</t>
  </si>
  <si>
    <t>SAN</t>
  </si>
  <si>
    <t>San Diego International Airport</t>
  </si>
  <si>
    <t>SAP</t>
  </si>
  <si>
    <t>Ramón Villeda Morales International Airport</t>
  </si>
  <si>
    <t>San Pedro Sula</t>
  </si>
  <si>
    <t>SAQ</t>
  </si>
  <si>
    <t>San Andros Airport</t>
  </si>
  <si>
    <t>San Andros</t>
  </si>
  <si>
    <t>SAT</t>
  </si>
  <si>
    <t>San Antonio International Airport</t>
  </si>
  <si>
    <t>SAV</t>
  </si>
  <si>
    <t>Savannah Hilton Head International Airport</t>
  </si>
  <si>
    <t>Savannah</t>
  </si>
  <si>
    <t>SAW</t>
  </si>
  <si>
    <t>Sabiha Gökçen International Airport</t>
  </si>
  <si>
    <t>SAY</t>
  </si>
  <si>
    <t>Siena-Ampugnano Airport</t>
  </si>
  <si>
    <t>Siena</t>
  </si>
  <si>
    <t>SBA</t>
  </si>
  <si>
    <t>Santa Barbara Municipal Airport</t>
  </si>
  <si>
    <t>SBD</t>
  </si>
  <si>
    <t>San Bernardino International Airport</t>
  </si>
  <si>
    <t>San Bernardino</t>
  </si>
  <si>
    <t>SBG</t>
  </si>
  <si>
    <t>Maimun Saleh Airport</t>
  </si>
  <si>
    <t>Sabang</t>
  </si>
  <si>
    <t>SBH</t>
  </si>
  <si>
    <t>Gustaf III Airport</t>
  </si>
  <si>
    <t>Gustavia</t>
  </si>
  <si>
    <t>SBK</t>
  </si>
  <si>
    <t>Saint-Brieuc-Armor Airport</t>
  </si>
  <si>
    <t>St.-brieuc Armor</t>
  </si>
  <si>
    <t>SBM</t>
  </si>
  <si>
    <t>Sheboygan County Memorial Airport</t>
  </si>
  <si>
    <t>Sheboygan</t>
  </si>
  <si>
    <t>SBN</t>
  </si>
  <si>
    <t>South Bend Regional Airport</t>
  </si>
  <si>
    <t>South Bend</t>
  </si>
  <si>
    <t>SBO</t>
  </si>
  <si>
    <t>Emanuel County Airport</t>
  </si>
  <si>
    <t>SBP</t>
  </si>
  <si>
    <t>San Luis County Regional Airport</t>
  </si>
  <si>
    <t>San Luis Obispo</t>
  </si>
  <si>
    <t>SBR</t>
  </si>
  <si>
    <t>Saibai Island Airport</t>
  </si>
  <si>
    <t>Saibai Island</t>
  </si>
  <si>
    <t>SBS</t>
  </si>
  <si>
    <t>Steamboat Springs Bob Adams Field</t>
  </si>
  <si>
    <t>Steamboat Springs</t>
  </si>
  <si>
    <t>SBU</t>
  </si>
  <si>
    <t>Springbok Airport</t>
  </si>
  <si>
    <t>Springbok</t>
  </si>
  <si>
    <t>SBW</t>
  </si>
  <si>
    <t>Sibu Airport</t>
  </si>
  <si>
    <t>Sibu</t>
  </si>
  <si>
    <t>SBY</t>
  </si>
  <si>
    <t>Salisbury Ocean City Wicomico Regional Airport</t>
  </si>
  <si>
    <t>Salisbury</t>
  </si>
  <si>
    <t>SBZ</t>
  </si>
  <si>
    <t>Sibiu International Airport</t>
  </si>
  <si>
    <t>Sibiu</t>
  </si>
  <si>
    <t>SCC</t>
  </si>
  <si>
    <t>Deadhorse Airport</t>
  </si>
  <si>
    <t>Deadhorse</t>
  </si>
  <si>
    <t>SCD</t>
  </si>
  <si>
    <t>Merkel Field Sylacauga Municipal Airport</t>
  </si>
  <si>
    <t>Sylacauga</t>
  </si>
  <si>
    <t>SCE</t>
  </si>
  <si>
    <t>University Park Airport</t>
  </si>
  <si>
    <t>State College Pennsylvania</t>
  </si>
  <si>
    <t>SCH</t>
  </si>
  <si>
    <t>Schenectady County Airport</t>
  </si>
  <si>
    <t>Scotia NY</t>
  </si>
  <si>
    <t>SCK</t>
  </si>
  <si>
    <t>Stockton Metropolitan Airport</t>
  </si>
  <si>
    <t>Stockton</t>
  </si>
  <si>
    <t>SCL</t>
  </si>
  <si>
    <t>Comodoro Arturo Merino Benítez International Airport</t>
  </si>
  <si>
    <t>SCM</t>
  </si>
  <si>
    <t>Scammon Bay Airport</t>
  </si>
  <si>
    <t>Scammon Bay</t>
  </si>
  <si>
    <t>SCN</t>
  </si>
  <si>
    <t>Saarbrücken Airport</t>
  </si>
  <si>
    <t>Saarbruecken</t>
  </si>
  <si>
    <t>SCO</t>
  </si>
  <si>
    <t>Aktau Airport</t>
  </si>
  <si>
    <t>Aktau</t>
  </si>
  <si>
    <t>SCQ</t>
  </si>
  <si>
    <t>Santiago de Compostela Airport</t>
  </si>
  <si>
    <t>SCS</t>
  </si>
  <si>
    <t>Scatsta Airport</t>
  </si>
  <si>
    <t>Scatsta</t>
  </si>
  <si>
    <t>SCT</t>
  </si>
  <si>
    <t>Socotra International Airport</t>
  </si>
  <si>
    <t>Socotra</t>
  </si>
  <si>
    <t>SCU</t>
  </si>
  <si>
    <t>Antonio Maceo International Airport</t>
  </si>
  <si>
    <t>Santiago De Cuba</t>
  </si>
  <si>
    <t>SCV</t>
  </si>
  <si>
    <t>Suceava Stefan cel Mare Airport</t>
  </si>
  <si>
    <t>Suceava</t>
  </si>
  <si>
    <t>SCW</t>
  </si>
  <si>
    <t>Syktyvkar Airport</t>
  </si>
  <si>
    <t>Syktyvkar</t>
  </si>
  <si>
    <t>SCY</t>
  </si>
  <si>
    <t>San Cristóbal Airport</t>
  </si>
  <si>
    <t>San Cristóbal</t>
  </si>
  <si>
    <t>SCZ</t>
  </si>
  <si>
    <t>Santa Cruz/Graciosa Bay/Luova Airport</t>
  </si>
  <si>
    <t>Santa Cruz/Graciosa Bay/Luova</t>
  </si>
  <si>
    <t>SDC</t>
  </si>
  <si>
    <t>Williamson Sodus Airport</t>
  </si>
  <si>
    <t>Williamson</t>
  </si>
  <si>
    <t>SDD</t>
  </si>
  <si>
    <t>Lubango Airport</t>
  </si>
  <si>
    <t>Lubango</t>
  </si>
  <si>
    <t>SDE</t>
  </si>
  <si>
    <t>Vicecomodoro Angel D. La Paz Aragonés Airport</t>
  </si>
  <si>
    <t>Santiago Del Estero</t>
  </si>
  <si>
    <t>SDF</t>
  </si>
  <si>
    <t>Louisville International Standiford Field</t>
  </si>
  <si>
    <t>SDG</t>
  </si>
  <si>
    <t>Sanandaj Airport</t>
  </si>
  <si>
    <t>Sanandaj</t>
  </si>
  <si>
    <t>SDJ</t>
  </si>
  <si>
    <t>Sendai Airport</t>
  </si>
  <si>
    <t>Sendai</t>
  </si>
  <si>
    <t>SDK</t>
  </si>
  <si>
    <t>Sandakan Airport</t>
  </si>
  <si>
    <t>Sandakan</t>
  </si>
  <si>
    <t>SDL</t>
  </si>
  <si>
    <t>Sundsvall-Härnösand Airport</t>
  </si>
  <si>
    <t>Sundsvall</t>
  </si>
  <si>
    <t>SDM</t>
  </si>
  <si>
    <t>Brown Field Municipal Airport</t>
  </si>
  <si>
    <t>SDN</t>
  </si>
  <si>
    <t>Sandane Airport (Anda)</t>
  </si>
  <si>
    <t>Sandane</t>
  </si>
  <si>
    <t>SDP</t>
  </si>
  <si>
    <t>Sand Point Airport</t>
  </si>
  <si>
    <t>Sand Point</t>
  </si>
  <si>
    <t>SDQ</t>
  </si>
  <si>
    <t>Las Américas International Airport</t>
  </si>
  <si>
    <t>SDR</t>
  </si>
  <si>
    <t>Santander Airport</t>
  </si>
  <si>
    <t>Santander</t>
  </si>
  <si>
    <t>SDS</t>
  </si>
  <si>
    <t>Sado Airport</t>
  </si>
  <si>
    <t>Sado</t>
  </si>
  <si>
    <t>SDT</t>
  </si>
  <si>
    <t>Saidu Sharif Airport</t>
  </si>
  <si>
    <t>Saidu Sharif</t>
  </si>
  <si>
    <t>SDU</t>
  </si>
  <si>
    <t>Santos Dumont Airport</t>
  </si>
  <si>
    <t>SDV</t>
  </si>
  <si>
    <t>Sde Dov Airport</t>
  </si>
  <si>
    <t>Tel-aviv</t>
  </si>
  <si>
    <t>SDX</t>
  </si>
  <si>
    <t>Sedona Airport</t>
  </si>
  <si>
    <t>Sedona</t>
  </si>
  <si>
    <t>SDY</t>
  </si>
  <si>
    <t>Sidney Richland Municipal Airport</t>
  </si>
  <si>
    <t>Sidney</t>
  </si>
  <si>
    <t>SEA</t>
  </si>
  <si>
    <t>Seattle Tacoma International Airport</t>
  </si>
  <si>
    <t>SEB</t>
  </si>
  <si>
    <t>Sabha Airport</t>
  </si>
  <si>
    <t>Sebha</t>
  </si>
  <si>
    <t>SEE</t>
  </si>
  <si>
    <t>Gillespie Field</t>
  </si>
  <si>
    <t>El Cajon</t>
  </si>
  <si>
    <t>SEF</t>
  </si>
  <si>
    <t>Sebring Regional Airport</t>
  </si>
  <si>
    <t>Sebring</t>
  </si>
  <si>
    <t>SEH</t>
  </si>
  <si>
    <t>Senggeh Airport</t>
  </si>
  <si>
    <t>Senggeh-Papua Island</t>
  </si>
  <si>
    <t>SEK</t>
  </si>
  <si>
    <t>Srednekolymsk Airport</t>
  </si>
  <si>
    <t>Srednekolymsk</t>
  </si>
  <si>
    <t>SEM</t>
  </si>
  <si>
    <t>Craig Field</t>
  </si>
  <si>
    <t>Selma</t>
  </si>
  <si>
    <t>SEN</t>
  </si>
  <si>
    <t>Southend Airport</t>
  </si>
  <si>
    <t>Southend</t>
  </si>
  <si>
    <t>SEU</t>
  </si>
  <si>
    <t>Seronera Airport</t>
  </si>
  <si>
    <t>Seronera</t>
  </si>
  <si>
    <t>SEY</t>
  </si>
  <si>
    <t>Sélibaby Airport</t>
  </si>
  <si>
    <t>Selibabi</t>
  </si>
  <si>
    <t>SEZ</t>
  </si>
  <si>
    <t>Seychelles International Airport</t>
  </si>
  <si>
    <t>Mahe</t>
  </si>
  <si>
    <t>SFA</t>
  </si>
  <si>
    <t>Sfax Thyna International Airport</t>
  </si>
  <si>
    <t>Sfax</t>
  </si>
  <si>
    <t>SFB</t>
  </si>
  <si>
    <t>Orlando Sanford International Airport</t>
  </si>
  <si>
    <t>Sanford</t>
  </si>
  <si>
    <t>SFC</t>
  </si>
  <si>
    <t>St-François Airport</t>
  </si>
  <si>
    <t>St-François</t>
  </si>
  <si>
    <t>SFD</t>
  </si>
  <si>
    <t>San Fernando De Apure Airport</t>
  </si>
  <si>
    <t>San Fernando De Apure</t>
  </si>
  <si>
    <t>SFE</t>
  </si>
  <si>
    <t>SFF</t>
  </si>
  <si>
    <t>Felts Field</t>
  </si>
  <si>
    <t>SFG</t>
  </si>
  <si>
    <t>L'Espérance Airport</t>
  </si>
  <si>
    <t>St. Martin</t>
  </si>
  <si>
    <t>SFH</t>
  </si>
  <si>
    <t>San Felipe International Airport</t>
  </si>
  <si>
    <t>San Filipe</t>
  </si>
  <si>
    <t>SFJ</t>
  </si>
  <si>
    <t>Kangerlussuaq Airport</t>
  </si>
  <si>
    <t>Sondrestrom</t>
  </si>
  <si>
    <t>SFK</t>
  </si>
  <si>
    <t>Soure Airport</t>
  </si>
  <si>
    <t>Soure</t>
  </si>
  <si>
    <t>SFL</t>
  </si>
  <si>
    <t>São Filipe Airport</t>
  </si>
  <si>
    <t>Sao Filipe, Fogo Island</t>
  </si>
  <si>
    <t>SFN</t>
  </si>
  <si>
    <t>Sauce Viejo Airport</t>
  </si>
  <si>
    <t>SFO</t>
  </si>
  <si>
    <t>San Francisco International Airport</t>
  </si>
  <si>
    <t>San Francisco</t>
  </si>
  <si>
    <t>SFQ</t>
  </si>
  <si>
    <t>Şanlıurfa Airport</t>
  </si>
  <si>
    <t>SFS</t>
  </si>
  <si>
    <t>Subic Bay International Airport</t>
  </si>
  <si>
    <t>Olongapo City</t>
  </si>
  <si>
    <t>SFT</t>
  </si>
  <si>
    <t>Skellefteå Airport</t>
  </si>
  <si>
    <t>Skelleftea</t>
  </si>
  <si>
    <t>SFZ</t>
  </si>
  <si>
    <t>North Central State Airport</t>
  </si>
  <si>
    <t>Smithfield</t>
  </si>
  <si>
    <t>SGC</t>
  </si>
  <si>
    <t>Surgut Airport</t>
  </si>
  <si>
    <t>Surgut</t>
  </si>
  <si>
    <t>SGD</t>
  </si>
  <si>
    <t>Sønderborg Airport</t>
  </si>
  <si>
    <t>Soenderborg</t>
  </si>
  <si>
    <t>SGF</t>
  </si>
  <si>
    <t>Springfield Branson National Airport</t>
  </si>
  <si>
    <t>Springfield</t>
  </si>
  <si>
    <t>SGH</t>
  </si>
  <si>
    <t>Springfield-Beckley Municipal Airport</t>
  </si>
  <si>
    <t>SGI</t>
  </si>
  <si>
    <t>Mushaf Air Base</t>
  </si>
  <si>
    <t>Sargodha</t>
  </si>
  <si>
    <t>SGN</t>
  </si>
  <si>
    <t>Tan Son Nhat International Airport</t>
  </si>
  <si>
    <t>Ho Chi Minh City</t>
  </si>
  <si>
    <t>SGO</t>
  </si>
  <si>
    <t>St George Airport</t>
  </si>
  <si>
    <t>St George</t>
  </si>
  <si>
    <t>SGQ</t>
  </si>
  <si>
    <t>Sanggata/Sangkimah Airport</t>
  </si>
  <si>
    <t>Sanggata</t>
  </si>
  <si>
    <t>SGR</t>
  </si>
  <si>
    <t>Sugar Land Regional Airport</t>
  </si>
  <si>
    <t>Sugar Land</t>
  </si>
  <si>
    <t>SGS</t>
  </si>
  <si>
    <t>Sanga Sanga Airport</t>
  </si>
  <si>
    <t>Sanga Sanga</t>
  </si>
  <si>
    <t>SGU</t>
  </si>
  <si>
    <t>St George Municipal Airport</t>
  </si>
  <si>
    <t>Saint George</t>
  </si>
  <si>
    <t>SGV</t>
  </si>
  <si>
    <t>Sierra Grande Airport</t>
  </si>
  <si>
    <t>Sierra Grande</t>
  </si>
  <si>
    <t>SGX</t>
  </si>
  <si>
    <t>Songea Airport</t>
  </si>
  <si>
    <t>Songea</t>
  </si>
  <si>
    <t>SGY</t>
  </si>
  <si>
    <t>Skagway Airport</t>
  </si>
  <si>
    <t>Skagway</t>
  </si>
  <si>
    <t>SHA</t>
  </si>
  <si>
    <t>Shanghai Hongqiao International Airport</t>
  </si>
  <si>
    <t>SHB</t>
  </si>
  <si>
    <t>Nakashibetsu Airport</t>
  </si>
  <si>
    <t>Nakashibetsu</t>
  </si>
  <si>
    <t>SHD</t>
  </si>
  <si>
    <t>Shenandoah Valley Regional Airport</t>
  </si>
  <si>
    <t>Weyers Cave</t>
  </si>
  <si>
    <t>SHE</t>
  </si>
  <si>
    <t>Taoxian Airport</t>
  </si>
  <si>
    <t>SHG</t>
  </si>
  <si>
    <t>Shungnak Airport</t>
  </si>
  <si>
    <t>Shungnak</t>
  </si>
  <si>
    <t>SHH</t>
  </si>
  <si>
    <t>Shishmaref Airport</t>
  </si>
  <si>
    <t>Shishmaref</t>
  </si>
  <si>
    <t>SHI</t>
  </si>
  <si>
    <t>Shimojishima Airport</t>
  </si>
  <si>
    <t>Shimojishima</t>
  </si>
  <si>
    <t>SHJ</t>
  </si>
  <si>
    <t>Sharjah International Airport</t>
  </si>
  <si>
    <t>Sharjah</t>
  </si>
  <si>
    <t>SHL</t>
  </si>
  <si>
    <t>Shillong Airport</t>
  </si>
  <si>
    <t>Shillong</t>
  </si>
  <si>
    <t>SHM</t>
  </si>
  <si>
    <t>Nanki Shirahama Airport</t>
  </si>
  <si>
    <t>Nanki-shirahama</t>
  </si>
  <si>
    <t>SHN</t>
  </si>
  <si>
    <t>Sanderson Field</t>
  </si>
  <si>
    <t>Shelton</t>
  </si>
  <si>
    <t>SHO</t>
  </si>
  <si>
    <t>Sokcho Airport</t>
  </si>
  <si>
    <t>Sokch'o</t>
  </si>
  <si>
    <t>SHP</t>
  </si>
  <si>
    <t>Shanhaiguan Airport</t>
  </si>
  <si>
    <t>Qinhuangdao</t>
  </si>
  <si>
    <t>SHR</t>
  </si>
  <si>
    <t>Sheridan County Airport</t>
  </si>
  <si>
    <t>Sheridan</t>
  </si>
  <si>
    <t>SHT</t>
  </si>
  <si>
    <t>Shepparton Airport</t>
  </si>
  <si>
    <t>Shepparton</t>
  </si>
  <si>
    <t>SHV</t>
  </si>
  <si>
    <t>Shreveport Regional Airport</t>
  </si>
  <si>
    <t>SHW</t>
  </si>
  <si>
    <t>Sharurah Airport</t>
  </si>
  <si>
    <t>Sharurah</t>
  </si>
  <si>
    <t>SHX</t>
  </si>
  <si>
    <t>Shageluk Airport</t>
  </si>
  <si>
    <t>Shageluk</t>
  </si>
  <si>
    <t>SHY</t>
  </si>
  <si>
    <t>Shinyanga Airport</t>
  </si>
  <si>
    <t>Shinyanga</t>
  </si>
  <si>
    <t>SIA</t>
  </si>
  <si>
    <t>Xi'an Xiguan Airport</t>
  </si>
  <si>
    <t>Xi\\'AN</t>
  </si>
  <si>
    <t>SIC</t>
  </si>
  <si>
    <t>Sinop Airport</t>
  </si>
  <si>
    <t>SID</t>
  </si>
  <si>
    <t>Amílcar Cabral International Airport</t>
  </si>
  <si>
    <t>Amilcar Cabral</t>
  </si>
  <si>
    <t>SIF</t>
  </si>
  <si>
    <t>Simara Airport</t>
  </si>
  <si>
    <t>Simara</t>
  </si>
  <si>
    <t>SIG</t>
  </si>
  <si>
    <t>Fernando Luis Ribas Dominicci Airport</t>
  </si>
  <si>
    <t>San Juan</t>
  </si>
  <si>
    <t>SIJ</t>
  </si>
  <si>
    <t>Siglufjörður Airport</t>
  </si>
  <si>
    <t>Siglufjordur</t>
  </si>
  <si>
    <t>SIK</t>
  </si>
  <si>
    <t>Sikeston Memorial Municipal Airport</t>
  </si>
  <si>
    <t>Sikeston</t>
  </si>
  <si>
    <t>SIN</t>
  </si>
  <si>
    <t>Singapore Changi Airport</t>
  </si>
  <si>
    <t>SIO</t>
  </si>
  <si>
    <t>Smithton Airport</t>
  </si>
  <si>
    <t>SIP</t>
  </si>
  <si>
    <t>Simferopol International Airport</t>
  </si>
  <si>
    <t>Simferopol</t>
  </si>
  <si>
    <t>SIQ</t>
  </si>
  <si>
    <t>Dabo Airport</t>
  </si>
  <si>
    <t>Singkep</t>
  </si>
  <si>
    <t>SIR</t>
  </si>
  <si>
    <t>Sion Airport</t>
  </si>
  <si>
    <t>Sion</t>
  </si>
  <si>
    <t>SIS</t>
  </si>
  <si>
    <t>Sishen Airport</t>
  </si>
  <si>
    <t>Sishen</t>
  </si>
  <si>
    <t>SIT</t>
  </si>
  <si>
    <t>Sitka Rocky Gutierrez Airport</t>
  </si>
  <si>
    <t>Sitka</t>
  </si>
  <si>
    <t>SIU</t>
  </si>
  <si>
    <t>Siuna</t>
  </si>
  <si>
    <t>SJC</t>
  </si>
  <si>
    <t>Norman Y. Mineta San Jose International Airport</t>
  </si>
  <si>
    <t>SJD</t>
  </si>
  <si>
    <t>Los Cabos International Airport</t>
  </si>
  <si>
    <t>San Jose Del Cabo</t>
  </si>
  <si>
    <t>SJE</t>
  </si>
  <si>
    <t>Jorge E. Gonzalez Torres Airport</t>
  </si>
  <si>
    <t>San Jose Del Guaviare</t>
  </si>
  <si>
    <t>SJI</t>
  </si>
  <si>
    <t>San Jose Airport</t>
  </si>
  <si>
    <t>SJJ</t>
  </si>
  <si>
    <t>Sarajevo International Airport</t>
  </si>
  <si>
    <t>Sarajevo</t>
  </si>
  <si>
    <t>SJK</t>
  </si>
  <si>
    <t>Professor Urbano Ernesto Stumpf Airport</t>
  </si>
  <si>
    <t>Sao Jose Dos Campos</t>
  </si>
  <si>
    <t>SJL</t>
  </si>
  <si>
    <t>São Gabriel da Cachoeira Airport</t>
  </si>
  <si>
    <t>Sao Gabriel</t>
  </si>
  <si>
    <t>SJO</t>
  </si>
  <si>
    <t>Juan Santamaria International Airport</t>
  </si>
  <si>
    <t>SJP</t>
  </si>
  <si>
    <t>Prof. Eribelto Manoel Reino State Airport</t>
  </si>
  <si>
    <t>Sao Jose Do Rio Preto</t>
  </si>
  <si>
    <t>SJT</t>
  </si>
  <si>
    <t>San Angelo Regional Mathis Field</t>
  </si>
  <si>
    <t>San Angelo</t>
  </si>
  <si>
    <t>SJU</t>
  </si>
  <si>
    <t>Luis Munoz Marin International Airport</t>
  </si>
  <si>
    <t>SJW</t>
  </si>
  <si>
    <t>Shijiazhuang Daguocun International Airport</t>
  </si>
  <si>
    <t>Shijiazhuang</t>
  </si>
  <si>
    <t>SJY</t>
  </si>
  <si>
    <t>Seinäjoki Airport</t>
  </si>
  <si>
    <t>Seinäjoki / Ilmajoki</t>
  </si>
  <si>
    <t>SJZ</t>
  </si>
  <si>
    <t>São Jorge Airport</t>
  </si>
  <si>
    <t>Sao Jorge Island</t>
  </si>
  <si>
    <t>SKA</t>
  </si>
  <si>
    <t>Fairchild Air Force Base</t>
  </si>
  <si>
    <t>SKB</t>
  </si>
  <si>
    <t>Robert L. Bradshaw International Airport</t>
  </si>
  <si>
    <t>SKD</t>
  </si>
  <si>
    <t>Samarkand Airport</t>
  </si>
  <si>
    <t>Samarkand</t>
  </si>
  <si>
    <t>SKE</t>
  </si>
  <si>
    <t>Skien Airport</t>
  </si>
  <si>
    <t>Skien</t>
  </si>
  <si>
    <t>SKF</t>
  </si>
  <si>
    <t>Lackland Air Force Base</t>
  </si>
  <si>
    <t>SKG</t>
  </si>
  <si>
    <t>Thessaloniki Macedonia International Airport</t>
  </si>
  <si>
    <t>Thessaloniki</t>
  </si>
  <si>
    <t>SKH</t>
  </si>
  <si>
    <t>Surkhet Airport</t>
  </si>
  <si>
    <t>Surkhet</t>
  </si>
  <si>
    <t>SKK</t>
  </si>
  <si>
    <t>Shaktoolik Airport</t>
  </si>
  <si>
    <t>Shaktoolik</t>
  </si>
  <si>
    <t>SKN</t>
  </si>
  <si>
    <t>Stokmarknes Skagen Airport</t>
  </si>
  <si>
    <t>Stokmarknes</t>
  </si>
  <si>
    <t>SKO</t>
  </si>
  <si>
    <t>Sadiq Abubakar III International Airport</t>
  </si>
  <si>
    <t>Sokoto</t>
  </si>
  <si>
    <t>SKP</t>
  </si>
  <si>
    <t>Skopje Alexander the Great Airport</t>
  </si>
  <si>
    <t>Skopje</t>
  </si>
  <si>
    <t>SKS</t>
  </si>
  <si>
    <t>Skrydstrup Air Base</t>
  </si>
  <si>
    <t>Skrydstrup</t>
  </si>
  <si>
    <t>SKT</t>
  </si>
  <si>
    <t>Sialkot Airport</t>
  </si>
  <si>
    <t>Sialkot</t>
  </si>
  <si>
    <t>SKU</t>
  </si>
  <si>
    <t>Skiros Airport</t>
  </si>
  <si>
    <t>Skiros</t>
  </si>
  <si>
    <t>SKV</t>
  </si>
  <si>
    <t>St Catherine International Airport</t>
  </si>
  <si>
    <t>St. Catherine</t>
  </si>
  <si>
    <t>SKX</t>
  </si>
  <si>
    <t>Saransk Airport</t>
  </si>
  <si>
    <t>Saransk</t>
  </si>
  <si>
    <t>SKY</t>
  </si>
  <si>
    <t>Griffing Sandusky Airport</t>
  </si>
  <si>
    <t>Sandusky</t>
  </si>
  <si>
    <t>SKZ</t>
  </si>
  <si>
    <t>Sukkur Airport</t>
  </si>
  <si>
    <t>Sukkur</t>
  </si>
  <si>
    <t>SLA</t>
  </si>
  <si>
    <t>Martin Miguel De Guemes International Airport</t>
  </si>
  <si>
    <t>Salta</t>
  </si>
  <si>
    <t>SLC</t>
  </si>
  <si>
    <t>Salt Lake City International Airport</t>
  </si>
  <si>
    <t>SLD</t>
  </si>
  <si>
    <t>Sliač Airport</t>
  </si>
  <si>
    <t>Sliac</t>
  </si>
  <si>
    <t>SLE</t>
  </si>
  <si>
    <t>Salem Municipal Airport/McNary Field</t>
  </si>
  <si>
    <t>SLF</t>
  </si>
  <si>
    <t>Sulayel Airport</t>
  </si>
  <si>
    <t>Sulayel</t>
  </si>
  <si>
    <t>SLH</t>
  </si>
  <si>
    <t>Sola Airport</t>
  </si>
  <si>
    <t>Sola</t>
  </si>
  <si>
    <t>SLI</t>
  </si>
  <si>
    <t>Los Alamitos Army Air Field</t>
  </si>
  <si>
    <t>Solwesi</t>
  </si>
  <si>
    <t>SLK</t>
  </si>
  <si>
    <t>Adirondack Regional Airport</t>
  </si>
  <si>
    <t>Saranac Lake</t>
  </si>
  <si>
    <t>SLL</t>
  </si>
  <si>
    <t>Salalah Airport</t>
  </si>
  <si>
    <t>Salalah</t>
  </si>
  <si>
    <t>SLM</t>
  </si>
  <si>
    <t>Salamanca Airport</t>
  </si>
  <si>
    <t>Salamanca</t>
  </si>
  <si>
    <t>SLN</t>
  </si>
  <si>
    <t>Salina Municipal Airport</t>
  </si>
  <si>
    <t>Salina</t>
  </si>
  <si>
    <t>SLP</t>
  </si>
  <si>
    <t>Ponciano Arriaga International Airport</t>
  </si>
  <si>
    <t>San Luis Potosi</t>
  </si>
  <si>
    <t>SLQ</t>
  </si>
  <si>
    <t>Sleetmute Airport</t>
  </si>
  <si>
    <t>Sleetmute</t>
  </si>
  <si>
    <t>SLU</t>
  </si>
  <si>
    <t>George F. L. Charles Airport</t>
  </si>
  <si>
    <t>Saint Lucia</t>
  </si>
  <si>
    <t>Castries</t>
  </si>
  <si>
    <t>SLV</t>
  </si>
  <si>
    <t>Shimla Airport</t>
  </si>
  <si>
    <t>Shimla</t>
  </si>
  <si>
    <t>SLW</t>
  </si>
  <si>
    <t>Plan De Guadalupe International Airport</t>
  </si>
  <si>
    <t>Saltillo</t>
  </si>
  <si>
    <t>SLX</t>
  </si>
  <si>
    <t>Salt Cay Airport</t>
  </si>
  <si>
    <t>Salt Cay</t>
  </si>
  <si>
    <t>SLY</t>
  </si>
  <si>
    <t>Salekhard Airport</t>
  </si>
  <si>
    <t>Salekhard</t>
  </si>
  <si>
    <t>SLZ</t>
  </si>
  <si>
    <t>Marechal Cunha Machado International Airport</t>
  </si>
  <si>
    <t>Sao Luis</t>
  </si>
  <si>
    <t>SMA</t>
  </si>
  <si>
    <t>Santa Maria (island)</t>
  </si>
  <si>
    <t>SMD</t>
  </si>
  <si>
    <t>Smith Field</t>
  </si>
  <si>
    <t>Fort Wayne IN</t>
  </si>
  <si>
    <t>SME</t>
  </si>
  <si>
    <t>Lake Cumberland Regional Airport</t>
  </si>
  <si>
    <t>Somerset</t>
  </si>
  <si>
    <t>SMF</t>
  </si>
  <si>
    <t>Sacramento International Airport</t>
  </si>
  <si>
    <t>SMI</t>
  </si>
  <si>
    <t>Samos Airport</t>
  </si>
  <si>
    <t>Samos</t>
  </si>
  <si>
    <t>SMK</t>
  </si>
  <si>
    <t>St Michael Airport</t>
  </si>
  <si>
    <t>St. Michael</t>
  </si>
  <si>
    <t>SML</t>
  </si>
  <si>
    <t>Stella Maris Airport</t>
  </si>
  <si>
    <t>Stella Maris</t>
  </si>
  <si>
    <t>SMN</t>
  </si>
  <si>
    <t>Lemhi County Airport</t>
  </si>
  <si>
    <t>Salmon</t>
  </si>
  <si>
    <t>SMO</t>
  </si>
  <si>
    <t>Santa Monica Municipal Airport</t>
  </si>
  <si>
    <t>Santa Monica</t>
  </si>
  <si>
    <t>SMQ</t>
  </si>
  <si>
    <t>Sampit(Hasan) Airport</t>
  </si>
  <si>
    <t>Sampit-Borneo Island</t>
  </si>
  <si>
    <t>SMR</t>
  </si>
  <si>
    <t>Santa Marta</t>
  </si>
  <si>
    <t>SMS</t>
  </si>
  <si>
    <t>Sainte Marie Airport</t>
  </si>
  <si>
    <t>Sainte Marie</t>
  </si>
  <si>
    <t>SMV</t>
  </si>
  <si>
    <t>Samedan Airport</t>
  </si>
  <si>
    <t>Samedan</t>
  </si>
  <si>
    <t>SMW</t>
  </si>
  <si>
    <t>Smara Airport</t>
  </si>
  <si>
    <t>Smara</t>
  </si>
  <si>
    <t>SMX</t>
  </si>
  <si>
    <t>Santa Maria Pub/Capt G Allan Hancock Field</t>
  </si>
  <si>
    <t>SMZ</t>
  </si>
  <si>
    <t>Stoelmanseiland Airport</t>
  </si>
  <si>
    <t>Stoelmans Eiland</t>
  </si>
  <si>
    <t>SNA</t>
  </si>
  <si>
    <t>John Wayne Airport-Orange County Airport</t>
  </si>
  <si>
    <t>SNB</t>
  </si>
  <si>
    <t>Snake Bay Airport</t>
  </si>
  <si>
    <t>SNC</t>
  </si>
  <si>
    <t>General Ulpiano Paez Airport</t>
  </si>
  <si>
    <t>Salinas</t>
  </si>
  <si>
    <t>SNE</t>
  </si>
  <si>
    <t>Preguiça Airport</t>
  </si>
  <si>
    <t>Sao Nocolau Island</t>
  </si>
  <si>
    <t>SNJ</t>
  </si>
  <si>
    <t>San Julian Air Base</t>
  </si>
  <si>
    <t>Pinar Del Rio</t>
  </si>
  <si>
    <t>SNN</t>
  </si>
  <si>
    <t>Shannon Airport</t>
  </si>
  <si>
    <t>Shannon</t>
  </si>
  <si>
    <t>SNO</t>
  </si>
  <si>
    <t>Sakon Nakhon Airport</t>
  </si>
  <si>
    <t>Sakon Nakhon</t>
  </si>
  <si>
    <t>SNP</t>
  </si>
  <si>
    <t>St Paul Island Airport</t>
  </si>
  <si>
    <t>St. Paul Island</t>
  </si>
  <si>
    <t>SNR</t>
  </si>
  <si>
    <t>Saint-Nazaire-Montoir Airport</t>
  </si>
  <si>
    <t>St.-nazaire</t>
  </si>
  <si>
    <t>SNS</t>
  </si>
  <si>
    <t>Salinas Municipal Airport</t>
  </si>
  <si>
    <t>SNU</t>
  </si>
  <si>
    <t>Abel Santamaria Airport</t>
  </si>
  <si>
    <t>SNV</t>
  </si>
  <si>
    <t>Santa Elena de Uairen Airport</t>
  </si>
  <si>
    <t>Santa Ana De Uairen</t>
  </si>
  <si>
    <t>SNW</t>
  </si>
  <si>
    <t>Thandwe Airport</t>
  </si>
  <si>
    <t>Thandwe</t>
  </si>
  <si>
    <t>SNY</t>
  </si>
  <si>
    <t>Sidney Municipal-Lloyd W Carr Field</t>
  </si>
  <si>
    <t>SOA</t>
  </si>
  <si>
    <t>Sonora Municipal Airport</t>
  </si>
  <si>
    <t>Sonora</t>
  </si>
  <si>
    <t>SOB</t>
  </si>
  <si>
    <t>Sármellék International Airport</t>
  </si>
  <si>
    <t>Sármellék</t>
  </si>
  <si>
    <t>SOC</t>
  </si>
  <si>
    <t>Adi Sumarmo Wiryokusumo Airport</t>
  </si>
  <si>
    <t>Solo City</t>
  </si>
  <si>
    <t>SOD</t>
  </si>
  <si>
    <t>Sorocaba Airport</t>
  </si>
  <si>
    <t>Sorocaba</t>
  </si>
  <si>
    <t>SOF</t>
  </si>
  <si>
    <t>Sofia Airport</t>
  </si>
  <si>
    <t>Sofia</t>
  </si>
  <si>
    <t>SOG</t>
  </si>
  <si>
    <t>Sogndal Airport</t>
  </si>
  <si>
    <t>Sogndal</t>
  </si>
  <si>
    <t>SOJ</t>
  </si>
  <si>
    <t>Sørkjosen Airport</t>
  </si>
  <si>
    <t>Sorkjosen</t>
  </si>
  <si>
    <t>SOM</t>
  </si>
  <si>
    <t>San Tomé Airport</t>
  </si>
  <si>
    <t>San Tome</t>
  </si>
  <si>
    <t>SON</t>
  </si>
  <si>
    <t>Santo Pekoa International Airport</t>
  </si>
  <si>
    <t>Santo</t>
  </si>
  <si>
    <t>SOO</t>
  </si>
  <si>
    <t>Söderhamn Airport</t>
  </si>
  <si>
    <t>Soderhamn</t>
  </si>
  <si>
    <t>SOP</t>
  </si>
  <si>
    <t>Moore County Airport</t>
  </si>
  <si>
    <t>Pinehurst-Southern Pines</t>
  </si>
  <si>
    <t>SOQ</t>
  </si>
  <si>
    <t>Dominique Edward Osok Airport</t>
  </si>
  <si>
    <t>Sorong</t>
  </si>
  <si>
    <t>SOT</t>
  </si>
  <si>
    <t>Sodankyla Airport</t>
  </si>
  <si>
    <t>Sodankyla</t>
  </si>
  <si>
    <t>SOU</t>
  </si>
  <si>
    <t>Southampton Airport</t>
  </si>
  <si>
    <t>Southampton</t>
  </si>
  <si>
    <t>SOW</t>
  </si>
  <si>
    <t>Show Low Regional Airport</t>
  </si>
  <si>
    <t>Show Low</t>
  </si>
  <si>
    <t>SOY</t>
  </si>
  <si>
    <t>Stronsay Airport</t>
  </si>
  <si>
    <t>Stronsay</t>
  </si>
  <si>
    <t>SOZ</t>
  </si>
  <si>
    <t>Solenzara (BA 126) Air Base</t>
  </si>
  <si>
    <t>Solenzara</t>
  </si>
  <si>
    <t>SPB</t>
  </si>
  <si>
    <t>Charlotte Amalie Harbor Seaplane Base</t>
  </si>
  <si>
    <t>Virgin Islands</t>
  </si>
  <si>
    <t>Charlotte Amalie</t>
  </si>
  <si>
    <t>SPC</t>
  </si>
  <si>
    <t>La Palma Airport</t>
  </si>
  <si>
    <t>Santa Cruz De La Palma</t>
  </si>
  <si>
    <t>SPD</t>
  </si>
  <si>
    <t>Saidpur Airport</t>
  </si>
  <si>
    <t>Saidpur</t>
  </si>
  <si>
    <t>SPF</t>
  </si>
  <si>
    <t>Black Hills Airport-Clyde Ice Field</t>
  </si>
  <si>
    <t>Spearfish-South Dakota</t>
  </si>
  <si>
    <t>SPG</t>
  </si>
  <si>
    <t>Albert Whitted Airport</t>
  </si>
  <si>
    <t>SPI</t>
  </si>
  <si>
    <t>Abraham Lincoln Capital Airport</t>
  </si>
  <si>
    <t>SPK</t>
  </si>
  <si>
    <t>Chitose Air Base</t>
  </si>
  <si>
    <t>Chitose</t>
  </si>
  <si>
    <t>SPM</t>
  </si>
  <si>
    <t>Spangdahlem Air Base</t>
  </si>
  <si>
    <t>Spangdahlem</t>
  </si>
  <si>
    <t>SPN</t>
  </si>
  <si>
    <t>Saipan International Airport</t>
  </si>
  <si>
    <t>Saipan</t>
  </si>
  <si>
    <t>SPP</t>
  </si>
  <si>
    <t>Menongue Airport</t>
  </si>
  <si>
    <t>Menongue</t>
  </si>
  <si>
    <t>SPS</t>
  </si>
  <si>
    <t>Sheppard Air Force Base-Wichita Falls Municipal Airport</t>
  </si>
  <si>
    <t>Wichita Falls</t>
  </si>
  <si>
    <t>SPU</t>
  </si>
  <si>
    <t>Split Airport</t>
  </si>
  <si>
    <t>Split</t>
  </si>
  <si>
    <t>SPW</t>
  </si>
  <si>
    <t>Spencer Municipal Airport</t>
  </si>
  <si>
    <t>Spencer</t>
  </si>
  <si>
    <t>SPY</t>
  </si>
  <si>
    <t>San Pedro</t>
  </si>
  <si>
    <t>SPZ</t>
  </si>
  <si>
    <t>Silver Springs Airport</t>
  </si>
  <si>
    <t>Silver Springs</t>
  </si>
  <si>
    <t>SQG</t>
  </si>
  <si>
    <t>Sintang(Susilo) Airport</t>
  </si>
  <si>
    <t>Sintang-Borneo Island</t>
  </si>
  <si>
    <t>SQH</t>
  </si>
  <si>
    <t>Na-San Airport</t>
  </si>
  <si>
    <t>Son-La</t>
  </si>
  <si>
    <t>SQL</t>
  </si>
  <si>
    <t>SQO</t>
  </si>
  <si>
    <t>Storuman Airport</t>
  </si>
  <si>
    <t>Mohed</t>
  </si>
  <si>
    <t>SQQ</t>
  </si>
  <si>
    <t>Šiauliai International Airport</t>
  </si>
  <si>
    <t>Siauliai</t>
  </si>
  <si>
    <t>SQX</t>
  </si>
  <si>
    <t>São Miguel do Oeste Airport</t>
  </si>
  <si>
    <t>Sao Miguel do Oeste</t>
  </si>
  <si>
    <t>SRA</t>
  </si>
  <si>
    <t>SRE</t>
  </si>
  <si>
    <t>Juana Azurduy De Padilla Airport</t>
  </si>
  <si>
    <t>Sucre</t>
  </si>
  <si>
    <t>SRG</t>
  </si>
  <si>
    <t>Achmad Yani Airport</t>
  </si>
  <si>
    <t>Semarang</t>
  </si>
  <si>
    <t>SRH</t>
  </si>
  <si>
    <t>Sarh Airport</t>
  </si>
  <si>
    <t>Sarh</t>
  </si>
  <si>
    <t>SRI</t>
  </si>
  <si>
    <t>Temindung Airport</t>
  </si>
  <si>
    <t>Samarinda</t>
  </si>
  <si>
    <t>SRJ</t>
  </si>
  <si>
    <t>Capitán Av. German Quiroga G. Airport</t>
  </si>
  <si>
    <t>San Borja</t>
  </si>
  <si>
    <t>SRN</t>
  </si>
  <si>
    <t>Strahan Airport</t>
  </si>
  <si>
    <t>Strahan</t>
  </si>
  <si>
    <t>SRP</t>
  </si>
  <si>
    <t>Stord Airport</t>
  </si>
  <si>
    <t>Stord</t>
  </si>
  <si>
    <t>SRQ</t>
  </si>
  <si>
    <t>Sarasota Bradenton International Airport</t>
  </si>
  <si>
    <t>Sarasota</t>
  </si>
  <si>
    <t>SRR</t>
  </si>
  <si>
    <t>Sierra Blanca Regional Airport</t>
  </si>
  <si>
    <t>Ruidoso</t>
  </si>
  <si>
    <t>SRT</t>
  </si>
  <si>
    <t>Soroti Airport</t>
  </si>
  <si>
    <t>Soroti</t>
  </si>
  <si>
    <t>SRX</t>
  </si>
  <si>
    <t>Gardabya Airport</t>
  </si>
  <si>
    <t>Sirt</t>
  </si>
  <si>
    <t>SRY</t>
  </si>
  <si>
    <t>Dasht-e Naz Airport</t>
  </si>
  <si>
    <t>Dasht-e-naz</t>
  </si>
  <si>
    <t>SRZ</t>
  </si>
  <si>
    <t>El Trompillo Airport</t>
  </si>
  <si>
    <t>SSA</t>
  </si>
  <si>
    <t>Deputado Luiz Eduardo Magalhães International Airport</t>
  </si>
  <si>
    <t>Salvador</t>
  </si>
  <si>
    <t>SSC</t>
  </si>
  <si>
    <t>Shaw Air Force Base</t>
  </si>
  <si>
    <t>Sumter</t>
  </si>
  <si>
    <t>SSE</t>
  </si>
  <si>
    <t>Solapur Airport</t>
  </si>
  <si>
    <t>Sholapur</t>
  </si>
  <si>
    <t>SSF</t>
  </si>
  <si>
    <t>Stinson Municipal Airport</t>
  </si>
  <si>
    <t>Stinson</t>
  </si>
  <si>
    <t>SSG</t>
  </si>
  <si>
    <t>Malabo Airport</t>
  </si>
  <si>
    <t>Malabo</t>
  </si>
  <si>
    <t>SSH</t>
  </si>
  <si>
    <t>Sharm El Sheikh International Airport</t>
  </si>
  <si>
    <t>Sharm El Sheikh</t>
  </si>
  <si>
    <t>SSI</t>
  </si>
  <si>
    <t>Malcolm McKinnon Airport</t>
  </si>
  <si>
    <t>SSJ</t>
  </si>
  <si>
    <t>Sandnessjøen Airport (Stokka)</t>
  </si>
  <si>
    <t>Sandnessjoen</t>
  </si>
  <si>
    <t>SSN</t>
  </si>
  <si>
    <t>Seoul Air Base</t>
  </si>
  <si>
    <t>Seoul East</t>
  </si>
  <si>
    <t>SSR</t>
  </si>
  <si>
    <t>Sara Airport</t>
  </si>
  <si>
    <t>Pentecost Island</t>
  </si>
  <si>
    <t>SST</t>
  </si>
  <si>
    <t>Santa Teresita Airport</t>
  </si>
  <si>
    <t>Santa Teresita</t>
  </si>
  <si>
    <t>SSV</t>
  </si>
  <si>
    <t>Lasikin Airport</t>
  </si>
  <si>
    <t>Sinabang</t>
  </si>
  <si>
    <t>SSY</t>
  </si>
  <si>
    <t>Mbanza Congo Airport</t>
  </si>
  <si>
    <t>M'banza-congo</t>
  </si>
  <si>
    <t>SSZ</t>
  </si>
  <si>
    <t>Base Aérea de Santos Airport</t>
  </si>
  <si>
    <t>Santos</t>
  </si>
  <si>
    <t>STA</t>
  </si>
  <si>
    <t>Stauning Airport</t>
  </si>
  <si>
    <t>Stauning</t>
  </si>
  <si>
    <t>STB</t>
  </si>
  <si>
    <t>Santa Bárbara del Zulia Airport</t>
  </si>
  <si>
    <t>STC</t>
  </si>
  <si>
    <t>St Cloud Regional Airport</t>
  </si>
  <si>
    <t>Saint Cloud</t>
  </si>
  <si>
    <t>STD</t>
  </si>
  <si>
    <t>Mayor Buenaventura Vivas International Airport</t>
  </si>
  <si>
    <t>STE</t>
  </si>
  <si>
    <t>Stevens Point Municipal Airport</t>
  </si>
  <si>
    <t>Stevens Point</t>
  </si>
  <si>
    <t>STG</t>
  </si>
  <si>
    <t>Point Barrow</t>
  </si>
  <si>
    <t>STI</t>
  </si>
  <si>
    <t>Cibao International Airport</t>
  </si>
  <si>
    <t>STJ</t>
  </si>
  <si>
    <t>Rosecrans Memorial Airport</t>
  </si>
  <si>
    <t>Rosecrans</t>
  </si>
  <si>
    <t>STK</t>
  </si>
  <si>
    <t>Sterling Municipal Airport</t>
  </si>
  <si>
    <t>Sterling</t>
  </si>
  <si>
    <t>STL</t>
  </si>
  <si>
    <t>Lambert St Louis International Airport</t>
  </si>
  <si>
    <t>St. Louis</t>
  </si>
  <si>
    <t>STM</t>
  </si>
  <si>
    <t>Maestro Wilson Fonseca Airport</t>
  </si>
  <si>
    <t>Santarem</t>
  </si>
  <si>
    <t>STN</t>
  </si>
  <si>
    <t>London Stansted Airport</t>
  </si>
  <si>
    <t>STP</t>
  </si>
  <si>
    <t>St Paul Downtown Holman Field</t>
  </si>
  <si>
    <t>St. Paul</t>
  </si>
  <si>
    <t>STR</t>
  </si>
  <si>
    <t>Stuttgart Airport</t>
  </si>
  <si>
    <t>Stuttgart</t>
  </si>
  <si>
    <t>STS</t>
  </si>
  <si>
    <t>Charles M. Schulz Sonoma County Airport</t>
  </si>
  <si>
    <t>STT</t>
  </si>
  <si>
    <t>Cyril E. King Airport</t>
  </si>
  <si>
    <t>St. Thomas</t>
  </si>
  <si>
    <t>STU</t>
  </si>
  <si>
    <t>STV</t>
  </si>
  <si>
    <t>Surat Airport</t>
  </si>
  <si>
    <t>Surat</t>
  </si>
  <si>
    <t>STW</t>
  </si>
  <si>
    <t>Stavropol Shpakovskoye Airport</t>
  </si>
  <si>
    <t>Stavropol</t>
  </si>
  <si>
    <t>STX</t>
  </si>
  <si>
    <t>Henry E Rohlsen Airport</t>
  </si>
  <si>
    <t>St. Croix Island</t>
  </si>
  <si>
    <t>STY</t>
  </si>
  <si>
    <t>Nueva Hesperides International Airport</t>
  </si>
  <si>
    <t>Salto</t>
  </si>
  <si>
    <t>STZ</t>
  </si>
  <si>
    <t>Santa Terezinha</t>
  </si>
  <si>
    <t>SUA</t>
  </si>
  <si>
    <t>Witham Field</t>
  </si>
  <si>
    <t>Stuart</t>
  </si>
  <si>
    <t>SUB</t>
  </si>
  <si>
    <t>Juanda International Airport</t>
  </si>
  <si>
    <t>Surabaya</t>
  </si>
  <si>
    <t>SUF</t>
  </si>
  <si>
    <t>Lamezia Terme Airport</t>
  </si>
  <si>
    <t>Lamezia</t>
  </si>
  <si>
    <t>SUG</t>
  </si>
  <si>
    <t>Surigao Airport</t>
  </si>
  <si>
    <t>Sangley Point</t>
  </si>
  <si>
    <t>SUI</t>
  </si>
  <si>
    <t>Sukhumi Dranda Airport</t>
  </si>
  <si>
    <t>Sukhumi</t>
  </si>
  <si>
    <t>SUJ</t>
  </si>
  <si>
    <t>Satu Mare Airport</t>
  </si>
  <si>
    <t>Satu Mare</t>
  </si>
  <si>
    <t>SUL</t>
  </si>
  <si>
    <t>Sui Airport</t>
  </si>
  <si>
    <t>Sui</t>
  </si>
  <si>
    <t>SUN</t>
  </si>
  <si>
    <t>Friedman Memorial Airport</t>
  </si>
  <si>
    <t>Hailey</t>
  </si>
  <si>
    <t>SUR</t>
  </si>
  <si>
    <t>Summer Beaver Airport</t>
  </si>
  <si>
    <t>Summer Beaver</t>
  </si>
  <si>
    <t>SUS</t>
  </si>
  <si>
    <t>Spirit of St Louis Airport</t>
  </si>
  <si>
    <t>SUT</t>
  </si>
  <si>
    <t>Brunswick County Airport</t>
  </si>
  <si>
    <t>Oak Island</t>
  </si>
  <si>
    <t>SUU</t>
  </si>
  <si>
    <t>Travis Air Force Base</t>
  </si>
  <si>
    <t>Fairfield</t>
  </si>
  <si>
    <t>SUV</t>
  </si>
  <si>
    <t>Nausori International Airport</t>
  </si>
  <si>
    <t>Nausori</t>
  </si>
  <si>
    <t>SUX</t>
  </si>
  <si>
    <t>Sioux Gateway Col. Bud Day Field</t>
  </si>
  <si>
    <t>Sioux City</t>
  </si>
  <si>
    <t>SUY</t>
  </si>
  <si>
    <t>Suntar Airport</t>
  </si>
  <si>
    <t>Suntar</t>
  </si>
  <si>
    <t>SUZ</t>
  </si>
  <si>
    <t>Saline County Regional Airport</t>
  </si>
  <si>
    <t>Benton</t>
  </si>
  <si>
    <t>SVA</t>
  </si>
  <si>
    <t>Savoonga Airport</t>
  </si>
  <si>
    <t>Savoonga</t>
  </si>
  <si>
    <t>SVB</t>
  </si>
  <si>
    <t>Sambava Airport</t>
  </si>
  <si>
    <t>Sambava</t>
  </si>
  <si>
    <t>SVD</t>
  </si>
  <si>
    <t>E. T. Joshua Airport</t>
  </si>
  <si>
    <t>Kingstown</t>
  </si>
  <si>
    <t>SVG</t>
  </si>
  <si>
    <t>Stavanger Airport Sola</t>
  </si>
  <si>
    <t>Stavanger</t>
  </si>
  <si>
    <t>SVH</t>
  </si>
  <si>
    <t>Statesville Regional Airport</t>
  </si>
  <si>
    <t>Statesville</t>
  </si>
  <si>
    <t>SVI</t>
  </si>
  <si>
    <t>Eduardo Falla Solano Airport</t>
  </si>
  <si>
    <t>San Vincente De Caguan</t>
  </si>
  <si>
    <t>SVJ</t>
  </si>
  <si>
    <t>Svolvær Helle Airport</t>
  </si>
  <si>
    <t>Svolvær</t>
  </si>
  <si>
    <t>SVL</t>
  </si>
  <si>
    <t>Savonlinna Airport</t>
  </si>
  <si>
    <t>Savonlinna</t>
  </si>
  <si>
    <t>SVN</t>
  </si>
  <si>
    <t>Hunter Army Air Field</t>
  </si>
  <si>
    <t>Hunter Aaf</t>
  </si>
  <si>
    <t>SVO</t>
  </si>
  <si>
    <t>Sheremetyevo International Airport</t>
  </si>
  <si>
    <t>SVP</t>
  </si>
  <si>
    <t>Kuito Airport</t>
  </si>
  <si>
    <t>Kuito</t>
  </si>
  <si>
    <t>SVQ</t>
  </si>
  <si>
    <t>Sevilla Airport</t>
  </si>
  <si>
    <t>SVU</t>
  </si>
  <si>
    <t>Savusavu Airport</t>
  </si>
  <si>
    <t>Savusavu</t>
  </si>
  <si>
    <t>SVW</t>
  </si>
  <si>
    <t>Sparrevohn LRRS Airport</t>
  </si>
  <si>
    <t>Sparrevohn</t>
  </si>
  <si>
    <t>SVX</t>
  </si>
  <si>
    <t>Koltsovo Airport</t>
  </si>
  <si>
    <t>SVZ</t>
  </si>
  <si>
    <t>San Antonio Del Tachira Airport</t>
  </si>
  <si>
    <t>SWA</t>
  </si>
  <si>
    <t>Jieyang Chaoshan International Airport</t>
  </si>
  <si>
    <t>Shantou</t>
  </si>
  <si>
    <t>SWC</t>
  </si>
  <si>
    <t>Stawell Airport</t>
  </si>
  <si>
    <t>SWD</t>
  </si>
  <si>
    <t>Seward Airport</t>
  </si>
  <si>
    <t>Seward</t>
  </si>
  <si>
    <t>SWF</t>
  </si>
  <si>
    <t>Stewart International Airport</t>
  </si>
  <si>
    <t>Newburgh</t>
  </si>
  <si>
    <t>SWH</t>
  </si>
  <si>
    <t>Swan Hill Airport</t>
  </si>
  <si>
    <t>Swan Hill</t>
  </si>
  <si>
    <t>SWJ</t>
  </si>
  <si>
    <t>Southwest Bay Airport</t>
  </si>
  <si>
    <t>Malekula Island</t>
  </si>
  <si>
    <t>SWP</t>
  </si>
  <si>
    <t>Swakopmund Airport</t>
  </si>
  <si>
    <t>Swakopmund</t>
  </si>
  <si>
    <t>SWQ</t>
  </si>
  <si>
    <t>Sumbawa Besar Airport</t>
  </si>
  <si>
    <t>Sumbawa Island</t>
  </si>
  <si>
    <t>SWS</t>
  </si>
  <si>
    <t>Swansea Airport</t>
  </si>
  <si>
    <t>Swansea</t>
  </si>
  <si>
    <t>SWT</t>
  </si>
  <si>
    <t>Strezhevoy Airport</t>
  </si>
  <si>
    <t>Strezhevoy</t>
  </si>
  <si>
    <t>SWU</t>
  </si>
  <si>
    <t>Suwon Airport</t>
  </si>
  <si>
    <t>Suwon</t>
  </si>
  <si>
    <t>SWX</t>
  </si>
  <si>
    <t>Shakawe Airport</t>
  </si>
  <si>
    <t>Shakawe</t>
  </si>
  <si>
    <t>SXB</t>
  </si>
  <si>
    <t>Strasbourg Airport</t>
  </si>
  <si>
    <t>Strasbourg</t>
  </si>
  <si>
    <t>SXE</t>
  </si>
  <si>
    <t>West Sale Airport</t>
  </si>
  <si>
    <t>Sale</t>
  </si>
  <si>
    <t>SXF</t>
  </si>
  <si>
    <t>Berlin-Schönefeld International Airport</t>
  </si>
  <si>
    <t>Berlin</t>
  </si>
  <si>
    <t>SXJ</t>
  </si>
  <si>
    <t>Shanshan Airport</t>
  </si>
  <si>
    <t>Shanshan</t>
  </si>
  <si>
    <t>SXK</t>
  </si>
  <si>
    <t>Saumlaki/Olilit Airport</t>
  </si>
  <si>
    <t>Saumlaki</t>
  </si>
  <si>
    <t>SXL</t>
  </si>
  <si>
    <t>Sligo Airport</t>
  </si>
  <si>
    <t>Sligo</t>
  </si>
  <si>
    <t>SXM</t>
  </si>
  <si>
    <t>Princess Juliana International Airport</t>
  </si>
  <si>
    <t>Philipsburg</t>
  </si>
  <si>
    <t>SXN</t>
  </si>
  <si>
    <t>Sua Pan Airport</t>
  </si>
  <si>
    <t>Sowa</t>
  </si>
  <si>
    <t>SXO</t>
  </si>
  <si>
    <t>São Félix do Araguaia Airport</t>
  </si>
  <si>
    <t>Sao Felix do Araguaia</t>
  </si>
  <si>
    <t>SXQ</t>
  </si>
  <si>
    <t>Soldotna Airport</t>
  </si>
  <si>
    <t>Soldotna</t>
  </si>
  <si>
    <t>SXR</t>
  </si>
  <si>
    <t>Sheikh ul Alam Airport</t>
  </si>
  <si>
    <t>Srinagar</t>
  </si>
  <si>
    <t>SXX</t>
  </si>
  <si>
    <t>São Félix do Xingu Airport</t>
  </si>
  <si>
    <t>Sao Felix do Xingu</t>
  </si>
  <si>
    <t>SYD</t>
  </si>
  <si>
    <t>Sydney Kingsford Smith International Airport</t>
  </si>
  <si>
    <t>SYH</t>
  </si>
  <si>
    <t>Syangboche Airport</t>
  </si>
  <si>
    <t>Syangboche</t>
  </si>
  <si>
    <t>SYM</t>
  </si>
  <si>
    <t>Pu'er Simao Airport</t>
  </si>
  <si>
    <t>Simao</t>
  </si>
  <si>
    <t>SYO</t>
  </si>
  <si>
    <t>Shonai Airport</t>
  </si>
  <si>
    <t>Shonai</t>
  </si>
  <si>
    <t>SYQ</t>
  </si>
  <si>
    <t>Tobias Bolanos International Airport</t>
  </si>
  <si>
    <t>SYR</t>
  </si>
  <si>
    <t>Syracuse Hancock International Airport</t>
  </si>
  <si>
    <t>Syracuse</t>
  </si>
  <si>
    <t>SYU</t>
  </si>
  <si>
    <t>Warraber Island Airport</t>
  </si>
  <si>
    <t>Sue Islet</t>
  </si>
  <si>
    <t>SYW</t>
  </si>
  <si>
    <t>Sehwan Sharif Airport</t>
  </si>
  <si>
    <t>Sehwan Sharif</t>
  </si>
  <si>
    <t>SYX</t>
  </si>
  <si>
    <t>Sanya Phoenix International Airport</t>
  </si>
  <si>
    <t>Sanya</t>
  </si>
  <si>
    <t>SYY</t>
  </si>
  <si>
    <t>Stornoway Airport</t>
  </si>
  <si>
    <t>Stornoway</t>
  </si>
  <si>
    <t>SYZ</t>
  </si>
  <si>
    <t>Shiraz Shahid Dastghaib International Airport</t>
  </si>
  <si>
    <t>Shiraz</t>
  </si>
  <si>
    <t>SZA</t>
  </si>
  <si>
    <t>Soyo Airport</t>
  </si>
  <si>
    <t>Soyo</t>
  </si>
  <si>
    <t>SZB</t>
  </si>
  <si>
    <t>Sultan Abdul Aziz Shah International Airport</t>
  </si>
  <si>
    <t>SZF</t>
  </si>
  <si>
    <t>Samsun Çarşamba Airport</t>
  </si>
  <si>
    <t>Samsun</t>
  </si>
  <si>
    <t>SZG</t>
  </si>
  <si>
    <t>Salzburg Airport</t>
  </si>
  <si>
    <t>Salzburg</t>
  </si>
  <si>
    <t>SZK</t>
  </si>
  <si>
    <t>Skukuza Airport</t>
  </si>
  <si>
    <t>Skukuza</t>
  </si>
  <si>
    <t>SZL</t>
  </si>
  <si>
    <t>Whiteman Air Force Base</t>
  </si>
  <si>
    <t>Knobnoster</t>
  </si>
  <si>
    <t>SZS</t>
  </si>
  <si>
    <t>Ryans Creek Aerodrome</t>
  </si>
  <si>
    <t>Stewart Island</t>
  </si>
  <si>
    <t>SZT</t>
  </si>
  <si>
    <t>San Cristobal de las Casas Airport</t>
  </si>
  <si>
    <t>San Cristobal de las Casas</t>
  </si>
  <si>
    <t>SZV</t>
  </si>
  <si>
    <t>Suzhou Guangfu Airport</t>
  </si>
  <si>
    <t>Suzhou</t>
  </si>
  <si>
    <t>SZW</t>
  </si>
  <si>
    <t>Schwerin Parchim Airport</t>
  </si>
  <si>
    <t>Parchim</t>
  </si>
  <si>
    <t>SZX</t>
  </si>
  <si>
    <t>Shenzhen Bao'an International Airport</t>
  </si>
  <si>
    <t>Shenzhen</t>
  </si>
  <si>
    <t>SZY</t>
  </si>
  <si>
    <t>Szczytno-Szymany International Airport</t>
  </si>
  <si>
    <t>Szczytno-Szymany</t>
  </si>
  <si>
    <t>SZZ</t>
  </si>
  <si>
    <t>Szczecin-Goleniów \Solidarność\" Airport"</t>
  </si>
  <si>
    <t>TAB</t>
  </si>
  <si>
    <t>Tobago-Crown Point Airport</t>
  </si>
  <si>
    <t>Scarborough</t>
  </si>
  <si>
    <t>TAC</t>
  </si>
  <si>
    <t>Daniel Z. Romualdez Airport</t>
  </si>
  <si>
    <t>Tacloban</t>
  </si>
  <si>
    <t>TAE</t>
  </si>
  <si>
    <t>Daegu Airport</t>
  </si>
  <si>
    <t>Taegu</t>
  </si>
  <si>
    <t>TAF</t>
  </si>
  <si>
    <t>Tafaraoui Airport</t>
  </si>
  <si>
    <t>TAG</t>
  </si>
  <si>
    <t>Tagbilaran Airport</t>
  </si>
  <si>
    <t>Tagbilaran</t>
  </si>
  <si>
    <t>TAH</t>
  </si>
  <si>
    <t>Tanna Airport</t>
  </si>
  <si>
    <t>Tanna</t>
  </si>
  <si>
    <t>TAI</t>
  </si>
  <si>
    <t>Ta'izz International Airport</t>
  </si>
  <si>
    <t>Taiz</t>
  </si>
  <si>
    <t>TAK</t>
  </si>
  <si>
    <t>Takamatsu Airport</t>
  </si>
  <si>
    <t>Takamatsu</t>
  </si>
  <si>
    <t>TAM</t>
  </si>
  <si>
    <t>General Francisco Javier Mina International Airport</t>
  </si>
  <si>
    <t>Tampico</t>
  </si>
  <si>
    <t>TAN</t>
  </si>
  <si>
    <t>Taunton Municipal King Field</t>
  </si>
  <si>
    <t>Taunton</t>
  </si>
  <si>
    <t>TAO</t>
  </si>
  <si>
    <t>Liuting Airport</t>
  </si>
  <si>
    <t>Qingdao</t>
  </si>
  <si>
    <t>TAP</t>
  </si>
  <si>
    <t>Tapachula International Airport</t>
  </si>
  <si>
    <t>Tapachula</t>
  </si>
  <si>
    <t>TAR</t>
  </si>
  <si>
    <t>Taranto-Grottaglie \Marcello Arlotta\" Airport"</t>
  </si>
  <si>
    <t>Grottaglie</t>
  </si>
  <si>
    <t>TAS</t>
  </si>
  <si>
    <t>Tashkent International Airport</t>
  </si>
  <si>
    <t>TAT</t>
  </si>
  <si>
    <t>Poprad-Tatry Airport</t>
  </si>
  <si>
    <t>Poprad</t>
  </si>
  <si>
    <t>TAY</t>
  </si>
  <si>
    <t>Tartu Airport</t>
  </si>
  <si>
    <t>Tartu</t>
  </si>
  <si>
    <t>TAZ</t>
  </si>
  <si>
    <t>Daşoguz Airport</t>
  </si>
  <si>
    <t>Dasoguz</t>
  </si>
  <si>
    <t>TBB</t>
  </si>
  <si>
    <t>Dong Tac Airport</t>
  </si>
  <si>
    <t>Tuy Hoa</t>
  </si>
  <si>
    <t>TBF</t>
  </si>
  <si>
    <t>Tabiteuea North Airport</t>
  </si>
  <si>
    <t>Tabiteuea North</t>
  </si>
  <si>
    <t>TBG</t>
  </si>
  <si>
    <t>Tabubil Airport</t>
  </si>
  <si>
    <t>Tabubil</t>
  </si>
  <si>
    <t>TBH</t>
  </si>
  <si>
    <t>Tugdan Airport</t>
  </si>
  <si>
    <t>TBJ</t>
  </si>
  <si>
    <t>Tabarka 7 Novembre Airport</t>
  </si>
  <si>
    <t>Tabarka</t>
  </si>
  <si>
    <t>TBN</t>
  </si>
  <si>
    <t>Waynesville-St. Robert Regional Forney field</t>
  </si>
  <si>
    <t>Fort Leonardwood</t>
  </si>
  <si>
    <t>TBO</t>
  </si>
  <si>
    <t>Tabora Airport</t>
  </si>
  <si>
    <t>Tabora</t>
  </si>
  <si>
    <t>TBP</t>
  </si>
  <si>
    <t>Capitan FAP Pedro Canga Rodriguez Airport</t>
  </si>
  <si>
    <t>Tumbes</t>
  </si>
  <si>
    <t>TBS</t>
  </si>
  <si>
    <t>Tbilisi International Airport</t>
  </si>
  <si>
    <t>Tbilisi</t>
  </si>
  <si>
    <t>TBT</t>
  </si>
  <si>
    <t>Tabatinga Airport</t>
  </si>
  <si>
    <t>Tabatinga</t>
  </si>
  <si>
    <t>TBU</t>
  </si>
  <si>
    <t>Fua'amotu International Airport</t>
  </si>
  <si>
    <t>Tongatapu</t>
  </si>
  <si>
    <t>TBW</t>
  </si>
  <si>
    <t>Donskoye Airport</t>
  </si>
  <si>
    <t>Tambow</t>
  </si>
  <si>
    <t>TBZ</t>
  </si>
  <si>
    <t>Tabriz International Airport</t>
  </si>
  <si>
    <t>Tabriz</t>
  </si>
  <si>
    <t>TCA</t>
  </si>
  <si>
    <t>Tennant Creek Airport</t>
  </si>
  <si>
    <t>Tennant Creek</t>
  </si>
  <si>
    <t>TCB</t>
  </si>
  <si>
    <t>Treasure Cay Airport</t>
  </si>
  <si>
    <t>Treasure Cay</t>
  </si>
  <si>
    <t>TCC</t>
  </si>
  <si>
    <t>Tucumcari Municipal Airport</t>
  </si>
  <si>
    <t>Tucumcari</t>
  </si>
  <si>
    <t>TCE</t>
  </si>
  <si>
    <t>Tulcea Airport</t>
  </si>
  <si>
    <t>Tulcea</t>
  </si>
  <si>
    <t>TCG</t>
  </si>
  <si>
    <t>Tacheng Airport</t>
  </si>
  <si>
    <t>Tacheng</t>
  </si>
  <si>
    <t>TCH</t>
  </si>
  <si>
    <t>Tchibanga Airport</t>
  </si>
  <si>
    <t>Tchibanga</t>
  </si>
  <si>
    <t>TCL</t>
  </si>
  <si>
    <t>Tuscaloosa Regional Airport</t>
  </si>
  <si>
    <t>Tuscaloosa AL</t>
  </si>
  <si>
    <t>TCM</t>
  </si>
  <si>
    <t>McChord Air Force Base</t>
  </si>
  <si>
    <t>Tacoma</t>
  </si>
  <si>
    <t>TCN</t>
  </si>
  <si>
    <t>Tehuacan Airport</t>
  </si>
  <si>
    <t>Tehuacan</t>
  </si>
  <si>
    <t>TCO</t>
  </si>
  <si>
    <t>Tumaco</t>
  </si>
  <si>
    <t>TCP</t>
  </si>
  <si>
    <t>Taba International Airport</t>
  </si>
  <si>
    <t>Taba</t>
  </si>
  <si>
    <t>TCQ</t>
  </si>
  <si>
    <t>Coronel FAP Carlos Ciriani Santa Rosa International Airport</t>
  </si>
  <si>
    <t>Tacna</t>
  </si>
  <si>
    <t>TCS</t>
  </si>
  <si>
    <t>Truth Or Consequences Municipal Airport</t>
  </si>
  <si>
    <t>Truth Or Consequences</t>
  </si>
  <si>
    <t>TCZ</t>
  </si>
  <si>
    <t>Tengchong Tuofeng Airport</t>
  </si>
  <si>
    <t>Tengchong</t>
  </si>
  <si>
    <t>TDD</t>
  </si>
  <si>
    <t>Teniente Av. Jorge Henrich Arauz Airport</t>
  </si>
  <si>
    <t>Trinidad</t>
  </si>
  <si>
    <t>TDF</t>
  </si>
  <si>
    <t>Person County Airport</t>
  </si>
  <si>
    <t>Roxboro</t>
  </si>
  <si>
    <t>TDG</t>
  </si>
  <si>
    <t>Tandag Airport</t>
  </si>
  <si>
    <t>Tandag</t>
  </si>
  <si>
    <t>TDJ</t>
  </si>
  <si>
    <t>Tadjoura Airport</t>
  </si>
  <si>
    <t>Tadjoura</t>
  </si>
  <si>
    <t>TDK</t>
  </si>
  <si>
    <t>Ak Bashat Airport</t>
  </si>
  <si>
    <t>Taldykorgan</t>
  </si>
  <si>
    <t>TDL</t>
  </si>
  <si>
    <t>Héroes De Malvinas Airport</t>
  </si>
  <si>
    <t>Tandil</t>
  </si>
  <si>
    <t>TDR</t>
  </si>
  <si>
    <t>Theodore Airport</t>
  </si>
  <si>
    <t>Theodore</t>
  </si>
  <si>
    <t>TDX</t>
  </si>
  <si>
    <t>Trat Airport</t>
  </si>
  <si>
    <t>Trat</t>
  </si>
  <si>
    <t>TEA</t>
  </si>
  <si>
    <t>Tela Airport</t>
  </si>
  <si>
    <t>Tela</t>
  </si>
  <si>
    <t>TEB</t>
  </si>
  <si>
    <t>Teterboro Airport</t>
  </si>
  <si>
    <t>Teterboro</t>
  </si>
  <si>
    <t>TED</t>
  </si>
  <si>
    <t>Thisted Airport</t>
  </si>
  <si>
    <t>Thisted</t>
  </si>
  <si>
    <t>TEE</t>
  </si>
  <si>
    <t>Cheikh Larbi Tébessi Airport</t>
  </si>
  <si>
    <t>Tebessa</t>
  </si>
  <si>
    <t>TEF</t>
  </si>
  <si>
    <t>Telfer Airport</t>
  </si>
  <si>
    <t>Telfer</t>
  </si>
  <si>
    <t>TEM</t>
  </si>
  <si>
    <t>Temora Airport</t>
  </si>
  <si>
    <t>Temora</t>
  </si>
  <si>
    <t>TEN</t>
  </si>
  <si>
    <t>Tongren Fenghuang Airport</t>
  </si>
  <si>
    <t>Tongren</t>
  </si>
  <si>
    <t>TEQ</t>
  </si>
  <si>
    <t>Tekirdağ Çorlu Airport</t>
  </si>
  <si>
    <t>Çorlu</t>
  </si>
  <si>
    <t>TER</t>
  </si>
  <si>
    <t>Lajes Field</t>
  </si>
  <si>
    <t>Lajes (terceira Island)</t>
  </si>
  <si>
    <t>TET</t>
  </si>
  <si>
    <t>Chingozi Airport</t>
  </si>
  <si>
    <t>Tete</t>
  </si>
  <si>
    <t>TEU</t>
  </si>
  <si>
    <t>Manapouri Airport</t>
  </si>
  <si>
    <t>Manapouri</t>
  </si>
  <si>
    <t>TEV</t>
  </si>
  <si>
    <t>Teruel Airport</t>
  </si>
  <si>
    <t>Teruel</t>
  </si>
  <si>
    <t>TEX</t>
  </si>
  <si>
    <t>Telluride Regional Airport</t>
  </si>
  <si>
    <t>Telluride</t>
  </si>
  <si>
    <t>TEZ</t>
  </si>
  <si>
    <t>Tezpur Airport</t>
  </si>
  <si>
    <t>Tezpur</t>
  </si>
  <si>
    <t>TFF</t>
  </si>
  <si>
    <t>Tefé Airport</t>
  </si>
  <si>
    <t>Tefe</t>
  </si>
  <si>
    <t>TFL</t>
  </si>
  <si>
    <t>Juscelino Kubitscheck Airport</t>
  </si>
  <si>
    <t>Teofilo Otoni</t>
  </si>
  <si>
    <t>TFN</t>
  </si>
  <si>
    <t>Tenerife Norte Airport</t>
  </si>
  <si>
    <t>Tenerife</t>
  </si>
  <si>
    <t>TFS</t>
  </si>
  <si>
    <t>Tenerife South Airport</t>
  </si>
  <si>
    <t>TGD</t>
  </si>
  <si>
    <t>Podgorica Airport</t>
  </si>
  <si>
    <t>Montenegro</t>
  </si>
  <si>
    <t>Podgorica</t>
  </si>
  <si>
    <t>TGG</t>
  </si>
  <si>
    <t>Sultan Mahmud Airport</t>
  </si>
  <si>
    <t>Kuala Terengganu</t>
  </si>
  <si>
    <t>TGH</t>
  </si>
  <si>
    <t>Tongoa Airport</t>
  </si>
  <si>
    <t>Tongoa Island</t>
  </si>
  <si>
    <t>TGI</t>
  </si>
  <si>
    <t>Tingo Maria Airport</t>
  </si>
  <si>
    <t>Tingo Maria</t>
  </si>
  <si>
    <t>TGJ</t>
  </si>
  <si>
    <t>Tiga Airport</t>
  </si>
  <si>
    <t>Tiga</t>
  </si>
  <si>
    <t>TGM</t>
  </si>
  <si>
    <t>Transilvania Târgu Mureş International Airport</t>
  </si>
  <si>
    <t>Tirgu Mures</t>
  </si>
  <si>
    <t>TGN</t>
  </si>
  <si>
    <t>Latrobe Valley Airport</t>
  </si>
  <si>
    <t>Morwell</t>
  </si>
  <si>
    <t>TGO</t>
  </si>
  <si>
    <t>Tongliao Airport</t>
  </si>
  <si>
    <t>Tongliao</t>
  </si>
  <si>
    <t>TGR</t>
  </si>
  <si>
    <t>Touggourt Sidi Madhi Airport</t>
  </si>
  <si>
    <t>Touggourt</t>
  </si>
  <si>
    <t>TGT</t>
  </si>
  <si>
    <t>Tanga Airport</t>
  </si>
  <si>
    <t>Tanga</t>
  </si>
  <si>
    <t>TGU</t>
  </si>
  <si>
    <t>Toncontín International Airport</t>
  </si>
  <si>
    <t>Tegucigalpa</t>
  </si>
  <si>
    <t>TGZ</t>
  </si>
  <si>
    <t>Angel Albino Corzo International Airport</t>
  </si>
  <si>
    <t>THE</t>
  </si>
  <si>
    <t>Senador Petrônio Portela Airport</t>
  </si>
  <si>
    <t>Teresina</t>
  </si>
  <si>
    <t>THF</t>
  </si>
  <si>
    <t>Berlin-Tempelhof International Airport</t>
  </si>
  <si>
    <t>THG</t>
  </si>
  <si>
    <t>Thangool Airport</t>
  </si>
  <si>
    <t>Biloela</t>
  </si>
  <si>
    <t>THL</t>
  </si>
  <si>
    <t>Tachileik Airport</t>
  </si>
  <si>
    <t>Tachilek</t>
  </si>
  <si>
    <t>THN</t>
  </si>
  <si>
    <t>Trollhättan-Vänersborg Airport</t>
  </si>
  <si>
    <t>Trollhattan</t>
  </si>
  <si>
    <t>THO</t>
  </si>
  <si>
    <t>Thorshofn Airport</t>
  </si>
  <si>
    <t>Thorshofn</t>
  </si>
  <si>
    <t>THR</t>
  </si>
  <si>
    <t>Mehrabad International Airport</t>
  </si>
  <si>
    <t>THS</t>
  </si>
  <si>
    <t>Sukhothai Airport</t>
  </si>
  <si>
    <t>Sukhothai</t>
  </si>
  <si>
    <t>THU</t>
  </si>
  <si>
    <t>Thule Air Base</t>
  </si>
  <si>
    <t>Thule</t>
  </si>
  <si>
    <t>THZ</t>
  </si>
  <si>
    <t>Tahoua Airport</t>
  </si>
  <si>
    <t>Tahoua</t>
  </si>
  <si>
    <t>TIA</t>
  </si>
  <si>
    <t>Tirana International Airport Mother Teresa</t>
  </si>
  <si>
    <t>Tirana</t>
  </si>
  <si>
    <t>TID</t>
  </si>
  <si>
    <t>Bou Chekif Airport</t>
  </si>
  <si>
    <t>Tiaret</t>
  </si>
  <si>
    <t>TIE</t>
  </si>
  <si>
    <t>Tippi Airport</t>
  </si>
  <si>
    <t>Tippi</t>
  </si>
  <si>
    <t>TIF</t>
  </si>
  <si>
    <t>Ta’if Regional Airport</t>
  </si>
  <si>
    <t>Taif</t>
  </si>
  <si>
    <t>TIH</t>
  </si>
  <si>
    <t>Tikehau Airport</t>
  </si>
  <si>
    <t>Tikehau</t>
  </si>
  <si>
    <t>TII</t>
  </si>
  <si>
    <t>Tarin Kowt Airport</t>
  </si>
  <si>
    <t>Tarin Kowt</t>
  </si>
  <si>
    <t>TIJ</t>
  </si>
  <si>
    <t>General Abelardo L. Rodríguez International Airport</t>
  </si>
  <si>
    <t>Tijuana</t>
  </si>
  <si>
    <t>TIK</t>
  </si>
  <si>
    <t>Tinker Air Force Base</t>
  </si>
  <si>
    <t>TIM</t>
  </si>
  <si>
    <t>Moses Kilangin Airport</t>
  </si>
  <si>
    <t>Timika</t>
  </si>
  <si>
    <t>TIN</t>
  </si>
  <si>
    <t>Tindouf Airport</t>
  </si>
  <si>
    <t>Tindouf</t>
  </si>
  <si>
    <t>TIP</t>
  </si>
  <si>
    <t>Tripoli International Airport</t>
  </si>
  <si>
    <t>TIQ</t>
  </si>
  <si>
    <t>Tinian International Airport</t>
  </si>
  <si>
    <t>West Tinian</t>
  </si>
  <si>
    <t>TIR</t>
  </si>
  <si>
    <t>Tirupati Airport</t>
  </si>
  <si>
    <t>Tirupeti</t>
  </si>
  <si>
    <t>TIU</t>
  </si>
  <si>
    <t>Timaru Airport</t>
  </si>
  <si>
    <t>Timaru</t>
  </si>
  <si>
    <t>TIV</t>
  </si>
  <si>
    <t>Tivat Airport</t>
  </si>
  <si>
    <t>Tivat</t>
  </si>
  <si>
    <t>TIW</t>
  </si>
  <si>
    <t>Tacoma Narrows Airport</t>
  </si>
  <si>
    <t>TIX</t>
  </si>
  <si>
    <t>Space Coast Regional Airport</t>
  </si>
  <si>
    <t>Titusville</t>
  </si>
  <si>
    <t>TIY</t>
  </si>
  <si>
    <t>Tidjikja Airport</t>
  </si>
  <si>
    <t>Tidjikja</t>
  </si>
  <si>
    <t>TIZ</t>
  </si>
  <si>
    <t>Tari Airport</t>
  </si>
  <si>
    <t>Tari</t>
  </si>
  <si>
    <t>TJA</t>
  </si>
  <si>
    <t>Capitan Oriel Lea Plaza Airport</t>
  </si>
  <si>
    <t>Tarija</t>
  </si>
  <si>
    <t>TJG</t>
  </si>
  <si>
    <t>Warukin Airport</t>
  </si>
  <si>
    <t>Tanjung-Borneo Island</t>
  </si>
  <si>
    <t>TJH</t>
  </si>
  <si>
    <t>Tajima Airport</t>
  </si>
  <si>
    <t>Toyooka</t>
  </si>
  <si>
    <t>TJL</t>
  </si>
  <si>
    <t>Plínio Alarcom Airport</t>
  </si>
  <si>
    <t>Tres Lagoas</t>
  </si>
  <si>
    <t>TJM</t>
  </si>
  <si>
    <t>Roshchino International Airport</t>
  </si>
  <si>
    <t>Tyumen</t>
  </si>
  <si>
    <t>TJQ</t>
  </si>
  <si>
    <t>Buluh Tumbang (H A S Hanandjoeddin) Airport</t>
  </si>
  <si>
    <t>Tanjung Pandan</t>
  </si>
  <si>
    <t>TJS</t>
  </si>
  <si>
    <t>Tanjung Harapan Airport</t>
  </si>
  <si>
    <t>Tanjung Selor-Borneo Island</t>
  </si>
  <si>
    <t>TJU</t>
  </si>
  <si>
    <t>Kulob Airport</t>
  </si>
  <si>
    <t>Kulyab</t>
  </si>
  <si>
    <t>TKA</t>
  </si>
  <si>
    <t>Talkeetna Airport</t>
  </si>
  <si>
    <t>Talkeetna</t>
  </si>
  <si>
    <t>TKC</t>
  </si>
  <si>
    <t>Tiko Airport</t>
  </si>
  <si>
    <t>Tiko</t>
  </si>
  <si>
    <t>TKD</t>
  </si>
  <si>
    <t>Takoradi Airport</t>
  </si>
  <si>
    <t>Takoradi</t>
  </si>
  <si>
    <t>TKF</t>
  </si>
  <si>
    <t>Truckee Tahoe Airport</t>
  </si>
  <si>
    <t>Truckee</t>
  </si>
  <si>
    <t>TKG</t>
  </si>
  <si>
    <t>Radin Inten II (Branti) Airport</t>
  </si>
  <si>
    <t>Bandar Lampung-Sumatra Island</t>
  </si>
  <si>
    <t>TKI</t>
  </si>
  <si>
    <t>Collin County Regional At Mc Kinney Airport</t>
  </si>
  <si>
    <t>DALLAS</t>
  </si>
  <si>
    <t>TKJ</t>
  </si>
  <si>
    <t>Tok Junction Airport</t>
  </si>
  <si>
    <t>TKK</t>
  </si>
  <si>
    <t>Chuuk International Airport</t>
  </si>
  <si>
    <t>Chuuk</t>
  </si>
  <si>
    <t>TKN</t>
  </si>
  <si>
    <t>Tokunoshima Airport</t>
  </si>
  <si>
    <t>Tokunoshima</t>
  </si>
  <si>
    <t>TKP</t>
  </si>
  <si>
    <t>Takapoto Airport</t>
  </si>
  <si>
    <t>Takapoto</t>
  </si>
  <si>
    <t>TKQ</t>
  </si>
  <si>
    <t>Kigoma Airport</t>
  </si>
  <si>
    <t>Kigoma</t>
  </si>
  <si>
    <t>TKS</t>
  </si>
  <si>
    <t>Tokushima Airport</t>
  </si>
  <si>
    <t>Tokushima</t>
  </si>
  <si>
    <t>TKT</t>
  </si>
  <si>
    <t>Tak Airport</t>
  </si>
  <si>
    <t>TKU</t>
  </si>
  <si>
    <t>Turku Airport</t>
  </si>
  <si>
    <t>Turku</t>
  </si>
  <si>
    <t>TKX</t>
  </si>
  <si>
    <t>Takaroa Airport</t>
  </si>
  <si>
    <t>Takaroa</t>
  </si>
  <si>
    <t>TLA</t>
  </si>
  <si>
    <t>Teller Airport</t>
  </si>
  <si>
    <t>Teller</t>
  </si>
  <si>
    <t>TLC</t>
  </si>
  <si>
    <t>Licenciado Adolfo Lopez Mateos International Airport</t>
  </si>
  <si>
    <t>Toluca</t>
  </si>
  <si>
    <t>TLD</t>
  </si>
  <si>
    <t>Limpopo Valley Airport</t>
  </si>
  <si>
    <t>Tuli Lodge</t>
  </si>
  <si>
    <t>TLE</t>
  </si>
  <si>
    <t>Toliara Airport</t>
  </si>
  <si>
    <t>Toliara</t>
  </si>
  <si>
    <t>TLH</t>
  </si>
  <si>
    <t>Tallahassee Regional Airport</t>
  </si>
  <si>
    <t>Tallahassee</t>
  </si>
  <si>
    <t>TLI</t>
  </si>
  <si>
    <t>Sultan Bantilan Airport</t>
  </si>
  <si>
    <t>Toli-Toli</t>
  </si>
  <si>
    <t>TLJ</t>
  </si>
  <si>
    <t>Tatalina LRRS Airport</t>
  </si>
  <si>
    <t>Tatalina</t>
  </si>
  <si>
    <t>TLL</t>
  </si>
  <si>
    <t>Lennart Meri Tallinn Airport</t>
  </si>
  <si>
    <t>Tallinn-ulemiste International</t>
  </si>
  <si>
    <t>TLM</t>
  </si>
  <si>
    <t>Zenata – Messali El Hadj Airport</t>
  </si>
  <si>
    <t>Tlemcen</t>
  </si>
  <si>
    <t>TLN</t>
  </si>
  <si>
    <t>Toulon-Hyères Airport</t>
  </si>
  <si>
    <t>Hyeres</t>
  </si>
  <si>
    <t>TLQ</t>
  </si>
  <si>
    <t>Turpan Jiaohe Airport</t>
  </si>
  <si>
    <t>Turpan</t>
  </si>
  <si>
    <t>TLS</t>
  </si>
  <si>
    <t>Toulouse-Blagnac Airport</t>
  </si>
  <si>
    <t>TLU</t>
  </si>
  <si>
    <t>Golfo de Morrosquillo Airport</t>
  </si>
  <si>
    <t>Tolu</t>
  </si>
  <si>
    <t>TLV</t>
  </si>
  <si>
    <t>Ben Gurion International Airport</t>
  </si>
  <si>
    <t>TLX</t>
  </si>
  <si>
    <t>Panguilemo Airport</t>
  </si>
  <si>
    <t>Talca</t>
  </si>
  <si>
    <t>TMA</t>
  </si>
  <si>
    <t>Henry Tift Myers Airport</t>
  </si>
  <si>
    <t>Tifton</t>
  </si>
  <si>
    <t>TMB</t>
  </si>
  <si>
    <t>Kendall-Tamiami Executive Airport</t>
  </si>
  <si>
    <t>Kendall-tamiami</t>
  </si>
  <si>
    <t>TMC</t>
  </si>
  <si>
    <t>Tambolaka Airport</t>
  </si>
  <si>
    <t>Waikabubak-Sumba Island</t>
  </si>
  <si>
    <t>TME</t>
  </si>
  <si>
    <t>Gustavo Vargas Airport</t>
  </si>
  <si>
    <t>Tame</t>
  </si>
  <si>
    <t>TMF</t>
  </si>
  <si>
    <t>Thimarafushi Airport</t>
  </si>
  <si>
    <t>Thimarafushi</t>
  </si>
  <si>
    <t>TMG</t>
  </si>
  <si>
    <t>Tomanggong Airport</t>
  </si>
  <si>
    <t>Tomanggong</t>
  </si>
  <si>
    <t>TMI</t>
  </si>
  <si>
    <t>Tumling Tar Airport</t>
  </si>
  <si>
    <t>Tumling Tar</t>
  </si>
  <si>
    <t>TMJ</t>
  </si>
  <si>
    <t>Termez Airport</t>
  </si>
  <si>
    <t>Termez</t>
  </si>
  <si>
    <t>TML</t>
  </si>
  <si>
    <t>Tamale Airport</t>
  </si>
  <si>
    <t>Tamale</t>
  </si>
  <si>
    <t>TMM</t>
  </si>
  <si>
    <t>Toamasina Airport</t>
  </si>
  <si>
    <t>Toamasina</t>
  </si>
  <si>
    <t>TMN</t>
  </si>
  <si>
    <t>Tamana Island Airport</t>
  </si>
  <si>
    <t>Tamana</t>
  </si>
  <si>
    <t>TMP</t>
  </si>
  <si>
    <t>Tampere-Pirkkala Airport</t>
  </si>
  <si>
    <t>Tampere</t>
  </si>
  <si>
    <t>TMR</t>
  </si>
  <si>
    <t>Aguenar – Hadj Bey Akhamok Airport</t>
  </si>
  <si>
    <t>Tamanrasset</t>
  </si>
  <si>
    <t>TMS</t>
  </si>
  <si>
    <t>São Tomé International Airport</t>
  </si>
  <si>
    <t>Sao Tome</t>
  </si>
  <si>
    <t>TMT</t>
  </si>
  <si>
    <t>Trombetas Airport</t>
  </si>
  <si>
    <t>TMU</t>
  </si>
  <si>
    <t>Tambor Airport</t>
  </si>
  <si>
    <t>Nicoya</t>
  </si>
  <si>
    <t>TMW</t>
  </si>
  <si>
    <t>Tamworth Airport</t>
  </si>
  <si>
    <t>Tamworth</t>
  </si>
  <si>
    <t>TMX</t>
  </si>
  <si>
    <t>Timimoun Airport</t>
  </si>
  <si>
    <t>Timimoun</t>
  </si>
  <si>
    <t>TN0</t>
  </si>
  <si>
    <t>Trento-Mattarello Airport</t>
  </si>
  <si>
    <t>Trento (TN)</t>
  </si>
  <si>
    <t>TNA</t>
  </si>
  <si>
    <t>Yaoqiang Airport</t>
  </si>
  <si>
    <t>Jinan</t>
  </si>
  <si>
    <t>TNC</t>
  </si>
  <si>
    <t>Tin City Long Range Radar Station Airport</t>
  </si>
  <si>
    <t>Tin City</t>
  </si>
  <si>
    <t>TND</t>
  </si>
  <si>
    <t>Alberto Delgado Airport</t>
  </si>
  <si>
    <t>TNE</t>
  </si>
  <si>
    <t>New Tanegashima Airport</t>
  </si>
  <si>
    <t>Tanegashima</t>
  </si>
  <si>
    <t>TNF</t>
  </si>
  <si>
    <t>Toussus-le-Noble Airport</t>
  </si>
  <si>
    <t>Toussous-le-noble</t>
  </si>
  <si>
    <t>TNG</t>
  </si>
  <si>
    <t>Ibn Batouta Airport</t>
  </si>
  <si>
    <t>Tanger</t>
  </si>
  <si>
    <t>TNH</t>
  </si>
  <si>
    <t>Tonghua Sanyuanpu Airport</t>
  </si>
  <si>
    <t>Tonghua</t>
  </si>
  <si>
    <t>TNI</t>
  </si>
  <si>
    <t>Satna Airport</t>
  </si>
  <si>
    <t>Satna</t>
  </si>
  <si>
    <t>TNJ</t>
  </si>
  <si>
    <t>Raja Haji Fisabilillah International Airport</t>
  </si>
  <si>
    <t>Tanjung Pinang</t>
  </si>
  <si>
    <t>TNL</t>
  </si>
  <si>
    <t>Ternopil International Airport</t>
  </si>
  <si>
    <t>Ternopol</t>
  </si>
  <si>
    <t>TNN</t>
  </si>
  <si>
    <t>Tainan Airport</t>
  </si>
  <si>
    <t>Tainan</t>
  </si>
  <si>
    <t>TNO</t>
  </si>
  <si>
    <t>Cabo Velas Airport</t>
  </si>
  <si>
    <t>TNR</t>
  </si>
  <si>
    <t>Ivato Airport</t>
  </si>
  <si>
    <t>Antananarivo</t>
  </si>
  <si>
    <t>TNT</t>
  </si>
  <si>
    <t>Dade Collier Training and Transition Airport</t>
  </si>
  <si>
    <t>TNX</t>
  </si>
  <si>
    <t>Stung Treng Airport</t>
  </si>
  <si>
    <t>Stung Treng</t>
  </si>
  <si>
    <t>TOA</t>
  </si>
  <si>
    <t>Zamperini Field</t>
  </si>
  <si>
    <t>Torrance</t>
  </si>
  <si>
    <t>TOB</t>
  </si>
  <si>
    <t>Gamal Abdel Nasser Airport</t>
  </si>
  <si>
    <t>Tobruk</t>
  </si>
  <si>
    <t>TOC</t>
  </si>
  <si>
    <t>Toccoa Airport - R.G. Letourneau Field</t>
  </si>
  <si>
    <t>Toccoa</t>
  </si>
  <si>
    <t>TOD</t>
  </si>
  <si>
    <t>Pulau Tioman Airport</t>
  </si>
  <si>
    <t>Tioman</t>
  </si>
  <si>
    <t>TOE</t>
  </si>
  <si>
    <t>Tozeur Nefta International Airport</t>
  </si>
  <si>
    <t>Tozeur</t>
  </si>
  <si>
    <t>TOF</t>
  </si>
  <si>
    <t>Bogashevo Airport</t>
  </si>
  <si>
    <t>Tomsk</t>
  </si>
  <si>
    <t>TOG</t>
  </si>
  <si>
    <t>Togiak Airport</t>
  </si>
  <si>
    <t>Togiak Village</t>
  </si>
  <si>
    <t>TOH</t>
  </si>
  <si>
    <t>Torres Airstrip</t>
  </si>
  <si>
    <t>Loh/Linua</t>
  </si>
  <si>
    <t>TOI</t>
  </si>
  <si>
    <t>Troy Municipal Airport</t>
  </si>
  <si>
    <t>Troy</t>
  </si>
  <si>
    <t>TOJ</t>
  </si>
  <si>
    <t>Torrejón Airport</t>
  </si>
  <si>
    <t>TOL</t>
  </si>
  <si>
    <t>Toledo Express Airport</t>
  </si>
  <si>
    <t>Toledo</t>
  </si>
  <si>
    <t>TOM</t>
  </si>
  <si>
    <t>Timbuktu Airport</t>
  </si>
  <si>
    <t>Tombouctou</t>
  </si>
  <si>
    <t>TOP</t>
  </si>
  <si>
    <t>Philip Billard Municipal Airport</t>
  </si>
  <si>
    <t>TOQ</t>
  </si>
  <si>
    <t>Barriles Airport</t>
  </si>
  <si>
    <t>Tocopilla</t>
  </si>
  <si>
    <t>TOS</t>
  </si>
  <si>
    <t>Tromsø Airport</t>
  </si>
  <si>
    <t>Tromso</t>
  </si>
  <si>
    <t>TOT</t>
  </si>
  <si>
    <t>Totness Airport</t>
  </si>
  <si>
    <t>Totness</t>
  </si>
  <si>
    <t>TOU</t>
  </si>
  <si>
    <t>Touho Airport</t>
  </si>
  <si>
    <t>Touho</t>
  </si>
  <si>
    <t>TOW</t>
  </si>
  <si>
    <t>Toledo Airport</t>
  </si>
  <si>
    <t>TOY</t>
  </si>
  <si>
    <t>Toyama Airport</t>
  </si>
  <si>
    <t>Toyama</t>
  </si>
  <si>
    <t>TPA</t>
  </si>
  <si>
    <t>Tampa International Airport</t>
  </si>
  <si>
    <t>TPC</t>
  </si>
  <si>
    <t>Tarapoa Airport</t>
  </si>
  <si>
    <t>Tarapoa</t>
  </si>
  <si>
    <t>TPE</t>
  </si>
  <si>
    <t>Taiwan Taoyuan International Airport</t>
  </si>
  <si>
    <t>Taipei</t>
  </si>
  <si>
    <t>TPF</t>
  </si>
  <si>
    <t>Peter O Knight Airport</t>
  </si>
  <si>
    <t>TPH</t>
  </si>
  <si>
    <t>Tonopah Airport</t>
  </si>
  <si>
    <t>TPJ</t>
  </si>
  <si>
    <t>Taplejung Airport</t>
  </si>
  <si>
    <t>Taplejung</t>
  </si>
  <si>
    <t>TPL</t>
  </si>
  <si>
    <t>Draughon Miller Central Texas Regional Airport</t>
  </si>
  <si>
    <t>Temple</t>
  </si>
  <si>
    <t>TPN</t>
  </si>
  <si>
    <t>Tiputini Airport</t>
  </si>
  <si>
    <t>Tiputini</t>
  </si>
  <si>
    <t>TPP</t>
  </si>
  <si>
    <t>Cadete FAP Guillermo Del Castillo Paredes Airport</t>
  </si>
  <si>
    <t>Tarapoto</t>
  </si>
  <si>
    <t>TPQ</t>
  </si>
  <si>
    <t>Amado Nervo National Airport</t>
  </si>
  <si>
    <t>Tepic</t>
  </si>
  <si>
    <t>TPS</t>
  </si>
  <si>
    <t>Vincenzo Florio Airport Trapani-Birgi</t>
  </si>
  <si>
    <t>Trapani</t>
  </si>
  <si>
    <t>TQK</t>
  </si>
  <si>
    <t>Scott City Municipal Airport</t>
  </si>
  <si>
    <t>Scott City</t>
  </si>
  <si>
    <t>TQL</t>
  </si>
  <si>
    <t>Tarko-Sale Airport</t>
  </si>
  <si>
    <t>Tarko-Sale</t>
  </si>
  <si>
    <t>TQS</t>
  </si>
  <si>
    <t>Tres Esquinas Air Base</t>
  </si>
  <si>
    <t>Tres Esquinas</t>
  </si>
  <si>
    <t>TRC</t>
  </si>
  <si>
    <t>Francisco Sarabia International Airport</t>
  </si>
  <si>
    <t>Torreon</t>
  </si>
  <si>
    <t>TRD</t>
  </si>
  <si>
    <t>Trondheim Airport Værnes</t>
  </si>
  <si>
    <t>Trondheim</t>
  </si>
  <si>
    <t>TRE</t>
  </si>
  <si>
    <t>Tiree Airport</t>
  </si>
  <si>
    <t>Tiree</t>
  </si>
  <si>
    <t>TRF</t>
  </si>
  <si>
    <t>Sandefjord Airport, Torp</t>
  </si>
  <si>
    <t>Sandefjord</t>
  </si>
  <si>
    <t>TRG</t>
  </si>
  <si>
    <t>Tauranga Airport</t>
  </si>
  <si>
    <t>Tauranga</t>
  </si>
  <si>
    <t>TRI</t>
  </si>
  <si>
    <t>Tri Cities Regional Tn Va Airport</t>
  </si>
  <si>
    <t>BRISTOL</t>
  </si>
  <si>
    <t>TRK</t>
  </si>
  <si>
    <t>Juwata Airport</t>
  </si>
  <si>
    <t>Taraken</t>
  </si>
  <si>
    <t>TRM</t>
  </si>
  <si>
    <t>Jacqueline Cochran Regional Airport</t>
  </si>
  <si>
    <t>TRN</t>
  </si>
  <si>
    <t>Turin Airport</t>
  </si>
  <si>
    <t>Torino</t>
  </si>
  <si>
    <t>TRO</t>
  </si>
  <si>
    <t>Taree Airport</t>
  </si>
  <si>
    <t>Taree</t>
  </si>
  <si>
    <t>TRR</t>
  </si>
  <si>
    <t>China Bay Airport</t>
  </si>
  <si>
    <t>Trinciomalee</t>
  </si>
  <si>
    <t>TRS</t>
  </si>
  <si>
    <t>Trieste–Friuli Venezia Giulia Airport</t>
  </si>
  <si>
    <t>Ronchi De Legionari</t>
  </si>
  <si>
    <t>TRU</t>
  </si>
  <si>
    <t>Capitan FAP Carlos Martinez De Pinillos International Airport</t>
  </si>
  <si>
    <t>TRV</t>
  </si>
  <si>
    <t>Trivandrum International Airport</t>
  </si>
  <si>
    <t>Trivandrum</t>
  </si>
  <si>
    <t>TRW</t>
  </si>
  <si>
    <t>Bonriki International Airport</t>
  </si>
  <si>
    <t>Tarawa</t>
  </si>
  <si>
    <t>TRZ</t>
  </si>
  <si>
    <t>Tiruchirapally Civil Airport Airport</t>
  </si>
  <si>
    <t>Tiruchirappalli</t>
  </si>
  <si>
    <t>TSA</t>
  </si>
  <si>
    <t>Taipei Songshan Airport</t>
  </si>
  <si>
    <t>TSB</t>
  </si>
  <si>
    <t>Tsumeb Airport</t>
  </si>
  <si>
    <t>Tsumeb</t>
  </si>
  <si>
    <t>TSE</t>
  </si>
  <si>
    <t>Astana International Airport</t>
  </si>
  <si>
    <t>Tselinograd</t>
  </si>
  <si>
    <t>TSF</t>
  </si>
  <si>
    <t>Treviso-Sant'Angelo Airport</t>
  </si>
  <si>
    <t>TSH</t>
  </si>
  <si>
    <t>Tshikapa Airport</t>
  </si>
  <si>
    <t>Tshikapa</t>
  </si>
  <si>
    <t>TSJ</t>
  </si>
  <si>
    <t>Tsushima Airport</t>
  </si>
  <si>
    <t>Tsushima</t>
  </si>
  <si>
    <t>TSL</t>
  </si>
  <si>
    <t>Tamuin Airport</t>
  </si>
  <si>
    <t>Tamuin</t>
  </si>
  <si>
    <t>TSN</t>
  </si>
  <si>
    <t>Tianjin Binhai International Airport</t>
  </si>
  <si>
    <t>Tianjin</t>
  </si>
  <si>
    <t>TSO</t>
  </si>
  <si>
    <t>Tresco Heliport</t>
  </si>
  <si>
    <t>Tresco</t>
  </si>
  <si>
    <t>TSR</t>
  </si>
  <si>
    <t>Timişoara Traian Vuia Airport</t>
  </si>
  <si>
    <t>Timisoara</t>
  </si>
  <si>
    <t>TST</t>
  </si>
  <si>
    <t>Trang Airport</t>
  </si>
  <si>
    <t>Trang</t>
  </si>
  <si>
    <t>TSU</t>
  </si>
  <si>
    <t>Tabiteuea South Airport</t>
  </si>
  <si>
    <t>Tabiteuea</t>
  </si>
  <si>
    <t>TSV</t>
  </si>
  <si>
    <t>Townsville Airport</t>
  </si>
  <si>
    <t>Townsville</t>
  </si>
  <si>
    <t>TTA</t>
  </si>
  <si>
    <t>Tan Tan Airport</t>
  </si>
  <si>
    <t>Tan Tan</t>
  </si>
  <si>
    <t>TTB</t>
  </si>
  <si>
    <t>Tortolì Airport</t>
  </si>
  <si>
    <t>Tortoli</t>
  </si>
  <si>
    <t>TTC</t>
  </si>
  <si>
    <t>Las Breas Airport</t>
  </si>
  <si>
    <t>Taltal</t>
  </si>
  <si>
    <t>TTD</t>
  </si>
  <si>
    <t>Portland Troutdale Airport</t>
  </si>
  <si>
    <t>Troutdale</t>
  </si>
  <si>
    <t>TTE</t>
  </si>
  <si>
    <t>Sultan Khairun Babullah Airport</t>
  </si>
  <si>
    <t>Ternate</t>
  </si>
  <si>
    <t>TTG</t>
  </si>
  <si>
    <t>General Enrique Mosconi Airport</t>
  </si>
  <si>
    <t>Tartagal</t>
  </si>
  <si>
    <t>TTH</t>
  </si>
  <si>
    <t>Thumrait Air Base</t>
  </si>
  <si>
    <t>Thumrait</t>
  </si>
  <si>
    <t>TTI</t>
  </si>
  <si>
    <t>Tetiaroa Airport</t>
  </si>
  <si>
    <t>Tetiaroa</t>
  </si>
  <si>
    <t>TTJ</t>
  </si>
  <si>
    <t>Tottori Airport</t>
  </si>
  <si>
    <t>Tottori</t>
  </si>
  <si>
    <t>TTL</t>
  </si>
  <si>
    <t>Turtle Island Seaplane Base</t>
  </si>
  <si>
    <t>Turtle Island</t>
  </si>
  <si>
    <t>TTN</t>
  </si>
  <si>
    <t>Trenton Mercer Airport</t>
  </si>
  <si>
    <t>Trenton</t>
  </si>
  <si>
    <t>TTQ</t>
  </si>
  <si>
    <t>Aerotortuguero Airport</t>
  </si>
  <si>
    <t>Roxana</t>
  </si>
  <si>
    <t>TTR</t>
  </si>
  <si>
    <t>Pongtiku Airport</t>
  </si>
  <si>
    <t>TTS</t>
  </si>
  <si>
    <t>Nasa Shuttle Landing Facility Airport</t>
  </si>
  <si>
    <t>Tsaratanana</t>
  </si>
  <si>
    <t>TTT</t>
  </si>
  <si>
    <t>Taitung Airport</t>
  </si>
  <si>
    <t>Fengnin</t>
  </si>
  <si>
    <t>TTU</t>
  </si>
  <si>
    <t>Saniat R'mel Airport</t>
  </si>
  <si>
    <t>Tetouan</t>
  </si>
  <si>
    <t>TUA</t>
  </si>
  <si>
    <t>Teniente Coronel Luis a Mantilla Airport</t>
  </si>
  <si>
    <t>Tulcan</t>
  </si>
  <si>
    <t>TUB</t>
  </si>
  <si>
    <t>Tubuai Airport</t>
  </si>
  <si>
    <t>Tubuai</t>
  </si>
  <si>
    <t>TUC</t>
  </si>
  <si>
    <t>Teniente Benjamin Matienzo Airport</t>
  </si>
  <si>
    <t>Tucuman</t>
  </si>
  <si>
    <t>TUD</t>
  </si>
  <si>
    <t>Tambacounda Airport</t>
  </si>
  <si>
    <t>Tambacounda</t>
  </si>
  <si>
    <t>TUF</t>
  </si>
  <si>
    <t>Tours-Val-de-Loire Airport</t>
  </si>
  <si>
    <t>Tours</t>
  </si>
  <si>
    <t>TUG</t>
  </si>
  <si>
    <t>Tuguegarao Airport</t>
  </si>
  <si>
    <t>Tuguegarao</t>
  </si>
  <si>
    <t>TUI</t>
  </si>
  <si>
    <t>Turaif Domestic Airport</t>
  </si>
  <si>
    <t>Turaif</t>
  </si>
  <si>
    <t>TUK</t>
  </si>
  <si>
    <t>Turbat International Airport</t>
  </si>
  <si>
    <t>Turbat</t>
  </si>
  <si>
    <t>TUL</t>
  </si>
  <si>
    <t>Tulsa International Airport</t>
  </si>
  <si>
    <t>TUM</t>
  </si>
  <si>
    <t>Tumut Airport</t>
  </si>
  <si>
    <t>TUN</t>
  </si>
  <si>
    <t>Tunis Carthage International Airport</t>
  </si>
  <si>
    <t>Tunis</t>
  </si>
  <si>
    <t>TUO</t>
  </si>
  <si>
    <t>Taupo Airport</t>
  </si>
  <si>
    <t>Taupo</t>
  </si>
  <si>
    <t>TUP</t>
  </si>
  <si>
    <t>Tupelo Regional Airport</t>
  </si>
  <si>
    <t>Tupelo</t>
  </si>
  <si>
    <t>TUR</t>
  </si>
  <si>
    <t>Tucuruí Airport</t>
  </si>
  <si>
    <t>Tucurui</t>
  </si>
  <si>
    <t>TUS</t>
  </si>
  <si>
    <t>Tucson International Airport</t>
  </si>
  <si>
    <t>TUU</t>
  </si>
  <si>
    <t>Tabuk Airport</t>
  </si>
  <si>
    <t>Tabuk</t>
  </si>
  <si>
    <t>TUV</t>
  </si>
  <si>
    <t>Tucupita Airport</t>
  </si>
  <si>
    <t>Tucupita</t>
  </si>
  <si>
    <t>TVA</t>
  </si>
  <si>
    <t>Morafenobe Airport</t>
  </si>
  <si>
    <t>Morafenobe</t>
  </si>
  <si>
    <t>TVC</t>
  </si>
  <si>
    <t>Cherry Capital Airport</t>
  </si>
  <si>
    <t>Traverse City</t>
  </si>
  <si>
    <t>TVF</t>
  </si>
  <si>
    <t>Thief River Falls Regional Airport</t>
  </si>
  <si>
    <t>Thief River Falls</t>
  </si>
  <si>
    <t>TVI</t>
  </si>
  <si>
    <t>Thomasville Regional Airport</t>
  </si>
  <si>
    <t>Thomasville</t>
  </si>
  <si>
    <t>TVL</t>
  </si>
  <si>
    <t>Lake Tahoe Airport</t>
  </si>
  <si>
    <t>South Lake Tahoe</t>
  </si>
  <si>
    <t>TVU</t>
  </si>
  <si>
    <t>Matei Airport</t>
  </si>
  <si>
    <t>Matei</t>
  </si>
  <si>
    <t>TVY</t>
  </si>
  <si>
    <t>Dawei Airport</t>
  </si>
  <si>
    <t>Dawei</t>
  </si>
  <si>
    <t>TWB</t>
  </si>
  <si>
    <t>Toowoomba Airport</t>
  </si>
  <si>
    <t>Toowoomba</t>
  </si>
  <si>
    <t>TWF</t>
  </si>
  <si>
    <t>Joslin Field Magic Valley Regional Airport</t>
  </si>
  <si>
    <t>Twin Falls</t>
  </si>
  <si>
    <t>TWU</t>
  </si>
  <si>
    <t>Tawau Airport</t>
  </si>
  <si>
    <t>Tawau</t>
  </si>
  <si>
    <t>TXA</t>
  </si>
  <si>
    <t>Tlaxcala Airport</t>
  </si>
  <si>
    <t>Tlaxcala</t>
  </si>
  <si>
    <t>TXG</t>
  </si>
  <si>
    <t>Taichung Airport</t>
  </si>
  <si>
    <t>TXK</t>
  </si>
  <si>
    <t>Texarkana Regional Webb Field</t>
  </si>
  <si>
    <t>Texarkana</t>
  </si>
  <si>
    <t>TXL</t>
  </si>
  <si>
    <t>Berlin-Tegel International Airport</t>
  </si>
  <si>
    <t>TXN</t>
  </si>
  <si>
    <t>Tunxi International Airport</t>
  </si>
  <si>
    <t>Huangshan</t>
  </si>
  <si>
    <t>TYB</t>
  </si>
  <si>
    <t>Tibooburra Airport</t>
  </si>
  <si>
    <t>TYF</t>
  </si>
  <si>
    <t>Torsby Airport</t>
  </si>
  <si>
    <t>Torsby</t>
  </si>
  <si>
    <t>TYL</t>
  </si>
  <si>
    <t>Capitan Montes Airport</t>
  </si>
  <si>
    <t>Talara</t>
  </si>
  <si>
    <t>TYN</t>
  </si>
  <si>
    <t>Taiyuan Wusu Airport</t>
  </si>
  <si>
    <t>Taiyuan</t>
  </si>
  <si>
    <t>TYR</t>
  </si>
  <si>
    <t>Tyler Pounds Regional Airport</t>
  </si>
  <si>
    <t>Tyler</t>
  </si>
  <si>
    <t>TYS</t>
  </si>
  <si>
    <t>McGhee Tyson Airport</t>
  </si>
  <si>
    <t>TZR</t>
  </si>
  <si>
    <t>Taszár Air Base</t>
  </si>
  <si>
    <t>TZX</t>
  </si>
  <si>
    <t>Trabzon International Airport</t>
  </si>
  <si>
    <t>Trabzon</t>
  </si>
  <si>
    <t>UAB</t>
  </si>
  <si>
    <t>İncirlik Air Base</t>
  </si>
  <si>
    <t>UAH</t>
  </si>
  <si>
    <t>Ua Huka Airport</t>
  </si>
  <si>
    <t>Ua Huka</t>
  </si>
  <si>
    <t>UAK</t>
  </si>
  <si>
    <t>Narsarsuaq Airport</t>
  </si>
  <si>
    <t>Narssarssuaq</t>
  </si>
  <si>
    <t>UAM</t>
  </si>
  <si>
    <t>Andersen Air Force Base</t>
  </si>
  <si>
    <t>UAO</t>
  </si>
  <si>
    <t>Aurora State Airport</t>
  </si>
  <si>
    <t>Aurora</t>
  </si>
  <si>
    <t>UAP</t>
  </si>
  <si>
    <t>Ua Pou Airport</t>
  </si>
  <si>
    <t>Ua Pou</t>
  </si>
  <si>
    <t>UAQ</t>
  </si>
  <si>
    <t>Domingo Faustino Sarmiento Airport</t>
  </si>
  <si>
    <t>San Julian</t>
  </si>
  <si>
    <t>UAS</t>
  </si>
  <si>
    <t>Samburu South Airport</t>
  </si>
  <si>
    <t>Samburu South</t>
  </si>
  <si>
    <t>UBA</t>
  </si>
  <si>
    <t>Mário de Almeida Franco Airport</t>
  </si>
  <si>
    <t>Uberaba</t>
  </si>
  <si>
    <t>UBB</t>
  </si>
  <si>
    <t>Mabuiag Island Airport</t>
  </si>
  <si>
    <t>Mabuiag Island</t>
  </si>
  <si>
    <t>UBJ</t>
  </si>
  <si>
    <t>Yamaguchi Ube Airport</t>
  </si>
  <si>
    <t>Yamaguchi</t>
  </si>
  <si>
    <t>UBP</t>
  </si>
  <si>
    <t>Ubon Ratchathani Airport</t>
  </si>
  <si>
    <t>Ubon Ratchathani</t>
  </si>
  <si>
    <t>UBT</t>
  </si>
  <si>
    <t>Ubatuba Airport</t>
  </si>
  <si>
    <t>Ubatuba</t>
  </si>
  <si>
    <t>UCT</t>
  </si>
  <si>
    <t>Ukhta Airport</t>
  </si>
  <si>
    <t>Ukhta</t>
  </si>
  <si>
    <t>UDD</t>
  </si>
  <si>
    <t>Bermuda Dunes Airport</t>
  </si>
  <si>
    <t>UDG</t>
  </si>
  <si>
    <t>Darlington County Jetport Airport</t>
  </si>
  <si>
    <t>Darlington</t>
  </si>
  <si>
    <t>UDI</t>
  </si>
  <si>
    <t>Ten. Cel. Aviador César Bombonato Airport</t>
  </si>
  <si>
    <t>Uberlandia</t>
  </si>
  <si>
    <t>UDJ</t>
  </si>
  <si>
    <t>Uzhhorod International Airport</t>
  </si>
  <si>
    <t>Uzhgorod</t>
  </si>
  <si>
    <t>UDR</t>
  </si>
  <si>
    <t>Maharana Pratap Airport</t>
  </si>
  <si>
    <t>Udaipur</t>
  </si>
  <si>
    <t>UEL</t>
  </si>
  <si>
    <t>Quelimane Airport</t>
  </si>
  <si>
    <t>Quelimane</t>
  </si>
  <si>
    <t>UEO</t>
  </si>
  <si>
    <t>Kumejima Airport</t>
  </si>
  <si>
    <t>Kumejima</t>
  </si>
  <si>
    <t>UET</t>
  </si>
  <si>
    <t>Quetta International Airport</t>
  </si>
  <si>
    <t>Quetta</t>
  </si>
  <si>
    <t>UFA</t>
  </si>
  <si>
    <t>Ufa International Airport</t>
  </si>
  <si>
    <t>UGA</t>
  </si>
  <si>
    <t>Bulgan Airport</t>
  </si>
  <si>
    <t>Bulgan</t>
  </si>
  <si>
    <t>UGC</t>
  </si>
  <si>
    <t>Urgench Airport</t>
  </si>
  <si>
    <t>Urgench</t>
  </si>
  <si>
    <t>UGN</t>
  </si>
  <si>
    <t>Waukegan National Airport</t>
  </si>
  <si>
    <t>UGO</t>
  </si>
  <si>
    <t>Uige Airport</t>
  </si>
  <si>
    <t>Uige</t>
  </si>
  <si>
    <t>UIB</t>
  </si>
  <si>
    <t>El Caraño Airport</t>
  </si>
  <si>
    <t>Quibdo</t>
  </si>
  <si>
    <t>UIH</t>
  </si>
  <si>
    <t>Phu Cat Airport</t>
  </si>
  <si>
    <t>Phucat</t>
  </si>
  <si>
    <t>UII</t>
  </si>
  <si>
    <t>Utila Airport</t>
  </si>
  <si>
    <t>Utila</t>
  </si>
  <si>
    <t>UIK</t>
  </si>
  <si>
    <t>Ust-Ilimsk Airport</t>
  </si>
  <si>
    <t>Ust Ilimsk</t>
  </si>
  <si>
    <t>UIN</t>
  </si>
  <si>
    <t>Quincy Regional Baldwin Field</t>
  </si>
  <si>
    <t>Quincy</t>
  </si>
  <si>
    <t>UIO</t>
  </si>
  <si>
    <t>Mariscal Sucre International Airport</t>
  </si>
  <si>
    <t>Quito</t>
  </si>
  <si>
    <t>UIP</t>
  </si>
  <si>
    <t>Quimper-Cornouaille Airport</t>
  </si>
  <si>
    <t>Quimper</t>
  </si>
  <si>
    <t>UJE</t>
  </si>
  <si>
    <t>Ujae Atoll Airport</t>
  </si>
  <si>
    <t>Ujae Atoll</t>
  </si>
  <si>
    <t>UKA</t>
  </si>
  <si>
    <t>Ukunda Airstrip</t>
  </si>
  <si>
    <t>Ukunda</t>
  </si>
  <si>
    <t>UKB</t>
  </si>
  <si>
    <t>Kobe Airport</t>
  </si>
  <si>
    <t>Kobe</t>
  </si>
  <si>
    <t>UKC</t>
  </si>
  <si>
    <t>Lutsk Airport</t>
  </si>
  <si>
    <t>Lutsk</t>
  </si>
  <si>
    <t>UKF</t>
  </si>
  <si>
    <t>Wilkes County Airport</t>
  </si>
  <si>
    <t>North Wilkesboro</t>
  </si>
  <si>
    <t>UKI</t>
  </si>
  <si>
    <t>Ukiah Municipal Airport</t>
  </si>
  <si>
    <t>Ukiah</t>
  </si>
  <si>
    <t>UKK</t>
  </si>
  <si>
    <t>Ust-Kamennogorsk Airport</t>
  </si>
  <si>
    <t>Ust Kamenogorsk</t>
  </si>
  <si>
    <t>UKS</t>
  </si>
  <si>
    <t>Belbek Airport</t>
  </si>
  <si>
    <t>Sevastopol</t>
  </si>
  <si>
    <t>UKT</t>
  </si>
  <si>
    <t>Quakertown Airport</t>
  </si>
  <si>
    <t>Quakertown</t>
  </si>
  <si>
    <t>UKX</t>
  </si>
  <si>
    <t>Ust-Kut Airport</t>
  </si>
  <si>
    <t>Ust-Kut</t>
  </si>
  <si>
    <t>ULA</t>
  </si>
  <si>
    <t>Capitan D Daniel Vazquez Airport</t>
  </si>
  <si>
    <t>ULB</t>
  </si>
  <si>
    <t>Uléi Airport</t>
  </si>
  <si>
    <t>Ambryn Island</t>
  </si>
  <si>
    <t>ULD</t>
  </si>
  <si>
    <t>Prince Mangosuthu Buthelezi Airport</t>
  </si>
  <si>
    <t>Ulundi</t>
  </si>
  <si>
    <t>ULG</t>
  </si>
  <si>
    <t>Ulgii Mongolei Airport</t>
  </si>
  <si>
    <t>Olgii</t>
  </si>
  <si>
    <t>ULK</t>
  </si>
  <si>
    <t>Lensk Airport</t>
  </si>
  <si>
    <t>Lensk</t>
  </si>
  <si>
    <t>ULN</t>
  </si>
  <si>
    <t>Chinggis Khaan International Airport</t>
  </si>
  <si>
    <t>Ulan Bator</t>
  </si>
  <si>
    <t>ULO</t>
  </si>
  <si>
    <t>Ulaangom Airport</t>
  </si>
  <si>
    <t>Ulaangom</t>
  </si>
  <si>
    <t>ULP</t>
  </si>
  <si>
    <t>Quilpie Airport</t>
  </si>
  <si>
    <t>Quilpie</t>
  </si>
  <si>
    <t>ULQ</t>
  </si>
  <si>
    <t>Heriberto Gíl Martínez Airport</t>
  </si>
  <si>
    <t>Tulua</t>
  </si>
  <si>
    <t>ULS</t>
  </si>
  <si>
    <t>Ulysses Airport</t>
  </si>
  <si>
    <t>Ulysses</t>
  </si>
  <si>
    <t>ULU</t>
  </si>
  <si>
    <t>Gulu Airport</t>
  </si>
  <si>
    <t>Gulu</t>
  </si>
  <si>
    <t>ULV</t>
  </si>
  <si>
    <t>Ulyanovsk Baratayevka Airport</t>
  </si>
  <si>
    <t>Ulyanovsk</t>
  </si>
  <si>
    <t>ULY</t>
  </si>
  <si>
    <t>Ulyanovsk East Airport</t>
  </si>
  <si>
    <t>UMD</t>
  </si>
  <si>
    <t>Uummannaq Heliport</t>
  </si>
  <si>
    <t>UME</t>
  </si>
  <si>
    <t>Umeå Airport</t>
  </si>
  <si>
    <t>Umea</t>
  </si>
  <si>
    <t>UMP</t>
  </si>
  <si>
    <t>Indianapolis Metropolitan Airport</t>
  </si>
  <si>
    <t>UMR</t>
  </si>
  <si>
    <t>Woomera Airfield</t>
  </si>
  <si>
    <t>Woomera</t>
  </si>
  <si>
    <t>UMS</t>
  </si>
  <si>
    <t>Ust-Maya Airport</t>
  </si>
  <si>
    <t>Ust-Maya</t>
  </si>
  <si>
    <t>UMU</t>
  </si>
  <si>
    <t>Umuarama Airport</t>
  </si>
  <si>
    <t>Umuarama</t>
  </si>
  <si>
    <t>UNA</t>
  </si>
  <si>
    <t>Hotel Transamérica Airport</t>
  </si>
  <si>
    <t>Una</t>
  </si>
  <si>
    <t>UND</t>
  </si>
  <si>
    <t>Konduz Airport</t>
  </si>
  <si>
    <t>Kunduz</t>
  </si>
  <si>
    <t>UNG</t>
  </si>
  <si>
    <t>Kiunga Airport</t>
  </si>
  <si>
    <t>Kiunga</t>
  </si>
  <si>
    <t>UNI</t>
  </si>
  <si>
    <t>Union Island International Airport</t>
  </si>
  <si>
    <t>Union Island</t>
  </si>
  <si>
    <t>UNK</t>
  </si>
  <si>
    <t>Unalakleet Airport</t>
  </si>
  <si>
    <t>Unalakleet</t>
  </si>
  <si>
    <t>UNN</t>
  </si>
  <si>
    <t>Ranong Airport</t>
  </si>
  <si>
    <t>Ranong</t>
  </si>
  <si>
    <t>UNT</t>
  </si>
  <si>
    <t>Unst Airport</t>
  </si>
  <si>
    <t>Unst</t>
  </si>
  <si>
    <t>UOX</t>
  </si>
  <si>
    <t>University Oxford Airport</t>
  </si>
  <si>
    <t>UPB</t>
  </si>
  <si>
    <t>Playa Baracoa Airport</t>
  </si>
  <si>
    <t>UPG</t>
  </si>
  <si>
    <t>Hasanuddin International Airport</t>
  </si>
  <si>
    <t>Ujung Pandang</t>
  </si>
  <si>
    <t>UPL</t>
  </si>
  <si>
    <t>Upala Airport</t>
  </si>
  <si>
    <t>Upala</t>
  </si>
  <si>
    <t>UPN</t>
  </si>
  <si>
    <t>Licenciado y General Ignacio Lopez Rayon Airport</t>
  </si>
  <si>
    <t>Uruapan</t>
  </si>
  <si>
    <t>UPP</t>
  </si>
  <si>
    <t>Upolu Airport</t>
  </si>
  <si>
    <t>Opolu</t>
  </si>
  <si>
    <t>URA</t>
  </si>
  <si>
    <t>Uralsk Airport</t>
  </si>
  <si>
    <t>Uralsk</t>
  </si>
  <si>
    <t>URC</t>
  </si>
  <si>
    <t>Ürümqi Diwopu International Airport</t>
  </si>
  <si>
    <t>Urumqi</t>
  </si>
  <si>
    <t>URE</t>
  </si>
  <si>
    <t>Kuressaare Airport</t>
  </si>
  <si>
    <t>Kuressaare</t>
  </si>
  <si>
    <t>URG</t>
  </si>
  <si>
    <t>Rubem Berta Airport</t>
  </si>
  <si>
    <t>Uruguaiana</t>
  </si>
  <si>
    <t>URJ</t>
  </si>
  <si>
    <t>Uray Airport</t>
  </si>
  <si>
    <t>Uraj</t>
  </si>
  <si>
    <t>URO</t>
  </si>
  <si>
    <t>Rouen Airport</t>
  </si>
  <si>
    <t>Rouen</t>
  </si>
  <si>
    <t>URS</t>
  </si>
  <si>
    <t>Kursk East Airport</t>
  </si>
  <si>
    <t>Kursk</t>
  </si>
  <si>
    <t>URT</t>
  </si>
  <si>
    <t>Surat Thani Airport</t>
  </si>
  <si>
    <t>Surat Thani</t>
  </si>
  <si>
    <t>URY</t>
  </si>
  <si>
    <t>Gurayat Domestic Airport</t>
  </si>
  <si>
    <t>Guriat</t>
  </si>
  <si>
    <t>USH</t>
  </si>
  <si>
    <t>Malvinas Argentinas Airport</t>
  </si>
  <si>
    <t>Ushuaia</t>
  </si>
  <si>
    <t>USI</t>
  </si>
  <si>
    <t>Mabaruma Airport</t>
  </si>
  <si>
    <t>Mabaruma</t>
  </si>
  <si>
    <t>USK</t>
  </si>
  <si>
    <t>Usinsk Airport</t>
  </si>
  <si>
    <t>Usinsk</t>
  </si>
  <si>
    <t>USM</t>
  </si>
  <si>
    <t>Samui Airport</t>
  </si>
  <si>
    <t>Ko Samui</t>
  </si>
  <si>
    <t>USN</t>
  </si>
  <si>
    <t>Ulsan Airport</t>
  </si>
  <si>
    <t>Ulsan</t>
  </si>
  <si>
    <t>USQ</t>
  </si>
  <si>
    <t>Uşak Airport</t>
  </si>
  <si>
    <t>Usak</t>
  </si>
  <si>
    <t>UST</t>
  </si>
  <si>
    <t>Northeast Florida Regional Airport</t>
  </si>
  <si>
    <t>St. Augustine Airport</t>
  </si>
  <si>
    <t>USU</t>
  </si>
  <si>
    <t>Francisco B. Reyes Airport</t>
  </si>
  <si>
    <t>Busuanga</t>
  </si>
  <si>
    <t>UTC</t>
  </si>
  <si>
    <t>Soesterberg Air Base</t>
  </si>
  <si>
    <t>Soesterberg</t>
  </si>
  <si>
    <t>UTH</t>
  </si>
  <si>
    <t>Udon Thani Airport</t>
  </si>
  <si>
    <t>Udon Thani</t>
  </si>
  <si>
    <t>UTK</t>
  </si>
  <si>
    <t>Utirik Airport</t>
  </si>
  <si>
    <t>Utirik Island</t>
  </si>
  <si>
    <t>UTM</t>
  </si>
  <si>
    <t>Tunica Municipal Airport</t>
  </si>
  <si>
    <t>Tunica</t>
  </si>
  <si>
    <t>UTN</t>
  </si>
  <si>
    <t>Pierre Van Ryneveld Airport</t>
  </si>
  <si>
    <t>Upington</t>
  </si>
  <si>
    <t>UTO</t>
  </si>
  <si>
    <t>Indian Mountain LRRS Airport</t>
  </si>
  <si>
    <t>Indian Mountains</t>
  </si>
  <si>
    <t>UTP</t>
  </si>
  <si>
    <t>U-Tapao International Airport</t>
  </si>
  <si>
    <t>Pattaya</t>
  </si>
  <si>
    <t>UTT</t>
  </si>
  <si>
    <t>K. D. Matanzima Airport</t>
  </si>
  <si>
    <t>Umtata</t>
  </si>
  <si>
    <t>UTW</t>
  </si>
  <si>
    <t>Queenstown Airport</t>
  </si>
  <si>
    <t>Queenstown</t>
  </si>
  <si>
    <t>UUA</t>
  </si>
  <si>
    <t>Bugulma Airport</t>
  </si>
  <si>
    <t>Bugulma</t>
  </si>
  <si>
    <t>UUD</t>
  </si>
  <si>
    <t>Ulan-Ude Airport (Mukhino)</t>
  </si>
  <si>
    <t>Ulan-ude</t>
  </si>
  <si>
    <t>UUK</t>
  </si>
  <si>
    <t>Ugnu-Kuparuk Airport</t>
  </si>
  <si>
    <t>Kuparuk</t>
  </si>
  <si>
    <t>UUN</t>
  </si>
  <si>
    <t>Baruun Urt Airport</t>
  </si>
  <si>
    <t>UUS</t>
  </si>
  <si>
    <t>Yuzhno-Sakhalinsk Airport</t>
  </si>
  <si>
    <t>Yuzhno-sakhalinsk</t>
  </si>
  <si>
    <t>UVA</t>
  </si>
  <si>
    <t>Garner Field</t>
  </si>
  <si>
    <t>UVE</t>
  </si>
  <si>
    <t>Ouvéa Airport</t>
  </si>
  <si>
    <t>Ouvea</t>
  </si>
  <si>
    <t>UVF</t>
  </si>
  <si>
    <t>Hewanorra International Airport</t>
  </si>
  <si>
    <t>Hewandorra</t>
  </si>
  <si>
    <t>UWL</t>
  </si>
  <si>
    <t>New Castle Henry Co. Municipal Airport</t>
  </si>
  <si>
    <t>New Castle</t>
  </si>
  <si>
    <t>UYF</t>
  </si>
  <si>
    <t>Madison County Airport</t>
  </si>
  <si>
    <t>UYL</t>
  </si>
  <si>
    <t>Nyala Airport</t>
  </si>
  <si>
    <t>Nyala</t>
  </si>
  <si>
    <t>UYN</t>
  </si>
  <si>
    <t>Yulin Yuyang Airport</t>
  </si>
  <si>
    <t>Yulin</t>
  </si>
  <si>
    <t>UYU</t>
  </si>
  <si>
    <t>Uyuni Airport</t>
  </si>
  <si>
    <t>Uyuni</t>
  </si>
  <si>
    <t>VAA</t>
  </si>
  <si>
    <t>Vaasa Airport</t>
  </si>
  <si>
    <t>Vaasa</t>
  </si>
  <si>
    <t>VAD</t>
  </si>
  <si>
    <t>Moody Air Force Base</t>
  </si>
  <si>
    <t>Valdosta</t>
  </si>
  <si>
    <t>VAF</t>
  </si>
  <si>
    <t>Valence-Chabeuil Airport</t>
  </si>
  <si>
    <t>Valence</t>
  </si>
  <si>
    <t>VAG</t>
  </si>
  <si>
    <t>Major Brigadeiro Trompowsky Airport</t>
  </si>
  <si>
    <t>Varginha</t>
  </si>
  <si>
    <t>VAI</t>
  </si>
  <si>
    <t>Vanimo Airport</t>
  </si>
  <si>
    <t>Vanimo</t>
  </si>
  <si>
    <t>VAK</t>
  </si>
  <si>
    <t>Chevak Airport</t>
  </si>
  <si>
    <t>Chevak</t>
  </si>
  <si>
    <t>VAL</t>
  </si>
  <si>
    <t>Valença Airport</t>
  </si>
  <si>
    <t>Valenca</t>
  </si>
  <si>
    <t>VAM</t>
  </si>
  <si>
    <t>Villa Airport</t>
  </si>
  <si>
    <t>Maamigili</t>
  </si>
  <si>
    <t>VAN</t>
  </si>
  <si>
    <t>Van Ferit Melen Airport</t>
  </si>
  <si>
    <t>Van</t>
  </si>
  <si>
    <t>VAO</t>
  </si>
  <si>
    <t>Suavanao Airport</t>
  </si>
  <si>
    <t>Suavanao</t>
  </si>
  <si>
    <t>VAR</t>
  </si>
  <si>
    <t>Varna Airport</t>
  </si>
  <si>
    <t>Varna</t>
  </si>
  <si>
    <t>VAS</t>
  </si>
  <si>
    <t>Sivas Nuri Demirağ Airport</t>
  </si>
  <si>
    <t>Sivas</t>
  </si>
  <si>
    <t>VAV</t>
  </si>
  <si>
    <t>Vava'u International Airport</t>
  </si>
  <si>
    <t>Vava'u</t>
  </si>
  <si>
    <t>VAW</t>
  </si>
  <si>
    <t>Vardø Airport, Svartnes</t>
  </si>
  <si>
    <t>Vardø</t>
  </si>
  <si>
    <t>VAY</t>
  </si>
  <si>
    <t>South Jersey Regional Airport</t>
  </si>
  <si>
    <t>Mount Holly</t>
  </si>
  <si>
    <t>VBG</t>
  </si>
  <si>
    <t>Vandenberg Air Force Base</t>
  </si>
  <si>
    <t>VBS</t>
  </si>
  <si>
    <t>Brescia Airport</t>
  </si>
  <si>
    <t>Brescia</t>
  </si>
  <si>
    <t>VBV</t>
  </si>
  <si>
    <t>Vanua Balavu Airport</t>
  </si>
  <si>
    <t>Vanua Balavu</t>
  </si>
  <si>
    <t>VBY</t>
  </si>
  <si>
    <t>Visby Airport</t>
  </si>
  <si>
    <t>Visby</t>
  </si>
  <si>
    <t>VCA</t>
  </si>
  <si>
    <t>Can Tho International Airport</t>
  </si>
  <si>
    <t>Can Tho</t>
  </si>
  <si>
    <t>VCD</t>
  </si>
  <si>
    <t>Victoria River Downs Airport</t>
  </si>
  <si>
    <t>Victoria River Downs</t>
  </si>
  <si>
    <t>VCE</t>
  </si>
  <si>
    <t>Venice Marco Polo Airport</t>
  </si>
  <si>
    <t>VCL</t>
  </si>
  <si>
    <t>Chu Lai International Airport</t>
  </si>
  <si>
    <t>Chu Lai</t>
  </si>
  <si>
    <t>VCP</t>
  </si>
  <si>
    <t>Viracopos International Airport</t>
  </si>
  <si>
    <t>VCS</t>
  </si>
  <si>
    <t>Co Ong Airport</t>
  </si>
  <si>
    <t>Conson</t>
  </si>
  <si>
    <t>VCT</t>
  </si>
  <si>
    <t>Victoria Regional Airport</t>
  </si>
  <si>
    <t>Victoria</t>
  </si>
  <si>
    <t>VCV</t>
  </si>
  <si>
    <t>Southern California Logistics Airport</t>
  </si>
  <si>
    <t>Victorville</t>
  </si>
  <si>
    <t>VDA</t>
  </si>
  <si>
    <t>Ovda International Airport</t>
  </si>
  <si>
    <t>Ovda</t>
  </si>
  <si>
    <t>VDB</t>
  </si>
  <si>
    <t>Leirin Airport</t>
  </si>
  <si>
    <t>Fagernes</t>
  </si>
  <si>
    <t>VDC</t>
  </si>
  <si>
    <t>Vitória da Conquista Airport</t>
  </si>
  <si>
    <t>Vitória Da Conquista</t>
  </si>
  <si>
    <t>VDE</t>
  </si>
  <si>
    <t>Hierro Airport</t>
  </si>
  <si>
    <t>Hierro</t>
  </si>
  <si>
    <t>VDM</t>
  </si>
  <si>
    <t>Gobernador Castello Airport</t>
  </si>
  <si>
    <t>Viedma</t>
  </si>
  <si>
    <t>VDP</t>
  </si>
  <si>
    <t>Valle de La Pascua Airport</t>
  </si>
  <si>
    <t>Valle De La Pascua</t>
  </si>
  <si>
    <t>VDR</t>
  </si>
  <si>
    <t>Villa Dolores Airport</t>
  </si>
  <si>
    <t>Villa Dolores</t>
  </si>
  <si>
    <t>VDS</t>
  </si>
  <si>
    <t>Vadsø Airport</t>
  </si>
  <si>
    <t>Vadsø</t>
  </si>
  <si>
    <t>VDZ</t>
  </si>
  <si>
    <t>Valdez Pioneer Field</t>
  </si>
  <si>
    <t>Valdez</t>
  </si>
  <si>
    <t>VEE</t>
  </si>
  <si>
    <t>Venetie Airport</t>
  </si>
  <si>
    <t>Venetie</t>
  </si>
  <si>
    <t>VEL</t>
  </si>
  <si>
    <t>Vernal Regional Airport</t>
  </si>
  <si>
    <t>Vernal</t>
  </si>
  <si>
    <t>VER</t>
  </si>
  <si>
    <t>General Heriberto Jara International Airport</t>
  </si>
  <si>
    <t>Vera Cruz</t>
  </si>
  <si>
    <t>VEY</t>
  </si>
  <si>
    <t>Vestmannaeyjar Airport</t>
  </si>
  <si>
    <t>Vestmannaeyjar</t>
  </si>
  <si>
    <t>VFA</t>
  </si>
  <si>
    <t>Victoria Falls International Airport</t>
  </si>
  <si>
    <t>Victoria Falls</t>
  </si>
  <si>
    <t>VGA</t>
  </si>
  <si>
    <t>Vijayawada Airport</t>
  </si>
  <si>
    <t>Vijayawada</t>
  </si>
  <si>
    <t>VGD</t>
  </si>
  <si>
    <t>Vologda Airport</t>
  </si>
  <si>
    <t>Vologda</t>
  </si>
  <si>
    <t>VGO</t>
  </si>
  <si>
    <t>Vigo Airport</t>
  </si>
  <si>
    <t>Vigo</t>
  </si>
  <si>
    <t>VGT</t>
  </si>
  <si>
    <t>North Las Vegas Airport</t>
  </si>
  <si>
    <t>VGZ</t>
  </si>
  <si>
    <t>Villa Garzón Airport</t>
  </si>
  <si>
    <t>Villa Garzon</t>
  </si>
  <si>
    <t>VHC</t>
  </si>
  <si>
    <t>Saurimo Airport</t>
  </si>
  <si>
    <t>Saurimo</t>
  </si>
  <si>
    <t>VHM</t>
  </si>
  <si>
    <t>Vilhelmina Airport</t>
  </si>
  <si>
    <t>Vilhelmina</t>
  </si>
  <si>
    <t>VHY</t>
  </si>
  <si>
    <t>Vichy-Charmeil Airport</t>
  </si>
  <si>
    <t>Vichy</t>
  </si>
  <si>
    <t>VIC</t>
  </si>
  <si>
    <t>Vicenza Airport</t>
  </si>
  <si>
    <t>Vicenza</t>
  </si>
  <si>
    <t>VIE</t>
  </si>
  <si>
    <t>Vienna International Airport</t>
  </si>
  <si>
    <t>Vienna</t>
  </si>
  <si>
    <t>VIG</t>
  </si>
  <si>
    <t>Juan Pablo Pérez Alfonso Airport</t>
  </si>
  <si>
    <t>El Vigía</t>
  </si>
  <si>
    <t>VII</t>
  </si>
  <si>
    <t>Vinh Airport</t>
  </si>
  <si>
    <t>Vinh</t>
  </si>
  <si>
    <t>VIJ</t>
  </si>
  <si>
    <t>Virgin Gorda Airport</t>
  </si>
  <si>
    <t>Spanish Town</t>
  </si>
  <si>
    <t>VIL</t>
  </si>
  <si>
    <t>Dakhla Airport</t>
  </si>
  <si>
    <t>Dakhla</t>
  </si>
  <si>
    <t>VIN</t>
  </si>
  <si>
    <t>Vinnytsia/Gavyryshivka Airport</t>
  </si>
  <si>
    <t>Vinnitsa</t>
  </si>
  <si>
    <t>VIR</t>
  </si>
  <si>
    <t>Virginia Airport</t>
  </si>
  <si>
    <t>VIS</t>
  </si>
  <si>
    <t>Visalia Municipal Airport</t>
  </si>
  <si>
    <t>Visalia</t>
  </si>
  <si>
    <t>VIT</t>
  </si>
  <si>
    <t>Vitoria/Foronda Airport</t>
  </si>
  <si>
    <t>Vitoria</t>
  </si>
  <si>
    <t>VIX</t>
  </si>
  <si>
    <t>Eurico de Aguiar Salles Airport</t>
  </si>
  <si>
    <t>VKG</t>
  </si>
  <si>
    <t>Rach Gia Airport</t>
  </si>
  <si>
    <t>Rach Gia</t>
  </si>
  <si>
    <t>VKO</t>
  </si>
  <si>
    <t>Vnukovo International Airport</t>
  </si>
  <si>
    <t>VKT</t>
  </si>
  <si>
    <t>Vorkuta Airport</t>
  </si>
  <si>
    <t>Vorkuta</t>
  </si>
  <si>
    <t>VLC</t>
  </si>
  <si>
    <t>Valencia Airport</t>
  </si>
  <si>
    <t>Valencia</t>
  </si>
  <si>
    <t>VLD</t>
  </si>
  <si>
    <t>Valdosta Regional Airport</t>
  </si>
  <si>
    <t>VLG</t>
  </si>
  <si>
    <t>Villa Gesell Airport</t>
  </si>
  <si>
    <t>Villa Gesell</t>
  </si>
  <si>
    <t>VLI</t>
  </si>
  <si>
    <t>Bauerfield International Airport</t>
  </si>
  <si>
    <t>Port-vila</t>
  </si>
  <si>
    <t>VLK</t>
  </si>
  <si>
    <t>Volgodonsk Airport</t>
  </si>
  <si>
    <t>VLL</t>
  </si>
  <si>
    <t>Valladolid Airport</t>
  </si>
  <si>
    <t>Valladolid</t>
  </si>
  <si>
    <t>VLN</t>
  </si>
  <si>
    <t>Arturo Michelena International Airport</t>
  </si>
  <si>
    <t>VLP</t>
  </si>
  <si>
    <t>Vila Rica Airport</t>
  </si>
  <si>
    <t>Vila Rica</t>
  </si>
  <si>
    <t>VLS</t>
  </si>
  <si>
    <t>Valesdir Airport</t>
  </si>
  <si>
    <t>Valesdir</t>
  </si>
  <si>
    <t>VLU</t>
  </si>
  <si>
    <t>Velikiye Luki Airport</t>
  </si>
  <si>
    <t>Velikiye Luki</t>
  </si>
  <si>
    <t>VLV</t>
  </si>
  <si>
    <t>Dr. Antonio Nicolás Briceño Airport</t>
  </si>
  <si>
    <t>Valera</t>
  </si>
  <si>
    <t>VLY</t>
  </si>
  <si>
    <t>Anglesey Airport</t>
  </si>
  <si>
    <t>Angelsey</t>
  </si>
  <si>
    <t>VMR</t>
  </si>
  <si>
    <t>Presidente Néstor Kirchner Regionsl Airport</t>
  </si>
  <si>
    <t>Villa Maria</t>
  </si>
  <si>
    <t>VNA</t>
  </si>
  <si>
    <t>Saravane Airport</t>
  </si>
  <si>
    <t>Saravane</t>
  </si>
  <si>
    <t>VNC</t>
  </si>
  <si>
    <t>Venice Municipal Airport</t>
  </si>
  <si>
    <t>VNE</t>
  </si>
  <si>
    <t>Vannes-Meucon Airport</t>
  </si>
  <si>
    <t>Vannes</t>
  </si>
  <si>
    <t>VNO</t>
  </si>
  <si>
    <t>Vilnius International Airport</t>
  </si>
  <si>
    <t>Vilnius</t>
  </si>
  <si>
    <t>VNS</t>
  </si>
  <si>
    <t>Lal Bahadur Shastri Airport</t>
  </si>
  <si>
    <t>Varanasi</t>
  </si>
  <si>
    <t>VNW</t>
  </si>
  <si>
    <t>Van Wert County Airport</t>
  </si>
  <si>
    <t>Van Wert</t>
  </si>
  <si>
    <t>VNX</t>
  </si>
  <si>
    <t>Vilankulo Airport</t>
  </si>
  <si>
    <t>Vilankulu</t>
  </si>
  <si>
    <t>VNY</t>
  </si>
  <si>
    <t>Van Nuys Airport</t>
  </si>
  <si>
    <t>Van Nuys</t>
  </si>
  <si>
    <t>VOG</t>
  </si>
  <si>
    <t>Volgograd International Airport</t>
  </si>
  <si>
    <t>Volgograd</t>
  </si>
  <si>
    <t>VOH</t>
  </si>
  <si>
    <t>Vohimarina Airport</t>
  </si>
  <si>
    <t>Vohemar</t>
  </si>
  <si>
    <t>VOK</t>
  </si>
  <si>
    <t>Volk Field</t>
  </si>
  <si>
    <t>Camp Douglas</t>
  </si>
  <si>
    <t>VOL</t>
  </si>
  <si>
    <t>Nea Anchialos Airport</t>
  </si>
  <si>
    <t>Nea Anghialos</t>
  </si>
  <si>
    <t>VOZ</t>
  </si>
  <si>
    <t>Voronezh International Airport</t>
  </si>
  <si>
    <t>Voronezh</t>
  </si>
  <si>
    <t>VPC</t>
  </si>
  <si>
    <t>Cartersville Airport</t>
  </si>
  <si>
    <t>Cartersville</t>
  </si>
  <si>
    <t>VPE</t>
  </si>
  <si>
    <t>Ngjiva Pereira Airport</t>
  </si>
  <si>
    <t>Ondjiva</t>
  </si>
  <si>
    <t>VPN</t>
  </si>
  <si>
    <t>Vopnafjörður Airport</t>
  </si>
  <si>
    <t>Vopnafjörður</t>
  </si>
  <si>
    <t>VPS</t>
  </si>
  <si>
    <t>Destin-Ft Walton Beach Airport</t>
  </si>
  <si>
    <t>Valparaiso</t>
  </si>
  <si>
    <t>VPY</t>
  </si>
  <si>
    <t>Chimoio Airport</t>
  </si>
  <si>
    <t>Chimoio</t>
  </si>
  <si>
    <t>VPZ</t>
  </si>
  <si>
    <t>Porter County Municipal Airport</t>
  </si>
  <si>
    <t>Valparaiso IN</t>
  </si>
  <si>
    <t>VQS</t>
  </si>
  <si>
    <t>Vieques Airport</t>
  </si>
  <si>
    <t>Vieques Island</t>
  </si>
  <si>
    <t>VRA</t>
  </si>
  <si>
    <t>Juan Gualberto Gomez International Airport</t>
  </si>
  <si>
    <t>Varadero</t>
  </si>
  <si>
    <t>VRB</t>
  </si>
  <si>
    <t>Vero Beach Municipal Airport</t>
  </si>
  <si>
    <t>Vero Beach</t>
  </si>
  <si>
    <t>VRC</t>
  </si>
  <si>
    <t>Virac Airport</t>
  </si>
  <si>
    <t>Virac</t>
  </si>
  <si>
    <t>VRK</t>
  </si>
  <si>
    <t>Varkaus Airport</t>
  </si>
  <si>
    <t>Varkaus</t>
  </si>
  <si>
    <t>VRL</t>
  </si>
  <si>
    <t>Vila Real Airport</t>
  </si>
  <si>
    <t>Vila Real</t>
  </si>
  <si>
    <t>VRN</t>
  </si>
  <si>
    <t>Verona Villafranca Airport</t>
  </si>
  <si>
    <t>Villafranca</t>
  </si>
  <si>
    <t>VRU</t>
  </si>
  <si>
    <t>Vryburg Airport</t>
  </si>
  <si>
    <t>Vryburg</t>
  </si>
  <si>
    <t>VRY</t>
  </si>
  <si>
    <t>Værøy Heliport</t>
  </si>
  <si>
    <t>Værøy</t>
  </si>
  <si>
    <t>VSA</t>
  </si>
  <si>
    <t>Carlos Rovirosa Pérez International Airport</t>
  </si>
  <si>
    <t>Villahermosa</t>
  </si>
  <si>
    <t>VSG</t>
  </si>
  <si>
    <t>Luhansk International Airport</t>
  </si>
  <si>
    <t>Lugansk</t>
  </si>
  <si>
    <t>VST</t>
  </si>
  <si>
    <t>Stockholm Västerås Airport</t>
  </si>
  <si>
    <t>Vasteras</t>
  </si>
  <si>
    <t>VTB</t>
  </si>
  <si>
    <t>Vitebsk Vostochny Airport</t>
  </si>
  <si>
    <t>Vitebsk</t>
  </si>
  <si>
    <t>VTE</t>
  </si>
  <si>
    <t>Wattay International Airport</t>
  </si>
  <si>
    <t>Vientiane</t>
  </si>
  <si>
    <t>VTN</t>
  </si>
  <si>
    <t>Miller Field</t>
  </si>
  <si>
    <t>Valentine</t>
  </si>
  <si>
    <t>VTS</t>
  </si>
  <si>
    <t>Ventspils International Airport</t>
  </si>
  <si>
    <t>Ventspils</t>
  </si>
  <si>
    <t>VTU</t>
  </si>
  <si>
    <t>Hermanos Ameijeiras Airport</t>
  </si>
  <si>
    <t>Las Tunas</t>
  </si>
  <si>
    <t>VTZ</t>
  </si>
  <si>
    <t>Vishakhapatnam Airport</t>
  </si>
  <si>
    <t>Vishakhapatnam</t>
  </si>
  <si>
    <t>VUP</t>
  </si>
  <si>
    <t>Alfonso López Pumarejo Airport</t>
  </si>
  <si>
    <t>Valledupar</t>
  </si>
  <si>
    <t>VVC</t>
  </si>
  <si>
    <t>Vanguardia Airport</t>
  </si>
  <si>
    <t>Villavicencio</t>
  </si>
  <si>
    <t>VVI</t>
  </si>
  <si>
    <t>Viru Viru International Airport</t>
  </si>
  <si>
    <t>VVO</t>
  </si>
  <si>
    <t>Vladivostok International Airport</t>
  </si>
  <si>
    <t>Vladivostok</t>
  </si>
  <si>
    <t>VVZ</t>
  </si>
  <si>
    <t>Illizi Takhamalt Airport</t>
  </si>
  <si>
    <t>Illizi</t>
  </si>
  <si>
    <t>VXC</t>
  </si>
  <si>
    <t>Lichinga Airport</t>
  </si>
  <si>
    <t>Lichinga</t>
  </si>
  <si>
    <t>VXE</t>
  </si>
  <si>
    <t>São Pedro Airport</t>
  </si>
  <si>
    <t>Sao Vicente Island</t>
  </si>
  <si>
    <t>VXO</t>
  </si>
  <si>
    <t>Växjö Kronoberg Airport</t>
  </si>
  <si>
    <t>Vaxjo</t>
  </si>
  <si>
    <t>VYI</t>
  </si>
  <si>
    <t>Vilyuisk Airport</t>
  </si>
  <si>
    <t>Vilyuisk</t>
  </si>
  <si>
    <t>VYS</t>
  </si>
  <si>
    <t>Illinois Valley Regional Airport-Walter A Duncan Field</t>
  </si>
  <si>
    <t>W63</t>
  </si>
  <si>
    <t>Lake Country Regional Airport</t>
  </si>
  <si>
    <t>WAA</t>
  </si>
  <si>
    <t>Wales Airport</t>
  </si>
  <si>
    <t>Wales</t>
  </si>
  <si>
    <t>WAG</t>
  </si>
  <si>
    <t>Wanganui Airport</t>
  </si>
  <si>
    <t>Wanganui</t>
  </si>
  <si>
    <t>WAI</t>
  </si>
  <si>
    <t>Ambalabe Airport</t>
  </si>
  <si>
    <t>Antsohihy</t>
  </si>
  <si>
    <t>WAL</t>
  </si>
  <si>
    <t>Wallops Flight Facility Airport</t>
  </si>
  <si>
    <t>Wallops Island</t>
  </si>
  <si>
    <t>WAM</t>
  </si>
  <si>
    <t>Ambatondrazaka Airport</t>
  </si>
  <si>
    <t>Ambatondrazaka</t>
  </si>
  <si>
    <t>WAQ</t>
  </si>
  <si>
    <t>Antsalova Airport</t>
  </si>
  <si>
    <t>Antsalova</t>
  </si>
  <si>
    <t>WAR</t>
  </si>
  <si>
    <t>Waris Airport</t>
  </si>
  <si>
    <t>Waris-Papua Island</t>
  </si>
  <si>
    <t>WAT</t>
  </si>
  <si>
    <t>Waterford Airport</t>
  </si>
  <si>
    <t>Waterford</t>
  </si>
  <si>
    <t>WAW</t>
  </si>
  <si>
    <t>Warsaw Chopin Airport</t>
  </si>
  <si>
    <t>WBM</t>
  </si>
  <si>
    <t>Wapenamanda Airport</t>
  </si>
  <si>
    <t>Wapenamanda</t>
  </si>
  <si>
    <t>WBQ</t>
  </si>
  <si>
    <t>Beaver Airport</t>
  </si>
  <si>
    <t>Beaver</t>
  </si>
  <si>
    <t>WBU</t>
  </si>
  <si>
    <t>Boulder Municipal Airport</t>
  </si>
  <si>
    <t>Boulder</t>
  </si>
  <si>
    <t>WBW</t>
  </si>
  <si>
    <t>Wilkes Barre Wyoming Valley Airport</t>
  </si>
  <si>
    <t>Wilkes-Barre</t>
  </si>
  <si>
    <t>WCH</t>
  </si>
  <si>
    <t>Chaitén Airport</t>
  </si>
  <si>
    <t>Chaiten</t>
  </si>
  <si>
    <t>WDH</t>
  </si>
  <si>
    <t>Hosea Kutako International Airport</t>
  </si>
  <si>
    <t>WDR</t>
  </si>
  <si>
    <t>Barrow County Airport</t>
  </si>
  <si>
    <t>Winder</t>
  </si>
  <si>
    <t>WDS</t>
  </si>
  <si>
    <t>Shiyan Wudangshan Airport</t>
  </si>
  <si>
    <t>Shiyan</t>
  </si>
  <si>
    <t>WEF</t>
  </si>
  <si>
    <t>Weifang Airport</t>
  </si>
  <si>
    <t>Weifang</t>
  </si>
  <si>
    <t>WEH</t>
  </si>
  <si>
    <t>Weihai Airport</t>
  </si>
  <si>
    <t>Weihai</t>
  </si>
  <si>
    <t>WEI</t>
  </si>
  <si>
    <t>Weipa Airport</t>
  </si>
  <si>
    <t>Weipa</t>
  </si>
  <si>
    <t>WEL</t>
  </si>
  <si>
    <t>Welkom Airport</t>
  </si>
  <si>
    <t>Welkom</t>
  </si>
  <si>
    <t>WFI</t>
  </si>
  <si>
    <t>Fianarantsoa Airport</t>
  </si>
  <si>
    <t>Fianarantsoa</t>
  </si>
  <si>
    <t>WFK</t>
  </si>
  <si>
    <t>Northern Aroostook Regional Airport</t>
  </si>
  <si>
    <t>Frenchville</t>
  </si>
  <si>
    <t>WGA</t>
  </si>
  <si>
    <t>Wagga Wagga City Airport</t>
  </si>
  <si>
    <t>Wagga Wagga</t>
  </si>
  <si>
    <t>WGE</t>
  </si>
  <si>
    <t>Walgett Airport</t>
  </si>
  <si>
    <t>Walgett</t>
  </si>
  <si>
    <t>WGP</t>
  </si>
  <si>
    <t>Waingapu Airport</t>
  </si>
  <si>
    <t>Waingapu</t>
  </si>
  <si>
    <t>WGT</t>
  </si>
  <si>
    <t>Wangaratta Airport</t>
  </si>
  <si>
    <t>WHF</t>
  </si>
  <si>
    <t>Wadi Halfa Airport</t>
  </si>
  <si>
    <t>Wadi Halfa</t>
  </si>
  <si>
    <t>WHK</t>
  </si>
  <si>
    <t>Whakatane Airport</t>
  </si>
  <si>
    <t>Whakatane</t>
  </si>
  <si>
    <t>WHP</t>
  </si>
  <si>
    <t>Whiteman Airport</t>
  </si>
  <si>
    <t>WHU</t>
  </si>
  <si>
    <t>Wuhu Air Base</t>
  </si>
  <si>
    <t>Wuhu</t>
  </si>
  <si>
    <t>WIC</t>
  </si>
  <si>
    <t>Wick Airport</t>
  </si>
  <si>
    <t>Wick</t>
  </si>
  <si>
    <t>WIL</t>
  </si>
  <si>
    <t>Nairobi Wilson Airport</t>
  </si>
  <si>
    <t>WIN</t>
  </si>
  <si>
    <t>Winton Airport</t>
  </si>
  <si>
    <t>Winton</t>
  </si>
  <si>
    <t>WIO</t>
  </si>
  <si>
    <t>Wilcannia Airport</t>
  </si>
  <si>
    <t>Wilcannia</t>
  </si>
  <si>
    <t>WJF</t>
  </si>
  <si>
    <t>General WM J Fox Airfield</t>
  </si>
  <si>
    <t>WJR</t>
  </si>
  <si>
    <t>Wajir Airport</t>
  </si>
  <si>
    <t>Wajir</t>
  </si>
  <si>
    <t>WJU</t>
  </si>
  <si>
    <t>Wonju Airport</t>
  </si>
  <si>
    <t>Wonju</t>
  </si>
  <si>
    <t>WKA</t>
  </si>
  <si>
    <t>Wanaka Airport</t>
  </si>
  <si>
    <t>Wanaka</t>
  </si>
  <si>
    <t>WKB</t>
  </si>
  <si>
    <t>Warracknabeal Airport</t>
  </si>
  <si>
    <t>WKJ</t>
  </si>
  <si>
    <t>Wakkanai Airport</t>
  </si>
  <si>
    <t>Wakkanai</t>
  </si>
  <si>
    <t>WKK</t>
  </si>
  <si>
    <t>Aleknagik / New Airport</t>
  </si>
  <si>
    <t>Aleknagik</t>
  </si>
  <si>
    <t>WKL</t>
  </si>
  <si>
    <t>Waikoloa Heliport</t>
  </si>
  <si>
    <t>Waikoloa Village</t>
  </si>
  <si>
    <t>WKM</t>
  </si>
  <si>
    <t>Hwange National Park Airport</t>
  </si>
  <si>
    <t>Hwange National Park</t>
  </si>
  <si>
    <t>WKR</t>
  </si>
  <si>
    <t>Abaco I Walker C Airport</t>
  </si>
  <si>
    <t>Walker's Cay</t>
  </si>
  <si>
    <t>WLG</t>
  </si>
  <si>
    <t>Wellington International Airport</t>
  </si>
  <si>
    <t>WLH</t>
  </si>
  <si>
    <t>Walaha Airport</t>
  </si>
  <si>
    <t>Walaha</t>
  </si>
  <si>
    <t>WLK</t>
  </si>
  <si>
    <t>Selawik Airport</t>
  </si>
  <si>
    <t>Selawik</t>
  </si>
  <si>
    <t>WLS</t>
  </si>
  <si>
    <t>Hihifo Airport</t>
  </si>
  <si>
    <t>Wallis</t>
  </si>
  <si>
    <t>WMA</t>
  </si>
  <si>
    <t>Mandritsara Airport</t>
  </si>
  <si>
    <t>Mandritsara</t>
  </si>
  <si>
    <t>WMB</t>
  </si>
  <si>
    <t>Warrnambool Airport</t>
  </si>
  <si>
    <t>Warrnambool</t>
  </si>
  <si>
    <t>WMC</t>
  </si>
  <si>
    <t>Winnemucca Municipal Airport</t>
  </si>
  <si>
    <t>Winnemucca</t>
  </si>
  <si>
    <t>WME</t>
  </si>
  <si>
    <t>Mount Keith Airport</t>
  </si>
  <si>
    <t>Mount Keith</t>
  </si>
  <si>
    <t>WMH</t>
  </si>
  <si>
    <t>Ozark Regional Airport</t>
  </si>
  <si>
    <t>WMI</t>
  </si>
  <si>
    <t>Modlin Airport</t>
  </si>
  <si>
    <t>WMN</t>
  </si>
  <si>
    <t>Maroantsetra Airport</t>
  </si>
  <si>
    <t>Maroantsetra</t>
  </si>
  <si>
    <t>WMO</t>
  </si>
  <si>
    <t>White Mountain Airport</t>
  </si>
  <si>
    <t>White Mountain</t>
  </si>
  <si>
    <t>WMP</t>
  </si>
  <si>
    <t>Mampikony Airport</t>
  </si>
  <si>
    <t>Mampikony</t>
  </si>
  <si>
    <t>WMR</t>
  </si>
  <si>
    <t>Mananara Nord Airport</t>
  </si>
  <si>
    <t>Mananara</t>
  </si>
  <si>
    <t>WMX</t>
  </si>
  <si>
    <t>Wamena Airport</t>
  </si>
  <si>
    <t>Wamena</t>
  </si>
  <si>
    <t>WNA</t>
  </si>
  <si>
    <t>Napakiak Airport</t>
  </si>
  <si>
    <t>Napakiak</t>
  </si>
  <si>
    <t>WNN</t>
  </si>
  <si>
    <t>Wunnumin Lake Airport</t>
  </si>
  <si>
    <t>Wunnumin Lake</t>
  </si>
  <si>
    <t>WNP</t>
  </si>
  <si>
    <t>Naga Airport</t>
  </si>
  <si>
    <t>Naga</t>
  </si>
  <si>
    <t>WNR</t>
  </si>
  <si>
    <t>Windorah Airport</t>
  </si>
  <si>
    <t>Windorah</t>
  </si>
  <si>
    <t>WNS</t>
  </si>
  <si>
    <t>Shaheed Benazirabad Airport</t>
  </si>
  <si>
    <t>Nawabshah</t>
  </si>
  <si>
    <t>WNZ</t>
  </si>
  <si>
    <t>Wenzhou Yongqiang Airport</t>
  </si>
  <si>
    <t>Wenzhou</t>
  </si>
  <si>
    <t>WOE</t>
  </si>
  <si>
    <t>Woensdrecht Air Base</t>
  </si>
  <si>
    <t>Woensdrecht</t>
  </si>
  <si>
    <t>WOL</t>
  </si>
  <si>
    <t>Wollongong Airport</t>
  </si>
  <si>
    <t>Wollongong</t>
  </si>
  <si>
    <t>WOS</t>
  </si>
  <si>
    <t>Wonsan Kalma International Airport</t>
  </si>
  <si>
    <t>Wonsan</t>
  </si>
  <si>
    <t>WOT</t>
  </si>
  <si>
    <t>Wang-an Airport</t>
  </si>
  <si>
    <t>Wang An</t>
  </si>
  <si>
    <t>WPB</t>
  </si>
  <si>
    <t>Port Bergé Airport</t>
  </si>
  <si>
    <t>Port Bergé</t>
  </si>
  <si>
    <t>WPC</t>
  </si>
  <si>
    <t>Pincher Creek Airport</t>
  </si>
  <si>
    <t>Pincher Creek</t>
  </si>
  <si>
    <t>WPR</t>
  </si>
  <si>
    <t>Capitan Fuentes Martinez Airport Airport</t>
  </si>
  <si>
    <t>Porvenir</t>
  </si>
  <si>
    <t>WPU</t>
  </si>
  <si>
    <t>Guardiamarina Zañartu Airport</t>
  </si>
  <si>
    <t>Puerto Williams</t>
  </si>
  <si>
    <t>WRB</t>
  </si>
  <si>
    <t>Robins Air Force Base</t>
  </si>
  <si>
    <t>WRE</t>
  </si>
  <si>
    <t>Whangarei Airport</t>
  </si>
  <si>
    <t>Whangarei</t>
  </si>
  <si>
    <t>WRG</t>
  </si>
  <si>
    <t>Wrangell Airport</t>
  </si>
  <si>
    <t>Wrangell</t>
  </si>
  <si>
    <t>WRI</t>
  </si>
  <si>
    <t>Mc Guire Air Force Base</t>
  </si>
  <si>
    <t>Wrightstown</t>
  </si>
  <si>
    <t>WRL</t>
  </si>
  <si>
    <t>Worland Municipal Airport</t>
  </si>
  <si>
    <t>Worland</t>
  </si>
  <si>
    <t>WRO</t>
  </si>
  <si>
    <t>Copernicus Wrocław Airport</t>
  </si>
  <si>
    <t>Wroclaw</t>
  </si>
  <si>
    <t>WRY</t>
  </si>
  <si>
    <t>Westray Airport</t>
  </si>
  <si>
    <t>Westray</t>
  </si>
  <si>
    <t>WRZ</t>
  </si>
  <si>
    <t>Weerawila Airport</t>
  </si>
  <si>
    <t>Wirawila</t>
  </si>
  <si>
    <t>WSD</t>
  </si>
  <si>
    <t>Condron Army Air Field</t>
  </si>
  <si>
    <t>White Sands</t>
  </si>
  <si>
    <t>WSN</t>
  </si>
  <si>
    <t>South Naknek Nr 2 Airport</t>
  </si>
  <si>
    <t>South Naknek</t>
  </si>
  <si>
    <t>WSP</t>
  </si>
  <si>
    <t>Waspam Airport</t>
  </si>
  <si>
    <t>Waspam</t>
  </si>
  <si>
    <t>WSR</t>
  </si>
  <si>
    <t>Wasior Airport</t>
  </si>
  <si>
    <t>Wasior</t>
  </si>
  <si>
    <t>WST</t>
  </si>
  <si>
    <t>Westerly State Airport</t>
  </si>
  <si>
    <t>Washington County</t>
  </si>
  <si>
    <t>WSY</t>
  </si>
  <si>
    <t>Whitsunday Island Airport</t>
  </si>
  <si>
    <t>Airlie Beach</t>
  </si>
  <si>
    <t>WSZ</t>
  </si>
  <si>
    <t>Westport Airport</t>
  </si>
  <si>
    <t>Westport</t>
  </si>
  <si>
    <t>WTA</t>
  </si>
  <si>
    <t>Tambohorano Airport</t>
  </si>
  <si>
    <t>Tambohorano</t>
  </si>
  <si>
    <t>WTB</t>
  </si>
  <si>
    <t>Brisbane West Wellcamp Airport</t>
  </si>
  <si>
    <t>WTK</t>
  </si>
  <si>
    <t>Noatak Airport</t>
  </si>
  <si>
    <t>Noatak</t>
  </si>
  <si>
    <t>WTN</t>
  </si>
  <si>
    <t>RAF Waddington</t>
  </si>
  <si>
    <t>Waddington</t>
  </si>
  <si>
    <t>WTS</t>
  </si>
  <si>
    <t>Tsiroanomandidy Airport</t>
  </si>
  <si>
    <t>Tsiroanomandidy</t>
  </si>
  <si>
    <t>WTZ</t>
  </si>
  <si>
    <t>Whitianga Airport</t>
  </si>
  <si>
    <t>Whitianga</t>
  </si>
  <si>
    <t>WUA</t>
  </si>
  <si>
    <t>Wuhai Airport</t>
  </si>
  <si>
    <t>Wuhai</t>
  </si>
  <si>
    <t>WUH</t>
  </si>
  <si>
    <t>Wuhan Tianhe International Airport</t>
  </si>
  <si>
    <t>Wuhan</t>
  </si>
  <si>
    <t>WUN</t>
  </si>
  <si>
    <t>Wiluna Airport</t>
  </si>
  <si>
    <t>Wiluna</t>
  </si>
  <si>
    <t>WUS</t>
  </si>
  <si>
    <t>Nanping Wuyishan Airport</t>
  </si>
  <si>
    <t>Wuyishan</t>
  </si>
  <si>
    <t>WUU</t>
  </si>
  <si>
    <t>Wau Airport</t>
  </si>
  <si>
    <t>Wau</t>
  </si>
  <si>
    <t>WUX</t>
  </si>
  <si>
    <t>Sunan Shuofang International Airport</t>
  </si>
  <si>
    <t>Wuxi</t>
  </si>
  <si>
    <t>WUZ</t>
  </si>
  <si>
    <t>Wuzhou Changzhoudao Airport</t>
  </si>
  <si>
    <t>Wuzhou</t>
  </si>
  <si>
    <t>WVB</t>
  </si>
  <si>
    <t>Walvis Bay Airport</t>
  </si>
  <si>
    <t>Walvis Bay</t>
  </si>
  <si>
    <t>WVI</t>
  </si>
  <si>
    <t>Watsonville Municipal Airport</t>
  </si>
  <si>
    <t>Watsonville</t>
  </si>
  <si>
    <t>WVK</t>
  </si>
  <si>
    <t>Manakara Airport</t>
  </si>
  <si>
    <t>Manakara</t>
  </si>
  <si>
    <t>WVN</t>
  </si>
  <si>
    <t>Wilhelmshaven-Mariensiel Airport</t>
  </si>
  <si>
    <t>Wilhelmshaven</t>
  </si>
  <si>
    <t>WWA</t>
  </si>
  <si>
    <t>Wasilla Airport</t>
  </si>
  <si>
    <t>Wasilla</t>
  </si>
  <si>
    <t>WWD</t>
  </si>
  <si>
    <t>Cape May County Airport</t>
  </si>
  <si>
    <t>Wildwood</t>
  </si>
  <si>
    <t>WWK</t>
  </si>
  <si>
    <t>Wewak International Airport</t>
  </si>
  <si>
    <t>Wewak</t>
  </si>
  <si>
    <t>WWR</t>
  </si>
  <si>
    <t>West Woodward Airport</t>
  </si>
  <si>
    <t>Woodward</t>
  </si>
  <si>
    <t>WWY</t>
  </si>
  <si>
    <t>West Wyalong Airport</t>
  </si>
  <si>
    <t>West Wyalong</t>
  </si>
  <si>
    <t>WXN</t>
  </si>
  <si>
    <t>Wanxian Airport</t>
  </si>
  <si>
    <t>Wanxian</t>
  </si>
  <si>
    <t>WYA</t>
  </si>
  <si>
    <t>Whyalla Airport</t>
  </si>
  <si>
    <t>Whyalla</t>
  </si>
  <si>
    <t>WYE</t>
  </si>
  <si>
    <t>Yengema Airport</t>
  </si>
  <si>
    <t>Yengema</t>
  </si>
  <si>
    <t>WYS</t>
  </si>
  <si>
    <t>Yellowstone Airport</t>
  </si>
  <si>
    <t>West Yellowstone</t>
  </si>
  <si>
    <t>XAC</t>
  </si>
  <si>
    <t>Arcachon-La Teste-de-Buch Airport</t>
  </si>
  <si>
    <t>Arcachon</t>
  </si>
  <si>
    <t>XAP</t>
  </si>
  <si>
    <t>Serafin Enoss Bertaso Airport</t>
  </si>
  <si>
    <t>Chapeco</t>
  </si>
  <si>
    <t>XAU</t>
  </si>
  <si>
    <t>Saúl Airport</t>
  </si>
  <si>
    <t>Saul</t>
  </si>
  <si>
    <t>XBE</t>
  </si>
  <si>
    <t>Bearskin Lake Airport</t>
  </si>
  <si>
    <t>Bearskin Lake</t>
  </si>
  <si>
    <t>XBJ</t>
  </si>
  <si>
    <t>Birjand Airport</t>
  </si>
  <si>
    <t>Birjand</t>
  </si>
  <si>
    <t>XBK</t>
  </si>
  <si>
    <t>Bourg-Ceyzériat Airport</t>
  </si>
  <si>
    <t>Bourg</t>
  </si>
  <si>
    <t>XCD</t>
  </si>
  <si>
    <t>Chalon-Champforgeuil Airport</t>
  </si>
  <si>
    <t>Chalon</t>
  </si>
  <si>
    <t>XCH</t>
  </si>
  <si>
    <t>Christmas Island Airport</t>
  </si>
  <si>
    <t>Christmas Island</t>
  </si>
  <si>
    <t>XCR</t>
  </si>
  <si>
    <t>Châlons-Vatry Air Base</t>
  </si>
  <si>
    <t>Chalons</t>
  </si>
  <si>
    <t>XFL</t>
  </si>
  <si>
    <t>Flagler County Airport</t>
  </si>
  <si>
    <t>XFN</t>
  </si>
  <si>
    <t>Xiangyang Liuji Airport</t>
  </si>
  <si>
    <t>Xiangfan</t>
  </si>
  <si>
    <t>XFW</t>
  </si>
  <si>
    <t>Hamburg-Finkenwerder Airport</t>
  </si>
  <si>
    <t>XGN</t>
  </si>
  <si>
    <t>Xangongo Airport</t>
  </si>
  <si>
    <t>Xangongo</t>
  </si>
  <si>
    <t>XGR</t>
  </si>
  <si>
    <t>Kangiqsualujjuaq (Georges River) Airport</t>
  </si>
  <si>
    <t>Kangiqsualujjuaq</t>
  </si>
  <si>
    <t>XIC</t>
  </si>
  <si>
    <t>Xichang Qingshan Airport</t>
  </si>
  <si>
    <t>Xichang</t>
  </si>
  <si>
    <t>XIJ</t>
  </si>
  <si>
    <t>Ahmed Al Jaber Air Base</t>
  </si>
  <si>
    <t>Ahmed Al Jaber AB</t>
  </si>
  <si>
    <t>XIL</t>
  </si>
  <si>
    <t>Xilinhot Airport</t>
  </si>
  <si>
    <t>Xilinhot</t>
  </si>
  <si>
    <t>XIY</t>
  </si>
  <si>
    <t>Xi'an Xianyang International Airport</t>
  </si>
  <si>
    <t>Xi'an</t>
  </si>
  <si>
    <t>XKH</t>
  </si>
  <si>
    <t>Xieng Khouang Airport</t>
  </si>
  <si>
    <t>Phon Savan</t>
  </si>
  <si>
    <t>XKS</t>
  </si>
  <si>
    <t>Kasabonika Airport</t>
  </si>
  <si>
    <t>Kasabonika</t>
  </si>
  <si>
    <t>XLB</t>
  </si>
  <si>
    <t>Lac Brochet Airport</t>
  </si>
  <si>
    <t>Lac Brochet</t>
  </si>
  <si>
    <t>XLS</t>
  </si>
  <si>
    <t>Saint Louis Airport</t>
  </si>
  <si>
    <t>XMC</t>
  </si>
  <si>
    <t>Mallacoota Airport</t>
  </si>
  <si>
    <t>Mallacoota</t>
  </si>
  <si>
    <t>XMH</t>
  </si>
  <si>
    <t>Manihi Airport</t>
  </si>
  <si>
    <t>Manihi</t>
  </si>
  <si>
    <t>XMN</t>
  </si>
  <si>
    <t>Xiamen Gaoqi International Airport</t>
  </si>
  <si>
    <t>Xiamen</t>
  </si>
  <si>
    <t>XMR</t>
  </si>
  <si>
    <t>Cape Canaveral AFS Skid Strip</t>
  </si>
  <si>
    <t>Cocoa Beach</t>
  </si>
  <si>
    <t>XMS</t>
  </si>
  <si>
    <t>Coronel E Carvajal Airport</t>
  </si>
  <si>
    <t>Macas</t>
  </si>
  <si>
    <t>XMU</t>
  </si>
  <si>
    <t>Moulins-Montbeugny Airport</t>
  </si>
  <si>
    <t>Moulins</t>
  </si>
  <si>
    <t>XMY</t>
  </si>
  <si>
    <t>Yam Island Airport</t>
  </si>
  <si>
    <t>Yam Island</t>
  </si>
  <si>
    <t>XNA</t>
  </si>
  <si>
    <t>Northwest Arkansas Regional Airport</t>
  </si>
  <si>
    <t>Bentonville</t>
  </si>
  <si>
    <t>XNN</t>
  </si>
  <si>
    <t>Xining Caojiabu Airport</t>
  </si>
  <si>
    <t>Xining</t>
  </si>
  <si>
    <t>XPK</t>
  </si>
  <si>
    <t>Pukatawagan Airport</t>
  </si>
  <si>
    <t>Pukatawagan</t>
  </si>
  <si>
    <t>XPL</t>
  </si>
  <si>
    <t>Coronel Enrique Soto Cano Air Base</t>
  </si>
  <si>
    <t>Comayagua</t>
  </si>
  <si>
    <t>XPP</t>
  </si>
  <si>
    <t>Poplar River Airport</t>
  </si>
  <si>
    <t>Poplar River</t>
  </si>
  <si>
    <t>XQP</t>
  </si>
  <si>
    <t>Quepos Managua Airport</t>
  </si>
  <si>
    <t>Quepos</t>
  </si>
  <si>
    <t>XRR</t>
  </si>
  <si>
    <t>Ross River Airport</t>
  </si>
  <si>
    <t>Ross River</t>
  </si>
  <si>
    <t>XRY</t>
  </si>
  <si>
    <t>Jerez Airport</t>
  </si>
  <si>
    <t>Jerez</t>
  </si>
  <si>
    <t>XSB</t>
  </si>
  <si>
    <t>Sir Bani Yas Airport</t>
  </si>
  <si>
    <t>Sir Bani Yas Island</t>
  </si>
  <si>
    <t>XSC</t>
  </si>
  <si>
    <t>South Caicos Airport</t>
  </si>
  <si>
    <t>South Caicos</t>
  </si>
  <si>
    <t>XSI</t>
  </si>
  <si>
    <t>South Indian Lake Airport</t>
  </si>
  <si>
    <t>South Indian Lake</t>
  </si>
  <si>
    <t>XSP</t>
  </si>
  <si>
    <t>Seletar Airport</t>
  </si>
  <si>
    <t>XTG</t>
  </si>
  <si>
    <t>Thargomindah Airport</t>
  </si>
  <si>
    <t>Thargomindah</t>
  </si>
  <si>
    <t>XTL</t>
  </si>
  <si>
    <t>Tadoule Lake Airport</t>
  </si>
  <si>
    <t>Tadoule Lake</t>
  </si>
  <si>
    <t>XTO</t>
  </si>
  <si>
    <t>Taroom Airport</t>
  </si>
  <si>
    <t>Taroom</t>
  </si>
  <si>
    <t>XUZ</t>
  </si>
  <si>
    <t>Xuzhou Guanyin Airport</t>
  </si>
  <si>
    <t>Xuzhou</t>
  </si>
  <si>
    <t>XVF</t>
  </si>
  <si>
    <t>Villefranche-Tarare Airport</t>
  </si>
  <si>
    <t>Vilefrance</t>
  </si>
  <si>
    <t>XXN</t>
  </si>
  <si>
    <t>Riyadh Air Base</t>
  </si>
  <si>
    <t>XYA</t>
  </si>
  <si>
    <t>Yandina Airport</t>
  </si>
  <si>
    <t>Yandina</t>
  </si>
  <si>
    <t>XYE</t>
  </si>
  <si>
    <t>Ye Airport</t>
  </si>
  <si>
    <t>Ye</t>
  </si>
  <si>
    <t>YAA</t>
  </si>
  <si>
    <t>Anahim Lake Airport</t>
  </si>
  <si>
    <t>Anahim Lake</t>
  </si>
  <si>
    <t>YAB</t>
  </si>
  <si>
    <t>Old Arctic Bay Airport</t>
  </si>
  <si>
    <t>Arctic Bay</t>
  </si>
  <si>
    <t>YAC</t>
  </si>
  <si>
    <t>Cat Lake Airport</t>
  </si>
  <si>
    <t>Cat Lake</t>
  </si>
  <si>
    <t>YAG</t>
  </si>
  <si>
    <t>Fort Frances Municipal Airport</t>
  </si>
  <si>
    <t>Fort Frances</t>
  </si>
  <si>
    <t>YAH</t>
  </si>
  <si>
    <t>La Grande-4 Airport</t>
  </si>
  <si>
    <t>La Grande-4</t>
  </si>
  <si>
    <t>YAK</t>
  </si>
  <si>
    <t>Yakutat Airport</t>
  </si>
  <si>
    <t>Yakutat</t>
  </si>
  <si>
    <t>YAL</t>
  </si>
  <si>
    <t>Alert Bay Airport</t>
  </si>
  <si>
    <t>Alert Bay</t>
  </si>
  <si>
    <t>YAM</t>
  </si>
  <si>
    <t>Sault Ste Marie Airport</t>
  </si>
  <si>
    <t>Sault Sainte Marie</t>
  </si>
  <si>
    <t>YAO</t>
  </si>
  <si>
    <t>Yaoundé Airport</t>
  </si>
  <si>
    <t>YAP</t>
  </si>
  <si>
    <t>Yap International Airport</t>
  </si>
  <si>
    <t>Yap</t>
  </si>
  <si>
    <t>YAT</t>
  </si>
  <si>
    <t>Attawapiskat Airport</t>
  </si>
  <si>
    <t>Attawapiskat</t>
  </si>
  <si>
    <t>YAV</t>
  </si>
  <si>
    <t>Winnipeg / St. Andrews Airport</t>
  </si>
  <si>
    <t>Winnipeg</t>
  </si>
  <si>
    <t>YAW</t>
  </si>
  <si>
    <t>Halifax / CFB Shearwater Heliport</t>
  </si>
  <si>
    <t>Halifax</t>
  </si>
  <si>
    <t>YAX</t>
  </si>
  <si>
    <t>Wapekeka Airport</t>
  </si>
  <si>
    <t>Angling Lake</t>
  </si>
  <si>
    <t>YAY</t>
  </si>
  <si>
    <t>St. Anthony Airport</t>
  </si>
  <si>
    <t>St. Anthony</t>
  </si>
  <si>
    <t>YAZ</t>
  </si>
  <si>
    <t>Tofino / Long Beach Airport</t>
  </si>
  <si>
    <t>Tofino</t>
  </si>
  <si>
    <t>YBA</t>
  </si>
  <si>
    <t>Banff Airport</t>
  </si>
  <si>
    <t>Banff</t>
  </si>
  <si>
    <t>YBB</t>
  </si>
  <si>
    <t>Kugaaruk Airport</t>
  </si>
  <si>
    <t>Pelly Bay</t>
  </si>
  <si>
    <t>YBC</t>
  </si>
  <si>
    <t>Baie Comeau Airport</t>
  </si>
  <si>
    <t>Baie Comeau</t>
  </si>
  <si>
    <t>YBE</t>
  </si>
  <si>
    <t>Uranium City Airport</t>
  </si>
  <si>
    <t>Uranium City</t>
  </si>
  <si>
    <t>YBG</t>
  </si>
  <si>
    <t>CFB Bagotville</t>
  </si>
  <si>
    <t>Bagotville</t>
  </si>
  <si>
    <t>YBI</t>
  </si>
  <si>
    <t>Black Tickle Airport</t>
  </si>
  <si>
    <t>Black Tickle</t>
  </si>
  <si>
    <t>YBK</t>
  </si>
  <si>
    <t>Baker Lake Airport</t>
  </si>
  <si>
    <t>Baker Lake</t>
  </si>
  <si>
    <t>YBL</t>
  </si>
  <si>
    <t>Campbell River Airport</t>
  </si>
  <si>
    <t>Campbell River</t>
  </si>
  <si>
    <t>YBO</t>
  </si>
  <si>
    <t>Bob Quinn Lake Airport</t>
  </si>
  <si>
    <t>Bob Quinn Lake</t>
  </si>
  <si>
    <t>YBP</t>
  </si>
  <si>
    <t>Yibin Caiba Airport</t>
  </si>
  <si>
    <t>Yibin</t>
  </si>
  <si>
    <t>YBR</t>
  </si>
  <si>
    <t>Brandon Municipal Airport</t>
  </si>
  <si>
    <t>Brandon</t>
  </si>
  <si>
    <t>YBT</t>
  </si>
  <si>
    <t>Brochet Airport</t>
  </si>
  <si>
    <t>Brochet</t>
  </si>
  <si>
    <t>YBU</t>
  </si>
  <si>
    <t>Nipawin Airport</t>
  </si>
  <si>
    <t>Nipawin</t>
  </si>
  <si>
    <t>YBV</t>
  </si>
  <si>
    <t>Berens River Airport</t>
  </si>
  <si>
    <t>Berens River</t>
  </si>
  <si>
    <t>YBW</t>
  </si>
  <si>
    <t>Bedwell Harbour Seaplane Base</t>
  </si>
  <si>
    <t>Bedwell Harbour</t>
  </si>
  <si>
    <t>YBX</t>
  </si>
  <si>
    <t>Lourdes de Blanc Sablon Airport</t>
  </si>
  <si>
    <t>Lourdes-De-Blanc-Sablon</t>
  </si>
  <si>
    <t>YBY</t>
  </si>
  <si>
    <t>Bonnyville Airport</t>
  </si>
  <si>
    <t>Bonnyville</t>
  </si>
  <si>
    <t>YCB</t>
  </si>
  <si>
    <t>Cambridge Bay Airport</t>
  </si>
  <si>
    <t>Cambridge Bay</t>
  </si>
  <si>
    <t>YCC</t>
  </si>
  <si>
    <t>Cornwall Regional Airport</t>
  </si>
  <si>
    <t>Cornwall</t>
  </si>
  <si>
    <t>YCD</t>
  </si>
  <si>
    <t>Nanaimo Airport</t>
  </si>
  <si>
    <t>Nanaimo</t>
  </si>
  <si>
    <t>YCE</t>
  </si>
  <si>
    <t>James T. Field Memorial Aerodrome</t>
  </si>
  <si>
    <t>Centralia</t>
  </si>
  <si>
    <t>YCG</t>
  </si>
  <si>
    <t>Castlegar/West Kootenay Regional Airport</t>
  </si>
  <si>
    <t>Castlegar</t>
  </si>
  <si>
    <t>YCH</t>
  </si>
  <si>
    <t>Miramichi Airport</t>
  </si>
  <si>
    <t>Chatham</t>
  </si>
  <si>
    <t>YCK</t>
  </si>
  <si>
    <t>Colville Lake Airport</t>
  </si>
  <si>
    <t>Colville Lake</t>
  </si>
  <si>
    <t>YCL</t>
  </si>
  <si>
    <t>Charlo Airport</t>
  </si>
  <si>
    <t>Charlo</t>
  </si>
  <si>
    <t>YCM</t>
  </si>
  <si>
    <t>Niagara District Airport</t>
  </si>
  <si>
    <t>Saint Catherines</t>
  </si>
  <si>
    <t>YCN</t>
  </si>
  <si>
    <t>YCO</t>
  </si>
  <si>
    <t>Kugluktuk Airport</t>
  </si>
  <si>
    <t>Coppermine</t>
  </si>
  <si>
    <t>YCP</t>
  </si>
  <si>
    <t>Blue River Airport</t>
  </si>
  <si>
    <t>Blue River</t>
  </si>
  <si>
    <t>YCQ</t>
  </si>
  <si>
    <t>Chetwynd Airport</t>
  </si>
  <si>
    <t>Chetwynd</t>
  </si>
  <si>
    <t>YCR</t>
  </si>
  <si>
    <t>Cross Lake (Charlie Sinclair Memorial) Airport</t>
  </si>
  <si>
    <t>Cross Lake</t>
  </si>
  <si>
    <t>YCS</t>
  </si>
  <si>
    <t>Chesterfield Inlet Airport</t>
  </si>
  <si>
    <t>Chesterfield Inlet</t>
  </si>
  <si>
    <t>YCT</t>
  </si>
  <si>
    <t>Coronation Airport</t>
  </si>
  <si>
    <t>Coronation</t>
  </si>
  <si>
    <t>YCU</t>
  </si>
  <si>
    <t>Yuncheng Guangong Airport</t>
  </si>
  <si>
    <t>Yuncheng</t>
  </si>
  <si>
    <t>YCW</t>
  </si>
  <si>
    <t>Chilliwack Airport</t>
  </si>
  <si>
    <t>Chilliwack</t>
  </si>
  <si>
    <t>YCY</t>
  </si>
  <si>
    <t>Clyde River Airport</t>
  </si>
  <si>
    <t>Clyde River</t>
  </si>
  <si>
    <t>YDA</t>
  </si>
  <si>
    <t>Dawson City Airport</t>
  </si>
  <si>
    <t>Dawson</t>
  </si>
  <si>
    <t>YDB</t>
  </si>
  <si>
    <t>Burwash Airport</t>
  </si>
  <si>
    <t>Burwash</t>
  </si>
  <si>
    <t>YDC</t>
  </si>
  <si>
    <t>Princeton Airport</t>
  </si>
  <si>
    <t>YDF</t>
  </si>
  <si>
    <t>Deer Lake Airport</t>
  </si>
  <si>
    <t>Deer Lake</t>
  </si>
  <si>
    <t>YDG</t>
  </si>
  <si>
    <t>Digby / Annapolis Regional Airport</t>
  </si>
  <si>
    <t>Digby</t>
  </si>
  <si>
    <t>YDL</t>
  </si>
  <si>
    <t>Dease Lake Airport</t>
  </si>
  <si>
    <t>Dease Lake</t>
  </si>
  <si>
    <t>YDN</t>
  </si>
  <si>
    <t>Dauphin Barker Airport</t>
  </si>
  <si>
    <t>Dauphin</t>
  </si>
  <si>
    <t>YDO</t>
  </si>
  <si>
    <t>Dolbeau St Felicien Airport</t>
  </si>
  <si>
    <t>Dolbeau-St-Félicien</t>
  </si>
  <si>
    <t>YDP</t>
  </si>
  <si>
    <t>Nain Airport</t>
  </si>
  <si>
    <t>Nain</t>
  </si>
  <si>
    <t>YDQ</t>
  </si>
  <si>
    <t>Dawson Creek Airport</t>
  </si>
  <si>
    <t>Dawson Creek</t>
  </si>
  <si>
    <t>YDT</t>
  </si>
  <si>
    <t>Boundary Bay Airport</t>
  </si>
  <si>
    <t>Boundary Bay</t>
  </si>
  <si>
    <t>YEC</t>
  </si>
  <si>
    <t>Yecheon Airport</t>
  </si>
  <si>
    <t>Yechon</t>
  </si>
  <si>
    <t>YEE</t>
  </si>
  <si>
    <t>Huronia Airport</t>
  </si>
  <si>
    <t>YEG</t>
  </si>
  <si>
    <t>Edmonton International Airport</t>
  </si>
  <si>
    <t>Edmonton</t>
  </si>
  <si>
    <t>YEI</t>
  </si>
  <si>
    <t>Bursa Yenişehir Airport</t>
  </si>
  <si>
    <t>Yenisehir</t>
  </si>
  <si>
    <t>YEK</t>
  </si>
  <si>
    <t>Arviat Airport</t>
  </si>
  <si>
    <t>Eskimo Point</t>
  </si>
  <si>
    <t>YEL</t>
  </si>
  <si>
    <t>Elliot Lake Municipal Airport</t>
  </si>
  <si>
    <t>ELLIOT LAKE</t>
  </si>
  <si>
    <t>YEM</t>
  </si>
  <si>
    <t>Manitoulin East Municipal Airport</t>
  </si>
  <si>
    <t>Manitowaning</t>
  </si>
  <si>
    <t>YEN</t>
  </si>
  <si>
    <t>Estevan Airport</t>
  </si>
  <si>
    <t>Estevan</t>
  </si>
  <si>
    <t>YEO</t>
  </si>
  <si>
    <t>RNAS Yeovilton</t>
  </si>
  <si>
    <t>Yeovilton</t>
  </si>
  <si>
    <t>YER</t>
  </si>
  <si>
    <t>Fort Severn Airport</t>
  </si>
  <si>
    <t>Fort Severn</t>
  </si>
  <si>
    <t>YES</t>
  </si>
  <si>
    <t>Yasouj Airport</t>
  </si>
  <si>
    <t>Yasuj</t>
  </si>
  <si>
    <t>YET</t>
  </si>
  <si>
    <t>Edson Airport</t>
  </si>
  <si>
    <t>Edson</t>
  </si>
  <si>
    <t>YEU</t>
  </si>
  <si>
    <t>Eureka Airport</t>
  </si>
  <si>
    <t>YEV</t>
  </si>
  <si>
    <t>Inuvik Mike Zubko Airport</t>
  </si>
  <si>
    <t>Inuvik</t>
  </si>
  <si>
    <t>YEY</t>
  </si>
  <si>
    <t>Amos Magny Airport</t>
  </si>
  <si>
    <t>Amos</t>
  </si>
  <si>
    <t>YFA</t>
  </si>
  <si>
    <t>Fort Albany Airport</t>
  </si>
  <si>
    <t>Fort Albany</t>
  </si>
  <si>
    <t>YFB</t>
  </si>
  <si>
    <t>Iqaluit Airport</t>
  </si>
  <si>
    <t>Iqaluit</t>
  </si>
  <si>
    <t>YFC</t>
  </si>
  <si>
    <t>Fredericton Airport</t>
  </si>
  <si>
    <t>Fredericton</t>
  </si>
  <si>
    <t>YFD</t>
  </si>
  <si>
    <t>Brantford Municipal Airport</t>
  </si>
  <si>
    <t>Brantford</t>
  </si>
  <si>
    <t>YFH</t>
  </si>
  <si>
    <t>Fort Hope Airport</t>
  </si>
  <si>
    <t>Fort Hope</t>
  </si>
  <si>
    <t>YFJ</t>
  </si>
  <si>
    <t>Wekweètì Airport</t>
  </si>
  <si>
    <t>Wekweeti</t>
  </si>
  <si>
    <t>YFO</t>
  </si>
  <si>
    <t>Flin Flon Airport</t>
  </si>
  <si>
    <t>Flin Flon</t>
  </si>
  <si>
    <t>YFR</t>
  </si>
  <si>
    <t>Fort Resolution Airport</t>
  </si>
  <si>
    <t>Fort Resolution</t>
  </si>
  <si>
    <t>YFS</t>
  </si>
  <si>
    <t>Fort Simpson Airport</t>
  </si>
  <si>
    <t>Fort Simpson</t>
  </si>
  <si>
    <t>YFX</t>
  </si>
  <si>
    <t>St. Lewis (Fox Harbour) Airport</t>
  </si>
  <si>
    <t>St. Lewis</t>
  </si>
  <si>
    <t>YGB</t>
  </si>
  <si>
    <t>Texada Gillies Bay Airport</t>
  </si>
  <si>
    <t>Texada</t>
  </si>
  <si>
    <t>YGD</t>
  </si>
  <si>
    <t>Goderich Airport</t>
  </si>
  <si>
    <t>Goderich</t>
  </si>
  <si>
    <t>YGE</t>
  </si>
  <si>
    <t>Golden Airport</t>
  </si>
  <si>
    <t>Golden</t>
  </si>
  <si>
    <t>YGG</t>
  </si>
  <si>
    <t>Ganges Seaplane Base</t>
  </si>
  <si>
    <t>Ganges</t>
  </si>
  <si>
    <t>YGH</t>
  </si>
  <si>
    <t>Fort Good Hope Airport</t>
  </si>
  <si>
    <t>Fort Good Hope</t>
  </si>
  <si>
    <t>YGJ</t>
  </si>
  <si>
    <t>Miho Yonago Airport</t>
  </si>
  <si>
    <t>Miho</t>
  </si>
  <si>
    <t>YGK</t>
  </si>
  <si>
    <t>Kingston Norman Rogers Airport</t>
  </si>
  <si>
    <t>YGL</t>
  </si>
  <si>
    <t>La Grande Rivière Airport</t>
  </si>
  <si>
    <t>La Grande Riviere</t>
  </si>
  <si>
    <t>YGM</t>
  </si>
  <si>
    <t>Gimli Industrial Park Airport</t>
  </si>
  <si>
    <t>Gimli</t>
  </si>
  <si>
    <t>YGO</t>
  </si>
  <si>
    <t>Gods Lake Narrows Airport</t>
  </si>
  <si>
    <t>Gods Lake Narrows</t>
  </si>
  <si>
    <t>YGP</t>
  </si>
  <si>
    <t>Gaspé (Michel-Pouliot) Airport</t>
  </si>
  <si>
    <t>Gaspe</t>
  </si>
  <si>
    <t>YGQ</t>
  </si>
  <si>
    <t>Geraldton Greenstone Regional Airport</t>
  </si>
  <si>
    <t>YGR</t>
  </si>
  <si>
    <t>Îles-de-la-Madeleine Airport</t>
  </si>
  <si>
    <t>Iles De La Madeleine</t>
  </si>
  <si>
    <t>YGT</t>
  </si>
  <si>
    <t>Igloolik Airport</t>
  </si>
  <si>
    <t>Igloolik</t>
  </si>
  <si>
    <t>YGV</t>
  </si>
  <si>
    <t>Havre St Pierre Airport</t>
  </si>
  <si>
    <t>Havre-Saint-Pierre</t>
  </si>
  <si>
    <t>YGW</t>
  </si>
  <si>
    <t>Kuujjuarapik Airport</t>
  </si>
  <si>
    <t>Kuujjuarapik</t>
  </si>
  <si>
    <t>YGX</t>
  </si>
  <si>
    <t>Gillam Airport</t>
  </si>
  <si>
    <t>Gillam</t>
  </si>
  <si>
    <t>YGZ</t>
  </si>
  <si>
    <t>Grise Fiord Airport</t>
  </si>
  <si>
    <t>Grise Fiord</t>
  </si>
  <si>
    <t>YHA</t>
  </si>
  <si>
    <t>Port Hope Simpson Airport</t>
  </si>
  <si>
    <t>Port Hope Simpson</t>
  </si>
  <si>
    <t>YHB</t>
  </si>
  <si>
    <t>Hudson Bay Airport</t>
  </si>
  <si>
    <t>Hudson Bay</t>
  </si>
  <si>
    <t>YHD</t>
  </si>
  <si>
    <t>Dryden Regional Airport</t>
  </si>
  <si>
    <t>Dryden</t>
  </si>
  <si>
    <t>YHE</t>
  </si>
  <si>
    <t>Hope Airport</t>
  </si>
  <si>
    <t>Hope</t>
  </si>
  <si>
    <t>YHF</t>
  </si>
  <si>
    <t>Hearst René Fontaine Municipal Airport</t>
  </si>
  <si>
    <t>Hearst</t>
  </si>
  <si>
    <t>YHI</t>
  </si>
  <si>
    <t>Ulukhaktok Holman Airport</t>
  </si>
  <si>
    <t>Holman Island</t>
  </si>
  <si>
    <t>YHK</t>
  </si>
  <si>
    <t>Gjoa Haven Airport</t>
  </si>
  <si>
    <t>Gjoa Haven</t>
  </si>
  <si>
    <t>YHM</t>
  </si>
  <si>
    <t>John C. Munro Hamilton International Airport</t>
  </si>
  <si>
    <t>YHN</t>
  </si>
  <si>
    <t>Hornepayne Municipal Airport</t>
  </si>
  <si>
    <t>Hornepayne</t>
  </si>
  <si>
    <t>YHO</t>
  </si>
  <si>
    <t>Hopedale Airport</t>
  </si>
  <si>
    <t>Hopedale</t>
  </si>
  <si>
    <t>YHP</t>
  </si>
  <si>
    <t>Poplar Hill Airport</t>
  </si>
  <si>
    <t>Poplar Hill</t>
  </si>
  <si>
    <t>YHR</t>
  </si>
  <si>
    <t>Chevery Airport</t>
  </si>
  <si>
    <t>Chevery</t>
  </si>
  <si>
    <t>YHT</t>
  </si>
  <si>
    <t>Haines Junction Airport</t>
  </si>
  <si>
    <t>Haines Junction</t>
  </si>
  <si>
    <t>YHU</t>
  </si>
  <si>
    <t>Montréal / Saint-Hubert Airport</t>
  </si>
  <si>
    <t>Montreal</t>
  </si>
  <si>
    <t>YHY</t>
  </si>
  <si>
    <t>Hay River / Merlyn Carter Airport</t>
  </si>
  <si>
    <t>Hay River</t>
  </si>
  <si>
    <t>YHZ</t>
  </si>
  <si>
    <t>Halifax / Stanfield International Airport</t>
  </si>
  <si>
    <t>YIB</t>
  </si>
  <si>
    <t>Atikokan Municipal Airport</t>
  </si>
  <si>
    <t>Atikokan</t>
  </si>
  <si>
    <t>YIC</t>
  </si>
  <si>
    <t>Yichun Mingyueshan Airport</t>
  </si>
  <si>
    <t>Yichun</t>
  </si>
  <si>
    <t>YIE</t>
  </si>
  <si>
    <t>Arxan Yi'ershi Airport</t>
  </si>
  <si>
    <t>Arxan</t>
  </si>
  <si>
    <t>YIF</t>
  </si>
  <si>
    <t>St Augustin Airport</t>
  </si>
  <si>
    <t>St-Augustin</t>
  </si>
  <si>
    <t>YIH</t>
  </si>
  <si>
    <t>Yichang Sanxia Airport</t>
  </si>
  <si>
    <t>Yichang</t>
  </si>
  <si>
    <t>YIK</t>
  </si>
  <si>
    <t>Ivujivik Airport</t>
  </si>
  <si>
    <t>Ivujivik</t>
  </si>
  <si>
    <t>YIN</t>
  </si>
  <si>
    <t>Yining Airport</t>
  </si>
  <si>
    <t>Yining</t>
  </si>
  <si>
    <t>YIO</t>
  </si>
  <si>
    <t>Pond Inlet Airport</t>
  </si>
  <si>
    <t>Pond Inlet</t>
  </si>
  <si>
    <t>YIP</t>
  </si>
  <si>
    <t>Willow Run Airport</t>
  </si>
  <si>
    <t>YIV</t>
  </si>
  <si>
    <t>Island Lake Airport</t>
  </si>
  <si>
    <t>Island Lake</t>
  </si>
  <si>
    <t>YIW</t>
  </si>
  <si>
    <t>Yiwu Airport</t>
  </si>
  <si>
    <t>Yiwu</t>
  </si>
  <si>
    <t>YJF</t>
  </si>
  <si>
    <t>Fort Liard Airport</t>
  </si>
  <si>
    <t>Fort Liard</t>
  </si>
  <si>
    <t>YJM</t>
  </si>
  <si>
    <t>Fort St James Airport</t>
  </si>
  <si>
    <t>Fort St. James</t>
  </si>
  <si>
    <t>YJN</t>
  </si>
  <si>
    <t>St Jean Airport</t>
  </si>
  <si>
    <t>St. Jean</t>
  </si>
  <si>
    <t>YJT</t>
  </si>
  <si>
    <t>Stephenville Airport</t>
  </si>
  <si>
    <t>YKA</t>
  </si>
  <si>
    <t>Kamloops Airport</t>
  </si>
  <si>
    <t>YKF</t>
  </si>
  <si>
    <t>Waterloo Airport</t>
  </si>
  <si>
    <t>YKG</t>
  </si>
  <si>
    <t>Kangirsuk Airport</t>
  </si>
  <si>
    <t>Kangirsuk</t>
  </si>
  <si>
    <t>YKH</t>
  </si>
  <si>
    <t>Yingkou Lanqi Airport</t>
  </si>
  <si>
    <t>Yingkou</t>
  </si>
  <si>
    <t>YKJ</t>
  </si>
  <si>
    <t>Key Lake Airport</t>
  </si>
  <si>
    <t>Key Lake</t>
  </si>
  <si>
    <t>YKL</t>
  </si>
  <si>
    <t>Schefferville Airport</t>
  </si>
  <si>
    <t>Schefferville</t>
  </si>
  <si>
    <t>YKM</t>
  </si>
  <si>
    <t>Yakima Air Terminal McAllister Field</t>
  </si>
  <si>
    <t>Yakima</t>
  </si>
  <si>
    <t>YKN</t>
  </si>
  <si>
    <t>Chan Gurney Municipal Airport</t>
  </si>
  <si>
    <t>Yankton</t>
  </si>
  <si>
    <t>YKO</t>
  </si>
  <si>
    <t>Hakkari Yüksekova Airport</t>
  </si>
  <si>
    <t>Hakkari</t>
  </si>
  <si>
    <t>YKQ</t>
  </si>
  <si>
    <t>Waskaganish Airport</t>
  </si>
  <si>
    <t>Waskaganish</t>
  </si>
  <si>
    <t>YKS</t>
  </si>
  <si>
    <t>Yakutsk Airport</t>
  </si>
  <si>
    <t>YKU</t>
  </si>
  <si>
    <t>Chisasibi Airport</t>
  </si>
  <si>
    <t>Chisasibi</t>
  </si>
  <si>
    <t>YKX</t>
  </si>
  <si>
    <t>Kirkland Lake Airport</t>
  </si>
  <si>
    <t>Kirkland Lake</t>
  </si>
  <si>
    <t>YKY</t>
  </si>
  <si>
    <t>Kindersley Airport</t>
  </si>
  <si>
    <t>Kindersley</t>
  </si>
  <si>
    <t>YKZ</t>
  </si>
  <si>
    <t>Buttonville Municipal Airport</t>
  </si>
  <si>
    <t>Toronto</t>
  </si>
  <si>
    <t>YLC</t>
  </si>
  <si>
    <t>Kimmirut Airport</t>
  </si>
  <si>
    <t>Kimmirut</t>
  </si>
  <si>
    <t>YLD</t>
  </si>
  <si>
    <t>Chapleau Airport</t>
  </si>
  <si>
    <t>Chapleau</t>
  </si>
  <si>
    <t>YLE</t>
  </si>
  <si>
    <t>Whatì Airport</t>
  </si>
  <si>
    <t>Whatì</t>
  </si>
  <si>
    <t>YLH</t>
  </si>
  <si>
    <t>Lansdowne House Airport</t>
  </si>
  <si>
    <t>Lansdowne House</t>
  </si>
  <si>
    <t>YLJ</t>
  </si>
  <si>
    <t>Meadow Lake Airport</t>
  </si>
  <si>
    <t>Meadow Lake</t>
  </si>
  <si>
    <t>YLK</t>
  </si>
  <si>
    <t>Barrie-Orillia (Lake Simcoe Regional Airport)</t>
  </si>
  <si>
    <t>Barrie-Orillia</t>
  </si>
  <si>
    <t>YLL</t>
  </si>
  <si>
    <t>Lloydminster Airport</t>
  </si>
  <si>
    <t>Lloydminster</t>
  </si>
  <si>
    <t>YLR</t>
  </si>
  <si>
    <t>Leaf Rapids Airport</t>
  </si>
  <si>
    <t>Leaf Rapids</t>
  </si>
  <si>
    <t>YLT</t>
  </si>
  <si>
    <t>Alert Airport</t>
  </si>
  <si>
    <t>Alert</t>
  </si>
  <si>
    <t>YLW</t>
  </si>
  <si>
    <t>Kelowna International Airport</t>
  </si>
  <si>
    <t>Kelowna</t>
  </si>
  <si>
    <t>YMA</t>
  </si>
  <si>
    <t>Mayo Airport</t>
  </si>
  <si>
    <t>Mayo</t>
  </si>
  <si>
    <t>YME</t>
  </si>
  <si>
    <t>Matane Airport</t>
  </si>
  <si>
    <t>Matane</t>
  </si>
  <si>
    <t>YMG</t>
  </si>
  <si>
    <t>Manitouwadge Airport</t>
  </si>
  <si>
    <t>Manitouwadge</t>
  </si>
  <si>
    <t>YMH</t>
  </si>
  <si>
    <t>Mary's Harbour Airport</t>
  </si>
  <si>
    <t>Mary's Harbour</t>
  </si>
  <si>
    <t>YMJ</t>
  </si>
  <si>
    <t>Moose Jaw Air Vice Marshal C. M. McEwen Airport</t>
  </si>
  <si>
    <t>Moose Jaw</t>
  </si>
  <si>
    <t>YML</t>
  </si>
  <si>
    <t>Charlevoix Airport</t>
  </si>
  <si>
    <t>Charlevoix</t>
  </si>
  <si>
    <t>YMM</t>
  </si>
  <si>
    <t>Fort McMurray Airport</t>
  </si>
  <si>
    <t>Fort Mcmurray</t>
  </si>
  <si>
    <t>YMN</t>
  </si>
  <si>
    <t>Makkovik Airport</t>
  </si>
  <si>
    <t>Makkovik</t>
  </si>
  <si>
    <t>YMO</t>
  </si>
  <si>
    <t>Moosonee Airport</t>
  </si>
  <si>
    <t>Moosonee</t>
  </si>
  <si>
    <t>YMS</t>
  </si>
  <si>
    <t>Moises Benzaquen Rengifo Airport</t>
  </si>
  <si>
    <t>Yurimaguas</t>
  </si>
  <si>
    <t>YMT</t>
  </si>
  <si>
    <t>Chapais Airport</t>
  </si>
  <si>
    <t>Chibougamau</t>
  </si>
  <si>
    <t>YMW</t>
  </si>
  <si>
    <t>Maniwaki Airport</t>
  </si>
  <si>
    <t>Maniwaki</t>
  </si>
  <si>
    <t>YMX</t>
  </si>
  <si>
    <t>Montreal International (Mirabel) Airport</t>
  </si>
  <si>
    <t>YNA</t>
  </si>
  <si>
    <t>Natashquan Airport</t>
  </si>
  <si>
    <t>Natashquan</t>
  </si>
  <si>
    <t>YNB</t>
  </si>
  <si>
    <t>Prince Abdulmohsin Bin Abdulaziz Airport</t>
  </si>
  <si>
    <t>Yenbo</t>
  </si>
  <si>
    <t>YNC</t>
  </si>
  <si>
    <t>Wemindji Airport</t>
  </si>
  <si>
    <t>Wemindji</t>
  </si>
  <si>
    <t>YND</t>
  </si>
  <si>
    <t>Ottawa / Gatineau Airport</t>
  </si>
  <si>
    <t>Gatineau</t>
  </si>
  <si>
    <t>YNE</t>
  </si>
  <si>
    <t>Norway House Airport</t>
  </si>
  <si>
    <t>Norway House</t>
  </si>
  <si>
    <t>YNG</t>
  </si>
  <si>
    <t>Youngstown Warren Regional Airport</t>
  </si>
  <si>
    <t>Youngstown</t>
  </si>
  <si>
    <t>YNJ</t>
  </si>
  <si>
    <t>Yanji Chaoyangchuan Airport</t>
  </si>
  <si>
    <t>Yanji</t>
  </si>
  <si>
    <t>YNL</t>
  </si>
  <si>
    <t>Points North Landing Airport</t>
  </si>
  <si>
    <t>Points North Landing</t>
  </si>
  <si>
    <t>YNM</t>
  </si>
  <si>
    <t>Matagami Airport</t>
  </si>
  <si>
    <t>Matagami</t>
  </si>
  <si>
    <t>YNO</t>
  </si>
  <si>
    <t>North Spirit Lake Airport</t>
  </si>
  <si>
    <t>North Spirit Lake</t>
  </si>
  <si>
    <t>YNS</t>
  </si>
  <si>
    <t>Nemiscau Airport</t>
  </si>
  <si>
    <t>Nemiscau</t>
  </si>
  <si>
    <t>YNT</t>
  </si>
  <si>
    <t>Yantai Laishan Airport</t>
  </si>
  <si>
    <t>Yantai</t>
  </si>
  <si>
    <t>YNY</t>
  </si>
  <si>
    <t>Yangyang International Airport</t>
  </si>
  <si>
    <t>Sokcho / Gangneung</t>
  </si>
  <si>
    <t>YNZ</t>
  </si>
  <si>
    <t>Yancheng Airport</t>
  </si>
  <si>
    <t>Yancheng</t>
  </si>
  <si>
    <t>YOA</t>
  </si>
  <si>
    <t>Ekati Airport</t>
  </si>
  <si>
    <t>Ekati</t>
  </si>
  <si>
    <t>YOC</t>
  </si>
  <si>
    <t>Old Crow Airport</t>
  </si>
  <si>
    <t>Old Crow</t>
  </si>
  <si>
    <t>YOD</t>
  </si>
  <si>
    <t>CFB Cold Lake</t>
  </si>
  <si>
    <t>Cold Lake</t>
  </si>
  <si>
    <t>YOG</t>
  </si>
  <si>
    <t>Ogoki Post Airport</t>
  </si>
  <si>
    <t>Ogoki Post</t>
  </si>
  <si>
    <t>YOH</t>
  </si>
  <si>
    <t>Oxford House Airport</t>
  </si>
  <si>
    <t>Oxford House</t>
  </si>
  <si>
    <t>YOJ</t>
  </si>
  <si>
    <t>High Level Airport</t>
  </si>
  <si>
    <t>High Level</t>
  </si>
  <si>
    <t>YOL</t>
  </si>
  <si>
    <t>Yola Airport</t>
  </si>
  <si>
    <t>Yola</t>
  </si>
  <si>
    <t>YOO</t>
  </si>
  <si>
    <t>Oshawa Airport</t>
  </si>
  <si>
    <t>Oshawa</t>
  </si>
  <si>
    <t>YOP</t>
  </si>
  <si>
    <t>Rainbow Lake Airport</t>
  </si>
  <si>
    <t>Rainbow Lake</t>
  </si>
  <si>
    <t>YOS</t>
  </si>
  <si>
    <t>Owen Sound / Billy Bishop Regional Airport</t>
  </si>
  <si>
    <t>Owen Sound</t>
  </si>
  <si>
    <t>YOW</t>
  </si>
  <si>
    <t>Ottawa Macdonald-Cartier International Airport</t>
  </si>
  <si>
    <t>Ottawa</t>
  </si>
  <si>
    <t>YPA</t>
  </si>
  <si>
    <t>Prince Albert Glass Field</t>
  </si>
  <si>
    <t>Prince Albert</t>
  </si>
  <si>
    <t>YPC</t>
  </si>
  <si>
    <t>Paulatuk (Nora Aliqatchialuk Ruben) Airport</t>
  </si>
  <si>
    <t>Paulatuk</t>
  </si>
  <si>
    <t>YPD</t>
  </si>
  <si>
    <t>Parry Sound Area Municipal Airport</t>
  </si>
  <si>
    <t>Parry Sound</t>
  </si>
  <si>
    <t>YPE</t>
  </si>
  <si>
    <t>Peace River Airport</t>
  </si>
  <si>
    <t>Peace River</t>
  </si>
  <si>
    <t>YPG</t>
  </si>
  <si>
    <t>Southport Airport</t>
  </si>
  <si>
    <t>Portage-la-prairie</t>
  </si>
  <si>
    <t>YPH</t>
  </si>
  <si>
    <t>Inukjuak Airport</t>
  </si>
  <si>
    <t>Inukjuak</t>
  </si>
  <si>
    <t>YPJ</t>
  </si>
  <si>
    <t>Aupaluk Airport</t>
  </si>
  <si>
    <t>Aupaluk</t>
  </si>
  <si>
    <t>YPL</t>
  </si>
  <si>
    <t>Pickle Lake Airport</t>
  </si>
  <si>
    <t>Pickle Lake</t>
  </si>
  <si>
    <t>YPM</t>
  </si>
  <si>
    <t>Pikangikum Airport</t>
  </si>
  <si>
    <t>Pikangikum</t>
  </si>
  <si>
    <t>YPN</t>
  </si>
  <si>
    <t>Port Menier Airport</t>
  </si>
  <si>
    <t>Port Menier</t>
  </si>
  <si>
    <t>YPO</t>
  </si>
  <si>
    <t>Peawanuck Airport</t>
  </si>
  <si>
    <t>Peawanuck</t>
  </si>
  <si>
    <t>YPQ</t>
  </si>
  <si>
    <t>Peterborough Airport</t>
  </si>
  <si>
    <t>YPR</t>
  </si>
  <si>
    <t>Prince Rupert Airport</t>
  </si>
  <si>
    <t>Prince Pupert</t>
  </si>
  <si>
    <t>YPS</t>
  </si>
  <si>
    <t>Port Hawkesbury Airport</t>
  </si>
  <si>
    <t>Port Hawkesbury</t>
  </si>
  <si>
    <t>YPW</t>
  </si>
  <si>
    <t>Powell River Airport</t>
  </si>
  <si>
    <t>Powell River</t>
  </si>
  <si>
    <t>YPX</t>
  </si>
  <si>
    <t>Puvirnituq Airport</t>
  </si>
  <si>
    <t>Puvirnituq</t>
  </si>
  <si>
    <t>YPY</t>
  </si>
  <si>
    <t>Fort Chipewyan Airport</t>
  </si>
  <si>
    <t>Fort Chipewyan</t>
  </si>
  <si>
    <t>YQA</t>
  </si>
  <si>
    <t>Muskoka Airport</t>
  </si>
  <si>
    <t>Muskoka</t>
  </si>
  <si>
    <t>YQB</t>
  </si>
  <si>
    <t>Quebec Jean Lesage International Airport</t>
  </si>
  <si>
    <t>Quebec</t>
  </si>
  <si>
    <t>YQC</t>
  </si>
  <si>
    <t>Quaqtaq Airport</t>
  </si>
  <si>
    <t>Quaqtaq</t>
  </si>
  <si>
    <t>YQD</t>
  </si>
  <si>
    <t>The Pas Airport</t>
  </si>
  <si>
    <t>The Pas</t>
  </si>
  <si>
    <t>YQF</t>
  </si>
  <si>
    <t>Red Deer Regional Airport</t>
  </si>
  <si>
    <t>Red Deer Industrial</t>
  </si>
  <si>
    <t>YQG</t>
  </si>
  <si>
    <t>Windsor Airport</t>
  </si>
  <si>
    <t>Windsor</t>
  </si>
  <si>
    <t>YQH</t>
  </si>
  <si>
    <t>Watson Lake Airport</t>
  </si>
  <si>
    <t>Watson Lake</t>
  </si>
  <si>
    <t>YQI</t>
  </si>
  <si>
    <t>Yarmouth Airport</t>
  </si>
  <si>
    <t>Yarmouth</t>
  </si>
  <si>
    <t>YQK</t>
  </si>
  <si>
    <t>Kenora Airport</t>
  </si>
  <si>
    <t>YQL</t>
  </si>
  <si>
    <t>Lethbridge County Airport</t>
  </si>
  <si>
    <t>Lethbridge</t>
  </si>
  <si>
    <t>YQM</t>
  </si>
  <si>
    <t>Greater Moncton International Airport</t>
  </si>
  <si>
    <t>Moncton</t>
  </si>
  <si>
    <t>YQN</t>
  </si>
  <si>
    <t>Nakina Airport</t>
  </si>
  <si>
    <t>Nakina</t>
  </si>
  <si>
    <t>YQQ</t>
  </si>
  <si>
    <t>Comox Airport</t>
  </si>
  <si>
    <t>Comox</t>
  </si>
  <si>
    <t>YQR</t>
  </si>
  <si>
    <t>Regina International Airport</t>
  </si>
  <si>
    <t>Regina</t>
  </si>
  <si>
    <t>YQS</t>
  </si>
  <si>
    <t>St Thomas Municipal Airport</t>
  </si>
  <si>
    <t>St Thomas</t>
  </si>
  <si>
    <t>YQT</t>
  </si>
  <si>
    <t>Thunder Bay Airport</t>
  </si>
  <si>
    <t>Thunder Bay</t>
  </si>
  <si>
    <t>YQU</t>
  </si>
  <si>
    <t>Grande Prairie Airport</t>
  </si>
  <si>
    <t>Grande Prairie</t>
  </si>
  <si>
    <t>YQV</t>
  </si>
  <si>
    <t>Yorkton Municipal Airport</t>
  </si>
  <si>
    <t>Yorkton</t>
  </si>
  <si>
    <t>YQW</t>
  </si>
  <si>
    <t>North Battleford Airport</t>
  </si>
  <si>
    <t>North Battleford</t>
  </si>
  <si>
    <t>YQX</t>
  </si>
  <si>
    <t>Gander International Airport</t>
  </si>
  <si>
    <t>Gander</t>
  </si>
  <si>
    <t>YQY</t>
  </si>
  <si>
    <t>Sydney / J.A. Douglas McCurdy Airport</t>
  </si>
  <si>
    <t>YQZ</t>
  </si>
  <si>
    <t>Quesnel Airport</t>
  </si>
  <si>
    <t>Quesnel</t>
  </si>
  <si>
    <t>YRA</t>
  </si>
  <si>
    <t>Rae Lakes Airport</t>
  </si>
  <si>
    <t>Gamètì</t>
  </si>
  <si>
    <t>YRB</t>
  </si>
  <si>
    <t>Resolute Bay Airport</t>
  </si>
  <si>
    <t>Resolute</t>
  </si>
  <si>
    <t>YRF</t>
  </si>
  <si>
    <t>Cartwright Airport</t>
  </si>
  <si>
    <t>Cartwright</t>
  </si>
  <si>
    <t>YRG</t>
  </si>
  <si>
    <t>Rigolet Airport</t>
  </si>
  <si>
    <t>Rigolet</t>
  </si>
  <si>
    <t>YRI</t>
  </si>
  <si>
    <t>Rivière-du-Loup Airport</t>
  </si>
  <si>
    <t>Riviere Du Loup</t>
  </si>
  <si>
    <t>YRJ</t>
  </si>
  <si>
    <t>Roberval Airport</t>
  </si>
  <si>
    <t>Roberval</t>
  </si>
  <si>
    <t>YRL</t>
  </si>
  <si>
    <t>Red Lake Airport</t>
  </si>
  <si>
    <t>Red Lake</t>
  </si>
  <si>
    <t>YRM</t>
  </si>
  <si>
    <t>Rocky Mountain House Airport</t>
  </si>
  <si>
    <t>Rocky Mountain House</t>
  </si>
  <si>
    <t>YRO</t>
  </si>
  <si>
    <t>Ottawa / Rockcliffe Airport</t>
  </si>
  <si>
    <t>YRP</t>
  </si>
  <si>
    <t>Ottawa / Carp Airport</t>
  </si>
  <si>
    <t>YRQ</t>
  </si>
  <si>
    <t>Trois-Rivières Airport</t>
  </si>
  <si>
    <t>Trois Rivieres</t>
  </si>
  <si>
    <t>YRS</t>
  </si>
  <si>
    <t>Red Sucker Lake Airport</t>
  </si>
  <si>
    <t>Red Sucker Lake</t>
  </si>
  <si>
    <t>YRT</t>
  </si>
  <si>
    <t>Rankin Inlet Airport</t>
  </si>
  <si>
    <t>Rankin Inlet</t>
  </si>
  <si>
    <t>YRV</t>
  </si>
  <si>
    <t>Revelstoke Airport</t>
  </si>
  <si>
    <t>Revelstoke</t>
  </si>
  <si>
    <t>YSB</t>
  </si>
  <si>
    <t>Sudbury Airport</t>
  </si>
  <si>
    <t>Sudbury</t>
  </si>
  <si>
    <t>YSC</t>
  </si>
  <si>
    <t>Sherbrooke Airport</t>
  </si>
  <si>
    <t>Sherbrooke</t>
  </si>
  <si>
    <t>YSD</t>
  </si>
  <si>
    <t>Suffield Heliport</t>
  </si>
  <si>
    <t>Suffield</t>
  </si>
  <si>
    <t>YSE</t>
  </si>
  <si>
    <t>Squamish Airport</t>
  </si>
  <si>
    <t>Squamish</t>
  </si>
  <si>
    <t>YSF</t>
  </si>
  <si>
    <t>Stony Rapids Airport</t>
  </si>
  <si>
    <t>Stony Rapids</t>
  </si>
  <si>
    <t>YSG</t>
  </si>
  <si>
    <t>St Georges Airport</t>
  </si>
  <si>
    <t>Lutselk'e</t>
  </si>
  <si>
    <t>YSH</t>
  </si>
  <si>
    <t>Smiths Falls-Montague (Russ Beach) Airport</t>
  </si>
  <si>
    <t>Smiths Falls</t>
  </si>
  <si>
    <t>YSJ</t>
  </si>
  <si>
    <t>Saint John Airport</t>
  </si>
  <si>
    <t>St. John</t>
  </si>
  <si>
    <t>YSK</t>
  </si>
  <si>
    <t>Sanikiluaq Airport</t>
  </si>
  <si>
    <t>Sanikiluaq</t>
  </si>
  <si>
    <t>YSL</t>
  </si>
  <si>
    <t>St Leonard Airport</t>
  </si>
  <si>
    <t>St Leonard</t>
  </si>
  <si>
    <t>YSM</t>
  </si>
  <si>
    <t>Fort Smith Airport</t>
  </si>
  <si>
    <t>YSN</t>
  </si>
  <si>
    <t>Salmon Arm Airport</t>
  </si>
  <si>
    <t>Salmon Arm</t>
  </si>
  <si>
    <t>YSO</t>
  </si>
  <si>
    <t>Postville Airport</t>
  </si>
  <si>
    <t>Postville</t>
  </si>
  <si>
    <t>YSP</t>
  </si>
  <si>
    <t>Marathon Airport</t>
  </si>
  <si>
    <t>YSR</t>
  </si>
  <si>
    <t>Nanisivik Airport</t>
  </si>
  <si>
    <t>Nanisivik</t>
  </si>
  <si>
    <t>YST</t>
  </si>
  <si>
    <t>St. Theresa Point Airport</t>
  </si>
  <si>
    <t>St. Theresa Point</t>
  </si>
  <si>
    <t>YSU</t>
  </si>
  <si>
    <t>Summerside Airport</t>
  </si>
  <si>
    <t>Summerside</t>
  </si>
  <si>
    <t>YSY</t>
  </si>
  <si>
    <t>Sachs Harbour (David Nasogaluak Jr. Saaryuaq) Airport</t>
  </si>
  <si>
    <t>Sachs Harbour</t>
  </si>
  <si>
    <t>YTA</t>
  </si>
  <si>
    <t>Pembroke Airport</t>
  </si>
  <si>
    <t>Pembroke</t>
  </si>
  <si>
    <t>YTD</t>
  </si>
  <si>
    <t>Thicket Portage Airport</t>
  </si>
  <si>
    <t>Thicket Portage</t>
  </si>
  <si>
    <t>YTE</t>
  </si>
  <si>
    <t>Cape Dorset Airport</t>
  </si>
  <si>
    <t>Cape Dorset</t>
  </si>
  <si>
    <t>YTF</t>
  </si>
  <si>
    <t>Alma Airport</t>
  </si>
  <si>
    <t>Alma</t>
  </si>
  <si>
    <t>YTH</t>
  </si>
  <si>
    <t>Thompson Airport</t>
  </si>
  <si>
    <t>Thompson</t>
  </si>
  <si>
    <t>YTL</t>
  </si>
  <si>
    <t>Big Trout Lake Airport</t>
  </si>
  <si>
    <t>Big Trout Lake</t>
  </si>
  <si>
    <t>YTM</t>
  </si>
  <si>
    <t>La Macaza / Mont-Tremblant International Inc Airport</t>
  </si>
  <si>
    <t>Mont-Tremblant</t>
  </si>
  <si>
    <t>YTQ</t>
  </si>
  <si>
    <t>Tasiujaq Airport</t>
  </si>
  <si>
    <t>Tasiujaq</t>
  </si>
  <si>
    <t>YTR</t>
  </si>
  <si>
    <t>CFB Trenton</t>
  </si>
  <si>
    <t>YTS</t>
  </si>
  <si>
    <t>Timmins/Victor M. Power</t>
  </si>
  <si>
    <t>Timmins</t>
  </si>
  <si>
    <t>YTY</t>
  </si>
  <si>
    <t>Yangzhou Taizhou Airport</t>
  </si>
  <si>
    <t>Yangzhou</t>
  </si>
  <si>
    <t>YTZ</t>
  </si>
  <si>
    <t>Billy Bishop Toronto City Centre Airport</t>
  </si>
  <si>
    <t>YUB</t>
  </si>
  <si>
    <t>Tuktoyaktuk Airport</t>
  </si>
  <si>
    <t>Tuktoyaktuk</t>
  </si>
  <si>
    <t>YUD</t>
  </si>
  <si>
    <t>Umiujaq Airport</t>
  </si>
  <si>
    <t>Umiujaq</t>
  </si>
  <si>
    <t>YUE</t>
  </si>
  <si>
    <t>Yuendumu Airport</t>
  </si>
  <si>
    <t>Yuendumu</t>
  </si>
  <si>
    <t>YUL</t>
  </si>
  <si>
    <t>Montreal / Pierre Elliott Trudeau International Airport</t>
  </si>
  <si>
    <t>YUM</t>
  </si>
  <si>
    <t>Yuma MCAS/Yuma International Airport</t>
  </si>
  <si>
    <t>Yuma</t>
  </si>
  <si>
    <t>YUS</t>
  </si>
  <si>
    <t>Yushu Batang Airport</t>
  </si>
  <si>
    <t>Yushu</t>
  </si>
  <si>
    <t>YUT</t>
  </si>
  <si>
    <t>Repulse Bay Airport</t>
  </si>
  <si>
    <t>Repulse Bay</t>
  </si>
  <si>
    <t>YUX</t>
  </si>
  <si>
    <t>Hall Beach Airport</t>
  </si>
  <si>
    <t>Hall Beach</t>
  </si>
  <si>
    <t>YUY</t>
  </si>
  <si>
    <t>Rouyn Noranda Airport</t>
  </si>
  <si>
    <t>Rouyn</t>
  </si>
  <si>
    <t>YVA</t>
  </si>
  <si>
    <t>Iconi Airport</t>
  </si>
  <si>
    <t>YVB</t>
  </si>
  <si>
    <t>Bonaventure Airport</t>
  </si>
  <si>
    <t>Bonaventure</t>
  </si>
  <si>
    <t>YVC</t>
  </si>
  <si>
    <t>La Ronge Airport</t>
  </si>
  <si>
    <t>La Ronge</t>
  </si>
  <si>
    <t>YVD</t>
  </si>
  <si>
    <t>Virden/R.J. (Bob) Andrew Field Regional Aerodrome</t>
  </si>
  <si>
    <t>Virden</t>
  </si>
  <si>
    <t>YVE</t>
  </si>
  <si>
    <t>Vernon Airport</t>
  </si>
  <si>
    <t>Vernon</t>
  </si>
  <si>
    <t>YVG</t>
  </si>
  <si>
    <t>Vermilion Airport</t>
  </si>
  <si>
    <t>Vermillion</t>
  </si>
  <si>
    <t>YVM</t>
  </si>
  <si>
    <t>Qikiqtarjuaq Airport</t>
  </si>
  <si>
    <t>Broughton Island</t>
  </si>
  <si>
    <t>YVO</t>
  </si>
  <si>
    <t>Val-d'Or Airport</t>
  </si>
  <si>
    <t>Val D'or</t>
  </si>
  <si>
    <t>YVP</t>
  </si>
  <si>
    <t>Kuujjuaq Airport</t>
  </si>
  <si>
    <t>Quujjuaq</t>
  </si>
  <si>
    <t>YVQ</t>
  </si>
  <si>
    <t>Norman Wells Airport</t>
  </si>
  <si>
    <t>Norman Wells</t>
  </si>
  <si>
    <t>YVR</t>
  </si>
  <si>
    <t>Vancouver International Airport</t>
  </si>
  <si>
    <t>YVT</t>
  </si>
  <si>
    <t>Buffalo Narrows Airport</t>
  </si>
  <si>
    <t>Buffalo Narrows</t>
  </si>
  <si>
    <t>YVV</t>
  </si>
  <si>
    <t>Wiarton Airport</t>
  </si>
  <si>
    <t>Wiarton</t>
  </si>
  <si>
    <t>YVZ</t>
  </si>
  <si>
    <t>YWA</t>
  </si>
  <si>
    <t>Petawawa Airport</t>
  </si>
  <si>
    <t>Petawawa</t>
  </si>
  <si>
    <t>YWB</t>
  </si>
  <si>
    <t>Kangiqsujuaq (Wakeham Bay) Airport</t>
  </si>
  <si>
    <t>Kangiqsujuaq</t>
  </si>
  <si>
    <t>YWG</t>
  </si>
  <si>
    <t>Winnipeg / James Armstrong Richardson International Airport</t>
  </si>
  <si>
    <t>YWH</t>
  </si>
  <si>
    <t>Victoria Harbour Seaplane Base</t>
  </si>
  <si>
    <t>YWJ</t>
  </si>
  <si>
    <t>Déline Airport</t>
  </si>
  <si>
    <t>Deline</t>
  </si>
  <si>
    <t>YWK</t>
  </si>
  <si>
    <t>Wabush Airport</t>
  </si>
  <si>
    <t>Wabush</t>
  </si>
  <si>
    <t>YWL</t>
  </si>
  <si>
    <t>Williams Lake Airport</t>
  </si>
  <si>
    <t>Williams Lake</t>
  </si>
  <si>
    <t>YWM</t>
  </si>
  <si>
    <t>Williams Harbour Airport</t>
  </si>
  <si>
    <t>Williams Harbour</t>
  </si>
  <si>
    <t>YWP</t>
  </si>
  <si>
    <t>Webequie Airport</t>
  </si>
  <si>
    <t>Webequie</t>
  </si>
  <si>
    <t>YWS</t>
  </si>
  <si>
    <t>Whistler/Green Lake Water Aerodrome</t>
  </si>
  <si>
    <t>Whistler</t>
  </si>
  <si>
    <t>YWY</t>
  </si>
  <si>
    <t>Wrigley Airport</t>
  </si>
  <si>
    <t>Wrigley</t>
  </si>
  <si>
    <t>YXC</t>
  </si>
  <si>
    <t>Cranbrook/Canadian Rockies International Airport</t>
  </si>
  <si>
    <t>Cranbrook</t>
  </si>
  <si>
    <t>YXD</t>
  </si>
  <si>
    <t>Edmonton City Centre (Blatchford Field) Airport</t>
  </si>
  <si>
    <t>YXE</t>
  </si>
  <si>
    <t>Saskatoon John G. Diefenbaker International Airport</t>
  </si>
  <si>
    <t>Saskatoon</t>
  </si>
  <si>
    <t>YXH</t>
  </si>
  <si>
    <t>Medicine Hat Airport</t>
  </si>
  <si>
    <t>Medicine Hat</t>
  </si>
  <si>
    <t>YXJ</t>
  </si>
  <si>
    <t>Fort St John Airport</t>
  </si>
  <si>
    <t>Fort Saint John</t>
  </si>
  <si>
    <t>YXK</t>
  </si>
  <si>
    <t>Rimouski Airport</t>
  </si>
  <si>
    <t>Rimouski</t>
  </si>
  <si>
    <t>YXL</t>
  </si>
  <si>
    <t>Sioux Lookout Airport</t>
  </si>
  <si>
    <t>Sioux Lookout</t>
  </si>
  <si>
    <t>YXN</t>
  </si>
  <si>
    <t>Whale Cove Airport</t>
  </si>
  <si>
    <t>Whale Cove</t>
  </si>
  <si>
    <t>YXP</t>
  </si>
  <si>
    <t>Pangnirtung Airport</t>
  </si>
  <si>
    <t>Pangnirtung</t>
  </si>
  <si>
    <t>YXQ</t>
  </si>
  <si>
    <t>Beaver Creek Airport</t>
  </si>
  <si>
    <t>Beaver Creek</t>
  </si>
  <si>
    <t>YXR</t>
  </si>
  <si>
    <t>Earlton (Timiskaming Regional) Airport</t>
  </si>
  <si>
    <t>Earlton</t>
  </si>
  <si>
    <t>YXS</t>
  </si>
  <si>
    <t>Prince George Airport</t>
  </si>
  <si>
    <t>Prince George</t>
  </si>
  <si>
    <t>YXT</t>
  </si>
  <si>
    <t>Northwest Regional Airport Terrace-Kitimat</t>
  </si>
  <si>
    <t>Terrace</t>
  </si>
  <si>
    <t>YXU</t>
  </si>
  <si>
    <t>London Airport</t>
  </si>
  <si>
    <t>YXX</t>
  </si>
  <si>
    <t>Abbotsford Airport</t>
  </si>
  <si>
    <t>Abbotsford</t>
  </si>
  <si>
    <t>YXY</t>
  </si>
  <si>
    <t>Whitehorse / Erik Nielsen International Airport</t>
  </si>
  <si>
    <t>Whitehorse</t>
  </si>
  <si>
    <t>YXZ</t>
  </si>
  <si>
    <t>Wawa Airport</t>
  </si>
  <si>
    <t>Wawa</t>
  </si>
  <si>
    <t>YYB</t>
  </si>
  <si>
    <t>North Bay Airport</t>
  </si>
  <si>
    <t>North Bay</t>
  </si>
  <si>
    <t>YYC</t>
  </si>
  <si>
    <t>Calgary International Airport</t>
  </si>
  <si>
    <t>YYD</t>
  </si>
  <si>
    <t>Smithers Airport</t>
  </si>
  <si>
    <t>Smithers</t>
  </si>
  <si>
    <t>YYE</t>
  </si>
  <si>
    <t>Fort Nelson Airport</t>
  </si>
  <si>
    <t>Fort Nelson</t>
  </si>
  <si>
    <t>YYF</t>
  </si>
  <si>
    <t>Penticton Airport</t>
  </si>
  <si>
    <t>Penticton</t>
  </si>
  <si>
    <t>YYG</t>
  </si>
  <si>
    <t>Charlottetown Airport</t>
  </si>
  <si>
    <t>Charlottetown</t>
  </si>
  <si>
    <t>YYH</t>
  </si>
  <si>
    <t>Taloyoak Airport</t>
  </si>
  <si>
    <t>Spence Bay</t>
  </si>
  <si>
    <t>YYJ</t>
  </si>
  <si>
    <t>Victoria International Airport</t>
  </si>
  <si>
    <t>YYL</t>
  </si>
  <si>
    <t>Lynn Lake Airport</t>
  </si>
  <si>
    <t>Lynn Lake</t>
  </si>
  <si>
    <t>YYN</t>
  </si>
  <si>
    <t>Swift Current Airport</t>
  </si>
  <si>
    <t>Swift Current</t>
  </si>
  <si>
    <t>YYQ</t>
  </si>
  <si>
    <t>Churchill Airport</t>
  </si>
  <si>
    <t>Churchill</t>
  </si>
  <si>
    <t>YYR</t>
  </si>
  <si>
    <t>Goose Bay Airport</t>
  </si>
  <si>
    <t>Goose Bay</t>
  </si>
  <si>
    <t>YYT</t>
  </si>
  <si>
    <t>St. John's International Airport</t>
  </si>
  <si>
    <t>St. John's</t>
  </si>
  <si>
    <t>YYU</t>
  </si>
  <si>
    <t>Kapuskasing Airport</t>
  </si>
  <si>
    <t>Kapuskasing</t>
  </si>
  <si>
    <t>YYW</t>
  </si>
  <si>
    <t>Armstrong Airport</t>
  </si>
  <si>
    <t>Armstrong</t>
  </si>
  <si>
    <t>YYY</t>
  </si>
  <si>
    <t>Mont Joli Airport</t>
  </si>
  <si>
    <t>Mont Joli</t>
  </si>
  <si>
    <t>YYZ</t>
  </si>
  <si>
    <t>Lester B. Pearson International Airport</t>
  </si>
  <si>
    <t>YZD</t>
  </si>
  <si>
    <t>Downsview Airport</t>
  </si>
  <si>
    <t>YZE</t>
  </si>
  <si>
    <t>Gore Bay Manitoulin Airport</t>
  </si>
  <si>
    <t>Gore Bay</t>
  </si>
  <si>
    <t>YZF</t>
  </si>
  <si>
    <t>Yellowknife Airport</t>
  </si>
  <si>
    <t>Yellowknife</t>
  </si>
  <si>
    <t>YZG</t>
  </si>
  <si>
    <t>Salluit Airport</t>
  </si>
  <si>
    <t>Salluit</t>
  </si>
  <si>
    <t>YZH</t>
  </si>
  <si>
    <t>Slave Lake Airport</t>
  </si>
  <si>
    <t>Slave Lake</t>
  </si>
  <si>
    <t>YZP</t>
  </si>
  <si>
    <t>Sandspit Airport</t>
  </si>
  <si>
    <t>Sandspit</t>
  </si>
  <si>
    <t>YZR</t>
  </si>
  <si>
    <t>Chris Hadfield Airport</t>
  </si>
  <si>
    <t>Sarnia</t>
  </si>
  <si>
    <t>YZS</t>
  </si>
  <si>
    <t>Coral Harbour Airport</t>
  </si>
  <si>
    <t>Coral Harbour</t>
  </si>
  <si>
    <t>YZT</t>
  </si>
  <si>
    <t>Port Hardy Airport</t>
  </si>
  <si>
    <t>Port Hardy</t>
  </si>
  <si>
    <t>YZU</t>
  </si>
  <si>
    <t>Whitecourt Airport</t>
  </si>
  <si>
    <t>Whitecourt</t>
  </si>
  <si>
    <t>YZV</t>
  </si>
  <si>
    <t>Sept-Îles Airport</t>
  </si>
  <si>
    <t>Sept-iles</t>
  </si>
  <si>
    <t>YZW</t>
  </si>
  <si>
    <t>Teslin Airport</t>
  </si>
  <si>
    <t>Teslin</t>
  </si>
  <si>
    <t>YZX</t>
  </si>
  <si>
    <t>CFB Greenwood</t>
  </si>
  <si>
    <t>YZY</t>
  </si>
  <si>
    <t>Mackenzie Airport</t>
  </si>
  <si>
    <t>Mackenzie British Columbia</t>
  </si>
  <si>
    <t>YZZ</t>
  </si>
  <si>
    <t>Trail Airport</t>
  </si>
  <si>
    <t>Trail</t>
  </si>
  <si>
    <t>Z84</t>
  </si>
  <si>
    <t>Clear Airport</t>
  </si>
  <si>
    <t>Clear Mews</t>
  </si>
  <si>
    <t>ZAC</t>
  </si>
  <si>
    <t>York Landing Airport</t>
  </si>
  <si>
    <t>York Landing</t>
  </si>
  <si>
    <t>ZAD</t>
  </si>
  <si>
    <t>Zemunik Airport</t>
  </si>
  <si>
    <t>Zadar</t>
  </si>
  <si>
    <t>ZAG</t>
  </si>
  <si>
    <t>Zagreb Airport</t>
  </si>
  <si>
    <t>Zagreb</t>
  </si>
  <si>
    <t>ZAH</t>
  </si>
  <si>
    <t>Zahedan International Airport</t>
  </si>
  <si>
    <t>Zahedan</t>
  </si>
  <si>
    <t>ZAJ</t>
  </si>
  <si>
    <t>Zaranj Airport</t>
  </si>
  <si>
    <t>Zaranj</t>
  </si>
  <si>
    <t>ZAL</t>
  </si>
  <si>
    <t>Pichoy Airport</t>
  </si>
  <si>
    <t>Valdivia</t>
  </si>
  <si>
    <t>ZAM</t>
  </si>
  <si>
    <t>Zamboanga International Airport</t>
  </si>
  <si>
    <t>Zamboanga</t>
  </si>
  <si>
    <t>ZAR</t>
  </si>
  <si>
    <t>Zaria Airport</t>
  </si>
  <si>
    <t>Zaria</t>
  </si>
  <si>
    <t>ZAT</t>
  </si>
  <si>
    <t>Zhaotong Airport</t>
  </si>
  <si>
    <t>Zhaotong</t>
  </si>
  <si>
    <t>ZAZ</t>
  </si>
  <si>
    <t>Zaragoza Air Base</t>
  </si>
  <si>
    <t>Zaragoza</t>
  </si>
  <si>
    <t>ZBF</t>
  </si>
  <si>
    <t>ZBM</t>
  </si>
  <si>
    <t>Bromont (Roland Desourdy) Airport</t>
  </si>
  <si>
    <t>Bromont</t>
  </si>
  <si>
    <t>ZBR</t>
  </si>
  <si>
    <t>Konarak Airport</t>
  </si>
  <si>
    <t>Chah Bahar</t>
  </si>
  <si>
    <t>ZCA</t>
  </si>
  <si>
    <t>Arnsberg-Menden Airport</t>
  </si>
  <si>
    <t>Arnsberg</t>
  </si>
  <si>
    <t>ZCL</t>
  </si>
  <si>
    <t>General Leobardo C. Ruiz International Airport</t>
  </si>
  <si>
    <t>Zacatecas</t>
  </si>
  <si>
    <t>ZCN</t>
  </si>
  <si>
    <t>Celle Airport</t>
  </si>
  <si>
    <t>ZCO</t>
  </si>
  <si>
    <t>Maquehue Airport</t>
  </si>
  <si>
    <t>Temuco</t>
  </si>
  <si>
    <t>ZEL</t>
  </si>
  <si>
    <t>Denny Island Airport</t>
  </si>
  <si>
    <t>Bella Bella</t>
  </si>
  <si>
    <t>ZEM</t>
  </si>
  <si>
    <t>Eastmain River Airport</t>
  </si>
  <si>
    <t>Eastmain River</t>
  </si>
  <si>
    <t>ZFA</t>
  </si>
  <si>
    <t>ZFD</t>
  </si>
  <si>
    <t>Fond-Du-Lac Airport</t>
  </si>
  <si>
    <t>Fond-Du-Lac</t>
  </si>
  <si>
    <t>ZFM</t>
  </si>
  <si>
    <t>Fort Mcpherson Airport</t>
  </si>
  <si>
    <t>Fort Mcpherson</t>
  </si>
  <si>
    <t>ZFN</t>
  </si>
  <si>
    <t>Tulita Airport</t>
  </si>
  <si>
    <t>Tulita</t>
  </si>
  <si>
    <t>ZGF</t>
  </si>
  <si>
    <t>Grand Forks Airport</t>
  </si>
  <si>
    <t>ZGI</t>
  </si>
  <si>
    <t>Gods River Airport</t>
  </si>
  <si>
    <t>Gods River</t>
  </si>
  <si>
    <t>ZGR</t>
  </si>
  <si>
    <t>Little Grand Rapids Airport</t>
  </si>
  <si>
    <t>Little Grand Rapids</t>
  </si>
  <si>
    <t>ZGU</t>
  </si>
  <si>
    <t>Gaua Island Airport</t>
  </si>
  <si>
    <t>Gaua Island</t>
  </si>
  <si>
    <t>ZHA</t>
  </si>
  <si>
    <t>Zhanjiang Airport</t>
  </si>
  <si>
    <t>Zhanjiang</t>
  </si>
  <si>
    <t>ZHY</t>
  </si>
  <si>
    <t>Zhongwei Shapotou Airport</t>
  </si>
  <si>
    <t>Zhongwei</t>
  </si>
  <si>
    <t>ZIC</t>
  </si>
  <si>
    <t>ZIG</t>
  </si>
  <si>
    <t>Ziguinchor Airport</t>
  </si>
  <si>
    <t>Ziguinchor</t>
  </si>
  <si>
    <t>ZIH</t>
  </si>
  <si>
    <t>Ixtapa Zihuatanejo International Airport</t>
  </si>
  <si>
    <t>Zihuatanejo</t>
  </si>
  <si>
    <t>ZIN</t>
  </si>
  <si>
    <t>Interlaken Air Base</t>
  </si>
  <si>
    <t>Interlaken</t>
  </si>
  <si>
    <t>ZIX</t>
  </si>
  <si>
    <t>Zhigansk Airport</t>
  </si>
  <si>
    <t>Zhigansk</t>
  </si>
  <si>
    <t>ZJG</t>
  </si>
  <si>
    <t>Jenpeg Airport</t>
  </si>
  <si>
    <t>Jenpeg</t>
  </si>
  <si>
    <t>ZJI</t>
  </si>
  <si>
    <t>Locarno Airport</t>
  </si>
  <si>
    <t>Locarno</t>
  </si>
  <si>
    <t>ZJN</t>
  </si>
  <si>
    <t>Swan River Airport</t>
  </si>
  <si>
    <t>Swan River</t>
  </si>
  <si>
    <t>ZKB</t>
  </si>
  <si>
    <t>Kasaba Bay Airport</t>
  </si>
  <si>
    <t>Kasaba Bay</t>
  </si>
  <si>
    <t>ZKE</t>
  </si>
  <si>
    <t>Kashechewan Airport</t>
  </si>
  <si>
    <t>Kashechewan</t>
  </si>
  <si>
    <t>ZKG</t>
  </si>
  <si>
    <t>Kegaska Airport</t>
  </si>
  <si>
    <t>Kegaska</t>
  </si>
  <si>
    <t>ZKP</t>
  </si>
  <si>
    <t>Zyryanka Airport</t>
  </si>
  <si>
    <t>Zyryanka</t>
  </si>
  <si>
    <t>ZLO</t>
  </si>
  <si>
    <t>Playa De Oro International Airport</t>
  </si>
  <si>
    <t>ZLT</t>
  </si>
  <si>
    <t>La Tabatière Airport</t>
  </si>
  <si>
    <t>La Tabatière</t>
  </si>
  <si>
    <t>ZML</t>
  </si>
  <si>
    <t>South Cariboo Region / 108 Mile Airport</t>
  </si>
  <si>
    <t>108 Mile Ranch</t>
  </si>
  <si>
    <t>ZMM</t>
  </si>
  <si>
    <t>Zamora Airport</t>
  </si>
  <si>
    <t>Zamora</t>
  </si>
  <si>
    <t>ZMT</t>
  </si>
  <si>
    <t>Masset Airport</t>
  </si>
  <si>
    <t>Masset</t>
  </si>
  <si>
    <t>ZNA</t>
  </si>
  <si>
    <t>Nanaimo Harbour Water Airport</t>
  </si>
  <si>
    <t>ZND</t>
  </si>
  <si>
    <t>Zinder Airport</t>
  </si>
  <si>
    <t>Zinder</t>
  </si>
  <si>
    <t>ZNE</t>
  </si>
  <si>
    <t>Newman Airport</t>
  </si>
  <si>
    <t>Newman</t>
  </si>
  <si>
    <t>ZNF</t>
  </si>
  <si>
    <t>Hanau Army Air Field</t>
  </si>
  <si>
    <t>Hanau</t>
  </si>
  <si>
    <t>ZNV</t>
  </si>
  <si>
    <t>Koblenz-Winningen Airport</t>
  </si>
  <si>
    <t>Koblenz</t>
  </si>
  <si>
    <t>ZNZ</t>
  </si>
  <si>
    <t>Abeid Amani Karume International Airport</t>
  </si>
  <si>
    <t>Zanzibar</t>
  </si>
  <si>
    <t>ZOS</t>
  </si>
  <si>
    <t>Cañal Bajo Carlos - Hott Siebert Airport</t>
  </si>
  <si>
    <t>Osorno</t>
  </si>
  <si>
    <t>ZPB</t>
  </si>
  <si>
    <t>Sachigo Lake Airport</t>
  </si>
  <si>
    <t>Sachigo Lake</t>
  </si>
  <si>
    <t>ZPC</t>
  </si>
  <si>
    <t>Pucón Airport</t>
  </si>
  <si>
    <t>Pucon</t>
  </si>
  <si>
    <t>ZPH</t>
  </si>
  <si>
    <t>Zephyrhills Municipal Airport</t>
  </si>
  <si>
    <t>Zephyrhills</t>
  </si>
  <si>
    <t>ZQC</t>
  </si>
  <si>
    <t>Speyer Airport</t>
  </si>
  <si>
    <t>Speyer</t>
  </si>
  <si>
    <t>ZQF</t>
  </si>
  <si>
    <t>Trier-Föhren Airport</t>
  </si>
  <si>
    <t>Trier</t>
  </si>
  <si>
    <t>ZQL</t>
  </si>
  <si>
    <t>Donaueschingen-Villingen Airport</t>
  </si>
  <si>
    <t>Donaueschingen</t>
  </si>
  <si>
    <t>ZQN</t>
  </si>
  <si>
    <t>Queenstown International Airport</t>
  </si>
  <si>
    <t>Queenstown International</t>
  </si>
  <si>
    <t>ZQW</t>
  </si>
  <si>
    <t>Zweibrücken Airport</t>
  </si>
  <si>
    <t>Zweibruecken</t>
  </si>
  <si>
    <t>ZRH</t>
  </si>
  <si>
    <t>Zürich Airport</t>
  </si>
  <si>
    <t>Zurich</t>
  </si>
  <si>
    <t>ZRJ</t>
  </si>
  <si>
    <t>Round Lake (Weagamow Lake) Airport</t>
  </si>
  <si>
    <t>Round Lake</t>
  </si>
  <si>
    <t>ZSA</t>
  </si>
  <si>
    <t>San Salvador Airport</t>
  </si>
  <si>
    <t>ZSE</t>
  </si>
  <si>
    <t>Pierrefonds Airport</t>
  </si>
  <si>
    <t>ZSJ</t>
  </si>
  <si>
    <t>Sandy Lake Airport</t>
  </si>
  <si>
    <t>Sandy Lake</t>
  </si>
  <si>
    <t>ZSN</t>
  </si>
  <si>
    <t>Stendal-Borstel Airport</t>
  </si>
  <si>
    <t>Stendal</t>
  </si>
  <si>
    <t>ZST</t>
  </si>
  <si>
    <t>Stewart Airport</t>
  </si>
  <si>
    <t>Stewart</t>
  </si>
  <si>
    <t>ZSW</t>
  </si>
  <si>
    <t>Prince Rupert/Seal Cove Seaplane Base</t>
  </si>
  <si>
    <t>Prince Rupert</t>
  </si>
  <si>
    <t>ZSY</t>
  </si>
  <si>
    <t>Scottsdale Airport</t>
  </si>
  <si>
    <t>Scottsdale</t>
  </si>
  <si>
    <t>ZTA</t>
  </si>
  <si>
    <t>Tureia Airport</t>
  </si>
  <si>
    <t>Tureia</t>
  </si>
  <si>
    <t>ZTB</t>
  </si>
  <si>
    <t>Tête-à-la-Baleine Airport</t>
  </si>
  <si>
    <t>Tête-à-la-Baleine</t>
  </si>
  <si>
    <t>ZTH</t>
  </si>
  <si>
    <t>Dionysios Solomos Airport</t>
  </si>
  <si>
    <t>Zakynthos</t>
  </si>
  <si>
    <t>ZTM</t>
  </si>
  <si>
    <t>Shamattawa Airport</t>
  </si>
  <si>
    <t>Shamattawa</t>
  </si>
  <si>
    <t>ZTR</t>
  </si>
  <si>
    <t>Zhytomyr Airport</t>
  </si>
  <si>
    <t>ZTU</t>
  </si>
  <si>
    <t>Zaqatala International Airport</t>
  </si>
  <si>
    <t>Zaqatala</t>
  </si>
  <si>
    <t>ZUC</t>
  </si>
  <si>
    <t>Ignace Municipal Airport</t>
  </si>
  <si>
    <t>Ignace</t>
  </si>
  <si>
    <t>ZUH</t>
  </si>
  <si>
    <t>Zhuhai Jinwan Airport</t>
  </si>
  <si>
    <t>Zhuhai</t>
  </si>
  <si>
    <t>ZUM</t>
  </si>
  <si>
    <t>Churchill Falls Airport</t>
  </si>
  <si>
    <t>Churchill Falls</t>
  </si>
  <si>
    <t>ZUN</t>
  </si>
  <si>
    <t>Black Rock Airport</t>
  </si>
  <si>
    <t>Zuni Pueblo</t>
  </si>
  <si>
    <t>ZVA</t>
  </si>
  <si>
    <t>Miandrivazo Airport</t>
  </si>
  <si>
    <t>Miandrivazo</t>
  </si>
  <si>
    <t>ZVK</t>
  </si>
  <si>
    <t>Savannakhet Airport</t>
  </si>
  <si>
    <t>Savannakhet</t>
  </si>
  <si>
    <t>ZWA</t>
  </si>
  <si>
    <t>Andapa Airport</t>
  </si>
  <si>
    <t>Andapa</t>
  </si>
  <si>
    <t>ZWL</t>
  </si>
  <si>
    <t>Wollaston Lake Airport</t>
  </si>
  <si>
    <t>Wollaston Lake</t>
  </si>
  <si>
    <t>ZXB</t>
  </si>
  <si>
    <t>Jan Mayensfield</t>
  </si>
  <si>
    <t>Jan Mayen</t>
  </si>
  <si>
    <t>ZYI</t>
  </si>
  <si>
    <t>Zunyi Xinzhou Airport</t>
  </si>
  <si>
    <t>Zunyi</t>
  </si>
  <si>
    <t>ZYL</t>
  </si>
  <si>
    <t>Osmany International Airport</t>
  </si>
  <si>
    <t>Sylhet Osmani</t>
  </si>
  <si>
    <t>ZZU</t>
  </si>
  <si>
    <t>Mzuzu Airport</t>
  </si>
  <si>
    <t>Mzuzu</t>
  </si>
  <si>
    <t>ZZV</t>
  </si>
  <si>
    <t>Zanesville Municipal Airport</t>
  </si>
  <si>
    <t>Zanesville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</si>
</sst>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0.0%"/>
    <numFmt numFmtId="166" formatCode="yyyy-mm"/>
  </numFmts>
  <fonts count="23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2.0"/>
      <color rgb="FF000000"/>
      <name val="Arial"/>
    </font>
    <font>
      <color theme="1"/>
      <name val="Aptos Narrow"/>
      <scheme val="minor"/>
    </font>
    <font>
      <b/>
      <u/>
      <sz val="11.0"/>
      <color rgb="FF0000FF"/>
      <name val="&quot;Aptos Narrow&quot;"/>
    </font>
    <font>
      <sz val="12.0"/>
      <color rgb="FF000000"/>
      <name val="&quot;Aptos Narrow&quot;"/>
    </font>
    <font>
      <sz val="11.0"/>
      <color rgb="FF000000"/>
      <name val="&quot;Aptos Narrow&quot;"/>
    </font>
    <font>
      <sz val="11.0"/>
      <color theme="1"/>
      <name val="Aptos Narrow"/>
    </font>
    <font>
      <color theme="1"/>
      <name val="Arial"/>
    </font>
    <font>
      <sz val="11.0"/>
      <color rgb="FF000000"/>
      <name val="Arial"/>
    </font>
    <font>
      <u/>
      <color rgb="FF0000FF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u/>
      <sz val="11.0"/>
      <color rgb="FF467886"/>
      <name val="Aptos narrow"/>
    </font>
    <font>
      <u/>
      <color rgb="FF467886"/>
      <name val="Arial"/>
    </font>
    <font>
      <sz val="11.0"/>
      <color theme="1"/>
      <name val="Aptos narrow"/>
    </font>
    <font>
      <u/>
      <sz val="9.0"/>
      <color rgb="FF0000FF"/>
      <name val="Google Sans Mono"/>
    </font>
    <font>
      <u/>
      <sz val="11.0"/>
      <color rgb="FF1155CC"/>
      <name val="Aptos narrow"/>
    </font>
    <font>
      <u/>
      <color rgb="FF0000FF"/>
      <name val="Arial"/>
    </font>
    <font>
      <u/>
      <color rgb="FF0000FF"/>
      <name val="Arial"/>
    </font>
    <font>
      <u/>
      <color rgb="FF4678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44B3E1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8" numFmtId="164" xfId="0" applyFont="1" applyNumberFormat="1"/>
    <xf borderId="0" fillId="0" fontId="8" numFmtId="165" xfId="0" applyFont="1" applyNumberFormat="1"/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166" xfId="0" applyAlignment="1" applyFont="1" applyNumberFormat="1">
      <alignment readingOrder="0" shrinkToFit="0" vertical="bottom" wrapText="0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8" numFmtId="9" xfId="0" applyFont="1" applyNumberFormat="1"/>
    <xf borderId="0" fillId="0" fontId="4" numFmtId="0" xfId="0" applyFont="1"/>
    <xf borderId="0" fillId="0" fontId="7" numFmtId="0" xfId="0" applyAlignment="1" applyFont="1">
      <alignment horizontal="left" readingOrder="0" shrinkToFit="0" vertical="bottom" wrapText="0"/>
    </xf>
    <xf borderId="0" fillId="0" fontId="4" numFmtId="164" xfId="0" applyFont="1" applyNumberFormat="1"/>
    <xf borderId="0" fillId="0" fontId="4" numFmtId="165" xfId="0" applyFont="1" applyNumberFormat="1"/>
    <xf borderId="0" fillId="0" fontId="11" numFmtId="0" xfId="0" applyFont="1"/>
    <xf borderId="0" fillId="3" fontId="9" numFmtId="0" xfId="0" applyAlignment="1" applyFill="1" applyFont="1">
      <alignment readingOrder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7" numFmtId="3" xfId="0" applyAlignment="1" applyFont="1" applyNumberFormat="1">
      <alignment readingOrder="0" shrinkToFit="0" vertical="bottom" wrapText="0"/>
    </xf>
    <xf borderId="0" fillId="0" fontId="4" numFmtId="3" xfId="0" applyFont="1" applyNumberFormat="1"/>
    <xf borderId="0" fillId="0" fontId="7" numFmtId="9" xfId="0" applyAlignment="1" applyFont="1" applyNumberFormat="1">
      <alignment horizontal="right" readingOrder="0" shrinkToFit="0" vertical="bottom" wrapText="0"/>
    </xf>
    <xf borderId="0" fillId="0" fontId="6" numFmtId="1" xfId="0" applyAlignment="1" applyFont="1" applyNumberFormat="1">
      <alignment readingOrder="0" shrinkToFit="0" vertical="bottom" wrapText="0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9" numFmtId="0" xfId="0" applyAlignment="1" applyFont="1">
      <alignment horizontal="right"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0" fontId="14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4" fontId="7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4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8</xdr:row>
      <xdr:rowOff>0</xdr:rowOff>
    </xdr:from>
    <xdr:ext cx="1952625" cy="781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ag.com/flight-data-sets" TargetMode="External"/><Relationship Id="rId2" Type="http://schemas.openxmlformats.org/officeDocument/2006/relationships/hyperlink" Target="https://www.oag.com/try-oa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oag.com/hubfs/Flourish/Thailand.png" TargetMode="External"/><Relationship Id="rId391" Type="http://schemas.openxmlformats.org/officeDocument/2006/relationships/hyperlink" Target="https://www.oag.com/hubfs/Flourish/India.png" TargetMode="External"/><Relationship Id="rId390" Type="http://schemas.openxmlformats.org/officeDocument/2006/relationships/hyperlink" Target="https://www.oag.com/hubfs/Flourish/India.png" TargetMode="External"/><Relationship Id="rId2180" Type="http://schemas.openxmlformats.org/officeDocument/2006/relationships/hyperlink" Target="https://www.oag.com/hubfs/Flourish/3-1.png" TargetMode="External"/><Relationship Id="rId2181" Type="http://schemas.openxmlformats.org/officeDocument/2006/relationships/hyperlink" Target="https://www.oag.com/hubfs/Flourish/6.png" TargetMode="External"/><Relationship Id="rId2182" Type="http://schemas.openxmlformats.org/officeDocument/2006/relationships/hyperlink" Target="https://www.oag.com/hubfs/Flourish/China.png" TargetMode="External"/><Relationship Id="rId2183" Type="http://schemas.openxmlformats.org/officeDocument/2006/relationships/hyperlink" Target="https://www.oag.com/hubfs/Flourish/Japan.png" TargetMode="External"/><Relationship Id="rId385" Type="http://schemas.openxmlformats.org/officeDocument/2006/relationships/hyperlink" Target="https://www.oag.com/hubfs/Flourish/India.png" TargetMode="External"/><Relationship Id="rId2184" Type="http://schemas.openxmlformats.org/officeDocument/2006/relationships/hyperlink" Target="https://www.oag.com/hubfs/Flourish/Japan.png" TargetMode="External"/><Relationship Id="rId384" Type="http://schemas.openxmlformats.org/officeDocument/2006/relationships/hyperlink" Target="https://www.oag.com/hubfs/Flourish/India.png" TargetMode="External"/><Relationship Id="rId2185" Type="http://schemas.openxmlformats.org/officeDocument/2006/relationships/hyperlink" Target="https://www.oag.com/hubfs/Flourish/United%20States.png" TargetMode="External"/><Relationship Id="rId383" Type="http://schemas.openxmlformats.org/officeDocument/2006/relationships/hyperlink" Target="https://www.oag.com/hubfs/Flourish/India.png" TargetMode="External"/><Relationship Id="rId2186" Type="http://schemas.openxmlformats.org/officeDocument/2006/relationships/hyperlink" Target="https://www.oag.com/hubfs/Flourish/India.png" TargetMode="External"/><Relationship Id="rId382" Type="http://schemas.openxmlformats.org/officeDocument/2006/relationships/hyperlink" Target="https://www.oag.com/hubfs/Flourish/India.png" TargetMode="External"/><Relationship Id="rId2187" Type="http://schemas.openxmlformats.org/officeDocument/2006/relationships/hyperlink" Target="https://www.oag.com/hubfs/Flourish/United%20States.png" TargetMode="External"/><Relationship Id="rId389" Type="http://schemas.openxmlformats.org/officeDocument/2006/relationships/hyperlink" Target="https://www.oag.com/hubfs/Flourish/India.png" TargetMode="External"/><Relationship Id="rId2188" Type="http://schemas.openxmlformats.org/officeDocument/2006/relationships/hyperlink" Target="https://www.oag.com/hubfs/Flourish/United%20States.png" TargetMode="External"/><Relationship Id="rId388" Type="http://schemas.openxmlformats.org/officeDocument/2006/relationships/hyperlink" Target="https://www.oag.com/hubfs/Flourish/India.png" TargetMode="External"/><Relationship Id="rId2189" Type="http://schemas.openxmlformats.org/officeDocument/2006/relationships/hyperlink" Target="https://www.oag.com/hubfs/Flourish/United%20States.png" TargetMode="External"/><Relationship Id="rId387" Type="http://schemas.openxmlformats.org/officeDocument/2006/relationships/hyperlink" Target="https://www.oag.com/hubfs/Flourish/India.png" TargetMode="External"/><Relationship Id="rId386" Type="http://schemas.openxmlformats.org/officeDocument/2006/relationships/hyperlink" Target="https://www.oag.com/hubfs/Flourish/India.png" TargetMode="External"/><Relationship Id="rId381" Type="http://schemas.openxmlformats.org/officeDocument/2006/relationships/hyperlink" Target="https://www.oag.com/hubfs/Flourish/India.png" TargetMode="External"/><Relationship Id="rId380" Type="http://schemas.openxmlformats.org/officeDocument/2006/relationships/hyperlink" Target="https://www.oag.com/hubfs/Flourish/Hong%20kong.jpg" TargetMode="External"/><Relationship Id="rId379" Type="http://schemas.openxmlformats.org/officeDocument/2006/relationships/hyperlink" Target="https://www.oag.com/hubfs/Flourish/India.png" TargetMode="External"/><Relationship Id="rId2170" Type="http://schemas.openxmlformats.org/officeDocument/2006/relationships/hyperlink" Target="https://www.oag.com/hubfs/Flourish/3-1.png" TargetMode="External"/><Relationship Id="rId2171" Type="http://schemas.openxmlformats.org/officeDocument/2006/relationships/hyperlink" Target="https://www.oag.com/hubfs/Flourish/United%20States.png" TargetMode="External"/><Relationship Id="rId2172" Type="http://schemas.openxmlformats.org/officeDocument/2006/relationships/hyperlink" Target="https://www.oag.com/hubfs/Flourish/United%20States.png" TargetMode="External"/><Relationship Id="rId374" Type="http://schemas.openxmlformats.org/officeDocument/2006/relationships/hyperlink" Target="https://www.oag.com/hubfs/Flourish/India.png" TargetMode="External"/><Relationship Id="rId2173" Type="http://schemas.openxmlformats.org/officeDocument/2006/relationships/hyperlink" Target="https://www.oag.com/hubfs/Flourish/United%20States.png" TargetMode="External"/><Relationship Id="rId373" Type="http://schemas.openxmlformats.org/officeDocument/2006/relationships/hyperlink" Target="https://www.oag.com/hubfs/Flourish/India.png" TargetMode="External"/><Relationship Id="rId2174" Type="http://schemas.openxmlformats.org/officeDocument/2006/relationships/hyperlink" Target="https://www.oag.com/hubfs/Flourish/United%20States.png" TargetMode="External"/><Relationship Id="rId372" Type="http://schemas.openxmlformats.org/officeDocument/2006/relationships/hyperlink" Target="https://www.oag.com/hubfs/Flourish/India.png" TargetMode="External"/><Relationship Id="rId2175" Type="http://schemas.openxmlformats.org/officeDocument/2006/relationships/hyperlink" Target="https://www.oag.com/hubfs/Flourish/United%20States.png" TargetMode="External"/><Relationship Id="rId371" Type="http://schemas.openxmlformats.org/officeDocument/2006/relationships/hyperlink" Target="https://www.oag.com/hubfs/Flourish/India.png" TargetMode="External"/><Relationship Id="rId2176" Type="http://schemas.openxmlformats.org/officeDocument/2006/relationships/hyperlink" Target="https://www.oag.com/hubfs/Flourish/United%20States.png" TargetMode="External"/><Relationship Id="rId378" Type="http://schemas.openxmlformats.org/officeDocument/2006/relationships/hyperlink" Target="https://www.oag.com/hubfs/Flourish/India.png" TargetMode="External"/><Relationship Id="rId2177" Type="http://schemas.openxmlformats.org/officeDocument/2006/relationships/hyperlink" Target="https://www.oag.com/hubfs/Flourish/S%20Korea.jpg" TargetMode="External"/><Relationship Id="rId377" Type="http://schemas.openxmlformats.org/officeDocument/2006/relationships/hyperlink" Target="https://www.oag.com/hubfs/Flourish/India.png" TargetMode="External"/><Relationship Id="rId2178" Type="http://schemas.openxmlformats.org/officeDocument/2006/relationships/hyperlink" Target="https://www.oag.com/hubfs/Flourish/United%20States.png" TargetMode="External"/><Relationship Id="rId376" Type="http://schemas.openxmlformats.org/officeDocument/2006/relationships/hyperlink" Target="https://www.oag.com/hubfs/Flourish/India.png" TargetMode="External"/><Relationship Id="rId2179" Type="http://schemas.openxmlformats.org/officeDocument/2006/relationships/hyperlink" Target="https://www.oag.com/hubfs/Flourish/Mexico.png" TargetMode="External"/><Relationship Id="rId375" Type="http://schemas.openxmlformats.org/officeDocument/2006/relationships/hyperlink" Target="https://www.oag.com/hubfs/Flourish/India.png" TargetMode="External"/><Relationship Id="rId2190" Type="http://schemas.openxmlformats.org/officeDocument/2006/relationships/hyperlink" Target="https://www.oag.com/hubfs/Flourish/7.png" TargetMode="External"/><Relationship Id="rId2191" Type="http://schemas.openxmlformats.org/officeDocument/2006/relationships/hyperlink" Target="https://www.oag.com/hubfs/Flourish/United%20States.png" TargetMode="External"/><Relationship Id="rId2192" Type="http://schemas.openxmlformats.org/officeDocument/2006/relationships/hyperlink" Target="https://www.oag.com/hubfs/Flourish/3-1.png" TargetMode="External"/><Relationship Id="rId2193" Type="http://schemas.openxmlformats.org/officeDocument/2006/relationships/hyperlink" Target="https://www.oag.com/hubfs/Flourish/Mexico.png" TargetMode="External"/><Relationship Id="rId2194" Type="http://schemas.openxmlformats.org/officeDocument/2006/relationships/hyperlink" Target="https://www.oag.com/hubfs/Flourish/India.png" TargetMode="External"/><Relationship Id="rId396" Type="http://schemas.openxmlformats.org/officeDocument/2006/relationships/hyperlink" Target="https://www.oag.com/hubfs/Flourish/Thailand.png" TargetMode="External"/><Relationship Id="rId2195" Type="http://schemas.openxmlformats.org/officeDocument/2006/relationships/hyperlink" Target="https://www.oag.com/hubfs/Flourish/Thailand.png" TargetMode="External"/><Relationship Id="rId395" Type="http://schemas.openxmlformats.org/officeDocument/2006/relationships/hyperlink" Target="https://www.oag.com/hubfs/Flourish/Thailand.png" TargetMode="External"/><Relationship Id="rId2196" Type="http://schemas.openxmlformats.org/officeDocument/2006/relationships/hyperlink" Target="https://www.oag.com/hubfs/Flourish/China.png" TargetMode="External"/><Relationship Id="rId394" Type="http://schemas.openxmlformats.org/officeDocument/2006/relationships/hyperlink" Target="https://www.oag.com/hubfs/Flourish/Thailand.png" TargetMode="External"/><Relationship Id="rId2197" Type="http://schemas.openxmlformats.org/officeDocument/2006/relationships/hyperlink" Target="https://www.oag.com/hubfs/Flourish/6.png" TargetMode="External"/><Relationship Id="rId393" Type="http://schemas.openxmlformats.org/officeDocument/2006/relationships/hyperlink" Target="https://www.oag.com/hubfs/Flourish/Thailand.png" TargetMode="External"/><Relationship Id="rId2198" Type="http://schemas.openxmlformats.org/officeDocument/2006/relationships/hyperlink" Target="https://www.oag.com/hubfs/Flourish/7.png" TargetMode="External"/><Relationship Id="rId2199" Type="http://schemas.openxmlformats.org/officeDocument/2006/relationships/hyperlink" Target="https://www.oag.com/hubfs/Flourish/Thailand.png" TargetMode="External"/><Relationship Id="rId399" Type="http://schemas.openxmlformats.org/officeDocument/2006/relationships/hyperlink" Target="https://www.oag.com/hubfs/Flourish/Thailand.png" TargetMode="External"/><Relationship Id="rId398" Type="http://schemas.openxmlformats.org/officeDocument/2006/relationships/hyperlink" Target="https://www.oag.com/hubfs/Flourish/Thailand.png" TargetMode="External"/><Relationship Id="rId397" Type="http://schemas.openxmlformats.org/officeDocument/2006/relationships/hyperlink" Target="https://www.oag.com/hubfs/Flourish/Thailand.png" TargetMode="External"/><Relationship Id="rId1730" Type="http://schemas.openxmlformats.org/officeDocument/2006/relationships/hyperlink" Target="https://www.oag.com/hubfs/Flourish/United%20States.png" TargetMode="External"/><Relationship Id="rId1731" Type="http://schemas.openxmlformats.org/officeDocument/2006/relationships/hyperlink" Target="https://www.oag.com/hubfs/Flourish/United%20States.png" TargetMode="External"/><Relationship Id="rId1732" Type="http://schemas.openxmlformats.org/officeDocument/2006/relationships/hyperlink" Target="https://www.oag.com/hubfs/Flourish/Japan.png" TargetMode="External"/><Relationship Id="rId1733" Type="http://schemas.openxmlformats.org/officeDocument/2006/relationships/hyperlink" Target="https://www.oag.com/hubfs/Flourish/United%20States.png" TargetMode="External"/><Relationship Id="rId1734" Type="http://schemas.openxmlformats.org/officeDocument/2006/relationships/hyperlink" Target="https://www.oag.com/hubfs/Flourish/Qatar.jpg" TargetMode="External"/><Relationship Id="rId1735" Type="http://schemas.openxmlformats.org/officeDocument/2006/relationships/hyperlink" Target="https://www.oag.com/hubfs/Flourish/Japan.png" TargetMode="External"/><Relationship Id="rId1736" Type="http://schemas.openxmlformats.org/officeDocument/2006/relationships/hyperlink" Target="https://www.oag.com/hubfs/Flourish/Japan.png" TargetMode="External"/><Relationship Id="rId1737" Type="http://schemas.openxmlformats.org/officeDocument/2006/relationships/hyperlink" Target="https://www.oag.com/hubfs/Flourish/United%20States.png" TargetMode="External"/><Relationship Id="rId1738" Type="http://schemas.openxmlformats.org/officeDocument/2006/relationships/hyperlink" Target="https://www.oag.com/hubfs/Flourish/India.png" TargetMode="External"/><Relationship Id="rId1739" Type="http://schemas.openxmlformats.org/officeDocument/2006/relationships/hyperlink" Target="https://www.oag.com/hubfs/Flourish/India.png" TargetMode="External"/><Relationship Id="rId1720" Type="http://schemas.openxmlformats.org/officeDocument/2006/relationships/hyperlink" Target="https://www.oag.com/hubfs/Flourish/2-1.png" TargetMode="External"/><Relationship Id="rId1721" Type="http://schemas.openxmlformats.org/officeDocument/2006/relationships/hyperlink" Target="https://www.oag.com/hubfs/Flourish/7.png" TargetMode="External"/><Relationship Id="rId1722" Type="http://schemas.openxmlformats.org/officeDocument/2006/relationships/hyperlink" Target="https://www.oag.com/hubfs/Flourish/Japan.png" TargetMode="External"/><Relationship Id="rId1723" Type="http://schemas.openxmlformats.org/officeDocument/2006/relationships/hyperlink" Target="https://www.oag.com/hubfs/Flourish/Mexico.png" TargetMode="External"/><Relationship Id="rId1724" Type="http://schemas.openxmlformats.org/officeDocument/2006/relationships/hyperlink" Target="https://www.oag.com/hubfs/Flourish/India.png" TargetMode="External"/><Relationship Id="rId1725" Type="http://schemas.openxmlformats.org/officeDocument/2006/relationships/hyperlink" Target="https://www.oag.com/hubfs/Flourish/United%20States.png" TargetMode="External"/><Relationship Id="rId1726" Type="http://schemas.openxmlformats.org/officeDocument/2006/relationships/hyperlink" Target="https://www.oag.com/hubfs/Flourish/United%20States.png" TargetMode="External"/><Relationship Id="rId1727" Type="http://schemas.openxmlformats.org/officeDocument/2006/relationships/hyperlink" Target="https://www.oag.com/hubfs/Flourish/United%20States.png" TargetMode="External"/><Relationship Id="rId1728" Type="http://schemas.openxmlformats.org/officeDocument/2006/relationships/hyperlink" Target="https://www.oag.com/hubfs/Flourish/United%20States.png" TargetMode="External"/><Relationship Id="rId1729" Type="http://schemas.openxmlformats.org/officeDocument/2006/relationships/hyperlink" Target="https://www.oag.com/hubfs/Flourish/7.png" TargetMode="External"/><Relationship Id="rId1752" Type="http://schemas.openxmlformats.org/officeDocument/2006/relationships/hyperlink" Target="https://www.oag.com/hubfs/Flourish/India.png" TargetMode="External"/><Relationship Id="rId1753" Type="http://schemas.openxmlformats.org/officeDocument/2006/relationships/hyperlink" Target="https://www.oag.com/hubfs/Flourish/India.png" TargetMode="External"/><Relationship Id="rId1754" Type="http://schemas.openxmlformats.org/officeDocument/2006/relationships/hyperlink" Target="https://www.oag.com/hubfs/Flourish/India.png" TargetMode="External"/><Relationship Id="rId1755" Type="http://schemas.openxmlformats.org/officeDocument/2006/relationships/hyperlink" Target="https://www.oag.com/hubfs/Flourish/India.png" TargetMode="External"/><Relationship Id="rId1756" Type="http://schemas.openxmlformats.org/officeDocument/2006/relationships/hyperlink" Target="https://www.oag.com/hubfs/Flourish/India.png" TargetMode="External"/><Relationship Id="rId1757" Type="http://schemas.openxmlformats.org/officeDocument/2006/relationships/hyperlink" Target="https://www.oag.com/hubfs/Flourish/United%20States.png" TargetMode="External"/><Relationship Id="rId1758" Type="http://schemas.openxmlformats.org/officeDocument/2006/relationships/hyperlink" Target="https://www.oag.com/hubfs/Flourish/United%20States.png" TargetMode="External"/><Relationship Id="rId1759" Type="http://schemas.openxmlformats.org/officeDocument/2006/relationships/hyperlink" Target="https://www.oag.com/hubfs/Flourish/Japan.png" TargetMode="External"/><Relationship Id="rId1750" Type="http://schemas.openxmlformats.org/officeDocument/2006/relationships/hyperlink" Target="https://www.oag.com/hubfs/Flourish/India.png" TargetMode="External"/><Relationship Id="rId1751" Type="http://schemas.openxmlformats.org/officeDocument/2006/relationships/hyperlink" Target="https://www.oag.com/hubfs/Flourish/India.png" TargetMode="External"/><Relationship Id="rId1741" Type="http://schemas.openxmlformats.org/officeDocument/2006/relationships/hyperlink" Target="https://www.oag.com/hubfs/Flourish/India.png" TargetMode="External"/><Relationship Id="rId1742" Type="http://schemas.openxmlformats.org/officeDocument/2006/relationships/hyperlink" Target="https://www.oag.com/hubfs/Flourish/India.png" TargetMode="External"/><Relationship Id="rId1743" Type="http://schemas.openxmlformats.org/officeDocument/2006/relationships/hyperlink" Target="https://www.oag.com/hubfs/Flourish/India.png" TargetMode="External"/><Relationship Id="rId1744" Type="http://schemas.openxmlformats.org/officeDocument/2006/relationships/hyperlink" Target="https://www.oag.com/hubfs/Flourish/India.png" TargetMode="External"/><Relationship Id="rId1745" Type="http://schemas.openxmlformats.org/officeDocument/2006/relationships/hyperlink" Target="https://www.oag.com/hubfs/Flourish/India.png" TargetMode="External"/><Relationship Id="rId1746" Type="http://schemas.openxmlformats.org/officeDocument/2006/relationships/hyperlink" Target="https://www.oag.com/hubfs/Flourish/India.png" TargetMode="External"/><Relationship Id="rId1747" Type="http://schemas.openxmlformats.org/officeDocument/2006/relationships/hyperlink" Target="https://www.oag.com/hubfs/Flourish/India.png" TargetMode="External"/><Relationship Id="rId1748" Type="http://schemas.openxmlformats.org/officeDocument/2006/relationships/hyperlink" Target="https://www.oag.com/hubfs/Flourish/India.png" TargetMode="External"/><Relationship Id="rId1749" Type="http://schemas.openxmlformats.org/officeDocument/2006/relationships/hyperlink" Target="https://www.oag.com/hubfs/Flourish/India.png" TargetMode="External"/><Relationship Id="rId1740" Type="http://schemas.openxmlformats.org/officeDocument/2006/relationships/hyperlink" Target="https://www.oag.com/hubfs/Flourish/India.png" TargetMode="External"/><Relationship Id="rId1710" Type="http://schemas.openxmlformats.org/officeDocument/2006/relationships/hyperlink" Target="https://www.oag.com/hubfs/Flourish/United%20States.png" TargetMode="External"/><Relationship Id="rId1711" Type="http://schemas.openxmlformats.org/officeDocument/2006/relationships/hyperlink" Target="https://www.oag.com/hubfs/Flourish/United%20States.png" TargetMode="External"/><Relationship Id="rId1712" Type="http://schemas.openxmlformats.org/officeDocument/2006/relationships/hyperlink" Target="https://www.oag.com/hubfs/Flourish/Ireland.png" TargetMode="External"/><Relationship Id="rId1713" Type="http://schemas.openxmlformats.org/officeDocument/2006/relationships/hyperlink" Target="https://www.oag.com/hubfs/Flourish/United%20States.png" TargetMode="External"/><Relationship Id="rId1714" Type="http://schemas.openxmlformats.org/officeDocument/2006/relationships/hyperlink" Target="https://www.oag.com/hubfs/Flourish/United%20States.png" TargetMode="External"/><Relationship Id="rId1715" Type="http://schemas.openxmlformats.org/officeDocument/2006/relationships/hyperlink" Target="https://www.oag.com/hubfs/Flourish/United%20States.png" TargetMode="External"/><Relationship Id="rId1716" Type="http://schemas.openxmlformats.org/officeDocument/2006/relationships/hyperlink" Target="https://www.oag.com/hubfs/Flourish/China.png" TargetMode="External"/><Relationship Id="rId1717" Type="http://schemas.openxmlformats.org/officeDocument/2006/relationships/hyperlink" Target="https://www.oag.com/hubfs/Flourish/China.png" TargetMode="External"/><Relationship Id="rId1718" Type="http://schemas.openxmlformats.org/officeDocument/2006/relationships/hyperlink" Target="https://www.oag.com/hubfs/Flourish/United%20States.png" TargetMode="External"/><Relationship Id="rId1719" Type="http://schemas.openxmlformats.org/officeDocument/2006/relationships/hyperlink" Target="https://www.oag.com/hubfs/Flourish/United%20States.png" TargetMode="External"/><Relationship Id="rId1700" Type="http://schemas.openxmlformats.org/officeDocument/2006/relationships/hyperlink" Target="https://www.oag.com/hubfs/Flourish/United%20States.png" TargetMode="External"/><Relationship Id="rId1701" Type="http://schemas.openxmlformats.org/officeDocument/2006/relationships/hyperlink" Target="https://www.oag.com/hubfs/Flourish/China.png" TargetMode="External"/><Relationship Id="rId1702" Type="http://schemas.openxmlformats.org/officeDocument/2006/relationships/hyperlink" Target="https://www.oag.com/hubfs/Flourish/United%20States.png" TargetMode="External"/><Relationship Id="rId1703" Type="http://schemas.openxmlformats.org/officeDocument/2006/relationships/hyperlink" Target="https://www.oag.com/hubfs/Flourish/United%20States.png" TargetMode="External"/><Relationship Id="rId1704" Type="http://schemas.openxmlformats.org/officeDocument/2006/relationships/hyperlink" Target="https://www.oag.com/hubfs/Flourish/United%20States.png" TargetMode="External"/><Relationship Id="rId1705" Type="http://schemas.openxmlformats.org/officeDocument/2006/relationships/hyperlink" Target="https://www.oag.com/hubfs/Flourish/United%20States.png" TargetMode="External"/><Relationship Id="rId1706" Type="http://schemas.openxmlformats.org/officeDocument/2006/relationships/hyperlink" Target="https://www.oag.com/hubfs/Flourish/Ireland.png" TargetMode="External"/><Relationship Id="rId1707" Type="http://schemas.openxmlformats.org/officeDocument/2006/relationships/hyperlink" Target="https://www.oag.com/hubfs/Flourish/United%20States.png" TargetMode="External"/><Relationship Id="rId1708" Type="http://schemas.openxmlformats.org/officeDocument/2006/relationships/hyperlink" Target="https://www.oag.com/hubfs/Flourish/United%20States.png" TargetMode="External"/><Relationship Id="rId1709" Type="http://schemas.openxmlformats.org/officeDocument/2006/relationships/hyperlink" Target="https://www.oag.com/hubfs/Flourish/2-1.png" TargetMode="External"/><Relationship Id="rId40" Type="http://schemas.openxmlformats.org/officeDocument/2006/relationships/hyperlink" Target="https://www.oag.com/hubfs/Flourish/Viet%20Nam.png" TargetMode="External"/><Relationship Id="rId42" Type="http://schemas.openxmlformats.org/officeDocument/2006/relationships/hyperlink" Target="https://www.oag.com/hubfs/Flourish/8.png" TargetMode="External"/><Relationship Id="rId41" Type="http://schemas.openxmlformats.org/officeDocument/2006/relationships/hyperlink" Target="https://www.oag.com/hubfs/Flourish/Airlines/Emirates.jpg" TargetMode="External"/><Relationship Id="rId44" Type="http://schemas.openxmlformats.org/officeDocument/2006/relationships/hyperlink" Target="https://www.oag.com/hubfs/Flourish/Air%20Peace.jpg" TargetMode="External"/><Relationship Id="rId43" Type="http://schemas.openxmlformats.org/officeDocument/2006/relationships/hyperlink" Target="https://www.oag.com/hubfs/Flourish/Philippines.png" TargetMode="External"/><Relationship Id="rId46" Type="http://schemas.openxmlformats.org/officeDocument/2006/relationships/hyperlink" Target="https://www.oag.com/hubfs/Flourish/Other-1.png" TargetMode="External"/><Relationship Id="rId45" Type="http://schemas.openxmlformats.org/officeDocument/2006/relationships/hyperlink" Target="https://www.oag.com/hubfs/Flourish/8.png" TargetMode="External"/><Relationship Id="rId48" Type="http://schemas.openxmlformats.org/officeDocument/2006/relationships/hyperlink" Target="https://www.oag.com/hubfs/Flourish/8.png" TargetMode="External"/><Relationship Id="rId47" Type="http://schemas.openxmlformats.org/officeDocument/2006/relationships/hyperlink" Target="https://www.oag.com/hubfs/Flourish/Airlines/South%20African%20airways.png" TargetMode="External"/><Relationship Id="rId49" Type="http://schemas.openxmlformats.org/officeDocument/2006/relationships/hyperlink" Target="https://www.oag.com/hubfs/Flourish/Indonesia.png" TargetMode="External"/><Relationship Id="rId31" Type="http://schemas.openxmlformats.org/officeDocument/2006/relationships/hyperlink" Target="https://www.oag.com/hubfs/Flourish/Airlines/Ethiopian.jpg" TargetMode="External"/><Relationship Id="rId30" Type="http://schemas.openxmlformats.org/officeDocument/2006/relationships/hyperlink" Target="https://www.oag.com/hubfs/Flourish/Airlines/SAS.png" TargetMode="External"/><Relationship Id="rId33" Type="http://schemas.openxmlformats.org/officeDocument/2006/relationships/hyperlink" Target="https://www.oag.com/hubfs/Flourish/Airlines/egypt%20air.jpg" TargetMode="External"/><Relationship Id="rId32" Type="http://schemas.openxmlformats.org/officeDocument/2006/relationships/hyperlink" Target="https://www.oag.com/hubfs/Flourish/Airlines/SafAir.jpg" TargetMode="External"/><Relationship Id="rId35" Type="http://schemas.openxmlformats.org/officeDocument/2006/relationships/hyperlink" Target="https://www.oag.com/hubfs/Flourish/Airlines/Air%20Algerie.jpg" TargetMode="External"/><Relationship Id="rId34" Type="http://schemas.openxmlformats.org/officeDocument/2006/relationships/hyperlink" Target="https://www.oag.com/hubfs/Flourish/Airlines/Royal%20Air%20Maroc.jpg" TargetMode="External"/><Relationship Id="rId37" Type="http://schemas.openxmlformats.org/officeDocument/2006/relationships/hyperlink" Target="https://www.oag.com/hubfs/Flourish/Airlines/Kenya%20Airways.jpg" TargetMode="External"/><Relationship Id="rId36" Type="http://schemas.openxmlformats.org/officeDocument/2006/relationships/hyperlink" Target="https://www.oag.com/hubfs/Flourish/Airlines/Airlink.jpg" TargetMode="External"/><Relationship Id="rId39" Type="http://schemas.openxmlformats.org/officeDocument/2006/relationships/hyperlink" Target="https://www.oag.com/hubfs/Flourish/8.png" TargetMode="External"/><Relationship Id="rId38" Type="http://schemas.openxmlformats.org/officeDocument/2006/relationships/hyperlink" Target="https://www.oag.com/hubfs/Flourish/Airlines/RyanAir.jpg" TargetMode="External"/><Relationship Id="rId2203" Type="http://schemas.openxmlformats.org/officeDocument/2006/relationships/hyperlink" Target="https://www.oag.com/hubfs/Flourish/2-1.png" TargetMode="External"/><Relationship Id="rId2204" Type="http://schemas.openxmlformats.org/officeDocument/2006/relationships/hyperlink" Target="https://www.oag.com/hubfs/Flourish/United%20States.png" TargetMode="External"/><Relationship Id="rId20" Type="http://schemas.openxmlformats.org/officeDocument/2006/relationships/hyperlink" Target="https://www.oag.com/hubfs/Flourish/Airlines/Wizz%20Air.png" TargetMode="External"/><Relationship Id="rId2205" Type="http://schemas.openxmlformats.org/officeDocument/2006/relationships/hyperlink" Target="https://www.oag.com/hubfs/Flourish/3-1.png" TargetMode="External"/><Relationship Id="rId2206" Type="http://schemas.openxmlformats.org/officeDocument/2006/relationships/hyperlink" Target="https://www.oag.com/hubfs/Flourish/India.png" TargetMode="External"/><Relationship Id="rId22" Type="http://schemas.openxmlformats.org/officeDocument/2006/relationships/hyperlink" Target="https://www.oag.com/hubfs/Flourish/Airlines/BA.png" TargetMode="External"/><Relationship Id="rId2207" Type="http://schemas.openxmlformats.org/officeDocument/2006/relationships/hyperlink" Target="https://www.oag.com/hubfs/Flourish/China.png" TargetMode="External"/><Relationship Id="rId21" Type="http://schemas.openxmlformats.org/officeDocument/2006/relationships/hyperlink" Target="https://www.oag.com/hubfs/Flourish/Poland.png" TargetMode="External"/><Relationship Id="rId2208" Type="http://schemas.openxmlformats.org/officeDocument/2006/relationships/hyperlink" Target="https://www.oag.com/hubfs/Flourish/2-1.png" TargetMode="External"/><Relationship Id="rId24" Type="http://schemas.openxmlformats.org/officeDocument/2006/relationships/hyperlink" Target="https://www.oag.com/hubfs/Flourish/Airlines/Vueling.png" TargetMode="External"/><Relationship Id="rId2209" Type="http://schemas.openxmlformats.org/officeDocument/2006/relationships/hyperlink" Target="https://www.oag.com/hubfs/Flourish/8.png" TargetMode="External"/><Relationship Id="rId23" Type="http://schemas.openxmlformats.org/officeDocument/2006/relationships/hyperlink" Target="https://www.oag.com/hubfs/Flourish/Ireland.png" TargetMode="External"/><Relationship Id="rId26" Type="http://schemas.openxmlformats.org/officeDocument/2006/relationships/hyperlink" Target="https://www.oag.com/hubfs/Flourish/Airlines/Air%20France.png" TargetMode="External"/><Relationship Id="rId25" Type="http://schemas.openxmlformats.org/officeDocument/2006/relationships/hyperlink" Target="https://www.oag.com/hubfs/Flourish/China.png" TargetMode="External"/><Relationship Id="rId28" Type="http://schemas.openxmlformats.org/officeDocument/2006/relationships/hyperlink" Target="https://www.oag.com/hubfs/Flourish/Airlines/Pegasus.png" TargetMode="External"/><Relationship Id="rId27" Type="http://schemas.openxmlformats.org/officeDocument/2006/relationships/hyperlink" Target="https://www.oag.com/hubfs/Flourish/Croatia.png" TargetMode="External"/><Relationship Id="rId29" Type="http://schemas.openxmlformats.org/officeDocument/2006/relationships/hyperlink" Target="https://www.oag.com/hubfs/Flourish/India.png" TargetMode="External"/><Relationship Id="rId2200" Type="http://schemas.openxmlformats.org/officeDocument/2006/relationships/hyperlink" Target="https://www.oag.com/hubfs/Flourish/China.png" TargetMode="External"/><Relationship Id="rId2201" Type="http://schemas.openxmlformats.org/officeDocument/2006/relationships/hyperlink" Target="https://www.oag.com/hubfs/Flourish/United%20States.png" TargetMode="External"/><Relationship Id="rId2202" Type="http://schemas.openxmlformats.org/officeDocument/2006/relationships/hyperlink" Target="https://www.oag.com/hubfs/Flourish/3-1.png" TargetMode="External"/><Relationship Id="rId11" Type="http://schemas.openxmlformats.org/officeDocument/2006/relationships/hyperlink" Target="https://www.oag.com/hubfs/Flourish/Airlines/Jetsmart.png" TargetMode="External"/><Relationship Id="rId10" Type="http://schemas.openxmlformats.org/officeDocument/2006/relationships/hyperlink" Target="https://www.oag.com/hubfs/Flourish/Airlines/American%20Airlines.png" TargetMode="External"/><Relationship Id="rId13" Type="http://schemas.openxmlformats.org/officeDocument/2006/relationships/hyperlink" Target="https://www.oag.com/hubfs/Flourish/Japan.png" TargetMode="External"/><Relationship Id="rId12" Type="http://schemas.openxmlformats.org/officeDocument/2006/relationships/hyperlink" Target="https://www.oag.com/hubfs/Flourish/Airlines/Ryanair.png" TargetMode="External"/><Relationship Id="rId15" Type="http://schemas.openxmlformats.org/officeDocument/2006/relationships/hyperlink" Target="https://www.oag.com/hubfs/Flourish/Thailand.png" TargetMode="External"/><Relationship Id="rId14" Type="http://schemas.openxmlformats.org/officeDocument/2006/relationships/hyperlink" Target="https://www.oag.com/hubfs/Flourish/Airlines/easyJet.png" TargetMode="External"/><Relationship Id="rId17" Type="http://schemas.openxmlformats.org/officeDocument/2006/relationships/hyperlink" Target="https://www.oag.com/hubfs/Flourish/United%20States.png" TargetMode="External"/><Relationship Id="rId16" Type="http://schemas.openxmlformats.org/officeDocument/2006/relationships/hyperlink" Target="https://www.oag.com/hubfs/Flourish/Airlines/Turkish%20Airlines.png" TargetMode="External"/><Relationship Id="rId19" Type="http://schemas.openxmlformats.org/officeDocument/2006/relationships/hyperlink" Target="https://www.oag.com/hubfs/Flourish/Mexico.png" TargetMode="External"/><Relationship Id="rId18" Type="http://schemas.openxmlformats.org/officeDocument/2006/relationships/hyperlink" Target="https://www.oag.com/hubfs/Flourish/Airlines/Lufthansa.png" TargetMode="External"/><Relationship Id="rId84" Type="http://schemas.openxmlformats.org/officeDocument/2006/relationships/hyperlink" Target="https://www.oag.com/hubfs/Flourish/8.png" TargetMode="External"/><Relationship Id="rId1774" Type="http://schemas.openxmlformats.org/officeDocument/2006/relationships/hyperlink" Target="https://www.oag.com/hubfs/Flourish/India.png" TargetMode="External"/><Relationship Id="rId83" Type="http://schemas.openxmlformats.org/officeDocument/2006/relationships/hyperlink" Target="https://www.oag.com/hubfs/Flourish/Sweden.png" TargetMode="External"/><Relationship Id="rId1775" Type="http://schemas.openxmlformats.org/officeDocument/2006/relationships/hyperlink" Target="https://www.oag.com/hubfs/Flourish/United%20States.png" TargetMode="External"/><Relationship Id="rId86" Type="http://schemas.openxmlformats.org/officeDocument/2006/relationships/hyperlink" Target="https://www.oag.com/hubfs/Flourish/8.png" TargetMode="External"/><Relationship Id="rId1776" Type="http://schemas.openxmlformats.org/officeDocument/2006/relationships/hyperlink" Target="https://www.oag.com/hubfs/Flourish/China.png" TargetMode="External"/><Relationship Id="rId85" Type="http://schemas.openxmlformats.org/officeDocument/2006/relationships/hyperlink" Target="https://www.oag.com/hubfs/Flourish/South%20Africa.png" TargetMode="External"/><Relationship Id="rId1777" Type="http://schemas.openxmlformats.org/officeDocument/2006/relationships/hyperlink" Target="https://www.oag.com/hubfs/Flourish/China.png" TargetMode="External"/><Relationship Id="rId88" Type="http://schemas.openxmlformats.org/officeDocument/2006/relationships/hyperlink" Target="https://www.oag.com/hubfs/Flourish/8.png" TargetMode="External"/><Relationship Id="rId1778" Type="http://schemas.openxmlformats.org/officeDocument/2006/relationships/hyperlink" Target="https://www.oag.com/hubfs/Flourish/United%20States.png" TargetMode="External"/><Relationship Id="rId87" Type="http://schemas.openxmlformats.org/officeDocument/2006/relationships/hyperlink" Target="https://www.oag.com/hubfs/Flourish/Nigeria.png" TargetMode="External"/><Relationship Id="rId1779" Type="http://schemas.openxmlformats.org/officeDocument/2006/relationships/hyperlink" Target="https://www.oag.com/hubfs/Flourish/United%20States.png" TargetMode="External"/><Relationship Id="rId89" Type="http://schemas.openxmlformats.org/officeDocument/2006/relationships/hyperlink" Target="https://www.oag.com/hubfs/Flourish/Ethiopia.png" TargetMode="External"/><Relationship Id="rId80" Type="http://schemas.openxmlformats.org/officeDocument/2006/relationships/hyperlink" Target="https://www.oag.com/hubfs/Flourish/8.png" TargetMode="External"/><Relationship Id="rId82" Type="http://schemas.openxmlformats.org/officeDocument/2006/relationships/hyperlink" Target="https://www.oag.com/hubfs/Flourish/8.png" TargetMode="External"/><Relationship Id="rId81" Type="http://schemas.openxmlformats.org/officeDocument/2006/relationships/hyperlink" Target="https://www.oag.com/hubfs/Flourish/Norway.png" TargetMode="External"/><Relationship Id="rId1770" Type="http://schemas.openxmlformats.org/officeDocument/2006/relationships/hyperlink" Target="https://www.oag.com/hubfs/Flourish/China.png" TargetMode="External"/><Relationship Id="rId1771" Type="http://schemas.openxmlformats.org/officeDocument/2006/relationships/hyperlink" Target="https://www.oag.com/hubfs/Flourish/United%20States.png" TargetMode="External"/><Relationship Id="rId1772" Type="http://schemas.openxmlformats.org/officeDocument/2006/relationships/hyperlink" Target="https://www.oag.com/hubfs/Flourish/United%20States.png" TargetMode="External"/><Relationship Id="rId1773" Type="http://schemas.openxmlformats.org/officeDocument/2006/relationships/hyperlink" Target="https://www.oag.com/hubfs/Flourish/United%20States.png" TargetMode="External"/><Relationship Id="rId73" Type="http://schemas.openxmlformats.org/officeDocument/2006/relationships/hyperlink" Target="https://www.oag.com/hubfs/Flourish/Panama.png" TargetMode="External"/><Relationship Id="rId1763" Type="http://schemas.openxmlformats.org/officeDocument/2006/relationships/hyperlink" Target="https://www.oag.com/hubfs/Flourish/United%20States.png" TargetMode="External"/><Relationship Id="rId72" Type="http://schemas.openxmlformats.org/officeDocument/2006/relationships/hyperlink" Target="https://www.oag.com/hubfs/Flourish/8.png" TargetMode="External"/><Relationship Id="rId1764" Type="http://schemas.openxmlformats.org/officeDocument/2006/relationships/hyperlink" Target="https://www.oag.com/hubfs/Flourish/United%20States.png" TargetMode="External"/><Relationship Id="rId75" Type="http://schemas.openxmlformats.org/officeDocument/2006/relationships/hyperlink" Target="https://www.oag.com/hubfs/Flourish/Puerto%20Rico.png" TargetMode="External"/><Relationship Id="rId1765" Type="http://schemas.openxmlformats.org/officeDocument/2006/relationships/hyperlink" Target="https://www.oag.com/hubfs/Flourish/United%20States.png" TargetMode="External"/><Relationship Id="rId74" Type="http://schemas.openxmlformats.org/officeDocument/2006/relationships/hyperlink" Target="https://www.oag.com/hubfs/Flourish/8.png" TargetMode="External"/><Relationship Id="rId1766" Type="http://schemas.openxmlformats.org/officeDocument/2006/relationships/hyperlink" Target="https://www.oag.com/hubfs/Flourish/United%20States.png" TargetMode="External"/><Relationship Id="rId77" Type="http://schemas.openxmlformats.org/officeDocument/2006/relationships/hyperlink" Target="https://www.oag.com/hubfs/Flourish/Dominican%20Republic.png" TargetMode="External"/><Relationship Id="rId1767" Type="http://schemas.openxmlformats.org/officeDocument/2006/relationships/hyperlink" Target="https://www.oag.com/hubfs/Flourish/United%20States.png" TargetMode="External"/><Relationship Id="rId76" Type="http://schemas.openxmlformats.org/officeDocument/2006/relationships/hyperlink" Target="https://www.oag.com/hubfs/Flourish/8.png" TargetMode="External"/><Relationship Id="rId1768" Type="http://schemas.openxmlformats.org/officeDocument/2006/relationships/hyperlink" Target="https://www.oag.com/hubfs/Flourish/United%20States.png" TargetMode="External"/><Relationship Id="rId79" Type="http://schemas.openxmlformats.org/officeDocument/2006/relationships/hyperlink" Target="https://www.oag.com/hubfs/Flourish/Greece.png" TargetMode="External"/><Relationship Id="rId1769" Type="http://schemas.openxmlformats.org/officeDocument/2006/relationships/hyperlink" Target="https://www.oag.com/hubfs/Flourish/India.png" TargetMode="External"/><Relationship Id="rId78" Type="http://schemas.openxmlformats.org/officeDocument/2006/relationships/hyperlink" Target="https://www.oag.com/hubfs/Flourish/8.png" TargetMode="External"/><Relationship Id="rId71" Type="http://schemas.openxmlformats.org/officeDocument/2006/relationships/hyperlink" Target="https://www.oag.com/hubfs/Flourish/Bolivia.png" TargetMode="External"/><Relationship Id="rId70" Type="http://schemas.openxmlformats.org/officeDocument/2006/relationships/hyperlink" Target="https://www.oag.com/hubfs/Flourish/8.png" TargetMode="External"/><Relationship Id="rId1760" Type="http://schemas.openxmlformats.org/officeDocument/2006/relationships/hyperlink" Target="https://www.oag.com/hubfs/Flourish/United%20States.png" TargetMode="External"/><Relationship Id="rId1761" Type="http://schemas.openxmlformats.org/officeDocument/2006/relationships/hyperlink" Target="https://www.oag.com/hubfs/Flourish/India.png" TargetMode="External"/><Relationship Id="rId1762" Type="http://schemas.openxmlformats.org/officeDocument/2006/relationships/hyperlink" Target="https://www.oag.com/hubfs/Flourish/Mexico.png" TargetMode="External"/><Relationship Id="rId62" Type="http://schemas.openxmlformats.org/officeDocument/2006/relationships/hyperlink" Target="https://www.oag.com/hubfs/Flourish/8.png" TargetMode="External"/><Relationship Id="rId1796" Type="http://schemas.openxmlformats.org/officeDocument/2006/relationships/hyperlink" Target="https://www.oag.com/hubfs/Flourish/China.png" TargetMode="External"/><Relationship Id="rId61" Type="http://schemas.openxmlformats.org/officeDocument/2006/relationships/hyperlink" Target="https://www.oag.com/hubfs/Flourish/Mexico-1.png" TargetMode="External"/><Relationship Id="rId1797" Type="http://schemas.openxmlformats.org/officeDocument/2006/relationships/hyperlink" Target="https://www.oag.com/hubfs/Flourish/United%20States.png" TargetMode="External"/><Relationship Id="rId64" Type="http://schemas.openxmlformats.org/officeDocument/2006/relationships/hyperlink" Target="https://www.oag.com/hubfs/Flourish/8.png" TargetMode="External"/><Relationship Id="rId1798" Type="http://schemas.openxmlformats.org/officeDocument/2006/relationships/hyperlink" Target="https://www.oag.com/hubfs/Flourish/China.png" TargetMode="External"/><Relationship Id="rId63" Type="http://schemas.openxmlformats.org/officeDocument/2006/relationships/hyperlink" Target="https://www.oag.com/hubfs/Flourish/Peru.png" TargetMode="External"/><Relationship Id="rId1799" Type="http://schemas.openxmlformats.org/officeDocument/2006/relationships/hyperlink" Target="https://www.oag.com/hubfs/Flourish/United%20States.png" TargetMode="External"/><Relationship Id="rId66" Type="http://schemas.openxmlformats.org/officeDocument/2006/relationships/hyperlink" Target="https://www.oag.com/hubfs/Flourish/8.png" TargetMode="External"/><Relationship Id="rId65" Type="http://schemas.openxmlformats.org/officeDocument/2006/relationships/hyperlink" Target="https://www.oag.com/hubfs/Flourish/Ecuador.png" TargetMode="External"/><Relationship Id="rId68" Type="http://schemas.openxmlformats.org/officeDocument/2006/relationships/hyperlink" Target="https://www.oag.com/hubfs/Flourish/8.png" TargetMode="External"/><Relationship Id="rId67" Type="http://schemas.openxmlformats.org/officeDocument/2006/relationships/hyperlink" Target="https://www.oag.com/hubfs/Flourish/Venezuela.png" TargetMode="External"/><Relationship Id="rId60" Type="http://schemas.openxmlformats.org/officeDocument/2006/relationships/hyperlink" Target="https://www.oag.com/hubfs/Flourish/8.png" TargetMode="External"/><Relationship Id="rId69" Type="http://schemas.openxmlformats.org/officeDocument/2006/relationships/hyperlink" Target="https://www.oag.com/hubfs/Flourish/Bahamas.png" TargetMode="External"/><Relationship Id="rId1790" Type="http://schemas.openxmlformats.org/officeDocument/2006/relationships/hyperlink" Target="https://www.oag.com/hubfs/Flourish/United%20States.png" TargetMode="External"/><Relationship Id="rId1791" Type="http://schemas.openxmlformats.org/officeDocument/2006/relationships/hyperlink" Target="https://www.oag.com/hubfs/Flourish/India.png" TargetMode="External"/><Relationship Id="rId1792" Type="http://schemas.openxmlformats.org/officeDocument/2006/relationships/hyperlink" Target="https://www.oag.com/hubfs/Flourish/India.png" TargetMode="External"/><Relationship Id="rId1793" Type="http://schemas.openxmlformats.org/officeDocument/2006/relationships/hyperlink" Target="https://www.oag.com/hubfs/Flourish/United%20States.png" TargetMode="External"/><Relationship Id="rId1794" Type="http://schemas.openxmlformats.org/officeDocument/2006/relationships/hyperlink" Target="https://www.oag.com/hubfs/Flourish/United%20States.png" TargetMode="External"/><Relationship Id="rId1795" Type="http://schemas.openxmlformats.org/officeDocument/2006/relationships/hyperlink" Target="https://www.oag.com/hubfs/Flourish/8.png" TargetMode="External"/><Relationship Id="rId51" Type="http://schemas.openxmlformats.org/officeDocument/2006/relationships/hyperlink" Target="https://www.oag.com/hubfs/Flourish/Malaysia-1.png" TargetMode="External"/><Relationship Id="rId1785" Type="http://schemas.openxmlformats.org/officeDocument/2006/relationships/hyperlink" Target="https://www.oag.com/hubfs/Flourish/United%20States.png" TargetMode="External"/><Relationship Id="rId50" Type="http://schemas.openxmlformats.org/officeDocument/2006/relationships/hyperlink" Target="https://www.oag.com/hubfs/Flourish/8.png" TargetMode="External"/><Relationship Id="rId1786" Type="http://schemas.openxmlformats.org/officeDocument/2006/relationships/hyperlink" Target="https://www.oag.com/hubfs/Flourish/China.png" TargetMode="External"/><Relationship Id="rId53" Type="http://schemas.openxmlformats.org/officeDocument/2006/relationships/hyperlink" Target="https://www.oag.com/hubfs/Flourish/Brazil.png" TargetMode="External"/><Relationship Id="rId1787" Type="http://schemas.openxmlformats.org/officeDocument/2006/relationships/hyperlink" Target="https://www.oag.com/hubfs/Flourish/China.png" TargetMode="External"/><Relationship Id="rId52" Type="http://schemas.openxmlformats.org/officeDocument/2006/relationships/hyperlink" Target="https://www.oag.com/hubfs/Flourish/8.png" TargetMode="External"/><Relationship Id="rId1788" Type="http://schemas.openxmlformats.org/officeDocument/2006/relationships/hyperlink" Target="https://www.oag.com/hubfs/Flourish/United%20States.png" TargetMode="External"/><Relationship Id="rId55" Type="http://schemas.openxmlformats.org/officeDocument/2006/relationships/hyperlink" Target="https://www.oag.com/hubfs/Flourish/Colombia.png" TargetMode="External"/><Relationship Id="rId1789" Type="http://schemas.openxmlformats.org/officeDocument/2006/relationships/hyperlink" Target="https://www.oag.com/hubfs/Flourish/China.png" TargetMode="External"/><Relationship Id="rId54" Type="http://schemas.openxmlformats.org/officeDocument/2006/relationships/hyperlink" Target="https://www.oag.com/hubfs/Flourish/8.png" TargetMode="External"/><Relationship Id="rId57" Type="http://schemas.openxmlformats.org/officeDocument/2006/relationships/hyperlink" Target="https://www.oag.com/hubfs/Flourish/Argentina.png" TargetMode="External"/><Relationship Id="rId56" Type="http://schemas.openxmlformats.org/officeDocument/2006/relationships/hyperlink" Target="https://www.oag.com/hubfs/Flourish/8.png" TargetMode="External"/><Relationship Id="rId59" Type="http://schemas.openxmlformats.org/officeDocument/2006/relationships/hyperlink" Target="https://www.oag.com/hubfs/Flourish/Chile.png" TargetMode="External"/><Relationship Id="rId58" Type="http://schemas.openxmlformats.org/officeDocument/2006/relationships/hyperlink" Target="https://www.oag.com/hubfs/Flourish/8.png" TargetMode="External"/><Relationship Id="rId1780" Type="http://schemas.openxmlformats.org/officeDocument/2006/relationships/hyperlink" Target="https://www.oag.com/hubfs/Flourish/China.png" TargetMode="External"/><Relationship Id="rId1781" Type="http://schemas.openxmlformats.org/officeDocument/2006/relationships/hyperlink" Target="https://www.oag.com/hubfs/Flourish/China.png" TargetMode="External"/><Relationship Id="rId1782" Type="http://schemas.openxmlformats.org/officeDocument/2006/relationships/hyperlink" Target="https://www.oag.com/hubfs/Flourish/United%20States.png" TargetMode="External"/><Relationship Id="rId1783" Type="http://schemas.openxmlformats.org/officeDocument/2006/relationships/hyperlink" Target="https://www.oag.com/hubfs/Flourish/United%20States.png" TargetMode="External"/><Relationship Id="rId1784" Type="http://schemas.openxmlformats.org/officeDocument/2006/relationships/hyperlink" Target="https://www.oag.com/hubfs/Flourish/India.png" TargetMode="External"/><Relationship Id="rId2269" Type="http://schemas.openxmlformats.org/officeDocument/2006/relationships/hyperlink" Target="https://www.oag.com/hubfs/Flourish/3-1.png" TargetMode="External"/><Relationship Id="rId349" Type="http://schemas.openxmlformats.org/officeDocument/2006/relationships/hyperlink" Target="https://www.oag.com/hubfs/Flourish/Japan.png" TargetMode="External"/><Relationship Id="rId348" Type="http://schemas.openxmlformats.org/officeDocument/2006/relationships/hyperlink" Target="https://www.oag.com/hubfs/Flourish/Japan.png" TargetMode="External"/><Relationship Id="rId347" Type="http://schemas.openxmlformats.org/officeDocument/2006/relationships/hyperlink" Target="https://www.oag.com/hubfs/Flourish/Japan.png" TargetMode="External"/><Relationship Id="rId346" Type="http://schemas.openxmlformats.org/officeDocument/2006/relationships/hyperlink" Target="https://www.oag.com/hubfs/Flourish/Japan.png" TargetMode="External"/><Relationship Id="rId2260" Type="http://schemas.openxmlformats.org/officeDocument/2006/relationships/hyperlink" Target="https://www.oag.com/hubfs/Flourish/3-1.png" TargetMode="External"/><Relationship Id="rId341" Type="http://schemas.openxmlformats.org/officeDocument/2006/relationships/hyperlink" Target="https://www.oag.com/hubfs/Flourish/Qatar.jpg" TargetMode="External"/><Relationship Id="rId2261" Type="http://schemas.openxmlformats.org/officeDocument/2006/relationships/hyperlink" Target="https://www.oag.com/hubfs/Flourish/Japan.png" TargetMode="External"/><Relationship Id="rId340" Type="http://schemas.openxmlformats.org/officeDocument/2006/relationships/hyperlink" Target="https://www.oag.com/hubfs/Flourish/UAE.jpg" TargetMode="External"/><Relationship Id="rId2262" Type="http://schemas.openxmlformats.org/officeDocument/2006/relationships/hyperlink" Target="https://www.oag.com/hubfs/Flourish/Mexico.png" TargetMode="External"/><Relationship Id="rId2263" Type="http://schemas.openxmlformats.org/officeDocument/2006/relationships/hyperlink" Target="https://www.oag.com/hubfs/Flourish/United%20States.png" TargetMode="External"/><Relationship Id="rId2264" Type="http://schemas.openxmlformats.org/officeDocument/2006/relationships/hyperlink" Target="https://www.oag.com/hubfs/Flourish/8.png" TargetMode="External"/><Relationship Id="rId345" Type="http://schemas.openxmlformats.org/officeDocument/2006/relationships/hyperlink" Target="https://www.oag.com/hubfs/Flourish/Japan.png" TargetMode="External"/><Relationship Id="rId2265" Type="http://schemas.openxmlformats.org/officeDocument/2006/relationships/hyperlink" Target="https://www.oag.com/hubfs/Flourish/United%20States.png" TargetMode="External"/><Relationship Id="rId344" Type="http://schemas.openxmlformats.org/officeDocument/2006/relationships/hyperlink" Target="https://www.oag.com/hubfs/Flourish/Japan.png" TargetMode="External"/><Relationship Id="rId2266" Type="http://schemas.openxmlformats.org/officeDocument/2006/relationships/hyperlink" Target="https://www.oag.com/hubfs/Flourish/United%20States.png" TargetMode="External"/><Relationship Id="rId343" Type="http://schemas.openxmlformats.org/officeDocument/2006/relationships/hyperlink" Target="https://www.oag.com/hubfs/Flourish/Japan.png" TargetMode="External"/><Relationship Id="rId2267" Type="http://schemas.openxmlformats.org/officeDocument/2006/relationships/hyperlink" Target="https://www.oag.com/hubfs/Flourish/United%20States.png" TargetMode="External"/><Relationship Id="rId342" Type="http://schemas.openxmlformats.org/officeDocument/2006/relationships/hyperlink" Target="https://www.oag.com/hubfs/Flourish/Japan.png" TargetMode="External"/><Relationship Id="rId2268" Type="http://schemas.openxmlformats.org/officeDocument/2006/relationships/hyperlink" Target="https://www.oag.com/hubfs/Flourish/United%20States.png" TargetMode="External"/><Relationship Id="rId2258" Type="http://schemas.openxmlformats.org/officeDocument/2006/relationships/hyperlink" Target="https://www.oag.com/hubfs/Flourish/6.png" TargetMode="External"/><Relationship Id="rId2259" Type="http://schemas.openxmlformats.org/officeDocument/2006/relationships/hyperlink" Target="https://www.oag.com/hubfs/Flourish/United%20States.png" TargetMode="External"/><Relationship Id="rId338" Type="http://schemas.openxmlformats.org/officeDocument/2006/relationships/hyperlink" Target="https://www.oag.com/hubfs/Flourish/UAE.jpg" TargetMode="External"/><Relationship Id="rId337" Type="http://schemas.openxmlformats.org/officeDocument/2006/relationships/hyperlink" Target="https://www.oag.com/hubfs/Flourish/UAE.jpg" TargetMode="External"/><Relationship Id="rId336" Type="http://schemas.openxmlformats.org/officeDocument/2006/relationships/hyperlink" Target="https://www.oag.com/hubfs/Flourish/UAE.jpg" TargetMode="External"/><Relationship Id="rId335" Type="http://schemas.openxmlformats.org/officeDocument/2006/relationships/hyperlink" Target="https://www.oag.com/hubfs/Flourish/UAE.jpg" TargetMode="External"/><Relationship Id="rId339" Type="http://schemas.openxmlformats.org/officeDocument/2006/relationships/hyperlink" Target="https://www.oag.com/hubfs/Flourish/UAE.jpg" TargetMode="External"/><Relationship Id="rId330" Type="http://schemas.openxmlformats.org/officeDocument/2006/relationships/hyperlink" Target="https://www.oag.com/hubfs/Flourish/Mexico.png" TargetMode="External"/><Relationship Id="rId2250" Type="http://schemas.openxmlformats.org/officeDocument/2006/relationships/hyperlink" Target="https://www.oag.com/hubfs/Flourish/2-1.png" TargetMode="External"/><Relationship Id="rId2251" Type="http://schemas.openxmlformats.org/officeDocument/2006/relationships/hyperlink" Target="https://www.oag.com/hubfs/Flourish/United%20States.png" TargetMode="External"/><Relationship Id="rId2252" Type="http://schemas.openxmlformats.org/officeDocument/2006/relationships/hyperlink" Target="https://www.oag.com/hubfs/Flourish/8.png" TargetMode="External"/><Relationship Id="rId2253" Type="http://schemas.openxmlformats.org/officeDocument/2006/relationships/hyperlink" Target="https://www.oag.com/hubfs/Flourish/2-1.png" TargetMode="External"/><Relationship Id="rId334" Type="http://schemas.openxmlformats.org/officeDocument/2006/relationships/hyperlink" Target="https://www.oag.com/hubfs/Flourish/Mexico.png" TargetMode="External"/><Relationship Id="rId2254" Type="http://schemas.openxmlformats.org/officeDocument/2006/relationships/hyperlink" Target="https://www.oag.com/hubfs/Flourish/8.png" TargetMode="External"/><Relationship Id="rId333" Type="http://schemas.openxmlformats.org/officeDocument/2006/relationships/hyperlink" Target="https://www.oag.com/hubfs/Flourish/Mexico.png" TargetMode="External"/><Relationship Id="rId2255" Type="http://schemas.openxmlformats.org/officeDocument/2006/relationships/hyperlink" Target="https://www.oag.com/hubfs/Flourish/Japan.png" TargetMode="External"/><Relationship Id="rId332" Type="http://schemas.openxmlformats.org/officeDocument/2006/relationships/hyperlink" Target="https://www.oag.com/hubfs/Flourish/Mexico.png" TargetMode="External"/><Relationship Id="rId2256" Type="http://schemas.openxmlformats.org/officeDocument/2006/relationships/hyperlink" Target="https://www.oag.com/hubfs/Flourish/United%20States.png" TargetMode="External"/><Relationship Id="rId331" Type="http://schemas.openxmlformats.org/officeDocument/2006/relationships/hyperlink" Target="https://www.oag.com/hubfs/Flourish/Mexico.png" TargetMode="External"/><Relationship Id="rId2257" Type="http://schemas.openxmlformats.org/officeDocument/2006/relationships/hyperlink" Target="https://www.oag.com/hubfs/Flourish/Thailand.png" TargetMode="External"/><Relationship Id="rId370" Type="http://schemas.openxmlformats.org/officeDocument/2006/relationships/hyperlink" Target="https://www.oag.com/hubfs/Flourish/India.png" TargetMode="External"/><Relationship Id="rId369" Type="http://schemas.openxmlformats.org/officeDocument/2006/relationships/hyperlink" Target="https://www.oag.com/hubfs/Flourish/India.png" TargetMode="External"/><Relationship Id="rId368" Type="http://schemas.openxmlformats.org/officeDocument/2006/relationships/hyperlink" Target="https://www.oag.com/hubfs/Flourish/Japan.png" TargetMode="External"/><Relationship Id="rId2280" Type="http://schemas.openxmlformats.org/officeDocument/2006/relationships/hyperlink" Target="https://www.oag.com/hubfs/Flourish/8.png" TargetMode="External"/><Relationship Id="rId2281" Type="http://schemas.openxmlformats.org/officeDocument/2006/relationships/hyperlink" Target="https://www.oag.com/hubfs/Flourish/2-1.png" TargetMode="External"/><Relationship Id="rId2282" Type="http://schemas.openxmlformats.org/officeDocument/2006/relationships/hyperlink" Target="https://www.oag.com/hubfs/Flourish/Japan.png" TargetMode="External"/><Relationship Id="rId363" Type="http://schemas.openxmlformats.org/officeDocument/2006/relationships/hyperlink" Target="https://www.oag.com/hubfs/Flourish/Japan.png" TargetMode="External"/><Relationship Id="rId2283" Type="http://schemas.openxmlformats.org/officeDocument/2006/relationships/hyperlink" Target="https://www.oag.com/hubfs/Flourish/3-1.png" TargetMode="External"/><Relationship Id="rId362" Type="http://schemas.openxmlformats.org/officeDocument/2006/relationships/hyperlink" Target="https://www.oag.com/hubfs/Flourish/Japan.png" TargetMode="External"/><Relationship Id="rId2284" Type="http://schemas.openxmlformats.org/officeDocument/2006/relationships/hyperlink" Target="https://www.oag.com/hubfs/Flourish/United%20States.png" TargetMode="External"/><Relationship Id="rId361" Type="http://schemas.openxmlformats.org/officeDocument/2006/relationships/hyperlink" Target="https://www.oag.com/hubfs/Flourish/Japan.png" TargetMode="External"/><Relationship Id="rId2285" Type="http://schemas.openxmlformats.org/officeDocument/2006/relationships/hyperlink" Target="https://www.oag.com/hubfs/Flourish/United%20States.png" TargetMode="External"/><Relationship Id="rId360" Type="http://schemas.openxmlformats.org/officeDocument/2006/relationships/hyperlink" Target="https://www.oag.com/hubfs/Flourish/Japan.png" TargetMode="External"/><Relationship Id="rId2286" Type="http://schemas.openxmlformats.org/officeDocument/2006/relationships/hyperlink" Target="https://www.oag.com/hubfs/Flourish/United%20States.png" TargetMode="External"/><Relationship Id="rId367" Type="http://schemas.openxmlformats.org/officeDocument/2006/relationships/hyperlink" Target="https://www.oag.com/hubfs/Flourish/Japan.png" TargetMode="External"/><Relationship Id="rId2287" Type="http://schemas.openxmlformats.org/officeDocument/2006/relationships/hyperlink" Target="https://www.oag.com/hubfs/Flourish/United%20States.png" TargetMode="External"/><Relationship Id="rId366" Type="http://schemas.openxmlformats.org/officeDocument/2006/relationships/hyperlink" Target="https://www.oag.com/hubfs/Flourish/S%20Korea.jpg" TargetMode="External"/><Relationship Id="rId2288" Type="http://schemas.openxmlformats.org/officeDocument/2006/relationships/hyperlink" Target="https://www.oag.com/hubfs/Flourish/1-1.png" TargetMode="External"/><Relationship Id="rId365" Type="http://schemas.openxmlformats.org/officeDocument/2006/relationships/hyperlink" Target="https://www.oag.com/hubfs/Flourish/S%20Korea.jpg" TargetMode="External"/><Relationship Id="rId2289" Type="http://schemas.openxmlformats.org/officeDocument/2006/relationships/hyperlink" Target="https://www.oag.com/hubfs/Flourish/2-1.png" TargetMode="External"/><Relationship Id="rId364" Type="http://schemas.openxmlformats.org/officeDocument/2006/relationships/hyperlink" Target="https://www.oag.com/hubfs/Flourish/Japan.png" TargetMode="External"/><Relationship Id="rId95" Type="http://schemas.openxmlformats.org/officeDocument/2006/relationships/hyperlink" Target="https://www.oag.com/hubfs/Flourish/Algeria.png" TargetMode="External"/><Relationship Id="rId94" Type="http://schemas.openxmlformats.org/officeDocument/2006/relationships/hyperlink" Target="https://www.oag.com/hubfs/Flourish/8.png" TargetMode="External"/><Relationship Id="rId97" Type="http://schemas.openxmlformats.org/officeDocument/2006/relationships/hyperlink" Target="https://www.oag.com/hubfs/Flourish/Egypt.png" TargetMode="External"/><Relationship Id="rId96" Type="http://schemas.openxmlformats.org/officeDocument/2006/relationships/hyperlink" Target="https://www.oag.com/hubfs/Flourish/8.png" TargetMode="External"/><Relationship Id="rId99" Type="http://schemas.openxmlformats.org/officeDocument/2006/relationships/hyperlink" Target="https://www.oag.com/hubfs/Flourish/Morocco.png" TargetMode="External"/><Relationship Id="rId98" Type="http://schemas.openxmlformats.org/officeDocument/2006/relationships/hyperlink" Target="https://www.oag.com/hubfs/Flourish/8.png" TargetMode="External"/><Relationship Id="rId91" Type="http://schemas.openxmlformats.org/officeDocument/2006/relationships/hyperlink" Target="https://www.oag.com/hubfs/Flourish/Kenya.png" TargetMode="External"/><Relationship Id="rId90" Type="http://schemas.openxmlformats.org/officeDocument/2006/relationships/hyperlink" Target="https://www.oag.com/hubfs/Flourish/8.png" TargetMode="External"/><Relationship Id="rId93" Type="http://schemas.openxmlformats.org/officeDocument/2006/relationships/hyperlink" Target="https://www.oag.com/hubfs/Flourish/Tanzania.png" TargetMode="External"/><Relationship Id="rId92" Type="http://schemas.openxmlformats.org/officeDocument/2006/relationships/hyperlink" Target="https://www.oag.com/hubfs/Flourish/8.png" TargetMode="External"/><Relationship Id="rId359" Type="http://schemas.openxmlformats.org/officeDocument/2006/relationships/hyperlink" Target="https://www.oag.com/hubfs/Flourish/Japan.png" TargetMode="External"/><Relationship Id="rId358" Type="http://schemas.openxmlformats.org/officeDocument/2006/relationships/hyperlink" Target="https://www.oag.com/hubfs/Flourish/Japan.png" TargetMode="External"/><Relationship Id="rId357" Type="http://schemas.openxmlformats.org/officeDocument/2006/relationships/hyperlink" Target="https://www.oag.com/hubfs/Flourish/Japan.png" TargetMode="External"/><Relationship Id="rId2270" Type="http://schemas.openxmlformats.org/officeDocument/2006/relationships/hyperlink" Target="https://www.oag.com/hubfs/Flourish/2-1.png" TargetMode="External"/><Relationship Id="rId2271" Type="http://schemas.openxmlformats.org/officeDocument/2006/relationships/hyperlink" Target="https://www.oag.com/hubfs/Flourish/United%20States.png" TargetMode="External"/><Relationship Id="rId352" Type="http://schemas.openxmlformats.org/officeDocument/2006/relationships/hyperlink" Target="https://www.oag.com/hubfs/Flourish/Japan.png" TargetMode="External"/><Relationship Id="rId2272" Type="http://schemas.openxmlformats.org/officeDocument/2006/relationships/hyperlink" Target="https://www.oag.com/hubfs/Flourish/United%20States.png" TargetMode="External"/><Relationship Id="rId351" Type="http://schemas.openxmlformats.org/officeDocument/2006/relationships/hyperlink" Target="https://www.oag.com/hubfs/Flourish/Japan.png" TargetMode="External"/><Relationship Id="rId2273" Type="http://schemas.openxmlformats.org/officeDocument/2006/relationships/hyperlink" Target="https://www.oag.com/hubfs/Flourish/United%20States.png" TargetMode="External"/><Relationship Id="rId350" Type="http://schemas.openxmlformats.org/officeDocument/2006/relationships/hyperlink" Target="https://www.oag.com/hubfs/Flourish/Japan.png" TargetMode="External"/><Relationship Id="rId2274" Type="http://schemas.openxmlformats.org/officeDocument/2006/relationships/hyperlink" Target="https://www.oag.com/hubfs/Flourish/United%20States.png" TargetMode="External"/><Relationship Id="rId2275" Type="http://schemas.openxmlformats.org/officeDocument/2006/relationships/hyperlink" Target="https://www.oag.com/hubfs/Flourish/United%20States.png" TargetMode="External"/><Relationship Id="rId356" Type="http://schemas.openxmlformats.org/officeDocument/2006/relationships/hyperlink" Target="https://www.oag.com/hubfs/Flourish/Japan.png" TargetMode="External"/><Relationship Id="rId2276" Type="http://schemas.openxmlformats.org/officeDocument/2006/relationships/hyperlink" Target="https://www.oag.com/hubfs/Flourish/United%20States.png" TargetMode="External"/><Relationship Id="rId355" Type="http://schemas.openxmlformats.org/officeDocument/2006/relationships/hyperlink" Target="https://www.oag.com/hubfs/Flourish/Japan.png" TargetMode="External"/><Relationship Id="rId2277" Type="http://schemas.openxmlformats.org/officeDocument/2006/relationships/hyperlink" Target="https://www.oag.com/hubfs/Flourish/United%20States.png" TargetMode="External"/><Relationship Id="rId354" Type="http://schemas.openxmlformats.org/officeDocument/2006/relationships/hyperlink" Target="https://www.oag.com/hubfs/Flourish/Japan.png" TargetMode="External"/><Relationship Id="rId2278" Type="http://schemas.openxmlformats.org/officeDocument/2006/relationships/hyperlink" Target="https://www.oag.com/hubfs/Flourish/Mexico.png" TargetMode="External"/><Relationship Id="rId353" Type="http://schemas.openxmlformats.org/officeDocument/2006/relationships/hyperlink" Target="https://www.oag.com/hubfs/Flourish/Japan.png" TargetMode="External"/><Relationship Id="rId2279" Type="http://schemas.openxmlformats.org/officeDocument/2006/relationships/hyperlink" Target="https://www.oag.com/hubfs/Flourish/United%20States.png" TargetMode="External"/><Relationship Id="rId2225" Type="http://schemas.openxmlformats.org/officeDocument/2006/relationships/hyperlink" Target="https://www.oag.com/hubfs/Flourish/3-1.png" TargetMode="External"/><Relationship Id="rId2226" Type="http://schemas.openxmlformats.org/officeDocument/2006/relationships/hyperlink" Target="https://www.oag.com/hubfs/Flourish/United%20States.png" TargetMode="External"/><Relationship Id="rId2227" Type="http://schemas.openxmlformats.org/officeDocument/2006/relationships/hyperlink" Target="https://www.oag.com/hubfs/Flourish/China.png" TargetMode="External"/><Relationship Id="rId2228" Type="http://schemas.openxmlformats.org/officeDocument/2006/relationships/hyperlink" Target="https://www.oag.com/hubfs/Flourish/Japan.png" TargetMode="External"/><Relationship Id="rId2229" Type="http://schemas.openxmlformats.org/officeDocument/2006/relationships/hyperlink" Target="https://www.oag.com/hubfs/Flourish/7.png" TargetMode="External"/><Relationship Id="rId305" Type="http://schemas.openxmlformats.org/officeDocument/2006/relationships/hyperlink" Target="https://www.oag.com/hubfs/Flourish/5.png" TargetMode="External"/><Relationship Id="rId304" Type="http://schemas.openxmlformats.org/officeDocument/2006/relationships/hyperlink" Target="https://www.oag.com/hubfs/Flourish/5.png" TargetMode="External"/><Relationship Id="rId303" Type="http://schemas.openxmlformats.org/officeDocument/2006/relationships/hyperlink" Target="https://www.oag.com/hubfs/Flourish/5.png" TargetMode="External"/><Relationship Id="rId302" Type="http://schemas.openxmlformats.org/officeDocument/2006/relationships/hyperlink" Target="https://www.oag.com/hubfs/Flourish/5.png" TargetMode="External"/><Relationship Id="rId309" Type="http://schemas.openxmlformats.org/officeDocument/2006/relationships/hyperlink" Target="https://www.oag.com/hubfs/Flourish/5.png" TargetMode="External"/><Relationship Id="rId308" Type="http://schemas.openxmlformats.org/officeDocument/2006/relationships/hyperlink" Target="https://www.oag.com/hubfs/Flourish/5.png" TargetMode="External"/><Relationship Id="rId307" Type="http://schemas.openxmlformats.org/officeDocument/2006/relationships/hyperlink" Target="https://www.oag.com/hubfs/Flourish/5.png" TargetMode="External"/><Relationship Id="rId306" Type="http://schemas.openxmlformats.org/officeDocument/2006/relationships/hyperlink" Target="https://www.oag.com/hubfs/Flourish/5.png" TargetMode="External"/><Relationship Id="rId2220" Type="http://schemas.openxmlformats.org/officeDocument/2006/relationships/hyperlink" Target="https://www.oag.com/hubfs/Flourish/United%20States.png" TargetMode="External"/><Relationship Id="rId301" Type="http://schemas.openxmlformats.org/officeDocument/2006/relationships/hyperlink" Target="https://www.oag.com/hubfs/Flourish/5.png" TargetMode="External"/><Relationship Id="rId2221" Type="http://schemas.openxmlformats.org/officeDocument/2006/relationships/hyperlink" Target="https://www.oag.com/hubfs/Flourish/2-1.png" TargetMode="External"/><Relationship Id="rId300" Type="http://schemas.openxmlformats.org/officeDocument/2006/relationships/hyperlink" Target="https://www.oag.com/hubfs/Flourish/5.png" TargetMode="External"/><Relationship Id="rId2222" Type="http://schemas.openxmlformats.org/officeDocument/2006/relationships/hyperlink" Target="https://www.oag.com/hubfs/Flourish/United%20States.png" TargetMode="External"/><Relationship Id="rId2223" Type="http://schemas.openxmlformats.org/officeDocument/2006/relationships/hyperlink" Target="https://www.oag.com/hubfs/Flourish/United%20States.png" TargetMode="External"/><Relationship Id="rId2224" Type="http://schemas.openxmlformats.org/officeDocument/2006/relationships/hyperlink" Target="https://www.oag.com/hubfs/Flourish/United%20States.png" TargetMode="External"/><Relationship Id="rId2214" Type="http://schemas.openxmlformats.org/officeDocument/2006/relationships/hyperlink" Target="https://www.oag.com/hubfs/Flourish/Japan.png" TargetMode="External"/><Relationship Id="rId2215" Type="http://schemas.openxmlformats.org/officeDocument/2006/relationships/hyperlink" Target="https://www.oag.com/hubfs/Flourish/United%20States.png" TargetMode="External"/><Relationship Id="rId2216" Type="http://schemas.openxmlformats.org/officeDocument/2006/relationships/hyperlink" Target="https://www.oag.com/hubfs/Flourish/China.png" TargetMode="External"/><Relationship Id="rId2217" Type="http://schemas.openxmlformats.org/officeDocument/2006/relationships/hyperlink" Target="https://www.oag.com/hubfs/Flourish/Japan.png" TargetMode="External"/><Relationship Id="rId2218" Type="http://schemas.openxmlformats.org/officeDocument/2006/relationships/hyperlink" Target="https://www.oag.com/hubfs/Flourish/United%20States.png" TargetMode="External"/><Relationship Id="rId2219" Type="http://schemas.openxmlformats.org/officeDocument/2006/relationships/hyperlink" Target="https://www.oag.com/hubfs/Flourish/UAE.jpg" TargetMode="External"/><Relationship Id="rId2210" Type="http://schemas.openxmlformats.org/officeDocument/2006/relationships/hyperlink" Target="https://www.oag.com/hubfs/Flourish/United%20States.png" TargetMode="External"/><Relationship Id="rId2211" Type="http://schemas.openxmlformats.org/officeDocument/2006/relationships/hyperlink" Target="https://www.oag.com/hubfs/Flourish/United%20States.png" TargetMode="External"/><Relationship Id="rId2212" Type="http://schemas.openxmlformats.org/officeDocument/2006/relationships/hyperlink" Target="https://www.oag.com/hubfs/Flourish/China.png" TargetMode="External"/><Relationship Id="rId2213" Type="http://schemas.openxmlformats.org/officeDocument/2006/relationships/hyperlink" Target="https://www.oag.com/hubfs/Flourish/United%20States.png" TargetMode="External"/><Relationship Id="rId2247" Type="http://schemas.openxmlformats.org/officeDocument/2006/relationships/hyperlink" Target="https://www.oag.com/hubfs/Flourish/United%20States.png" TargetMode="External"/><Relationship Id="rId2248" Type="http://schemas.openxmlformats.org/officeDocument/2006/relationships/hyperlink" Target="https://www.oag.com/hubfs/Flourish/2-1.png" TargetMode="External"/><Relationship Id="rId2249" Type="http://schemas.openxmlformats.org/officeDocument/2006/relationships/hyperlink" Target="https://www.oag.com/hubfs/Flourish/United%20States.png" TargetMode="External"/><Relationship Id="rId327" Type="http://schemas.openxmlformats.org/officeDocument/2006/relationships/hyperlink" Target="https://www.oag.com/hubfs/Flourish/7.png" TargetMode="External"/><Relationship Id="rId326" Type="http://schemas.openxmlformats.org/officeDocument/2006/relationships/hyperlink" Target="https://www.oag.com/hubfs/Flourish/7.png" TargetMode="External"/><Relationship Id="rId325" Type="http://schemas.openxmlformats.org/officeDocument/2006/relationships/hyperlink" Target="https://www.oag.com/hubfs/Flourish/7.png" TargetMode="External"/><Relationship Id="rId324" Type="http://schemas.openxmlformats.org/officeDocument/2006/relationships/hyperlink" Target="https://www.oag.com/hubfs/Flourish/7.png" TargetMode="External"/><Relationship Id="rId329" Type="http://schemas.openxmlformats.org/officeDocument/2006/relationships/hyperlink" Target="https://www.oag.com/hubfs/Flourish/Mexico.png" TargetMode="External"/><Relationship Id="rId328" Type="http://schemas.openxmlformats.org/officeDocument/2006/relationships/hyperlink" Target="https://www.oag.com/hubfs/Flourish/7.png" TargetMode="External"/><Relationship Id="rId2240" Type="http://schemas.openxmlformats.org/officeDocument/2006/relationships/hyperlink" Target="https://www.oag.com/hubfs/Flourish/Thailand.png" TargetMode="External"/><Relationship Id="rId2241" Type="http://schemas.openxmlformats.org/officeDocument/2006/relationships/hyperlink" Target="https://www.oag.com/hubfs/Flourish/China.png" TargetMode="External"/><Relationship Id="rId2242" Type="http://schemas.openxmlformats.org/officeDocument/2006/relationships/hyperlink" Target="https://www.oag.com/hubfs/Flourish/Ireland.png" TargetMode="External"/><Relationship Id="rId323" Type="http://schemas.openxmlformats.org/officeDocument/2006/relationships/hyperlink" Target="https://www.oag.com/hubfs/Flourish/7.png" TargetMode="External"/><Relationship Id="rId2243" Type="http://schemas.openxmlformats.org/officeDocument/2006/relationships/hyperlink" Target="https://www.oag.com/hubfs/Flourish/8.png" TargetMode="External"/><Relationship Id="rId322" Type="http://schemas.openxmlformats.org/officeDocument/2006/relationships/hyperlink" Target="https://www.oag.com/hubfs/Flourish/7.png" TargetMode="External"/><Relationship Id="rId2244" Type="http://schemas.openxmlformats.org/officeDocument/2006/relationships/hyperlink" Target="https://www.oag.com/hubfs/Flourish/Mexico.png" TargetMode="External"/><Relationship Id="rId321" Type="http://schemas.openxmlformats.org/officeDocument/2006/relationships/hyperlink" Target="https://www.oag.com/hubfs/Flourish/7.png" TargetMode="External"/><Relationship Id="rId2245" Type="http://schemas.openxmlformats.org/officeDocument/2006/relationships/hyperlink" Target="https://www.oag.com/hubfs/Flourish/United%20States.png" TargetMode="External"/><Relationship Id="rId320" Type="http://schemas.openxmlformats.org/officeDocument/2006/relationships/hyperlink" Target="https://www.oag.com/hubfs/Flourish/7.png" TargetMode="External"/><Relationship Id="rId2246" Type="http://schemas.openxmlformats.org/officeDocument/2006/relationships/hyperlink" Target="https://www.oag.com/hubfs/Flourish/United%20States.png" TargetMode="External"/><Relationship Id="rId2236" Type="http://schemas.openxmlformats.org/officeDocument/2006/relationships/hyperlink" Target="https://www.oag.com/hubfs/Flourish/United%20States.png" TargetMode="External"/><Relationship Id="rId2237" Type="http://schemas.openxmlformats.org/officeDocument/2006/relationships/hyperlink" Target="https://www.oag.com/hubfs/Flourish/China.png" TargetMode="External"/><Relationship Id="rId2238" Type="http://schemas.openxmlformats.org/officeDocument/2006/relationships/hyperlink" Target="https://www.oag.com/hubfs/Flourish/United%20States.png" TargetMode="External"/><Relationship Id="rId2239" Type="http://schemas.openxmlformats.org/officeDocument/2006/relationships/hyperlink" Target="https://www.oag.com/hubfs/Flourish/Ireland.png" TargetMode="External"/><Relationship Id="rId316" Type="http://schemas.openxmlformats.org/officeDocument/2006/relationships/hyperlink" Target="https://www.oag.com/hubfs/Flourish/7.png" TargetMode="External"/><Relationship Id="rId315" Type="http://schemas.openxmlformats.org/officeDocument/2006/relationships/hyperlink" Target="https://www.oag.com/hubfs/Flourish/7.png" TargetMode="External"/><Relationship Id="rId314" Type="http://schemas.openxmlformats.org/officeDocument/2006/relationships/hyperlink" Target="https://www.oag.com/hubfs/Flourish/7.png" TargetMode="External"/><Relationship Id="rId313" Type="http://schemas.openxmlformats.org/officeDocument/2006/relationships/hyperlink" Target="https://www.oag.com/hubfs/Flourish/7.png" TargetMode="External"/><Relationship Id="rId319" Type="http://schemas.openxmlformats.org/officeDocument/2006/relationships/hyperlink" Target="https://www.oag.com/hubfs/Flourish/7.png" TargetMode="External"/><Relationship Id="rId318" Type="http://schemas.openxmlformats.org/officeDocument/2006/relationships/hyperlink" Target="https://www.oag.com/hubfs/Flourish/7.png" TargetMode="External"/><Relationship Id="rId317" Type="http://schemas.openxmlformats.org/officeDocument/2006/relationships/hyperlink" Target="https://www.oag.com/hubfs/Flourish/7.png" TargetMode="External"/><Relationship Id="rId2230" Type="http://schemas.openxmlformats.org/officeDocument/2006/relationships/hyperlink" Target="https://www.oag.com/hubfs/Flourish/United%20States.png" TargetMode="External"/><Relationship Id="rId2231" Type="http://schemas.openxmlformats.org/officeDocument/2006/relationships/hyperlink" Target="https://www.oag.com/hubfs/Flourish/United%20States.png" TargetMode="External"/><Relationship Id="rId312" Type="http://schemas.openxmlformats.org/officeDocument/2006/relationships/hyperlink" Target="https://www.oag.com/hubfs/Flourish/5.png" TargetMode="External"/><Relationship Id="rId2232" Type="http://schemas.openxmlformats.org/officeDocument/2006/relationships/hyperlink" Target="https://www.oag.com/hubfs/Flourish/Mexico.png" TargetMode="External"/><Relationship Id="rId311" Type="http://schemas.openxmlformats.org/officeDocument/2006/relationships/hyperlink" Target="https://www.oag.com/hubfs/Flourish/5.png" TargetMode="External"/><Relationship Id="rId2233" Type="http://schemas.openxmlformats.org/officeDocument/2006/relationships/hyperlink" Target="https://www.oag.com/hubfs/Flourish/United%20States.png" TargetMode="External"/><Relationship Id="rId310" Type="http://schemas.openxmlformats.org/officeDocument/2006/relationships/hyperlink" Target="https://www.oag.com/hubfs/Flourish/5.png" TargetMode="External"/><Relationship Id="rId2234" Type="http://schemas.openxmlformats.org/officeDocument/2006/relationships/hyperlink" Target="https://www.oag.com/hubfs/Flourish/China.png" TargetMode="External"/><Relationship Id="rId2235" Type="http://schemas.openxmlformats.org/officeDocument/2006/relationships/hyperlink" Target="https://www.oag.com/hubfs/Flourish/India.png" TargetMode="External"/><Relationship Id="rId297" Type="http://schemas.openxmlformats.org/officeDocument/2006/relationships/hyperlink" Target="https://www.oag.com/hubfs/Flourish/6.png" TargetMode="External"/><Relationship Id="rId296" Type="http://schemas.openxmlformats.org/officeDocument/2006/relationships/hyperlink" Target="https://www.oag.com/hubfs/Flourish/6.png" TargetMode="External"/><Relationship Id="rId295" Type="http://schemas.openxmlformats.org/officeDocument/2006/relationships/hyperlink" Target="https://www.oag.com/hubfs/Flourish/6.png" TargetMode="External"/><Relationship Id="rId294" Type="http://schemas.openxmlformats.org/officeDocument/2006/relationships/hyperlink" Target="https://www.oag.com/hubfs/Flourish/6.png" TargetMode="External"/><Relationship Id="rId299" Type="http://schemas.openxmlformats.org/officeDocument/2006/relationships/hyperlink" Target="https://www.oag.com/hubfs/Flourish/5.png" TargetMode="External"/><Relationship Id="rId298" Type="http://schemas.openxmlformats.org/officeDocument/2006/relationships/hyperlink" Target="https://www.oag.com/hubfs/Flourish/6.png" TargetMode="External"/><Relationship Id="rId271" Type="http://schemas.openxmlformats.org/officeDocument/2006/relationships/hyperlink" Target="https://www.oag.com/hubfs/Flourish/3-1.png" TargetMode="External"/><Relationship Id="rId270" Type="http://schemas.openxmlformats.org/officeDocument/2006/relationships/hyperlink" Target="https://www.oag.com/hubfs/Flourish/3-1.png" TargetMode="External"/><Relationship Id="rId269" Type="http://schemas.openxmlformats.org/officeDocument/2006/relationships/hyperlink" Target="https://www.oag.com/hubfs/Flourish/3-1.png" TargetMode="External"/><Relationship Id="rId264" Type="http://schemas.openxmlformats.org/officeDocument/2006/relationships/hyperlink" Target="https://www.oag.com/hubfs/Flourish/3-1.png" TargetMode="External"/><Relationship Id="rId263" Type="http://schemas.openxmlformats.org/officeDocument/2006/relationships/hyperlink" Target="https://www.oag.com/hubfs/Flourish/3-1.png" TargetMode="External"/><Relationship Id="rId262" Type="http://schemas.openxmlformats.org/officeDocument/2006/relationships/hyperlink" Target="https://www.oag.com/hubfs/Flourish/3-1.png" TargetMode="External"/><Relationship Id="rId261" Type="http://schemas.openxmlformats.org/officeDocument/2006/relationships/hyperlink" Target="https://www.oag.com/hubfs/Flourish/3-1.png" TargetMode="External"/><Relationship Id="rId268" Type="http://schemas.openxmlformats.org/officeDocument/2006/relationships/hyperlink" Target="https://www.oag.com/hubfs/Flourish/3-1.png" TargetMode="External"/><Relationship Id="rId267" Type="http://schemas.openxmlformats.org/officeDocument/2006/relationships/hyperlink" Target="https://www.oag.com/hubfs/Flourish/3-1.png" TargetMode="External"/><Relationship Id="rId266" Type="http://schemas.openxmlformats.org/officeDocument/2006/relationships/hyperlink" Target="https://www.oag.com/hubfs/Flourish/3-1.png" TargetMode="External"/><Relationship Id="rId265" Type="http://schemas.openxmlformats.org/officeDocument/2006/relationships/hyperlink" Target="https://www.oag.com/hubfs/Flourish/3-1.png" TargetMode="External"/><Relationship Id="rId260" Type="http://schemas.openxmlformats.org/officeDocument/2006/relationships/hyperlink" Target="https://www.oag.com/hubfs/Flourish/3-1.png" TargetMode="External"/><Relationship Id="rId259" Type="http://schemas.openxmlformats.org/officeDocument/2006/relationships/hyperlink" Target="https://www.oag.com/hubfs/Flourish/3-1.png" TargetMode="External"/><Relationship Id="rId258" Type="http://schemas.openxmlformats.org/officeDocument/2006/relationships/hyperlink" Target="https://www.oag.com/hubfs/Flourish/3-1.png" TargetMode="External"/><Relationship Id="rId2290" Type="http://schemas.openxmlformats.org/officeDocument/2006/relationships/hyperlink" Target="https://www.oag.com/hubfs/Flourish/United%20States.png" TargetMode="External"/><Relationship Id="rId2291" Type="http://schemas.openxmlformats.org/officeDocument/2006/relationships/hyperlink" Target="https://www.oag.com/hubfs/Flourish/United%20States.png" TargetMode="External"/><Relationship Id="rId2292" Type="http://schemas.openxmlformats.org/officeDocument/2006/relationships/hyperlink" Target="https://www.oag.com/hubfs/Flourish/United%20States.png" TargetMode="External"/><Relationship Id="rId2293" Type="http://schemas.openxmlformats.org/officeDocument/2006/relationships/hyperlink" Target="https://www.oag.com/hubfs/Flourish/United%20States.png" TargetMode="External"/><Relationship Id="rId253" Type="http://schemas.openxmlformats.org/officeDocument/2006/relationships/hyperlink" Target="https://www.oag.com/hubfs/Flourish/3-1.png" TargetMode="External"/><Relationship Id="rId2294" Type="http://schemas.openxmlformats.org/officeDocument/2006/relationships/hyperlink" Target="https://www.oag.com/hubfs/Flourish/United%20States.png" TargetMode="External"/><Relationship Id="rId252" Type="http://schemas.openxmlformats.org/officeDocument/2006/relationships/hyperlink" Target="https://www.oag.com/hubfs/Flourish/3-1.png" TargetMode="External"/><Relationship Id="rId2295" Type="http://schemas.openxmlformats.org/officeDocument/2006/relationships/hyperlink" Target="https://www.oag.com/hubfs/Flourish/United%20States.png" TargetMode="External"/><Relationship Id="rId251" Type="http://schemas.openxmlformats.org/officeDocument/2006/relationships/hyperlink" Target="https://www.oag.com/hubfs/Flourish/3-1.png" TargetMode="External"/><Relationship Id="rId2296" Type="http://schemas.openxmlformats.org/officeDocument/2006/relationships/hyperlink" Target="https://www.oag.com/hubfs/Flourish/United%20States.png" TargetMode="External"/><Relationship Id="rId250" Type="http://schemas.openxmlformats.org/officeDocument/2006/relationships/hyperlink" Target="https://www.oag.com/hubfs/Flourish/3-1.png" TargetMode="External"/><Relationship Id="rId2297" Type="http://schemas.openxmlformats.org/officeDocument/2006/relationships/hyperlink" Target="https://www.oag.com/hubfs/Flourish/Japan.png" TargetMode="External"/><Relationship Id="rId257" Type="http://schemas.openxmlformats.org/officeDocument/2006/relationships/hyperlink" Target="https://www.oag.com/hubfs/Flourish/3-1.png" TargetMode="External"/><Relationship Id="rId2298" Type="http://schemas.openxmlformats.org/officeDocument/2006/relationships/hyperlink" Target="https://www.oag.com/hubfs/Flourish/United%20States.png" TargetMode="External"/><Relationship Id="rId256" Type="http://schemas.openxmlformats.org/officeDocument/2006/relationships/hyperlink" Target="https://www.oag.com/hubfs/Flourish/3-1.png" TargetMode="External"/><Relationship Id="rId2299" Type="http://schemas.openxmlformats.org/officeDocument/2006/relationships/hyperlink" Target="https://www.oag.com/hubfs/Flourish/China.png" TargetMode="External"/><Relationship Id="rId255" Type="http://schemas.openxmlformats.org/officeDocument/2006/relationships/hyperlink" Target="https://www.oag.com/hubfs/Flourish/3-1.png" TargetMode="External"/><Relationship Id="rId254" Type="http://schemas.openxmlformats.org/officeDocument/2006/relationships/hyperlink" Target="https://www.oag.com/hubfs/Flourish/3-1.png" TargetMode="External"/><Relationship Id="rId293" Type="http://schemas.openxmlformats.org/officeDocument/2006/relationships/hyperlink" Target="https://www.oag.com/hubfs/Flourish/6.png" TargetMode="External"/><Relationship Id="rId292" Type="http://schemas.openxmlformats.org/officeDocument/2006/relationships/hyperlink" Target="https://www.oag.com/hubfs/Flourish/6.png" TargetMode="External"/><Relationship Id="rId291" Type="http://schemas.openxmlformats.org/officeDocument/2006/relationships/hyperlink" Target="https://www.oag.com/hubfs/Flourish/6.png" TargetMode="External"/><Relationship Id="rId290" Type="http://schemas.openxmlformats.org/officeDocument/2006/relationships/hyperlink" Target="https://www.oag.com/hubfs/Flourish/6.png" TargetMode="External"/><Relationship Id="rId286" Type="http://schemas.openxmlformats.org/officeDocument/2006/relationships/hyperlink" Target="https://www.oag.com/hubfs/Flourish/6.png" TargetMode="External"/><Relationship Id="rId285" Type="http://schemas.openxmlformats.org/officeDocument/2006/relationships/hyperlink" Target="https://www.oag.com/hubfs/Flourish/6.png" TargetMode="External"/><Relationship Id="rId284" Type="http://schemas.openxmlformats.org/officeDocument/2006/relationships/hyperlink" Target="https://www.oag.com/hubfs/Flourish/6.png" TargetMode="External"/><Relationship Id="rId283" Type="http://schemas.openxmlformats.org/officeDocument/2006/relationships/hyperlink" Target="https://www.oag.com/hubfs/Flourish/6.png" TargetMode="External"/><Relationship Id="rId289" Type="http://schemas.openxmlformats.org/officeDocument/2006/relationships/hyperlink" Target="https://www.oag.com/hubfs/Flourish/6.png" TargetMode="External"/><Relationship Id="rId288" Type="http://schemas.openxmlformats.org/officeDocument/2006/relationships/hyperlink" Target="https://www.oag.com/hubfs/Flourish/6.png" TargetMode="External"/><Relationship Id="rId287" Type="http://schemas.openxmlformats.org/officeDocument/2006/relationships/hyperlink" Target="https://www.oag.com/hubfs/Flourish/6.png" TargetMode="External"/><Relationship Id="rId282" Type="http://schemas.openxmlformats.org/officeDocument/2006/relationships/hyperlink" Target="https://www.oag.com/hubfs/Flourish/3-1.png" TargetMode="External"/><Relationship Id="rId281" Type="http://schemas.openxmlformats.org/officeDocument/2006/relationships/hyperlink" Target="https://www.oag.com/hubfs/Flourish/3-1.png" TargetMode="External"/><Relationship Id="rId280" Type="http://schemas.openxmlformats.org/officeDocument/2006/relationships/hyperlink" Target="https://www.oag.com/hubfs/Flourish/3-1.png" TargetMode="External"/><Relationship Id="rId275" Type="http://schemas.openxmlformats.org/officeDocument/2006/relationships/hyperlink" Target="https://www.oag.com/hubfs/Flourish/3-1.png" TargetMode="External"/><Relationship Id="rId274" Type="http://schemas.openxmlformats.org/officeDocument/2006/relationships/hyperlink" Target="https://www.oag.com/hubfs/Flourish/3-1.png" TargetMode="External"/><Relationship Id="rId273" Type="http://schemas.openxmlformats.org/officeDocument/2006/relationships/hyperlink" Target="https://www.oag.com/hubfs/Flourish/3-1.png" TargetMode="External"/><Relationship Id="rId272" Type="http://schemas.openxmlformats.org/officeDocument/2006/relationships/hyperlink" Target="https://www.oag.com/hubfs/Flourish/3-1.png" TargetMode="External"/><Relationship Id="rId279" Type="http://schemas.openxmlformats.org/officeDocument/2006/relationships/hyperlink" Target="https://www.oag.com/hubfs/Flourish/3-1.png" TargetMode="External"/><Relationship Id="rId278" Type="http://schemas.openxmlformats.org/officeDocument/2006/relationships/hyperlink" Target="https://www.oag.com/hubfs/Flourish/3-1.png" TargetMode="External"/><Relationship Id="rId277" Type="http://schemas.openxmlformats.org/officeDocument/2006/relationships/hyperlink" Target="https://www.oag.com/hubfs/Flourish/3-1.png" TargetMode="External"/><Relationship Id="rId276" Type="http://schemas.openxmlformats.org/officeDocument/2006/relationships/hyperlink" Target="https://www.oag.com/hubfs/Flourish/3-1.png" TargetMode="External"/><Relationship Id="rId1851" Type="http://schemas.openxmlformats.org/officeDocument/2006/relationships/hyperlink" Target="https://www.oag.com/hubfs/Flourish/United%20States.png" TargetMode="External"/><Relationship Id="rId1852" Type="http://schemas.openxmlformats.org/officeDocument/2006/relationships/hyperlink" Target="https://www.oag.com/hubfs/Flourish/2-1.png" TargetMode="External"/><Relationship Id="rId1853" Type="http://schemas.openxmlformats.org/officeDocument/2006/relationships/hyperlink" Target="https://www.oag.com/hubfs/Flourish/Poland.png" TargetMode="External"/><Relationship Id="rId1854" Type="http://schemas.openxmlformats.org/officeDocument/2006/relationships/hyperlink" Target="https://www.oag.com/hubfs/Flourish/China.png" TargetMode="External"/><Relationship Id="rId1855" Type="http://schemas.openxmlformats.org/officeDocument/2006/relationships/hyperlink" Target="https://www.oag.com/hubfs/Flourish/China.png" TargetMode="External"/><Relationship Id="rId1856" Type="http://schemas.openxmlformats.org/officeDocument/2006/relationships/hyperlink" Target="https://www.oag.com/hubfs/Flourish/8.png" TargetMode="External"/><Relationship Id="rId1857" Type="http://schemas.openxmlformats.org/officeDocument/2006/relationships/hyperlink" Target="https://www.oag.com/hubfs/Flourish/United%20States.png" TargetMode="External"/><Relationship Id="rId1858" Type="http://schemas.openxmlformats.org/officeDocument/2006/relationships/hyperlink" Target="https://www.oag.com/hubfs/Flourish/7.png" TargetMode="External"/><Relationship Id="rId1859" Type="http://schemas.openxmlformats.org/officeDocument/2006/relationships/hyperlink" Target="https://www.oag.com/hubfs/Flourish/Japan.png" TargetMode="External"/><Relationship Id="rId1850" Type="http://schemas.openxmlformats.org/officeDocument/2006/relationships/hyperlink" Target="https://www.oag.com/hubfs/Flourish/United%20States.png" TargetMode="External"/><Relationship Id="rId1840" Type="http://schemas.openxmlformats.org/officeDocument/2006/relationships/hyperlink" Target="https://www.oag.com/hubfs/Flourish/India.png" TargetMode="External"/><Relationship Id="rId1841" Type="http://schemas.openxmlformats.org/officeDocument/2006/relationships/hyperlink" Target="https://www.oag.com/hubfs/Flourish/United%20States.png" TargetMode="External"/><Relationship Id="rId1842" Type="http://schemas.openxmlformats.org/officeDocument/2006/relationships/hyperlink" Target="https://www.oag.com/hubfs/Flourish/United%20States.png" TargetMode="External"/><Relationship Id="rId1843" Type="http://schemas.openxmlformats.org/officeDocument/2006/relationships/hyperlink" Target="https://www.oag.com/hubfs/Flourish/2-1.png" TargetMode="External"/><Relationship Id="rId1844" Type="http://schemas.openxmlformats.org/officeDocument/2006/relationships/hyperlink" Target="https://www.oag.com/hubfs/Flourish/Japan.png" TargetMode="External"/><Relationship Id="rId1845" Type="http://schemas.openxmlformats.org/officeDocument/2006/relationships/hyperlink" Target="https://www.oag.com/hubfs/Flourish/Thailand.png" TargetMode="External"/><Relationship Id="rId1846" Type="http://schemas.openxmlformats.org/officeDocument/2006/relationships/hyperlink" Target="https://www.oag.com/hubfs/Flourish/United%20States.png" TargetMode="External"/><Relationship Id="rId1847" Type="http://schemas.openxmlformats.org/officeDocument/2006/relationships/hyperlink" Target="https://www.oag.com/hubfs/Flourish/China.png" TargetMode="External"/><Relationship Id="rId1848" Type="http://schemas.openxmlformats.org/officeDocument/2006/relationships/hyperlink" Target="https://www.oag.com/hubfs/Flourish/United%20States.png" TargetMode="External"/><Relationship Id="rId1849" Type="http://schemas.openxmlformats.org/officeDocument/2006/relationships/hyperlink" Target="https://www.oag.com/hubfs/Flourish/S%20Korea.jpg" TargetMode="External"/><Relationship Id="rId1873" Type="http://schemas.openxmlformats.org/officeDocument/2006/relationships/hyperlink" Target="https://www.oag.com/hubfs/Flourish/United%20States.png" TargetMode="External"/><Relationship Id="rId1874" Type="http://schemas.openxmlformats.org/officeDocument/2006/relationships/hyperlink" Target="https://www.oag.com/hubfs/Flourish/China.png" TargetMode="External"/><Relationship Id="rId1875" Type="http://schemas.openxmlformats.org/officeDocument/2006/relationships/hyperlink" Target="https://www.oag.com/hubfs/Flourish/United%20States.png" TargetMode="External"/><Relationship Id="rId1876" Type="http://schemas.openxmlformats.org/officeDocument/2006/relationships/hyperlink" Target="https://www.oag.com/hubfs/Flourish/United%20States.png" TargetMode="External"/><Relationship Id="rId1877" Type="http://schemas.openxmlformats.org/officeDocument/2006/relationships/hyperlink" Target="https://www.oag.com/hubfs/Flourish/7.png" TargetMode="External"/><Relationship Id="rId1878" Type="http://schemas.openxmlformats.org/officeDocument/2006/relationships/hyperlink" Target="https://www.oag.com/hubfs/Flourish/United%20States.png" TargetMode="External"/><Relationship Id="rId1879" Type="http://schemas.openxmlformats.org/officeDocument/2006/relationships/hyperlink" Target="https://www.oag.com/hubfs/Flourish/United%20States.png" TargetMode="External"/><Relationship Id="rId1870" Type="http://schemas.openxmlformats.org/officeDocument/2006/relationships/hyperlink" Target="https://www.oag.com/hubfs/Flourish/United%20States.png" TargetMode="External"/><Relationship Id="rId1871" Type="http://schemas.openxmlformats.org/officeDocument/2006/relationships/hyperlink" Target="https://www.oag.com/hubfs/Flourish/China.png" TargetMode="External"/><Relationship Id="rId1872" Type="http://schemas.openxmlformats.org/officeDocument/2006/relationships/hyperlink" Target="https://www.oag.com/hubfs/Flourish/S%20Korea.jpg" TargetMode="External"/><Relationship Id="rId1862" Type="http://schemas.openxmlformats.org/officeDocument/2006/relationships/hyperlink" Target="https://www.oag.com/hubfs/Flourish/India.png" TargetMode="External"/><Relationship Id="rId1863" Type="http://schemas.openxmlformats.org/officeDocument/2006/relationships/hyperlink" Target="https://www.oag.com/hubfs/Flourish/Poland.png" TargetMode="External"/><Relationship Id="rId1864" Type="http://schemas.openxmlformats.org/officeDocument/2006/relationships/hyperlink" Target="https://www.oag.com/hubfs/Flourish/Japan.png" TargetMode="External"/><Relationship Id="rId1865" Type="http://schemas.openxmlformats.org/officeDocument/2006/relationships/hyperlink" Target="https://www.oag.com/hubfs/Flourish/United%20States.png" TargetMode="External"/><Relationship Id="rId1866" Type="http://schemas.openxmlformats.org/officeDocument/2006/relationships/hyperlink" Target="https://www.oag.com/hubfs/Flourish/Japan.png" TargetMode="External"/><Relationship Id="rId1867" Type="http://schemas.openxmlformats.org/officeDocument/2006/relationships/hyperlink" Target="https://www.oag.com/hubfs/Flourish/India.png" TargetMode="External"/><Relationship Id="rId1868" Type="http://schemas.openxmlformats.org/officeDocument/2006/relationships/hyperlink" Target="https://www.oag.com/hubfs/Flourish/S%20Korea.jpg" TargetMode="External"/><Relationship Id="rId1869" Type="http://schemas.openxmlformats.org/officeDocument/2006/relationships/hyperlink" Target="https://www.oag.com/hubfs/Flourish/United%20States.png" TargetMode="External"/><Relationship Id="rId1860" Type="http://schemas.openxmlformats.org/officeDocument/2006/relationships/hyperlink" Target="https://www.oag.com/hubfs/Flourish/United%20States.png" TargetMode="External"/><Relationship Id="rId1861" Type="http://schemas.openxmlformats.org/officeDocument/2006/relationships/hyperlink" Target="https://www.oag.com/hubfs/Flourish/United%20States.png" TargetMode="External"/><Relationship Id="rId1810" Type="http://schemas.openxmlformats.org/officeDocument/2006/relationships/hyperlink" Target="https://www.oag.com/hubfs/Flourish/7.png" TargetMode="External"/><Relationship Id="rId1811" Type="http://schemas.openxmlformats.org/officeDocument/2006/relationships/hyperlink" Target="https://www.oag.com/hubfs/Flourish/Japan.png" TargetMode="External"/><Relationship Id="rId1812" Type="http://schemas.openxmlformats.org/officeDocument/2006/relationships/hyperlink" Target="https://www.oag.com/hubfs/Flourish/8.png" TargetMode="External"/><Relationship Id="rId1813" Type="http://schemas.openxmlformats.org/officeDocument/2006/relationships/hyperlink" Target="https://www.oag.com/hubfs/Flourish/United%20States.png" TargetMode="External"/><Relationship Id="rId1814" Type="http://schemas.openxmlformats.org/officeDocument/2006/relationships/hyperlink" Target="https://www.oag.com/hubfs/Flourish/7.png" TargetMode="External"/><Relationship Id="rId1815" Type="http://schemas.openxmlformats.org/officeDocument/2006/relationships/hyperlink" Target="https://www.oag.com/hubfs/Flourish/United%20States.png" TargetMode="External"/><Relationship Id="rId1816" Type="http://schemas.openxmlformats.org/officeDocument/2006/relationships/hyperlink" Target="https://www.oag.com/hubfs/Flourish/China.png" TargetMode="External"/><Relationship Id="rId1817" Type="http://schemas.openxmlformats.org/officeDocument/2006/relationships/hyperlink" Target="https://www.oag.com/hubfs/Flourish/China.png" TargetMode="External"/><Relationship Id="rId1818" Type="http://schemas.openxmlformats.org/officeDocument/2006/relationships/hyperlink" Target="https://www.oag.com/hubfs/Flourish/Japan.png" TargetMode="External"/><Relationship Id="rId1819" Type="http://schemas.openxmlformats.org/officeDocument/2006/relationships/hyperlink" Target="https://www.oag.com/hubfs/Flourish/Ireland.png" TargetMode="External"/><Relationship Id="rId1800" Type="http://schemas.openxmlformats.org/officeDocument/2006/relationships/hyperlink" Target="https://www.oag.com/hubfs/Flourish/United%20States.png" TargetMode="External"/><Relationship Id="rId1801" Type="http://schemas.openxmlformats.org/officeDocument/2006/relationships/hyperlink" Target="https://www.oag.com/hubfs/Flourish/United%20States.png" TargetMode="External"/><Relationship Id="rId1802" Type="http://schemas.openxmlformats.org/officeDocument/2006/relationships/hyperlink" Target="https://www.oag.com/hubfs/Flourish/China.png" TargetMode="External"/><Relationship Id="rId1803" Type="http://schemas.openxmlformats.org/officeDocument/2006/relationships/hyperlink" Target="https://www.oag.com/hubfs/Flourish/United%20States.png" TargetMode="External"/><Relationship Id="rId1804" Type="http://schemas.openxmlformats.org/officeDocument/2006/relationships/hyperlink" Target="https://www.oag.com/hubfs/Flourish/United%20States.png" TargetMode="External"/><Relationship Id="rId1805" Type="http://schemas.openxmlformats.org/officeDocument/2006/relationships/hyperlink" Target="https://www.oag.com/hubfs/Flourish/United%20States.png" TargetMode="External"/><Relationship Id="rId1806" Type="http://schemas.openxmlformats.org/officeDocument/2006/relationships/hyperlink" Target="https://www.oag.com/hubfs/Flourish/S%20Korea.jpg" TargetMode="External"/><Relationship Id="rId1807" Type="http://schemas.openxmlformats.org/officeDocument/2006/relationships/hyperlink" Target="https://www.oag.com/hubfs/Flourish/United%20States.png" TargetMode="External"/><Relationship Id="rId1808" Type="http://schemas.openxmlformats.org/officeDocument/2006/relationships/hyperlink" Target="https://www.oag.com/hubfs/Flourish/Thailand.png" TargetMode="External"/><Relationship Id="rId1809" Type="http://schemas.openxmlformats.org/officeDocument/2006/relationships/hyperlink" Target="https://www.oag.com/hubfs/Flourish/China.png" TargetMode="External"/><Relationship Id="rId1830" Type="http://schemas.openxmlformats.org/officeDocument/2006/relationships/hyperlink" Target="https://www.oag.com/hubfs/Flourish/India.png" TargetMode="External"/><Relationship Id="rId1831" Type="http://schemas.openxmlformats.org/officeDocument/2006/relationships/hyperlink" Target="https://www.oag.com/hubfs/Flourish/United%20States.png" TargetMode="External"/><Relationship Id="rId1832" Type="http://schemas.openxmlformats.org/officeDocument/2006/relationships/hyperlink" Target="https://www.oag.com/hubfs/Flourish/United%20States.png" TargetMode="External"/><Relationship Id="rId1833" Type="http://schemas.openxmlformats.org/officeDocument/2006/relationships/hyperlink" Target="https://www.oag.com/hubfs/Flourish/United%20States.png" TargetMode="External"/><Relationship Id="rId1834" Type="http://schemas.openxmlformats.org/officeDocument/2006/relationships/hyperlink" Target="https://www.oag.com/hubfs/Flourish/China.png" TargetMode="External"/><Relationship Id="rId1835" Type="http://schemas.openxmlformats.org/officeDocument/2006/relationships/hyperlink" Target="https://www.oag.com/hubfs/Flourish/Japan.png" TargetMode="External"/><Relationship Id="rId1836" Type="http://schemas.openxmlformats.org/officeDocument/2006/relationships/hyperlink" Target="https://www.oag.com/hubfs/Flourish/Japan.png" TargetMode="External"/><Relationship Id="rId1837" Type="http://schemas.openxmlformats.org/officeDocument/2006/relationships/hyperlink" Target="https://www.oag.com/hubfs/Flourish/United%20States.png" TargetMode="External"/><Relationship Id="rId1838" Type="http://schemas.openxmlformats.org/officeDocument/2006/relationships/hyperlink" Target="https://www.oag.com/hubfs/Flourish/Japan.png" TargetMode="External"/><Relationship Id="rId1839" Type="http://schemas.openxmlformats.org/officeDocument/2006/relationships/hyperlink" Target="https://www.oag.com/hubfs/Flourish/2-1.png" TargetMode="External"/><Relationship Id="rId1820" Type="http://schemas.openxmlformats.org/officeDocument/2006/relationships/hyperlink" Target="https://www.oag.com/hubfs/Flourish/Japan.png" TargetMode="External"/><Relationship Id="rId1821" Type="http://schemas.openxmlformats.org/officeDocument/2006/relationships/hyperlink" Target="https://www.oag.com/hubfs/Flourish/China.png" TargetMode="External"/><Relationship Id="rId1822" Type="http://schemas.openxmlformats.org/officeDocument/2006/relationships/hyperlink" Target="https://www.oag.com/hubfs/Flourish/China.png" TargetMode="External"/><Relationship Id="rId1823" Type="http://schemas.openxmlformats.org/officeDocument/2006/relationships/hyperlink" Target="https://www.oag.com/hubfs/Flourish/Japan.png" TargetMode="External"/><Relationship Id="rId1824" Type="http://schemas.openxmlformats.org/officeDocument/2006/relationships/hyperlink" Target="https://www.oag.com/hubfs/Flourish/United%20States.png" TargetMode="External"/><Relationship Id="rId1825" Type="http://schemas.openxmlformats.org/officeDocument/2006/relationships/hyperlink" Target="https://www.oag.com/hubfs/Flourish/Thailand.png" TargetMode="External"/><Relationship Id="rId1826" Type="http://schemas.openxmlformats.org/officeDocument/2006/relationships/hyperlink" Target="https://www.oag.com/hubfs/Flourish/United%20States.png" TargetMode="External"/><Relationship Id="rId1827" Type="http://schemas.openxmlformats.org/officeDocument/2006/relationships/hyperlink" Target="https://www.oag.com/hubfs/Flourish/Japan.png" TargetMode="External"/><Relationship Id="rId1828" Type="http://schemas.openxmlformats.org/officeDocument/2006/relationships/hyperlink" Target="https://www.oag.com/hubfs/Flourish/Japan.png" TargetMode="External"/><Relationship Id="rId1829" Type="http://schemas.openxmlformats.org/officeDocument/2006/relationships/hyperlink" Target="https://www.oag.com/hubfs/Flourish/United%20States.png" TargetMode="External"/><Relationship Id="rId2302" Type="http://schemas.openxmlformats.org/officeDocument/2006/relationships/hyperlink" Target="https://www.oag.com/hubfs/Flourish/Japan.png" TargetMode="External"/><Relationship Id="rId2303" Type="http://schemas.openxmlformats.org/officeDocument/2006/relationships/hyperlink" Target="https://www.oag.com/hubfs/Flourish/United%20States.png" TargetMode="External"/><Relationship Id="rId2304" Type="http://schemas.openxmlformats.org/officeDocument/2006/relationships/hyperlink" Target="https://www.oag.com/hubfs/Flourish/Japan.png" TargetMode="External"/><Relationship Id="rId2305" Type="http://schemas.openxmlformats.org/officeDocument/2006/relationships/hyperlink" Target="https://www.oag.com/hubfs/Flourish/United%20States.png" TargetMode="External"/><Relationship Id="rId2306" Type="http://schemas.openxmlformats.org/officeDocument/2006/relationships/hyperlink" Target="https://www.oag.com/hubfs/Flourish/Japan.png" TargetMode="External"/><Relationship Id="rId2307" Type="http://schemas.openxmlformats.org/officeDocument/2006/relationships/hyperlink" Target="https://www.oag.com/hubfs/Flourish/Japan.png" TargetMode="External"/><Relationship Id="rId2308" Type="http://schemas.openxmlformats.org/officeDocument/2006/relationships/hyperlink" Target="https://www.oag.com/hubfs/Flourish/Japan.png" TargetMode="External"/><Relationship Id="rId2309" Type="http://schemas.openxmlformats.org/officeDocument/2006/relationships/hyperlink" Target="https://www.oag.com/hubfs/Flourish/United%20States.png" TargetMode="External"/><Relationship Id="rId2300" Type="http://schemas.openxmlformats.org/officeDocument/2006/relationships/hyperlink" Target="https://www.oag.com/hubfs/Flourish/Japan.png" TargetMode="External"/><Relationship Id="rId2301" Type="http://schemas.openxmlformats.org/officeDocument/2006/relationships/hyperlink" Target="https://www.oag.com/hubfs/Flourish/Japan.png" TargetMode="External"/><Relationship Id="rId2324" Type="http://schemas.openxmlformats.org/officeDocument/2006/relationships/hyperlink" Target="https://www.oag.com/hubfs/Flourish/United%20States.png" TargetMode="External"/><Relationship Id="rId2325" Type="http://schemas.openxmlformats.org/officeDocument/2006/relationships/hyperlink" Target="https://www.oag.com/hubfs/Flourish/United%20States.png" TargetMode="External"/><Relationship Id="rId2326" Type="http://schemas.openxmlformats.org/officeDocument/2006/relationships/hyperlink" Target="https://www.oag.com/hubfs/Flourish/5.png" TargetMode="External"/><Relationship Id="rId2327" Type="http://schemas.openxmlformats.org/officeDocument/2006/relationships/hyperlink" Target="https://www.oag.com/hubfs/Flourish/United%20States.png" TargetMode="External"/><Relationship Id="rId2328" Type="http://schemas.openxmlformats.org/officeDocument/2006/relationships/hyperlink" Target="https://www.oag.com/hubfs/Flourish/United%20States.png" TargetMode="External"/><Relationship Id="rId2329" Type="http://schemas.openxmlformats.org/officeDocument/2006/relationships/hyperlink" Target="https://www.oag.com/hubfs/Flourish/United%20States.png" TargetMode="External"/><Relationship Id="rId2320" Type="http://schemas.openxmlformats.org/officeDocument/2006/relationships/hyperlink" Target="https://www.oag.com/hubfs/Flourish/Japan.png" TargetMode="External"/><Relationship Id="rId2321" Type="http://schemas.openxmlformats.org/officeDocument/2006/relationships/hyperlink" Target="https://www.oag.com/hubfs/Flourish/United%20States.png" TargetMode="External"/><Relationship Id="rId2322" Type="http://schemas.openxmlformats.org/officeDocument/2006/relationships/hyperlink" Target="https://www.oag.com/hubfs/Flourish/7.png" TargetMode="External"/><Relationship Id="rId2323" Type="http://schemas.openxmlformats.org/officeDocument/2006/relationships/hyperlink" Target="https://www.oag.com/hubfs/Flourish/United%20States.png" TargetMode="External"/><Relationship Id="rId2313" Type="http://schemas.openxmlformats.org/officeDocument/2006/relationships/hyperlink" Target="https://www.oag.com/hubfs/Flourish/United%20States.png" TargetMode="External"/><Relationship Id="rId2314" Type="http://schemas.openxmlformats.org/officeDocument/2006/relationships/hyperlink" Target="https://www.oag.com/hubfs/Flourish/United%20States.png" TargetMode="External"/><Relationship Id="rId2315" Type="http://schemas.openxmlformats.org/officeDocument/2006/relationships/hyperlink" Target="https://www.oag.com/hubfs/Flourish/United%20States.png" TargetMode="External"/><Relationship Id="rId2316" Type="http://schemas.openxmlformats.org/officeDocument/2006/relationships/hyperlink" Target="https://www.oag.com/hubfs/Flourish/United%20States.png" TargetMode="External"/><Relationship Id="rId2317" Type="http://schemas.openxmlformats.org/officeDocument/2006/relationships/hyperlink" Target="https://www.oag.com/hubfs/Flourish/United%20States.png" TargetMode="External"/><Relationship Id="rId2318" Type="http://schemas.openxmlformats.org/officeDocument/2006/relationships/hyperlink" Target="https://www.oag.com/hubfs/Flourish/United%20States.png" TargetMode="External"/><Relationship Id="rId2319" Type="http://schemas.openxmlformats.org/officeDocument/2006/relationships/hyperlink" Target="https://www.oag.com/hubfs/Flourish/United%20States.png" TargetMode="External"/><Relationship Id="rId2310" Type="http://schemas.openxmlformats.org/officeDocument/2006/relationships/hyperlink" Target="https://www.oag.com/hubfs/Flourish/Japan.png" TargetMode="External"/><Relationship Id="rId2311" Type="http://schemas.openxmlformats.org/officeDocument/2006/relationships/hyperlink" Target="https://www.oag.com/hubfs/Flourish/6.png" TargetMode="External"/><Relationship Id="rId2312" Type="http://schemas.openxmlformats.org/officeDocument/2006/relationships/hyperlink" Target="https://www.oag.com/hubfs/Flourish/United%20States.png" TargetMode="External"/><Relationship Id="rId1895" Type="http://schemas.openxmlformats.org/officeDocument/2006/relationships/hyperlink" Target="https://www.oag.com/hubfs/Flourish/United%20States.png" TargetMode="External"/><Relationship Id="rId1896" Type="http://schemas.openxmlformats.org/officeDocument/2006/relationships/hyperlink" Target="https://www.oag.com/hubfs/Flourish/United%20States.png" TargetMode="External"/><Relationship Id="rId1897" Type="http://schemas.openxmlformats.org/officeDocument/2006/relationships/hyperlink" Target="https://www.oag.com/hubfs/Flourish/3-1.png" TargetMode="External"/><Relationship Id="rId1898" Type="http://schemas.openxmlformats.org/officeDocument/2006/relationships/hyperlink" Target="https://www.oag.com/hubfs/Flourish/3-1.png" TargetMode="External"/><Relationship Id="rId1899" Type="http://schemas.openxmlformats.org/officeDocument/2006/relationships/hyperlink" Target="https://www.oag.com/hubfs/Flourish/United%20States.png" TargetMode="External"/><Relationship Id="rId1890" Type="http://schemas.openxmlformats.org/officeDocument/2006/relationships/hyperlink" Target="https://www.oag.com/hubfs/Flourish/United%20States.png" TargetMode="External"/><Relationship Id="rId1891" Type="http://schemas.openxmlformats.org/officeDocument/2006/relationships/hyperlink" Target="https://www.oag.com/hubfs/Flourish/United%20States.png" TargetMode="External"/><Relationship Id="rId1892" Type="http://schemas.openxmlformats.org/officeDocument/2006/relationships/hyperlink" Target="https://www.oag.com/hubfs/Flourish/2-1.png" TargetMode="External"/><Relationship Id="rId1893" Type="http://schemas.openxmlformats.org/officeDocument/2006/relationships/hyperlink" Target="https://www.oag.com/hubfs/Flourish/United%20States.png" TargetMode="External"/><Relationship Id="rId1894" Type="http://schemas.openxmlformats.org/officeDocument/2006/relationships/hyperlink" Target="https://www.oag.com/hubfs/Flourish/8.png" TargetMode="External"/><Relationship Id="rId1884" Type="http://schemas.openxmlformats.org/officeDocument/2006/relationships/hyperlink" Target="https://www.oag.com/hubfs/Flourish/United%20States.png" TargetMode="External"/><Relationship Id="rId1885" Type="http://schemas.openxmlformats.org/officeDocument/2006/relationships/hyperlink" Target="https://www.oag.com/hubfs/Flourish/United%20States.png" TargetMode="External"/><Relationship Id="rId1886" Type="http://schemas.openxmlformats.org/officeDocument/2006/relationships/hyperlink" Target="https://www.oag.com/hubfs/Flourish/United%20States.png" TargetMode="External"/><Relationship Id="rId1887" Type="http://schemas.openxmlformats.org/officeDocument/2006/relationships/hyperlink" Target="https://www.oag.com/hubfs/Flourish/Mexico.png" TargetMode="External"/><Relationship Id="rId1888" Type="http://schemas.openxmlformats.org/officeDocument/2006/relationships/hyperlink" Target="https://www.oag.com/hubfs/Flourish/United%20States.png" TargetMode="External"/><Relationship Id="rId1889" Type="http://schemas.openxmlformats.org/officeDocument/2006/relationships/hyperlink" Target="https://www.oag.com/hubfs/Flourish/United%20States.png" TargetMode="External"/><Relationship Id="rId1880" Type="http://schemas.openxmlformats.org/officeDocument/2006/relationships/hyperlink" Target="https://www.oag.com/hubfs/Flourish/7.png" TargetMode="External"/><Relationship Id="rId1881" Type="http://schemas.openxmlformats.org/officeDocument/2006/relationships/hyperlink" Target="https://www.oag.com/hubfs/Flourish/United%20States.png" TargetMode="External"/><Relationship Id="rId1882" Type="http://schemas.openxmlformats.org/officeDocument/2006/relationships/hyperlink" Target="https://www.oag.com/hubfs/Flourish/United%20States.png" TargetMode="External"/><Relationship Id="rId1883" Type="http://schemas.openxmlformats.org/officeDocument/2006/relationships/hyperlink" Target="https://www.oag.com/hubfs/Flourish/3-1.png" TargetMode="External"/><Relationship Id="rId1059" Type="http://schemas.openxmlformats.org/officeDocument/2006/relationships/hyperlink" Target="https://www.oag.com/hubfs/Flourish/United%20States.png" TargetMode="External"/><Relationship Id="rId228" Type="http://schemas.openxmlformats.org/officeDocument/2006/relationships/hyperlink" Target="https://www.oag.com/hubfs/Flourish/3-1.png" TargetMode="External"/><Relationship Id="rId227" Type="http://schemas.openxmlformats.org/officeDocument/2006/relationships/hyperlink" Target="https://www.oag.com/hubfs/Flourish/3-1.png" TargetMode="External"/><Relationship Id="rId226" Type="http://schemas.openxmlformats.org/officeDocument/2006/relationships/hyperlink" Target="https://www.oag.com/hubfs/Flourish/3-1.png" TargetMode="External"/><Relationship Id="rId225" Type="http://schemas.openxmlformats.org/officeDocument/2006/relationships/hyperlink" Target="https://www.oag.com/hubfs/Flourish/3-1.png" TargetMode="External"/><Relationship Id="rId2380" Type="http://schemas.openxmlformats.org/officeDocument/2006/relationships/hyperlink" Target="https://www.oag.com/hubfs/Flourish/Mexico.png" TargetMode="External"/><Relationship Id="rId229" Type="http://schemas.openxmlformats.org/officeDocument/2006/relationships/hyperlink" Target="https://www.oag.com/hubfs/Flourish/3-1.png" TargetMode="External"/><Relationship Id="rId1050" Type="http://schemas.openxmlformats.org/officeDocument/2006/relationships/hyperlink" Target="https://www.oag.com/hubfs/Flourish/United%20States.png" TargetMode="External"/><Relationship Id="rId2381" Type="http://schemas.openxmlformats.org/officeDocument/2006/relationships/hyperlink" Target="https://www.oag.com/hubfs/Flourish/United%20States.png" TargetMode="External"/><Relationship Id="rId220" Type="http://schemas.openxmlformats.org/officeDocument/2006/relationships/hyperlink" Target="https://www.oag.com/hubfs/Flourish/3-1.png" TargetMode="External"/><Relationship Id="rId1051" Type="http://schemas.openxmlformats.org/officeDocument/2006/relationships/hyperlink" Target="https://www.oag.com/hubfs/Flourish/United%20States.png" TargetMode="External"/><Relationship Id="rId2382" Type="http://schemas.openxmlformats.org/officeDocument/2006/relationships/hyperlink" Target="https://www.oag.com/hubfs/Flourish/United%20States.png" TargetMode="External"/><Relationship Id="rId1052" Type="http://schemas.openxmlformats.org/officeDocument/2006/relationships/hyperlink" Target="https://www.oag.com/hubfs/Flourish/3-1.png" TargetMode="External"/><Relationship Id="rId2383" Type="http://schemas.openxmlformats.org/officeDocument/2006/relationships/hyperlink" Target="https://www.oag.com/hubfs/Flourish/8.png" TargetMode="External"/><Relationship Id="rId1053" Type="http://schemas.openxmlformats.org/officeDocument/2006/relationships/hyperlink" Target="https://www.oag.com/hubfs/Flourish/Ireland.png" TargetMode="External"/><Relationship Id="rId2384" Type="http://schemas.openxmlformats.org/officeDocument/2006/relationships/hyperlink" Target="https://www.oag.com/hubfs/Flourish/6.png" TargetMode="External"/><Relationship Id="rId1054" Type="http://schemas.openxmlformats.org/officeDocument/2006/relationships/hyperlink" Target="https://www.oag.com/hubfs/Flourish/3-1.png" TargetMode="External"/><Relationship Id="rId2385" Type="http://schemas.openxmlformats.org/officeDocument/2006/relationships/hyperlink" Target="https://www.oag.com/hubfs/Flourish/China.png" TargetMode="External"/><Relationship Id="rId224" Type="http://schemas.openxmlformats.org/officeDocument/2006/relationships/hyperlink" Target="https://www.oag.com/hubfs/Flourish/3-1.png" TargetMode="External"/><Relationship Id="rId1055" Type="http://schemas.openxmlformats.org/officeDocument/2006/relationships/hyperlink" Target="https://www.oag.com/hubfs/Flourish/United%20States.png" TargetMode="External"/><Relationship Id="rId2386" Type="http://schemas.openxmlformats.org/officeDocument/2006/relationships/hyperlink" Target="https://www.oag.com/hubfs/Flourish/United%20States.png" TargetMode="External"/><Relationship Id="rId223" Type="http://schemas.openxmlformats.org/officeDocument/2006/relationships/hyperlink" Target="https://www.oag.com/hubfs/Flourish/3-1.png" TargetMode="External"/><Relationship Id="rId1056" Type="http://schemas.openxmlformats.org/officeDocument/2006/relationships/hyperlink" Target="https://www.oag.com/hubfs/Flourish/United%20States.png" TargetMode="External"/><Relationship Id="rId2387" Type="http://schemas.openxmlformats.org/officeDocument/2006/relationships/hyperlink" Target="https://www.oag.com/hubfs/Flourish/United%20States.png" TargetMode="External"/><Relationship Id="rId222" Type="http://schemas.openxmlformats.org/officeDocument/2006/relationships/hyperlink" Target="https://www.oag.com/hubfs/Flourish/3-1.png" TargetMode="External"/><Relationship Id="rId1057" Type="http://schemas.openxmlformats.org/officeDocument/2006/relationships/hyperlink" Target="https://www.oag.com/hubfs/Flourish/China.png" TargetMode="External"/><Relationship Id="rId2388" Type="http://schemas.openxmlformats.org/officeDocument/2006/relationships/hyperlink" Target="https://www.oag.com/hubfs/Flourish/United%20States.png" TargetMode="External"/><Relationship Id="rId221" Type="http://schemas.openxmlformats.org/officeDocument/2006/relationships/hyperlink" Target="https://www.oag.com/hubfs/Flourish/3-1.png" TargetMode="External"/><Relationship Id="rId1058" Type="http://schemas.openxmlformats.org/officeDocument/2006/relationships/hyperlink" Target="https://www.oag.com/hubfs/Flourish/United%20States.png" TargetMode="External"/><Relationship Id="rId2389" Type="http://schemas.openxmlformats.org/officeDocument/2006/relationships/hyperlink" Target="https://www.oag.com/hubfs/Flourish/United%20States.png" TargetMode="External"/><Relationship Id="rId1048" Type="http://schemas.openxmlformats.org/officeDocument/2006/relationships/hyperlink" Target="https://www.oag.com/hubfs/Flourish/United%20States.png" TargetMode="External"/><Relationship Id="rId2379" Type="http://schemas.openxmlformats.org/officeDocument/2006/relationships/hyperlink" Target="https://www.oag.com/hubfs/Flourish/5.png" TargetMode="External"/><Relationship Id="rId1049" Type="http://schemas.openxmlformats.org/officeDocument/2006/relationships/hyperlink" Target="https://www.oag.com/hubfs/Flourish/United%20States.png" TargetMode="External"/><Relationship Id="rId217" Type="http://schemas.openxmlformats.org/officeDocument/2006/relationships/hyperlink" Target="https://www.oag.com/hubfs/Flourish/3-1.png" TargetMode="External"/><Relationship Id="rId216" Type="http://schemas.openxmlformats.org/officeDocument/2006/relationships/hyperlink" Target="https://www.oag.com/hubfs/Flourish/3-1.png" TargetMode="External"/><Relationship Id="rId215" Type="http://schemas.openxmlformats.org/officeDocument/2006/relationships/hyperlink" Target="https://www.oag.com/hubfs/Flourish/3-1.png" TargetMode="External"/><Relationship Id="rId214" Type="http://schemas.openxmlformats.org/officeDocument/2006/relationships/hyperlink" Target="https://www.oag.com/hubfs/Flourish/3-1.png" TargetMode="External"/><Relationship Id="rId219" Type="http://schemas.openxmlformats.org/officeDocument/2006/relationships/hyperlink" Target="https://www.oag.com/hubfs/Flourish/3-1.png" TargetMode="External"/><Relationship Id="rId218" Type="http://schemas.openxmlformats.org/officeDocument/2006/relationships/hyperlink" Target="https://www.oag.com/hubfs/Flourish/3-1.png" TargetMode="External"/><Relationship Id="rId2370" Type="http://schemas.openxmlformats.org/officeDocument/2006/relationships/hyperlink" Target="https://www.oag.com/hubfs/Flourish/India.png" TargetMode="External"/><Relationship Id="rId1040" Type="http://schemas.openxmlformats.org/officeDocument/2006/relationships/hyperlink" Target="https://www.oag.com/hubfs/Flourish/United%20States.png" TargetMode="External"/><Relationship Id="rId2371" Type="http://schemas.openxmlformats.org/officeDocument/2006/relationships/hyperlink" Target="https://www.oag.com/hubfs/Flourish/United%20States.png" TargetMode="External"/><Relationship Id="rId1041" Type="http://schemas.openxmlformats.org/officeDocument/2006/relationships/hyperlink" Target="https://www.oag.com/hubfs/Flourish/2-1.png" TargetMode="External"/><Relationship Id="rId2372" Type="http://schemas.openxmlformats.org/officeDocument/2006/relationships/hyperlink" Target="https://www.oag.com/hubfs/Flourish/United%20States.png" TargetMode="External"/><Relationship Id="rId1042" Type="http://schemas.openxmlformats.org/officeDocument/2006/relationships/hyperlink" Target="https://www.oag.com/hubfs/Flourish/Thailand.png" TargetMode="External"/><Relationship Id="rId2373" Type="http://schemas.openxmlformats.org/officeDocument/2006/relationships/hyperlink" Target="https://www.oag.com/hubfs/Flourish/United%20States.png" TargetMode="External"/><Relationship Id="rId1043" Type="http://schemas.openxmlformats.org/officeDocument/2006/relationships/hyperlink" Target="https://www.oag.com/hubfs/Flourish/United%20States.png" TargetMode="External"/><Relationship Id="rId2374" Type="http://schemas.openxmlformats.org/officeDocument/2006/relationships/hyperlink" Target="https://www.oag.com/hubfs/Flourish/United%20States.png" TargetMode="External"/><Relationship Id="rId213" Type="http://schemas.openxmlformats.org/officeDocument/2006/relationships/hyperlink" Target="https://www.oag.com/hubfs/Flourish/3-1.png" TargetMode="External"/><Relationship Id="rId1044" Type="http://schemas.openxmlformats.org/officeDocument/2006/relationships/hyperlink" Target="https://www.oag.com/hubfs/Flourish/Mexico.png" TargetMode="External"/><Relationship Id="rId2375" Type="http://schemas.openxmlformats.org/officeDocument/2006/relationships/hyperlink" Target="https://www.oag.com/hubfs/Flourish/Mexico.png" TargetMode="External"/><Relationship Id="rId212" Type="http://schemas.openxmlformats.org/officeDocument/2006/relationships/hyperlink" Target="https://www.oag.com/hubfs/Flourish/3-1.png" TargetMode="External"/><Relationship Id="rId1045" Type="http://schemas.openxmlformats.org/officeDocument/2006/relationships/hyperlink" Target="https://www.oag.com/hubfs/Flourish/3-1.png" TargetMode="External"/><Relationship Id="rId2376" Type="http://schemas.openxmlformats.org/officeDocument/2006/relationships/hyperlink" Target="https://www.oag.com/hubfs/Flourish/United%20States.png" TargetMode="External"/><Relationship Id="rId211" Type="http://schemas.openxmlformats.org/officeDocument/2006/relationships/hyperlink" Target="https://www.oag.com/hubfs/Flourish/3-1.png" TargetMode="External"/><Relationship Id="rId1046" Type="http://schemas.openxmlformats.org/officeDocument/2006/relationships/hyperlink" Target="https://www.oag.com/hubfs/Flourish/3-1.png" TargetMode="External"/><Relationship Id="rId2377" Type="http://schemas.openxmlformats.org/officeDocument/2006/relationships/hyperlink" Target="https://www.oag.com/hubfs/Flourish/United%20States.png" TargetMode="External"/><Relationship Id="rId210" Type="http://schemas.openxmlformats.org/officeDocument/2006/relationships/hyperlink" Target="https://www.oag.com/hubfs/Flourish/3-1.png" TargetMode="External"/><Relationship Id="rId1047" Type="http://schemas.openxmlformats.org/officeDocument/2006/relationships/hyperlink" Target="https://www.oag.com/hubfs/Flourish/3-1.png" TargetMode="External"/><Relationship Id="rId2378" Type="http://schemas.openxmlformats.org/officeDocument/2006/relationships/hyperlink" Target="https://www.oag.com/hubfs/Flourish/United%20States.png" TargetMode="External"/><Relationship Id="rId249" Type="http://schemas.openxmlformats.org/officeDocument/2006/relationships/hyperlink" Target="https://www.oag.com/hubfs/Flourish/3-1.png" TargetMode="External"/><Relationship Id="rId248" Type="http://schemas.openxmlformats.org/officeDocument/2006/relationships/hyperlink" Target="https://www.oag.com/hubfs/Flourish/3-1.png" TargetMode="External"/><Relationship Id="rId247" Type="http://schemas.openxmlformats.org/officeDocument/2006/relationships/hyperlink" Target="https://www.oag.com/hubfs/Flourish/3-1.png" TargetMode="External"/><Relationship Id="rId1070" Type="http://schemas.openxmlformats.org/officeDocument/2006/relationships/hyperlink" Target="https://www.oag.com/hubfs/Flourish/United%20States.png" TargetMode="External"/><Relationship Id="rId1071" Type="http://schemas.openxmlformats.org/officeDocument/2006/relationships/hyperlink" Target="https://www.oag.com/hubfs/Flourish/6.png" TargetMode="External"/><Relationship Id="rId1072" Type="http://schemas.openxmlformats.org/officeDocument/2006/relationships/hyperlink" Target="https://www.oag.com/hubfs/Flourish/United%20States.png" TargetMode="External"/><Relationship Id="rId242" Type="http://schemas.openxmlformats.org/officeDocument/2006/relationships/hyperlink" Target="https://www.oag.com/hubfs/Flourish/3-1.png" TargetMode="External"/><Relationship Id="rId1073" Type="http://schemas.openxmlformats.org/officeDocument/2006/relationships/hyperlink" Target="https://www.oag.com/hubfs/Flourish/United%20States.png" TargetMode="External"/><Relationship Id="rId241" Type="http://schemas.openxmlformats.org/officeDocument/2006/relationships/hyperlink" Target="https://www.oag.com/hubfs/Flourish/3-1.png" TargetMode="External"/><Relationship Id="rId1074" Type="http://schemas.openxmlformats.org/officeDocument/2006/relationships/hyperlink" Target="https://www.oag.com/hubfs/Flourish/China.png" TargetMode="External"/><Relationship Id="rId240" Type="http://schemas.openxmlformats.org/officeDocument/2006/relationships/hyperlink" Target="https://www.oag.com/hubfs/Flourish/3-1.png" TargetMode="External"/><Relationship Id="rId1075" Type="http://schemas.openxmlformats.org/officeDocument/2006/relationships/hyperlink" Target="https://www.oag.com/hubfs/Flourish/China.png" TargetMode="External"/><Relationship Id="rId1076" Type="http://schemas.openxmlformats.org/officeDocument/2006/relationships/hyperlink" Target="https://www.oag.com/hubfs/Flourish/United%20States.png" TargetMode="External"/><Relationship Id="rId246" Type="http://schemas.openxmlformats.org/officeDocument/2006/relationships/hyperlink" Target="https://www.oag.com/hubfs/Flourish/3-1.png" TargetMode="External"/><Relationship Id="rId1077" Type="http://schemas.openxmlformats.org/officeDocument/2006/relationships/hyperlink" Target="https://www.oag.com/hubfs/Flourish/United%20States.png" TargetMode="External"/><Relationship Id="rId245" Type="http://schemas.openxmlformats.org/officeDocument/2006/relationships/hyperlink" Target="https://www.oag.com/hubfs/Flourish/3-1.png" TargetMode="External"/><Relationship Id="rId1078" Type="http://schemas.openxmlformats.org/officeDocument/2006/relationships/hyperlink" Target="https://www.oag.com/hubfs/Flourish/6.png" TargetMode="External"/><Relationship Id="rId244" Type="http://schemas.openxmlformats.org/officeDocument/2006/relationships/hyperlink" Target="https://www.oag.com/hubfs/Flourish/3-1.png" TargetMode="External"/><Relationship Id="rId1079" Type="http://schemas.openxmlformats.org/officeDocument/2006/relationships/hyperlink" Target="https://www.oag.com/hubfs/Flourish/India.png" TargetMode="External"/><Relationship Id="rId243" Type="http://schemas.openxmlformats.org/officeDocument/2006/relationships/hyperlink" Target="https://www.oag.com/hubfs/Flourish/3-1.png" TargetMode="External"/><Relationship Id="rId239" Type="http://schemas.openxmlformats.org/officeDocument/2006/relationships/hyperlink" Target="https://www.oag.com/hubfs/Flourish/3-1.png" TargetMode="External"/><Relationship Id="rId238" Type="http://schemas.openxmlformats.org/officeDocument/2006/relationships/hyperlink" Target="https://www.oag.com/hubfs/Flourish/3-1.png" TargetMode="External"/><Relationship Id="rId237" Type="http://schemas.openxmlformats.org/officeDocument/2006/relationships/hyperlink" Target="https://www.oag.com/hubfs/Flourish/3-1.png" TargetMode="External"/><Relationship Id="rId236" Type="http://schemas.openxmlformats.org/officeDocument/2006/relationships/hyperlink" Target="https://www.oag.com/hubfs/Flourish/3-1.png" TargetMode="External"/><Relationship Id="rId2390" Type="http://schemas.openxmlformats.org/officeDocument/2006/relationships/hyperlink" Target="https://www.oag.com/hubfs/Flourish/3-1.png" TargetMode="External"/><Relationship Id="rId1060" Type="http://schemas.openxmlformats.org/officeDocument/2006/relationships/hyperlink" Target="https://www.oag.com/hubfs/Flourish/8.png" TargetMode="External"/><Relationship Id="rId2391" Type="http://schemas.openxmlformats.org/officeDocument/2006/relationships/hyperlink" Target="https://www.oag.com/hubfs/Flourish/India.png" TargetMode="External"/><Relationship Id="rId1061" Type="http://schemas.openxmlformats.org/officeDocument/2006/relationships/hyperlink" Target="https://www.oag.com/hubfs/Flourish/China.png" TargetMode="External"/><Relationship Id="rId2392" Type="http://schemas.openxmlformats.org/officeDocument/2006/relationships/hyperlink" Target="https://www.oag.com/hubfs/Flourish/United%20States.png" TargetMode="External"/><Relationship Id="rId231" Type="http://schemas.openxmlformats.org/officeDocument/2006/relationships/hyperlink" Target="https://www.oag.com/hubfs/Flourish/3-1.png" TargetMode="External"/><Relationship Id="rId1062" Type="http://schemas.openxmlformats.org/officeDocument/2006/relationships/hyperlink" Target="https://www.oag.com/hubfs/Flourish/China.png" TargetMode="External"/><Relationship Id="rId2393" Type="http://schemas.openxmlformats.org/officeDocument/2006/relationships/hyperlink" Target="https://www.oag.com/hubfs/Flourish/3-1.png" TargetMode="External"/><Relationship Id="rId230" Type="http://schemas.openxmlformats.org/officeDocument/2006/relationships/hyperlink" Target="https://www.oag.com/hubfs/Flourish/3-1.png" TargetMode="External"/><Relationship Id="rId1063" Type="http://schemas.openxmlformats.org/officeDocument/2006/relationships/hyperlink" Target="https://www.oag.com/hubfs/Flourish/United%20States.png" TargetMode="External"/><Relationship Id="rId2394" Type="http://schemas.openxmlformats.org/officeDocument/2006/relationships/hyperlink" Target="https://www.oag.com/hubfs/Flourish/United%20States.png" TargetMode="External"/><Relationship Id="rId1064" Type="http://schemas.openxmlformats.org/officeDocument/2006/relationships/hyperlink" Target="https://www.oag.com/hubfs/Flourish/United%20States.png" TargetMode="External"/><Relationship Id="rId2395" Type="http://schemas.openxmlformats.org/officeDocument/2006/relationships/hyperlink" Target="https://www.oag.com/hubfs/Flourish/United%20States.png" TargetMode="External"/><Relationship Id="rId1065" Type="http://schemas.openxmlformats.org/officeDocument/2006/relationships/hyperlink" Target="https://www.oag.com/hubfs/Flourish/United%20States.png" TargetMode="External"/><Relationship Id="rId2396" Type="http://schemas.openxmlformats.org/officeDocument/2006/relationships/hyperlink" Target="https://www.oag.com/hubfs/Flourish/United%20States.png" TargetMode="External"/><Relationship Id="rId235" Type="http://schemas.openxmlformats.org/officeDocument/2006/relationships/hyperlink" Target="https://www.oag.com/hubfs/Flourish/3-1.png" TargetMode="External"/><Relationship Id="rId1066" Type="http://schemas.openxmlformats.org/officeDocument/2006/relationships/hyperlink" Target="https://www.oag.com/hubfs/Flourish/China.png" TargetMode="External"/><Relationship Id="rId2397" Type="http://schemas.openxmlformats.org/officeDocument/2006/relationships/hyperlink" Target="https://www.oag.com/hubfs/Flourish/United%20States.png" TargetMode="External"/><Relationship Id="rId234" Type="http://schemas.openxmlformats.org/officeDocument/2006/relationships/hyperlink" Target="https://www.oag.com/hubfs/Flourish/3-1.png" TargetMode="External"/><Relationship Id="rId1067" Type="http://schemas.openxmlformats.org/officeDocument/2006/relationships/hyperlink" Target="https://www.oag.com/hubfs/Flourish/S%20Korea.jpg" TargetMode="External"/><Relationship Id="rId2398" Type="http://schemas.openxmlformats.org/officeDocument/2006/relationships/hyperlink" Target="https://www.oag.com/hubfs/Flourish/United%20States.png" TargetMode="External"/><Relationship Id="rId233" Type="http://schemas.openxmlformats.org/officeDocument/2006/relationships/hyperlink" Target="https://www.oag.com/hubfs/Flourish/3-1.png" TargetMode="External"/><Relationship Id="rId1068" Type="http://schemas.openxmlformats.org/officeDocument/2006/relationships/hyperlink" Target="https://www.oag.com/hubfs/Flourish/United%20States.png" TargetMode="External"/><Relationship Id="rId2399" Type="http://schemas.openxmlformats.org/officeDocument/2006/relationships/hyperlink" Target="https://www.oag.com/hubfs/Flourish/Thailand.png" TargetMode="External"/><Relationship Id="rId232" Type="http://schemas.openxmlformats.org/officeDocument/2006/relationships/hyperlink" Target="https://www.oag.com/hubfs/Flourish/3-1.png" TargetMode="External"/><Relationship Id="rId1069" Type="http://schemas.openxmlformats.org/officeDocument/2006/relationships/hyperlink" Target="https://www.oag.com/hubfs/Flourish/3-1.png" TargetMode="External"/><Relationship Id="rId1015" Type="http://schemas.openxmlformats.org/officeDocument/2006/relationships/hyperlink" Target="https://www.oag.com/hubfs/Flourish/China.png" TargetMode="External"/><Relationship Id="rId2346" Type="http://schemas.openxmlformats.org/officeDocument/2006/relationships/hyperlink" Target="https://www.oag.com/hubfs/Flourish/United%20States.png" TargetMode="External"/><Relationship Id="rId1016" Type="http://schemas.openxmlformats.org/officeDocument/2006/relationships/hyperlink" Target="https://www.oag.com/hubfs/Flourish/United%20States.png" TargetMode="External"/><Relationship Id="rId2347" Type="http://schemas.openxmlformats.org/officeDocument/2006/relationships/hyperlink" Target="https://www.oag.com/hubfs/Flourish/United%20States.png" TargetMode="External"/><Relationship Id="rId1017" Type="http://schemas.openxmlformats.org/officeDocument/2006/relationships/hyperlink" Target="https://www.oag.com/hubfs/Flourish/2-1.png" TargetMode="External"/><Relationship Id="rId2348" Type="http://schemas.openxmlformats.org/officeDocument/2006/relationships/hyperlink" Target="https://www.oag.com/hubfs/Flourish/1-1.png" TargetMode="External"/><Relationship Id="rId1018" Type="http://schemas.openxmlformats.org/officeDocument/2006/relationships/hyperlink" Target="https://www.oag.com/hubfs/Flourish/United%20States.png" TargetMode="External"/><Relationship Id="rId2349" Type="http://schemas.openxmlformats.org/officeDocument/2006/relationships/hyperlink" Target="https://www.oag.com/hubfs/Flourish/United%20States.png" TargetMode="External"/><Relationship Id="rId1019" Type="http://schemas.openxmlformats.org/officeDocument/2006/relationships/hyperlink" Target="https://www.oag.com/hubfs/Flourish/United%20States.png" TargetMode="External"/><Relationship Id="rId2340" Type="http://schemas.openxmlformats.org/officeDocument/2006/relationships/hyperlink" Target="https://www.oag.com/hubfs/Flourish/Croatia.png" TargetMode="External"/><Relationship Id="rId1010" Type="http://schemas.openxmlformats.org/officeDocument/2006/relationships/hyperlink" Target="https://www.oag.com/hubfs/Flourish/United%20States.png" TargetMode="External"/><Relationship Id="rId2341" Type="http://schemas.openxmlformats.org/officeDocument/2006/relationships/hyperlink" Target="https://www.oag.com/hubfs/Flourish/S%20Korea.jpg" TargetMode="External"/><Relationship Id="rId1011" Type="http://schemas.openxmlformats.org/officeDocument/2006/relationships/hyperlink" Target="https://www.oag.com/hubfs/Flourish/United%20States.png" TargetMode="External"/><Relationship Id="rId2342" Type="http://schemas.openxmlformats.org/officeDocument/2006/relationships/hyperlink" Target="https://www.oag.com/hubfs/Flourish/Poland.png" TargetMode="External"/><Relationship Id="rId1012" Type="http://schemas.openxmlformats.org/officeDocument/2006/relationships/hyperlink" Target="https://www.oag.com/hubfs/Flourish/6.png" TargetMode="External"/><Relationship Id="rId2343" Type="http://schemas.openxmlformats.org/officeDocument/2006/relationships/hyperlink" Target="https://www.oag.com/hubfs/Flourish/United%20States.png" TargetMode="External"/><Relationship Id="rId1013" Type="http://schemas.openxmlformats.org/officeDocument/2006/relationships/hyperlink" Target="https://www.oag.com/hubfs/Flourish/United%20States.png" TargetMode="External"/><Relationship Id="rId2344" Type="http://schemas.openxmlformats.org/officeDocument/2006/relationships/hyperlink" Target="https://www.oag.com/hubfs/Flourish/Poland.png" TargetMode="External"/><Relationship Id="rId1014" Type="http://schemas.openxmlformats.org/officeDocument/2006/relationships/hyperlink" Target="https://www.oag.com/hubfs/Flourish/2-1.png" TargetMode="External"/><Relationship Id="rId2345" Type="http://schemas.openxmlformats.org/officeDocument/2006/relationships/hyperlink" Target="https://www.oag.com/hubfs/Flourish/United%20States.png" TargetMode="External"/><Relationship Id="rId1004" Type="http://schemas.openxmlformats.org/officeDocument/2006/relationships/hyperlink" Target="https://www.oag.com/hubfs/Flourish/Poland.png" TargetMode="External"/><Relationship Id="rId2335" Type="http://schemas.openxmlformats.org/officeDocument/2006/relationships/hyperlink" Target="https://www.oag.com/hubfs/Flourish/United%20States.png" TargetMode="External"/><Relationship Id="rId1005" Type="http://schemas.openxmlformats.org/officeDocument/2006/relationships/hyperlink" Target="https://www.oag.com/hubfs/Flourish/7.png" TargetMode="External"/><Relationship Id="rId2336" Type="http://schemas.openxmlformats.org/officeDocument/2006/relationships/hyperlink" Target="https://www.oag.com/hubfs/Flourish/United%20States.png" TargetMode="External"/><Relationship Id="rId1006" Type="http://schemas.openxmlformats.org/officeDocument/2006/relationships/hyperlink" Target="https://www.oag.com/hubfs/Flourish/United%20States.png" TargetMode="External"/><Relationship Id="rId2337" Type="http://schemas.openxmlformats.org/officeDocument/2006/relationships/hyperlink" Target="https://www.oag.com/hubfs/Flourish/3-1.png" TargetMode="External"/><Relationship Id="rId1007" Type="http://schemas.openxmlformats.org/officeDocument/2006/relationships/hyperlink" Target="https://www.oag.com/hubfs/Flourish/6.png" TargetMode="External"/><Relationship Id="rId2338" Type="http://schemas.openxmlformats.org/officeDocument/2006/relationships/hyperlink" Target="https://www.oag.com/hubfs/Flourish/United%20States.png" TargetMode="External"/><Relationship Id="rId1008" Type="http://schemas.openxmlformats.org/officeDocument/2006/relationships/hyperlink" Target="https://www.oag.com/hubfs/Flourish/3-1.png" TargetMode="External"/><Relationship Id="rId2339" Type="http://schemas.openxmlformats.org/officeDocument/2006/relationships/hyperlink" Target="https://www.oag.com/hubfs/Flourish/United%20States.png" TargetMode="External"/><Relationship Id="rId1009" Type="http://schemas.openxmlformats.org/officeDocument/2006/relationships/hyperlink" Target="https://www.oag.com/hubfs/Flourish/2-1.png" TargetMode="External"/><Relationship Id="rId2330" Type="http://schemas.openxmlformats.org/officeDocument/2006/relationships/hyperlink" Target="https://www.oag.com/hubfs/Flourish/3-1.png" TargetMode="External"/><Relationship Id="rId1000" Type="http://schemas.openxmlformats.org/officeDocument/2006/relationships/hyperlink" Target="https://www.oag.com/hubfs/Flourish/United%20States.png" TargetMode="External"/><Relationship Id="rId2331" Type="http://schemas.openxmlformats.org/officeDocument/2006/relationships/hyperlink" Target="https://www.oag.com/hubfs/Flourish/United%20States.png" TargetMode="External"/><Relationship Id="rId1001" Type="http://schemas.openxmlformats.org/officeDocument/2006/relationships/hyperlink" Target="https://www.oag.com/hubfs/Flourish/Ireland.png" TargetMode="External"/><Relationship Id="rId2332" Type="http://schemas.openxmlformats.org/officeDocument/2006/relationships/hyperlink" Target="https://www.oag.com/hubfs/Flourish/United%20States.png" TargetMode="External"/><Relationship Id="rId1002" Type="http://schemas.openxmlformats.org/officeDocument/2006/relationships/hyperlink" Target="https://www.oag.com/hubfs/Flourish/8.png" TargetMode="External"/><Relationship Id="rId2333" Type="http://schemas.openxmlformats.org/officeDocument/2006/relationships/hyperlink" Target="https://www.oag.com/hubfs/Flourish/Ireland.png" TargetMode="External"/><Relationship Id="rId1003" Type="http://schemas.openxmlformats.org/officeDocument/2006/relationships/hyperlink" Target="https://www.oag.com/hubfs/Flourish/United%20States.png" TargetMode="External"/><Relationship Id="rId2334" Type="http://schemas.openxmlformats.org/officeDocument/2006/relationships/hyperlink" Target="https://www.oag.com/hubfs/Flourish/United%20States.png" TargetMode="External"/><Relationship Id="rId1037" Type="http://schemas.openxmlformats.org/officeDocument/2006/relationships/hyperlink" Target="https://www.oag.com/hubfs/Flourish/United%20States.png" TargetMode="External"/><Relationship Id="rId2368" Type="http://schemas.openxmlformats.org/officeDocument/2006/relationships/hyperlink" Target="https://www.oag.com/hubfs/Flourish/Mexico.png" TargetMode="External"/><Relationship Id="rId1038" Type="http://schemas.openxmlformats.org/officeDocument/2006/relationships/hyperlink" Target="https://www.oag.com/hubfs/Flourish/United%20States.png" TargetMode="External"/><Relationship Id="rId2369" Type="http://schemas.openxmlformats.org/officeDocument/2006/relationships/hyperlink" Target="https://www.oag.com/hubfs/Flourish/Mexico.png" TargetMode="External"/><Relationship Id="rId1039" Type="http://schemas.openxmlformats.org/officeDocument/2006/relationships/hyperlink" Target="https://www.oag.com/hubfs/Flourish/United%20States.png" TargetMode="External"/><Relationship Id="rId206" Type="http://schemas.openxmlformats.org/officeDocument/2006/relationships/hyperlink" Target="https://www.oag.com/hubfs/Flourish/3-1.png" TargetMode="External"/><Relationship Id="rId205" Type="http://schemas.openxmlformats.org/officeDocument/2006/relationships/hyperlink" Target="https://www.oag.com/hubfs/Flourish/3-1.png" TargetMode="External"/><Relationship Id="rId204" Type="http://schemas.openxmlformats.org/officeDocument/2006/relationships/hyperlink" Target="https://www.oag.com/hubfs/Flourish/3-1.png" TargetMode="External"/><Relationship Id="rId203" Type="http://schemas.openxmlformats.org/officeDocument/2006/relationships/hyperlink" Target="https://www.oag.com/hubfs/Flourish/3-1.png" TargetMode="External"/><Relationship Id="rId209" Type="http://schemas.openxmlformats.org/officeDocument/2006/relationships/hyperlink" Target="https://www.oag.com/hubfs/Flourish/3-1.png" TargetMode="External"/><Relationship Id="rId208" Type="http://schemas.openxmlformats.org/officeDocument/2006/relationships/hyperlink" Target="https://www.oag.com/hubfs/Flourish/3-1.png" TargetMode="External"/><Relationship Id="rId207" Type="http://schemas.openxmlformats.org/officeDocument/2006/relationships/hyperlink" Target="https://www.oag.com/hubfs/Flourish/3-1.png" TargetMode="External"/><Relationship Id="rId2360" Type="http://schemas.openxmlformats.org/officeDocument/2006/relationships/hyperlink" Target="https://www.oag.com/hubfs/Flourish/8.png" TargetMode="External"/><Relationship Id="rId1030" Type="http://schemas.openxmlformats.org/officeDocument/2006/relationships/hyperlink" Target="https://www.oag.com/hubfs/Flourish/United%20States.png" TargetMode="External"/><Relationship Id="rId2361" Type="http://schemas.openxmlformats.org/officeDocument/2006/relationships/hyperlink" Target="https://www.oag.com/hubfs/Flourish/United%20States.png" TargetMode="External"/><Relationship Id="rId1031" Type="http://schemas.openxmlformats.org/officeDocument/2006/relationships/hyperlink" Target="https://www.oag.com/hubfs/Flourish/3-1.png" TargetMode="External"/><Relationship Id="rId2362" Type="http://schemas.openxmlformats.org/officeDocument/2006/relationships/hyperlink" Target="https://www.oag.com/hubfs/Flourish/United%20States.png" TargetMode="External"/><Relationship Id="rId1032" Type="http://schemas.openxmlformats.org/officeDocument/2006/relationships/hyperlink" Target="https://www.oag.com/hubfs/Flourish/United%20States.png" TargetMode="External"/><Relationship Id="rId2363" Type="http://schemas.openxmlformats.org/officeDocument/2006/relationships/hyperlink" Target="https://www.oag.com/hubfs/Flourish/United%20States.png" TargetMode="External"/><Relationship Id="rId202" Type="http://schemas.openxmlformats.org/officeDocument/2006/relationships/hyperlink" Target="https://www.oag.com/hubfs/Flourish/1-1.png" TargetMode="External"/><Relationship Id="rId1033" Type="http://schemas.openxmlformats.org/officeDocument/2006/relationships/hyperlink" Target="https://www.oag.com/hubfs/Flourish/India.png" TargetMode="External"/><Relationship Id="rId2364" Type="http://schemas.openxmlformats.org/officeDocument/2006/relationships/hyperlink" Target="https://www.oag.com/hubfs/Flourish/Thailand.png" TargetMode="External"/><Relationship Id="rId201" Type="http://schemas.openxmlformats.org/officeDocument/2006/relationships/hyperlink" Target="https://www.oag.com/hubfs/Flourish/1-1.png" TargetMode="External"/><Relationship Id="rId1034" Type="http://schemas.openxmlformats.org/officeDocument/2006/relationships/hyperlink" Target="https://www.oag.com/hubfs/Flourish/United%20States.png" TargetMode="External"/><Relationship Id="rId2365" Type="http://schemas.openxmlformats.org/officeDocument/2006/relationships/hyperlink" Target="https://www.oag.com/hubfs/Flourish/United%20States.png" TargetMode="External"/><Relationship Id="rId200" Type="http://schemas.openxmlformats.org/officeDocument/2006/relationships/hyperlink" Target="https://www.oag.com/hubfs/Flourish/1-1.png" TargetMode="External"/><Relationship Id="rId1035" Type="http://schemas.openxmlformats.org/officeDocument/2006/relationships/hyperlink" Target="https://www.oag.com/hubfs/Flourish/United%20States.png" TargetMode="External"/><Relationship Id="rId2366" Type="http://schemas.openxmlformats.org/officeDocument/2006/relationships/hyperlink" Target="https://www.oag.com/hubfs/Flourish/United%20States.png" TargetMode="External"/><Relationship Id="rId1036" Type="http://schemas.openxmlformats.org/officeDocument/2006/relationships/hyperlink" Target="https://www.oag.com/hubfs/Flourish/1-1.png" TargetMode="External"/><Relationship Id="rId2367" Type="http://schemas.openxmlformats.org/officeDocument/2006/relationships/hyperlink" Target="https://www.oag.com/hubfs/Flourish/India.png" TargetMode="External"/><Relationship Id="rId1026" Type="http://schemas.openxmlformats.org/officeDocument/2006/relationships/hyperlink" Target="https://www.oag.com/hubfs/Flourish/United%20States.png" TargetMode="External"/><Relationship Id="rId2357" Type="http://schemas.openxmlformats.org/officeDocument/2006/relationships/hyperlink" Target="https://www.oag.com/hubfs/Flourish/United%20States.png" TargetMode="External"/><Relationship Id="rId1027" Type="http://schemas.openxmlformats.org/officeDocument/2006/relationships/hyperlink" Target="https://www.oag.com/hubfs/Flourish/India.png" TargetMode="External"/><Relationship Id="rId2358" Type="http://schemas.openxmlformats.org/officeDocument/2006/relationships/hyperlink" Target="https://www.oag.com/hubfs/Flourish/United%20States.png" TargetMode="External"/><Relationship Id="rId1028" Type="http://schemas.openxmlformats.org/officeDocument/2006/relationships/hyperlink" Target="https://www.oag.com/hubfs/Flourish/United%20States.png" TargetMode="External"/><Relationship Id="rId2359" Type="http://schemas.openxmlformats.org/officeDocument/2006/relationships/hyperlink" Target="https://www.oag.com/hubfs/Flourish/India.png" TargetMode="External"/><Relationship Id="rId1029" Type="http://schemas.openxmlformats.org/officeDocument/2006/relationships/hyperlink" Target="https://www.oag.com/hubfs/Flourish/United%20States.png" TargetMode="External"/><Relationship Id="rId2350" Type="http://schemas.openxmlformats.org/officeDocument/2006/relationships/hyperlink" Target="https://www.oag.com/hubfs/Flourish/United%20States.png" TargetMode="External"/><Relationship Id="rId1020" Type="http://schemas.openxmlformats.org/officeDocument/2006/relationships/hyperlink" Target="https://www.oag.com/hubfs/Flourish/2-1.png" TargetMode="External"/><Relationship Id="rId2351" Type="http://schemas.openxmlformats.org/officeDocument/2006/relationships/hyperlink" Target="https://www.oag.com/hubfs/Flourish/United%20States.png" TargetMode="External"/><Relationship Id="rId1021" Type="http://schemas.openxmlformats.org/officeDocument/2006/relationships/hyperlink" Target="https://www.oag.com/hubfs/Flourish/United%20States.png" TargetMode="External"/><Relationship Id="rId2352" Type="http://schemas.openxmlformats.org/officeDocument/2006/relationships/hyperlink" Target="https://www.oag.com/hubfs/Flourish/2-1.png" TargetMode="External"/><Relationship Id="rId1022" Type="http://schemas.openxmlformats.org/officeDocument/2006/relationships/hyperlink" Target="https://www.oag.com/hubfs/Flourish/United%20States.png" TargetMode="External"/><Relationship Id="rId2353" Type="http://schemas.openxmlformats.org/officeDocument/2006/relationships/hyperlink" Target="https://www.oag.com/hubfs/Flourish/United%20States.png" TargetMode="External"/><Relationship Id="rId1023" Type="http://schemas.openxmlformats.org/officeDocument/2006/relationships/hyperlink" Target="https://www.oag.com/hubfs/Flourish/3-1.png" TargetMode="External"/><Relationship Id="rId2354" Type="http://schemas.openxmlformats.org/officeDocument/2006/relationships/hyperlink" Target="https://www.oag.com/hubfs/Flourish/United%20States.png" TargetMode="External"/><Relationship Id="rId1024" Type="http://schemas.openxmlformats.org/officeDocument/2006/relationships/hyperlink" Target="https://www.oag.com/hubfs/Flourish/India.png" TargetMode="External"/><Relationship Id="rId2355" Type="http://schemas.openxmlformats.org/officeDocument/2006/relationships/hyperlink" Target="https://www.oag.com/hubfs/Flourish/1-1.png" TargetMode="External"/><Relationship Id="rId1025" Type="http://schemas.openxmlformats.org/officeDocument/2006/relationships/hyperlink" Target="https://www.oag.com/hubfs/Flourish/United%20States.png" TargetMode="External"/><Relationship Id="rId2356" Type="http://schemas.openxmlformats.org/officeDocument/2006/relationships/hyperlink" Target="https://www.oag.com/hubfs/Flourish/United%20States.png" TargetMode="External"/><Relationship Id="rId1910" Type="http://schemas.openxmlformats.org/officeDocument/2006/relationships/hyperlink" Target="https://www.oag.com/hubfs/Flourish/United%20States.png" TargetMode="External"/><Relationship Id="rId1911" Type="http://schemas.openxmlformats.org/officeDocument/2006/relationships/hyperlink" Target="https://www.oag.com/hubfs/Flourish/United%20States.png" TargetMode="External"/><Relationship Id="rId1912" Type="http://schemas.openxmlformats.org/officeDocument/2006/relationships/hyperlink" Target="https://www.oag.com/hubfs/Flourish/China.png" TargetMode="External"/><Relationship Id="rId1913" Type="http://schemas.openxmlformats.org/officeDocument/2006/relationships/hyperlink" Target="https://www.oag.com/hubfs/Flourish/2-1.png" TargetMode="External"/><Relationship Id="rId1914" Type="http://schemas.openxmlformats.org/officeDocument/2006/relationships/hyperlink" Target="https://www.oag.com/hubfs/Flourish/United%20States.png" TargetMode="External"/><Relationship Id="rId1915" Type="http://schemas.openxmlformats.org/officeDocument/2006/relationships/hyperlink" Target="https://www.oag.com/hubfs/Flourish/United%20States.png" TargetMode="External"/><Relationship Id="rId1916" Type="http://schemas.openxmlformats.org/officeDocument/2006/relationships/hyperlink" Target="https://www.oag.com/hubfs/Flourish/3-1.png" TargetMode="External"/><Relationship Id="rId1917" Type="http://schemas.openxmlformats.org/officeDocument/2006/relationships/hyperlink" Target="https://www.oag.com/hubfs/Flourish/1-1.png" TargetMode="External"/><Relationship Id="rId1918" Type="http://schemas.openxmlformats.org/officeDocument/2006/relationships/hyperlink" Target="https://www.oag.com/hubfs/Flourish/8.png" TargetMode="External"/><Relationship Id="rId1919" Type="http://schemas.openxmlformats.org/officeDocument/2006/relationships/hyperlink" Target="https://www.oag.com/hubfs/Flourish/1-1.png" TargetMode="External"/><Relationship Id="rId1900" Type="http://schemas.openxmlformats.org/officeDocument/2006/relationships/hyperlink" Target="https://www.oag.com/hubfs/Flourish/United%20States.png" TargetMode="External"/><Relationship Id="rId1901" Type="http://schemas.openxmlformats.org/officeDocument/2006/relationships/hyperlink" Target="https://www.oag.com/hubfs/Flourish/6.png" TargetMode="External"/><Relationship Id="rId1902" Type="http://schemas.openxmlformats.org/officeDocument/2006/relationships/hyperlink" Target="https://www.oag.com/hubfs/Flourish/1-1.png" TargetMode="External"/><Relationship Id="rId1903" Type="http://schemas.openxmlformats.org/officeDocument/2006/relationships/hyperlink" Target="https://www.oag.com/hubfs/Flourish/United%20States.png" TargetMode="External"/><Relationship Id="rId1904" Type="http://schemas.openxmlformats.org/officeDocument/2006/relationships/hyperlink" Target="https://www.oag.com/hubfs/Flourish/Poland.png" TargetMode="External"/><Relationship Id="rId1905" Type="http://schemas.openxmlformats.org/officeDocument/2006/relationships/hyperlink" Target="https://www.oag.com/hubfs/Flourish/United%20States.png" TargetMode="External"/><Relationship Id="rId1906" Type="http://schemas.openxmlformats.org/officeDocument/2006/relationships/hyperlink" Target="https://www.oag.com/hubfs/Flourish/United%20States.png" TargetMode="External"/><Relationship Id="rId1907" Type="http://schemas.openxmlformats.org/officeDocument/2006/relationships/hyperlink" Target="https://www.oag.com/hubfs/Flourish/China.png" TargetMode="External"/><Relationship Id="rId1908" Type="http://schemas.openxmlformats.org/officeDocument/2006/relationships/hyperlink" Target="https://www.oag.com/hubfs/Flourish/2-1.png" TargetMode="External"/><Relationship Id="rId1909" Type="http://schemas.openxmlformats.org/officeDocument/2006/relationships/hyperlink" Target="https://www.oag.com/hubfs/Flourish/3-1.png" TargetMode="External"/><Relationship Id="rId1090" Type="http://schemas.openxmlformats.org/officeDocument/2006/relationships/hyperlink" Target="https://www.oag.com/hubfs/Flourish/United%20States.png" TargetMode="External"/><Relationship Id="rId1091" Type="http://schemas.openxmlformats.org/officeDocument/2006/relationships/hyperlink" Target="https://www.oag.com/hubfs/Flourish/United%20States.png" TargetMode="External"/><Relationship Id="rId1092" Type="http://schemas.openxmlformats.org/officeDocument/2006/relationships/hyperlink" Target="https://www.oag.com/hubfs/Flourish/United%20States.png" TargetMode="External"/><Relationship Id="rId1093" Type="http://schemas.openxmlformats.org/officeDocument/2006/relationships/hyperlink" Target="https://www.oag.com/hubfs/Flourish/Mexico.png" TargetMode="External"/><Relationship Id="rId1094" Type="http://schemas.openxmlformats.org/officeDocument/2006/relationships/hyperlink" Target="https://www.oag.com/hubfs/Flourish/United%20States.png" TargetMode="External"/><Relationship Id="rId1095" Type="http://schemas.openxmlformats.org/officeDocument/2006/relationships/hyperlink" Target="https://www.oag.com/hubfs/Flourish/United%20States.png" TargetMode="External"/><Relationship Id="rId1096" Type="http://schemas.openxmlformats.org/officeDocument/2006/relationships/hyperlink" Target="https://www.oag.com/hubfs/Flourish/United%20States.png" TargetMode="External"/><Relationship Id="rId1097" Type="http://schemas.openxmlformats.org/officeDocument/2006/relationships/hyperlink" Target="https://www.oag.com/hubfs/Flourish/United%20States.png" TargetMode="External"/><Relationship Id="rId1098" Type="http://schemas.openxmlformats.org/officeDocument/2006/relationships/hyperlink" Target="https://www.oag.com/hubfs/Flourish/3-1.png" TargetMode="External"/><Relationship Id="rId1099" Type="http://schemas.openxmlformats.org/officeDocument/2006/relationships/hyperlink" Target="https://www.oag.com/hubfs/Flourish/Mexico.png" TargetMode="External"/><Relationship Id="rId1080" Type="http://schemas.openxmlformats.org/officeDocument/2006/relationships/hyperlink" Target="https://www.oag.com/hubfs/Flourish/S%20Korea.jpg" TargetMode="External"/><Relationship Id="rId1081" Type="http://schemas.openxmlformats.org/officeDocument/2006/relationships/hyperlink" Target="https://www.oag.com/hubfs/Flourish/Thailand.png" TargetMode="External"/><Relationship Id="rId1082" Type="http://schemas.openxmlformats.org/officeDocument/2006/relationships/hyperlink" Target="https://www.oag.com/hubfs/Flourish/Mexico.png" TargetMode="External"/><Relationship Id="rId1083" Type="http://schemas.openxmlformats.org/officeDocument/2006/relationships/hyperlink" Target="https://www.oag.com/hubfs/Flourish/S%20Korea.jpg" TargetMode="External"/><Relationship Id="rId1084" Type="http://schemas.openxmlformats.org/officeDocument/2006/relationships/hyperlink" Target="https://www.oag.com/hubfs/Flourish/United%20States.png" TargetMode="External"/><Relationship Id="rId1085" Type="http://schemas.openxmlformats.org/officeDocument/2006/relationships/hyperlink" Target="https://www.oag.com/hubfs/Flourish/United%20States.png" TargetMode="External"/><Relationship Id="rId1086" Type="http://schemas.openxmlformats.org/officeDocument/2006/relationships/hyperlink" Target="https://www.oag.com/hubfs/Flourish/China.png" TargetMode="External"/><Relationship Id="rId1087" Type="http://schemas.openxmlformats.org/officeDocument/2006/relationships/hyperlink" Target="https://www.oag.com/hubfs/Flourish/United%20States.png" TargetMode="External"/><Relationship Id="rId1088" Type="http://schemas.openxmlformats.org/officeDocument/2006/relationships/hyperlink" Target="https://www.oag.com/hubfs/Flourish/7.png" TargetMode="External"/><Relationship Id="rId1089" Type="http://schemas.openxmlformats.org/officeDocument/2006/relationships/hyperlink" Target="https://www.oag.com/hubfs/Flourish/United%20States.png" TargetMode="External"/><Relationship Id="rId1972" Type="http://schemas.openxmlformats.org/officeDocument/2006/relationships/hyperlink" Target="https://www.oag.com/hubfs/Flourish/United%20States.png" TargetMode="External"/><Relationship Id="rId1973" Type="http://schemas.openxmlformats.org/officeDocument/2006/relationships/hyperlink" Target="https://www.oag.com/hubfs/Flourish/1-1.png" TargetMode="External"/><Relationship Id="rId1974" Type="http://schemas.openxmlformats.org/officeDocument/2006/relationships/hyperlink" Target="https://www.oag.com/hubfs/Flourish/United%20States.png" TargetMode="External"/><Relationship Id="rId1975" Type="http://schemas.openxmlformats.org/officeDocument/2006/relationships/hyperlink" Target="https://www.oag.com/hubfs/Flourish/2-1.png" TargetMode="External"/><Relationship Id="rId1976" Type="http://schemas.openxmlformats.org/officeDocument/2006/relationships/hyperlink" Target="https://www.oag.com/hubfs/Flourish/United%20States.png" TargetMode="External"/><Relationship Id="rId1977" Type="http://schemas.openxmlformats.org/officeDocument/2006/relationships/hyperlink" Target="https://www.oag.com/hubfs/Flourish/United%20States.png" TargetMode="External"/><Relationship Id="rId1978" Type="http://schemas.openxmlformats.org/officeDocument/2006/relationships/hyperlink" Target="https://www.oag.com/hubfs/Flourish/Thailand.png" TargetMode="External"/><Relationship Id="rId1979" Type="http://schemas.openxmlformats.org/officeDocument/2006/relationships/hyperlink" Target="https://www.oag.com/hubfs/Flourish/3-1.png" TargetMode="External"/><Relationship Id="rId1970" Type="http://schemas.openxmlformats.org/officeDocument/2006/relationships/hyperlink" Target="https://www.oag.com/hubfs/Flourish/United%20States.png" TargetMode="External"/><Relationship Id="rId1971" Type="http://schemas.openxmlformats.org/officeDocument/2006/relationships/hyperlink" Target="https://www.oag.com/hubfs/Flourish/Mexico.png" TargetMode="External"/><Relationship Id="rId1961" Type="http://schemas.openxmlformats.org/officeDocument/2006/relationships/hyperlink" Target="https://www.oag.com/hubfs/Flourish/8.png" TargetMode="External"/><Relationship Id="rId1962" Type="http://schemas.openxmlformats.org/officeDocument/2006/relationships/hyperlink" Target="https://www.oag.com/hubfs/Flourish/United%20States.png" TargetMode="External"/><Relationship Id="rId1963" Type="http://schemas.openxmlformats.org/officeDocument/2006/relationships/hyperlink" Target="https://www.oag.com/hubfs/Flourish/United%20States.png" TargetMode="External"/><Relationship Id="rId1964" Type="http://schemas.openxmlformats.org/officeDocument/2006/relationships/hyperlink" Target="https://www.oag.com/hubfs/Flourish/United%20States.png" TargetMode="External"/><Relationship Id="rId1965" Type="http://schemas.openxmlformats.org/officeDocument/2006/relationships/hyperlink" Target="https://www.oag.com/hubfs/Flourish/United%20States.png" TargetMode="External"/><Relationship Id="rId1966" Type="http://schemas.openxmlformats.org/officeDocument/2006/relationships/hyperlink" Target="https://www.oag.com/hubfs/Flourish/United%20States.png" TargetMode="External"/><Relationship Id="rId1967" Type="http://schemas.openxmlformats.org/officeDocument/2006/relationships/hyperlink" Target="https://www.oag.com/hubfs/Flourish/Thailand.png" TargetMode="External"/><Relationship Id="rId1968" Type="http://schemas.openxmlformats.org/officeDocument/2006/relationships/hyperlink" Target="https://www.oag.com/hubfs/Flourish/United%20States.png" TargetMode="External"/><Relationship Id="rId1969" Type="http://schemas.openxmlformats.org/officeDocument/2006/relationships/hyperlink" Target="https://www.oag.com/hubfs/Flourish/United%20States.png" TargetMode="External"/><Relationship Id="rId1960" Type="http://schemas.openxmlformats.org/officeDocument/2006/relationships/hyperlink" Target="https://www.oag.com/hubfs/Flourish/United%20States.png" TargetMode="External"/><Relationship Id="rId1994" Type="http://schemas.openxmlformats.org/officeDocument/2006/relationships/hyperlink" Target="https://www.oag.com/hubfs/Flourish/3-1.png" TargetMode="External"/><Relationship Id="rId1995" Type="http://schemas.openxmlformats.org/officeDocument/2006/relationships/hyperlink" Target="https://www.oag.com/hubfs/Flourish/United%20States.png" TargetMode="External"/><Relationship Id="rId1996" Type="http://schemas.openxmlformats.org/officeDocument/2006/relationships/hyperlink" Target="https://www.oag.com/hubfs/Flourish/3-1.png" TargetMode="External"/><Relationship Id="rId1997" Type="http://schemas.openxmlformats.org/officeDocument/2006/relationships/hyperlink" Target="https://www.oag.com/hubfs/Flourish/United%20States.png" TargetMode="External"/><Relationship Id="rId1998" Type="http://schemas.openxmlformats.org/officeDocument/2006/relationships/hyperlink" Target="https://www.oag.com/hubfs/Flourish/India.png" TargetMode="External"/><Relationship Id="rId1999" Type="http://schemas.openxmlformats.org/officeDocument/2006/relationships/hyperlink" Target="https://www.oag.com/hubfs/Flourish/United%20States.png" TargetMode="External"/><Relationship Id="rId1990" Type="http://schemas.openxmlformats.org/officeDocument/2006/relationships/hyperlink" Target="https://www.oag.com/hubfs/Flourish/United%20States.png" TargetMode="External"/><Relationship Id="rId1991" Type="http://schemas.openxmlformats.org/officeDocument/2006/relationships/hyperlink" Target="https://www.oag.com/hubfs/Flourish/Croatia.png" TargetMode="External"/><Relationship Id="rId1992" Type="http://schemas.openxmlformats.org/officeDocument/2006/relationships/hyperlink" Target="https://www.oag.com/hubfs/Flourish/2-1.png" TargetMode="External"/><Relationship Id="rId1993" Type="http://schemas.openxmlformats.org/officeDocument/2006/relationships/hyperlink" Target="https://www.oag.com/hubfs/Flourish/Mexico.png" TargetMode="External"/><Relationship Id="rId1983" Type="http://schemas.openxmlformats.org/officeDocument/2006/relationships/hyperlink" Target="https://www.oag.com/hubfs/Flourish/3-1.png" TargetMode="External"/><Relationship Id="rId1984" Type="http://schemas.openxmlformats.org/officeDocument/2006/relationships/hyperlink" Target="https://www.oag.com/hubfs/Flourish/United%20States.png" TargetMode="External"/><Relationship Id="rId1985" Type="http://schemas.openxmlformats.org/officeDocument/2006/relationships/hyperlink" Target="https://www.oag.com/hubfs/Flourish/3-1.png" TargetMode="External"/><Relationship Id="rId1986" Type="http://schemas.openxmlformats.org/officeDocument/2006/relationships/hyperlink" Target="https://www.oag.com/hubfs/Flourish/United%20States.png" TargetMode="External"/><Relationship Id="rId1987" Type="http://schemas.openxmlformats.org/officeDocument/2006/relationships/hyperlink" Target="https://www.oag.com/hubfs/Flourish/United%20States.png" TargetMode="External"/><Relationship Id="rId1988" Type="http://schemas.openxmlformats.org/officeDocument/2006/relationships/hyperlink" Target="https://www.oag.com/hubfs/Flourish/United%20States.png" TargetMode="External"/><Relationship Id="rId1989" Type="http://schemas.openxmlformats.org/officeDocument/2006/relationships/hyperlink" Target="https://www.oag.com/hubfs/Flourish/2-1.png" TargetMode="External"/><Relationship Id="rId1980" Type="http://schemas.openxmlformats.org/officeDocument/2006/relationships/hyperlink" Target="https://www.oag.com/hubfs/Flourish/United%20States.png" TargetMode="External"/><Relationship Id="rId1981" Type="http://schemas.openxmlformats.org/officeDocument/2006/relationships/hyperlink" Target="https://www.oag.com/hubfs/Flourish/United%20States.png" TargetMode="External"/><Relationship Id="rId1982" Type="http://schemas.openxmlformats.org/officeDocument/2006/relationships/hyperlink" Target="https://www.oag.com/hubfs/Flourish/United%20States.png" TargetMode="External"/><Relationship Id="rId1930" Type="http://schemas.openxmlformats.org/officeDocument/2006/relationships/hyperlink" Target="https://www.oag.com/hubfs/Flourish/United%20States.png" TargetMode="External"/><Relationship Id="rId1931" Type="http://schemas.openxmlformats.org/officeDocument/2006/relationships/hyperlink" Target="https://www.oag.com/hubfs/Flourish/United%20States.png" TargetMode="External"/><Relationship Id="rId1932" Type="http://schemas.openxmlformats.org/officeDocument/2006/relationships/hyperlink" Target="https://www.oag.com/hubfs/Flourish/8.png" TargetMode="External"/><Relationship Id="rId1933" Type="http://schemas.openxmlformats.org/officeDocument/2006/relationships/hyperlink" Target="https://www.oag.com/hubfs/Flourish/United%20States.png" TargetMode="External"/><Relationship Id="rId1934" Type="http://schemas.openxmlformats.org/officeDocument/2006/relationships/hyperlink" Target="https://www.oag.com/hubfs/Flourish/2-1.png" TargetMode="External"/><Relationship Id="rId1935" Type="http://schemas.openxmlformats.org/officeDocument/2006/relationships/hyperlink" Target="https://www.oag.com/hubfs/Flourish/8.png" TargetMode="External"/><Relationship Id="rId1936" Type="http://schemas.openxmlformats.org/officeDocument/2006/relationships/hyperlink" Target="https://www.oag.com/hubfs/Flourish/United%20States.png" TargetMode="External"/><Relationship Id="rId1937" Type="http://schemas.openxmlformats.org/officeDocument/2006/relationships/hyperlink" Target="https://www.oag.com/hubfs/Flourish/China.png" TargetMode="External"/><Relationship Id="rId1938" Type="http://schemas.openxmlformats.org/officeDocument/2006/relationships/hyperlink" Target="https://www.oag.com/hubfs/Flourish/United%20States.png" TargetMode="External"/><Relationship Id="rId1939" Type="http://schemas.openxmlformats.org/officeDocument/2006/relationships/hyperlink" Target="https://www.oag.com/hubfs/Flourish/2-1.png" TargetMode="External"/><Relationship Id="rId1920" Type="http://schemas.openxmlformats.org/officeDocument/2006/relationships/hyperlink" Target="https://www.oag.com/hubfs/Flourish/2-1.png" TargetMode="External"/><Relationship Id="rId1921" Type="http://schemas.openxmlformats.org/officeDocument/2006/relationships/hyperlink" Target="https://www.oag.com/hubfs/Flourish/1-1.png" TargetMode="External"/><Relationship Id="rId1922" Type="http://schemas.openxmlformats.org/officeDocument/2006/relationships/hyperlink" Target="https://www.oag.com/hubfs/Flourish/United%20States.png" TargetMode="External"/><Relationship Id="rId1923" Type="http://schemas.openxmlformats.org/officeDocument/2006/relationships/hyperlink" Target="https://www.oag.com/hubfs/Flourish/United%20States.png" TargetMode="External"/><Relationship Id="rId1924" Type="http://schemas.openxmlformats.org/officeDocument/2006/relationships/hyperlink" Target="https://www.oag.com/hubfs/Flourish/4.png" TargetMode="External"/><Relationship Id="rId1925" Type="http://schemas.openxmlformats.org/officeDocument/2006/relationships/hyperlink" Target="https://www.oag.com/hubfs/Flourish/United%20States.png" TargetMode="External"/><Relationship Id="rId1926" Type="http://schemas.openxmlformats.org/officeDocument/2006/relationships/hyperlink" Target="https://www.oag.com/hubfs/Flourish/United%20States.png" TargetMode="External"/><Relationship Id="rId1927" Type="http://schemas.openxmlformats.org/officeDocument/2006/relationships/hyperlink" Target="https://www.oag.com/hubfs/Flourish/United%20States.png" TargetMode="External"/><Relationship Id="rId1928" Type="http://schemas.openxmlformats.org/officeDocument/2006/relationships/hyperlink" Target="https://www.oag.com/hubfs/Flourish/United%20States.png" TargetMode="External"/><Relationship Id="rId1929" Type="http://schemas.openxmlformats.org/officeDocument/2006/relationships/hyperlink" Target="https://www.oag.com/hubfs/Flourish/United%20States.png" TargetMode="External"/><Relationship Id="rId1950" Type="http://schemas.openxmlformats.org/officeDocument/2006/relationships/hyperlink" Target="https://www.oag.com/hubfs/Flourish/China.png" TargetMode="External"/><Relationship Id="rId1951" Type="http://schemas.openxmlformats.org/officeDocument/2006/relationships/hyperlink" Target="https://www.oag.com/hubfs/Flourish/India.png" TargetMode="External"/><Relationship Id="rId1952" Type="http://schemas.openxmlformats.org/officeDocument/2006/relationships/hyperlink" Target="https://www.oag.com/hubfs/Flourish/United%20States.png" TargetMode="External"/><Relationship Id="rId1953" Type="http://schemas.openxmlformats.org/officeDocument/2006/relationships/hyperlink" Target="https://www.oag.com/hubfs/Flourish/China.png" TargetMode="External"/><Relationship Id="rId1954" Type="http://schemas.openxmlformats.org/officeDocument/2006/relationships/hyperlink" Target="https://www.oag.com/hubfs/Flourish/United%20States.png" TargetMode="External"/><Relationship Id="rId1955" Type="http://schemas.openxmlformats.org/officeDocument/2006/relationships/hyperlink" Target="https://www.oag.com/hubfs/Flourish/3-1.png" TargetMode="External"/><Relationship Id="rId1956" Type="http://schemas.openxmlformats.org/officeDocument/2006/relationships/hyperlink" Target="https://www.oag.com/hubfs/Flourish/Mexico.png" TargetMode="External"/><Relationship Id="rId1957" Type="http://schemas.openxmlformats.org/officeDocument/2006/relationships/hyperlink" Target="https://www.oag.com/hubfs/Flourish/2-1.png" TargetMode="External"/><Relationship Id="rId1958" Type="http://schemas.openxmlformats.org/officeDocument/2006/relationships/hyperlink" Target="https://www.oag.com/hubfs/Flourish/6.png" TargetMode="External"/><Relationship Id="rId1959" Type="http://schemas.openxmlformats.org/officeDocument/2006/relationships/hyperlink" Target="https://www.oag.com/hubfs/Flourish/United%20States.png" TargetMode="External"/><Relationship Id="rId1940" Type="http://schemas.openxmlformats.org/officeDocument/2006/relationships/hyperlink" Target="https://www.oag.com/hubfs/Flourish/United%20States.png" TargetMode="External"/><Relationship Id="rId1941" Type="http://schemas.openxmlformats.org/officeDocument/2006/relationships/hyperlink" Target="https://www.oag.com/hubfs/Flourish/China.png" TargetMode="External"/><Relationship Id="rId1942" Type="http://schemas.openxmlformats.org/officeDocument/2006/relationships/hyperlink" Target="https://www.oag.com/hubfs/Flourish/United%20States.png" TargetMode="External"/><Relationship Id="rId1943" Type="http://schemas.openxmlformats.org/officeDocument/2006/relationships/hyperlink" Target="https://www.oag.com/hubfs/Flourish/4.png" TargetMode="External"/><Relationship Id="rId1944" Type="http://schemas.openxmlformats.org/officeDocument/2006/relationships/hyperlink" Target="https://www.oag.com/hubfs/Flourish/3-1.png" TargetMode="External"/><Relationship Id="rId1945" Type="http://schemas.openxmlformats.org/officeDocument/2006/relationships/hyperlink" Target="https://www.oag.com/hubfs/Flourish/United%20States.png" TargetMode="External"/><Relationship Id="rId1946" Type="http://schemas.openxmlformats.org/officeDocument/2006/relationships/hyperlink" Target="https://www.oag.com/hubfs/Flourish/3-1.png" TargetMode="External"/><Relationship Id="rId1947" Type="http://schemas.openxmlformats.org/officeDocument/2006/relationships/hyperlink" Target="https://www.oag.com/hubfs/Flourish/6.png" TargetMode="External"/><Relationship Id="rId1948" Type="http://schemas.openxmlformats.org/officeDocument/2006/relationships/hyperlink" Target="https://www.oag.com/hubfs/Flourish/5.png" TargetMode="External"/><Relationship Id="rId1949" Type="http://schemas.openxmlformats.org/officeDocument/2006/relationships/hyperlink" Target="https://www.oag.com/hubfs/Flourish/United%20States.png" TargetMode="External"/><Relationship Id="rId2423" Type="http://schemas.openxmlformats.org/officeDocument/2006/relationships/hyperlink" Target="https://www.oag.com/hubfs/Flourish/6.png" TargetMode="External"/><Relationship Id="rId2424" Type="http://schemas.openxmlformats.org/officeDocument/2006/relationships/hyperlink" Target="https://www.oag.com/hubfs/Flourish/United%20States.png" TargetMode="External"/><Relationship Id="rId2425" Type="http://schemas.openxmlformats.org/officeDocument/2006/relationships/hyperlink" Target="https://www.oag.com/hubfs/Flourish/1-1.png" TargetMode="External"/><Relationship Id="rId2426" Type="http://schemas.openxmlformats.org/officeDocument/2006/relationships/hyperlink" Target="https://www.oag.com/hubfs/Flourish/United%20States.png" TargetMode="External"/><Relationship Id="rId2427" Type="http://schemas.openxmlformats.org/officeDocument/2006/relationships/hyperlink" Target="https://www.oag.com/hubfs/Flourish/United%20States.png" TargetMode="External"/><Relationship Id="rId2428" Type="http://schemas.openxmlformats.org/officeDocument/2006/relationships/hyperlink" Target="https://www.oag.com/hubfs/Flourish/6.png" TargetMode="External"/><Relationship Id="rId2429" Type="http://schemas.openxmlformats.org/officeDocument/2006/relationships/hyperlink" Target="https://www.oag.com/hubfs/Flourish/United%20States.png" TargetMode="External"/><Relationship Id="rId509" Type="http://schemas.openxmlformats.org/officeDocument/2006/relationships/hyperlink" Target="https://www.oag.com/hubfs/Flourish/8.png" TargetMode="External"/><Relationship Id="rId508" Type="http://schemas.openxmlformats.org/officeDocument/2006/relationships/hyperlink" Target="https://www.oag.com/hubfs/Flourish/8.png" TargetMode="External"/><Relationship Id="rId503" Type="http://schemas.openxmlformats.org/officeDocument/2006/relationships/hyperlink" Target="https://www.oag.com/hubfs/Flourish/8.png" TargetMode="External"/><Relationship Id="rId502" Type="http://schemas.openxmlformats.org/officeDocument/2006/relationships/hyperlink" Target="https://www.oag.com/hubfs/Flourish/8.png" TargetMode="External"/><Relationship Id="rId501" Type="http://schemas.openxmlformats.org/officeDocument/2006/relationships/hyperlink" Target="https://www.oag.com/hubfs/Flourish/8.png" TargetMode="External"/><Relationship Id="rId500" Type="http://schemas.openxmlformats.org/officeDocument/2006/relationships/hyperlink" Target="https://www.oag.com/hubfs/Flourish/8.png" TargetMode="External"/><Relationship Id="rId507" Type="http://schemas.openxmlformats.org/officeDocument/2006/relationships/hyperlink" Target="https://www.oag.com/hubfs/Flourish/8.png" TargetMode="External"/><Relationship Id="rId506" Type="http://schemas.openxmlformats.org/officeDocument/2006/relationships/hyperlink" Target="https://www.oag.com/hubfs/Flourish/8.png" TargetMode="External"/><Relationship Id="rId505" Type="http://schemas.openxmlformats.org/officeDocument/2006/relationships/hyperlink" Target="https://www.oag.com/hubfs/Flourish/8.png" TargetMode="External"/><Relationship Id="rId504" Type="http://schemas.openxmlformats.org/officeDocument/2006/relationships/hyperlink" Target="https://www.oag.com/hubfs/Flourish/8.png" TargetMode="External"/><Relationship Id="rId2420" Type="http://schemas.openxmlformats.org/officeDocument/2006/relationships/hyperlink" Target="https://www.oag.com/hubfs/Flourish/6.png" TargetMode="External"/><Relationship Id="rId2421" Type="http://schemas.openxmlformats.org/officeDocument/2006/relationships/hyperlink" Target="https://www.oag.com/hubfs/Flourish/1-1.png" TargetMode="External"/><Relationship Id="rId2422" Type="http://schemas.openxmlformats.org/officeDocument/2006/relationships/hyperlink" Target="https://www.oag.com/hubfs/Flourish/United%20States.png" TargetMode="External"/><Relationship Id="rId2412" Type="http://schemas.openxmlformats.org/officeDocument/2006/relationships/hyperlink" Target="https://www.oag.com/hubfs/Flourish/5.png" TargetMode="External"/><Relationship Id="rId2413" Type="http://schemas.openxmlformats.org/officeDocument/2006/relationships/hyperlink" Target="https://www.oag.com/hubfs/Flourish/United%20States.png" TargetMode="External"/><Relationship Id="rId2414" Type="http://schemas.openxmlformats.org/officeDocument/2006/relationships/hyperlink" Target="https://www.oag.com/hubfs/Flourish/United%20States.png" TargetMode="External"/><Relationship Id="rId2415" Type="http://schemas.openxmlformats.org/officeDocument/2006/relationships/hyperlink" Target="https://www.oag.com/hubfs/Flourish/United%20States.png" TargetMode="External"/><Relationship Id="rId2416" Type="http://schemas.openxmlformats.org/officeDocument/2006/relationships/hyperlink" Target="https://www.oag.com/hubfs/Flourish/2-1.png" TargetMode="External"/><Relationship Id="rId2417" Type="http://schemas.openxmlformats.org/officeDocument/2006/relationships/hyperlink" Target="https://www.oag.com/hubfs/Flourish/United%20States.png" TargetMode="External"/><Relationship Id="rId2418" Type="http://schemas.openxmlformats.org/officeDocument/2006/relationships/hyperlink" Target="https://www.oag.com/hubfs/Flourish/United%20States.png" TargetMode="External"/><Relationship Id="rId2419" Type="http://schemas.openxmlformats.org/officeDocument/2006/relationships/hyperlink" Target="https://www.oag.com/hubfs/Flourish/United%20States.png" TargetMode="External"/><Relationship Id="rId2410" Type="http://schemas.openxmlformats.org/officeDocument/2006/relationships/hyperlink" Target="https://www.oag.com/hubfs/Flourish/3-1.png" TargetMode="External"/><Relationship Id="rId2411" Type="http://schemas.openxmlformats.org/officeDocument/2006/relationships/hyperlink" Target="https://www.oag.com/hubfs/Flourish/United%20States.png" TargetMode="External"/><Relationship Id="rId1114" Type="http://schemas.openxmlformats.org/officeDocument/2006/relationships/hyperlink" Target="https://www.oag.com/hubfs/Flourish/United%20States.png" TargetMode="External"/><Relationship Id="rId2445" Type="http://schemas.openxmlformats.org/officeDocument/2006/relationships/hyperlink" Target="https://www.oag.com/hubfs/Flourish/United%20States.png" TargetMode="External"/><Relationship Id="rId1115" Type="http://schemas.openxmlformats.org/officeDocument/2006/relationships/hyperlink" Target="https://www.oag.com/hubfs/Flourish/United%20States.png" TargetMode="External"/><Relationship Id="rId2446" Type="http://schemas.openxmlformats.org/officeDocument/2006/relationships/hyperlink" Target="https://www.oag.com/hubfs/Flourish/Thailand.png" TargetMode="External"/><Relationship Id="rId1116" Type="http://schemas.openxmlformats.org/officeDocument/2006/relationships/hyperlink" Target="https://www.oag.com/hubfs/Flourish/India.png" TargetMode="External"/><Relationship Id="rId2447" Type="http://schemas.openxmlformats.org/officeDocument/2006/relationships/hyperlink" Target="https://www.oag.com/hubfs/Flourish/United%20States.png" TargetMode="External"/><Relationship Id="rId1117" Type="http://schemas.openxmlformats.org/officeDocument/2006/relationships/hyperlink" Target="https://www.oag.com/hubfs/Flourish/India.png" TargetMode="External"/><Relationship Id="rId2448" Type="http://schemas.openxmlformats.org/officeDocument/2006/relationships/hyperlink" Target="https://www.oag.com/hubfs/Flourish/6.png" TargetMode="External"/><Relationship Id="rId1118" Type="http://schemas.openxmlformats.org/officeDocument/2006/relationships/hyperlink" Target="https://www.oag.com/hubfs/Flourish/United%20States.png" TargetMode="External"/><Relationship Id="rId2449" Type="http://schemas.openxmlformats.org/officeDocument/2006/relationships/hyperlink" Target="https://www.oag.com/hubfs/Flourish/United%20States.png" TargetMode="External"/><Relationship Id="rId1119" Type="http://schemas.openxmlformats.org/officeDocument/2006/relationships/hyperlink" Target="https://www.oag.com/hubfs/Flourish/United%20States.png" TargetMode="External"/><Relationship Id="rId525" Type="http://schemas.openxmlformats.org/officeDocument/2006/relationships/hyperlink" Target="https://www.oag.com/hubfs/Flourish/United%20States.png" TargetMode="External"/><Relationship Id="rId524" Type="http://schemas.openxmlformats.org/officeDocument/2006/relationships/hyperlink" Target="https://www.oag.com/hubfs/Flourish/United%20States.png" TargetMode="External"/><Relationship Id="rId523" Type="http://schemas.openxmlformats.org/officeDocument/2006/relationships/hyperlink" Target="https://www.oag.com/hubfs/Flourish/United%20States.png" TargetMode="External"/><Relationship Id="rId522" Type="http://schemas.openxmlformats.org/officeDocument/2006/relationships/hyperlink" Target="https://www.oag.com/hubfs/Flourish/8.png" TargetMode="External"/><Relationship Id="rId529" Type="http://schemas.openxmlformats.org/officeDocument/2006/relationships/hyperlink" Target="https://www.oag.com/hubfs/Flourish/United%20States.png" TargetMode="External"/><Relationship Id="rId528" Type="http://schemas.openxmlformats.org/officeDocument/2006/relationships/hyperlink" Target="https://www.oag.com/hubfs/Flourish/United%20States.png" TargetMode="External"/><Relationship Id="rId527" Type="http://schemas.openxmlformats.org/officeDocument/2006/relationships/hyperlink" Target="https://www.oag.com/hubfs/Flourish/United%20States.png" TargetMode="External"/><Relationship Id="rId526" Type="http://schemas.openxmlformats.org/officeDocument/2006/relationships/hyperlink" Target="https://www.oag.com/hubfs/Flourish/United%20States.png" TargetMode="External"/><Relationship Id="rId2440" Type="http://schemas.openxmlformats.org/officeDocument/2006/relationships/hyperlink" Target="https://www.oag.com/hubfs/Flourish/United%20States.png" TargetMode="External"/><Relationship Id="rId521" Type="http://schemas.openxmlformats.org/officeDocument/2006/relationships/hyperlink" Target="https://www.oag.com/hubfs/Flourish/8.png" TargetMode="External"/><Relationship Id="rId1110" Type="http://schemas.openxmlformats.org/officeDocument/2006/relationships/hyperlink" Target="https://www.oag.com/hubfs/Flourish/United%20States.png" TargetMode="External"/><Relationship Id="rId2441" Type="http://schemas.openxmlformats.org/officeDocument/2006/relationships/hyperlink" Target="https://www.oag.com/hubfs/Flourish/Mexico.png" TargetMode="External"/><Relationship Id="rId520" Type="http://schemas.openxmlformats.org/officeDocument/2006/relationships/hyperlink" Target="https://www.oag.com/hubfs/Flourish/United%20States.png" TargetMode="External"/><Relationship Id="rId1111" Type="http://schemas.openxmlformats.org/officeDocument/2006/relationships/hyperlink" Target="https://www.oag.com/hubfs/Flourish/Thailand.png" TargetMode="External"/><Relationship Id="rId2442" Type="http://schemas.openxmlformats.org/officeDocument/2006/relationships/hyperlink" Target="https://www.oag.com/hubfs/Flourish/2-1.png" TargetMode="External"/><Relationship Id="rId1112" Type="http://schemas.openxmlformats.org/officeDocument/2006/relationships/hyperlink" Target="https://www.oag.com/hubfs/Flourish/United%20States.png" TargetMode="External"/><Relationship Id="rId2443" Type="http://schemas.openxmlformats.org/officeDocument/2006/relationships/hyperlink" Target="https://www.oag.com/hubfs/Flourish/United%20States.png" TargetMode="External"/><Relationship Id="rId1113" Type="http://schemas.openxmlformats.org/officeDocument/2006/relationships/hyperlink" Target="https://www.oag.com/hubfs/Flourish/United%20States.png" TargetMode="External"/><Relationship Id="rId2444" Type="http://schemas.openxmlformats.org/officeDocument/2006/relationships/hyperlink" Target="https://www.oag.com/hubfs/Flourish/United%20States.png" TargetMode="External"/><Relationship Id="rId1103" Type="http://schemas.openxmlformats.org/officeDocument/2006/relationships/hyperlink" Target="https://www.oag.com/hubfs/Flourish/3-1.png" TargetMode="External"/><Relationship Id="rId2434" Type="http://schemas.openxmlformats.org/officeDocument/2006/relationships/hyperlink" Target="https://www.oag.com/hubfs/Flourish/United%20States.png" TargetMode="External"/><Relationship Id="rId1104" Type="http://schemas.openxmlformats.org/officeDocument/2006/relationships/hyperlink" Target="https://www.oag.com/hubfs/Flourish/United%20States.png" TargetMode="External"/><Relationship Id="rId2435" Type="http://schemas.openxmlformats.org/officeDocument/2006/relationships/hyperlink" Target="https://www.oag.com/hubfs/Flourish/United%20States.png" TargetMode="External"/><Relationship Id="rId1105" Type="http://schemas.openxmlformats.org/officeDocument/2006/relationships/hyperlink" Target="https://www.oag.com/hubfs/Flourish/3-1.png" TargetMode="External"/><Relationship Id="rId2436" Type="http://schemas.openxmlformats.org/officeDocument/2006/relationships/hyperlink" Target="https://www.oag.com/hubfs/Flourish/United%20States.png" TargetMode="External"/><Relationship Id="rId1106" Type="http://schemas.openxmlformats.org/officeDocument/2006/relationships/hyperlink" Target="https://www.oag.com/hubfs/Flourish/China.png" TargetMode="External"/><Relationship Id="rId2437" Type="http://schemas.openxmlformats.org/officeDocument/2006/relationships/hyperlink" Target="https://www.oag.com/hubfs/Flourish/United%20States.png" TargetMode="External"/><Relationship Id="rId1107" Type="http://schemas.openxmlformats.org/officeDocument/2006/relationships/hyperlink" Target="https://www.oag.com/hubfs/Flourish/United%20States.png" TargetMode="External"/><Relationship Id="rId2438" Type="http://schemas.openxmlformats.org/officeDocument/2006/relationships/hyperlink" Target="https://www.oag.com/hubfs/Flourish/3-1.png" TargetMode="External"/><Relationship Id="rId1108" Type="http://schemas.openxmlformats.org/officeDocument/2006/relationships/hyperlink" Target="https://www.oag.com/hubfs/Flourish/United%20States.png" TargetMode="External"/><Relationship Id="rId2439" Type="http://schemas.openxmlformats.org/officeDocument/2006/relationships/hyperlink" Target="https://www.oag.com/hubfs/Flourish/Poland.png" TargetMode="External"/><Relationship Id="rId1109" Type="http://schemas.openxmlformats.org/officeDocument/2006/relationships/hyperlink" Target="https://www.oag.com/hubfs/Flourish/United%20States.png" TargetMode="External"/><Relationship Id="rId519" Type="http://schemas.openxmlformats.org/officeDocument/2006/relationships/hyperlink" Target="https://www.oag.com/hubfs/Flourish/8.png" TargetMode="External"/><Relationship Id="rId514" Type="http://schemas.openxmlformats.org/officeDocument/2006/relationships/hyperlink" Target="https://www.oag.com/hubfs/Flourish/8.png" TargetMode="External"/><Relationship Id="rId513" Type="http://schemas.openxmlformats.org/officeDocument/2006/relationships/hyperlink" Target="https://www.oag.com/hubfs/Flourish/8.png" TargetMode="External"/><Relationship Id="rId512" Type="http://schemas.openxmlformats.org/officeDocument/2006/relationships/hyperlink" Target="https://www.oag.com/hubfs/Flourish/8.png" TargetMode="External"/><Relationship Id="rId511" Type="http://schemas.openxmlformats.org/officeDocument/2006/relationships/hyperlink" Target="https://www.oag.com/hubfs/Flourish/8.png" TargetMode="External"/><Relationship Id="rId518" Type="http://schemas.openxmlformats.org/officeDocument/2006/relationships/hyperlink" Target="https://www.oag.com/hubfs/Flourish/8.png" TargetMode="External"/><Relationship Id="rId517" Type="http://schemas.openxmlformats.org/officeDocument/2006/relationships/hyperlink" Target="https://www.oag.com/hubfs/Flourish/8.png" TargetMode="External"/><Relationship Id="rId516" Type="http://schemas.openxmlformats.org/officeDocument/2006/relationships/hyperlink" Target="https://www.oag.com/hubfs/Flourish/8.png" TargetMode="External"/><Relationship Id="rId515" Type="http://schemas.openxmlformats.org/officeDocument/2006/relationships/hyperlink" Target="https://www.oag.com/hubfs/Flourish/8.png" TargetMode="External"/><Relationship Id="rId510" Type="http://schemas.openxmlformats.org/officeDocument/2006/relationships/hyperlink" Target="https://www.oag.com/hubfs/Flourish/8.png" TargetMode="External"/><Relationship Id="rId2430" Type="http://schemas.openxmlformats.org/officeDocument/2006/relationships/hyperlink" Target="https://www.oag.com/hubfs/Flourish/India.png" TargetMode="External"/><Relationship Id="rId1100" Type="http://schemas.openxmlformats.org/officeDocument/2006/relationships/hyperlink" Target="https://www.oag.com/hubfs/Flourish/3-1.png" TargetMode="External"/><Relationship Id="rId2431" Type="http://schemas.openxmlformats.org/officeDocument/2006/relationships/hyperlink" Target="https://www.oag.com/hubfs/Flourish/United%20States.png" TargetMode="External"/><Relationship Id="rId1101" Type="http://schemas.openxmlformats.org/officeDocument/2006/relationships/hyperlink" Target="https://www.oag.com/hubfs/Flourish/United%20States.png" TargetMode="External"/><Relationship Id="rId2432" Type="http://schemas.openxmlformats.org/officeDocument/2006/relationships/hyperlink" Target="https://www.oag.com/hubfs/Flourish/India.png" TargetMode="External"/><Relationship Id="rId1102" Type="http://schemas.openxmlformats.org/officeDocument/2006/relationships/hyperlink" Target="https://www.oag.com/hubfs/Flourish/United%20States.png" TargetMode="External"/><Relationship Id="rId2433" Type="http://schemas.openxmlformats.org/officeDocument/2006/relationships/hyperlink" Target="https://www.oag.com/hubfs/Flourish/United%20States.png" TargetMode="External"/><Relationship Id="rId2401" Type="http://schemas.openxmlformats.org/officeDocument/2006/relationships/hyperlink" Target="https://www.oag.com/hubfs/Flourish/Thailand.png" TargetMode="External"/><Relationship Id="rId2402" Type="http://schemas.openxmlformats.org/officeDocument/2006/relationships/hyperlink" Target="https://www.oag.com/hubfs/Flourish/United%20States.png" TargetMode="External"/><Relationship Id="rId2403" Type="http://schemas.openxmlformats.org/officeDocument/2006/relationships/hyperlink" Target="https://www.oag.com/hubfs/Flourish/United%20States.png" TargetMode="External"/><Relationship Id="rId2404" Type="http://schemas.openxmlformats.org/officeDocument/2006/relationships/hyperlink" Target="https://www.oag.com/hubfs/Flourish/United%20States.png" TargetMode="External"/><Relationship Id="rId2405" Type="http://schemas.openxmlformats.org/officeDocument/2006/relationships/hyperlink" Target="https://www.oag.com/hubfs/Flourish/United%20States.png" TargetMode="External"/><Relationship Id="rId2406" Type="http://schemas.openxmlformats.org/officeDocument/2006/relationships/hyperlink" Target="https://www.oag.com/hubfs/Flourish/2-1.png" TargetMode="External"/><Relationship Id="rId2407" Type="http://schemas.openxmlformats.org/officeDocument/2006/relationships/hyperlink" Target="https://www.oag.com/hubfs/Flourish/United%20States.png" TargetMode="External"/><Relationship Id="rId2408" Type="http://schemas.openxmlformats.org/officeDocument/2006/relationships/hyperlink" Target="https://www.oag.com/hubfs/Flourish/United%20States.png" TargetMode="External"/><Relationship Id="rId2409" Type="http://schemas.openxmlformats.org/officeDocument/2006/relationships/hyperlink" Target="https://www.oag.com/hubfs/Flourish/United%20States.png" TargetMode="External"/><Relationship Id="rId2400" Type="http://schemas.openxmlformats.org/officeDocument/2006/relationships/hyperlink" Target="https://www.oag.com/hubfs/Flourish/United%20States.png" TargetMode="External"/><Relationship Id="rId590" Type="http://schemas.openxmlformats.org/officeDocument/2006/relationships/hyperlink" Target="https://www.oag.com/hubfs/Flourish/2-1.png" TargetMode="External"/><Relationship Id="rId589" Type="http://schemas.openxmlformats.org/officeDocument/2006/relationships/hyperlink" Target="https://www.oag.com/hubfs/Flourish/2-1.png" TargetMode="External"/><Relationship Id="rId588" Type="http://schemas.openxmlformats.org/officeDocument/2006/relationships/hyperlink" Target="https://www.oag.com/hubfs/Flourish/United%20States.png" TargetMode="External"/><Relationship Id="rId1170" Type="http://schemas.openxmlformats.org/officeDocument/2006/relationships/hyperlink" Target="https://www.oag.com/hubfs/Flourish/United%20States.png" TargetMode="External"/><Relationship Id="rId1171" Type="http://schemas.openxmlformats.org/officeDocument/2006/relationships/hyperlink" Target="https://www.oag.com/hubfs/Flourish/United%20States.png" TargetMode="External"/><Relationship Id="rId583" Type="http://schemas.openxmlformats.org/officeDocument/2006/relationships/hyperlink" Target="https://www.oag.com/hubfs/Flourish/2-1.png" TargetMode="External"/><Relationship Id="rId1172" Type="http://schemas.openxmlformats.org/officeDocument/2006/relationships/hyperlink" Target="https://www.oag.com/hubfs/Flourish/United%20States.png" TargetMode="External"/><Relationship Id="rId582" Type="http://schemas.openxmlformats.org/officeDocument/2006/relationships/hyperlink" Target="https://www.oag.com/hubfs/Flourish/United%20States.png" TargetMode="External"/><Relationship Id="rId1173" Type="http://schemas.openxmlformats.org/officeDocument/2006/relationships/hyperlink" Target="https://www.oag.com/hubfs/Flourish/Mexico.png" TargetMode="External"/><Relationship Id="rId581" Type="http://schemas.openxmlformats.org/officeDocument/2006/relationships/hyperlink" Target="https://www.oag.com/hubfs/Flourish/United%20States.png" TargetMode="External"/><Relationship Id="rId1174" Type="http://schemas.openxmlformats.org/officeDocument/2006/relationships/hyperlink" Target="https://www.oag.com/hubfs/Flourish/Mexico.png" TargetMode="External"/><Relationship Id="rId580" Type="http://schemas.openxmlformats.org/officeDocument/2006/relationships/hyperlink" Target="https://www.oag.com/hubfs/Flourish/United%20States.png" TargetMode="External"/><Relationship Id="rId1175" Type="http://schemas.openxmlformats.org/officeDocument/2006/relationships/hyperlink" Target="https://www.oag.com/hubfs/Flourish/United%20States.png" TargetMode="External"/><Relationship Id="rId587" Type="http://schemas.openxmlformats.org/officeDocument/2006/relationships/hyperlink" Target="https://www.oag.com/hubfs/Flourish/United%20States.png" TargetMode="External"/><Relationship Id="rId1176" Type="http://schemas.openxmlformats.org/officeDocument/2006/relationships/hyperlink" Target="https://www.oag.com/hubfs/Flourish/United%20States.png" TargetMode="External"/><Relationship Id="rId586" Type="http://schemas.openxmlformats.org/officeDocument/2006/relationships/hyperlink" Target="https://www.oag.com/hubfs/Flourish/8.png" TargetMode="External"/><Relationship Id="rId1177" Type="http://schemas.openxmlformats.org/officeDocument/2006/relationships/hyperlink" Target="https://www.oag.com/hubfs/Flourish/Mexico.png" TargetMode="External"/><Relationship Id="rId585" Type="http://schemas.openxmlformats.org/officeDocument/2006/relationships/hyperlink" Target="https://www.oag.com/hubfs/Flourish/8.png" TargetMode="External"/><Relationship Id="rId1178" Type="http://schemas.openxmlformats.org/officeDocument/2006/relationships/hyperlink" Target="https://www.oag.com/hubfs/Flourish/China.png" TargetMode="External"/><Relationship Id="rId584" Type="http://schemas.openxmlformats.org/officeDocument/2006/relationships/hyperlink" Target="https://www.oag.com/hubfs/Flourish/8.png" TargetMode="External"/><Relationship Id="rId1179" Type="http://schemas.openxmlformats.org/officeDocument/2006/relationships/hyperlink" Target="https://www.oag.com/hubfs/Flourish/United%20States.png" TargetMode="External"/><Relationship Id="rId1169" Type="http://schemas.openxmlformats.org/officeDocument/2006/relationships/hyperlink" Target="https://www.oag.com/hubfs/Flourish/United%20States.png" TargetMode="External"/><Relationship Id="rId579" Type="http://schemas.openxmlformats.org/officeDocument/2006/relationships/hyperlink" Target="https://www.oag.com/hubfs/Flourish/United%20States.png" TargetMode="External"/><Relationship Id="rId578" Type="http://schemas.openxmlformats.org/officeDocument/2006/relationships/hyperlink" Target="https://www.oag.com/hubfs/Flourish/United%20States.png" TargetMode="External"/><Relationship Id="rId577" Type="http://schemas.openxmlformats.org/officeDocument/2006/relationships/hyperlink" Target="https://www.oag.com/hubfs/Flourish/United%20States.png" TargetMode="External"/><Relationship Id="rId2490" Type="http://schemas.openxmlformats.org/officeDocument/2006/relationships/hyperlink" Target="https://www.oag.com/hubfs/Flourish/6.png" TargetMode="External"/><Relationship Id="rId1160" Type="http://schemas.openxmlformats.org/officeDocument/2006/relationships/hyperlink" Target="https://www.oag.com/hubfs/Flourish/2-1.png" TargetMode="External"/><Relationship Id="rId2491" Type="http://schemas.openxmlformats.org/officeDocument/2006/relationships/hyperlink" Target="https://www.oag.com/hubfs/Flourish/3-1.png" TargetMode="External"/><Relationship Id="rId572" Type="http://schemas.openxmlformats.org/officeDocument/2006/relationships/hyperlink" Target="https://www.oag.com/hubfs/Flourish/1-1.png" TargetMode="External"/><Relationship Id="rId1161" Type="http://schemas.openxmlformats.org/officeDocument/2006/relationships/hyperlink" Target="https://www.oag.com/hubfs/Flourish/5.png" TargetMode="External"/><Relationship Id="rId2492" Type="http://schemas.openxmlformats.org/officeDocument/2006/relationships/hyperlink" Target="https://www.oag.com/hubfs/Flourish/3-1.png" TargetMode="External"/><Relationship Id="rId571" Type="http://schemas.openxmlformats.org/officeDocument/2006/relationships/hyperlink" Target="https://www.oag.com/hubfs/Flourish/8.png" TargetMode="External"/><Relationship Id="rId1162" Type="http://schemas.openxmlformats.org/officeDocument/2006/relationships/hyperlink" Target="https://www.oag.com/hubfs/Flourish/United%20States.png" TargetMode="External"/><Relationship Id="rId2493" Type="http://schemas.openxmlformats.org/officeDocument/2006/relationships/hyperlink" Target="https://www.oag.com/hubfs/Flourish/6.png" TargetMode="External"/><Relationship Id="rId570" Type="http://schemas.openxmlformats.org/officeDocument/2006/relationships/hyperlink" Target="https://www.oag.com/hubfs/Flourish/Ireland.png" TargetMode="External"/><Relationship Id="rId1163" Type="http://schemas.openxmlformats.org/officeDocument/2006/relationships/hyperlink" Target="https://www.oag.com/hubfs/Flourish/United%20States.png" TargetMode="External"/><Relationship Id="rId2494" Type="http://schemas.openxmlformats.org/officeDocument/2006/relationships/hyperlink" Target="https://www.oag.com/hubfs/Flourish/singapore.jpg" TargetMode="External"/><Relationship Id="rId1164" Type="http://schemas.openxmlformats.org/officeDocument/2006/relationships/hyperlink" Target="https://www.oag.com/hubfs/Flourish/United%20States.png" TargetMode="External"/><Relationship Id="rId2495" Type="http://schemas.openxmlformats.org/officeDocument/2006/relationships/hyperlink" Target="https://www.oag.com/hubfs/Flourish/6.png" TargetMode="External"/><Relationship Id="rId576" Type="http://schemas.openxmlformats.org/officeDocument/2006/relationships/hyperlink" Target="https://www.oag.com/hubfs/Flourish/Poland.png" TargetMode="External"/><Relationship Id="rId1165" Type="http://schemas.openxmlformats.org/officeDocument/2006/relationships/hyperlink" Target="https://www.oag.com/hubfs/Flourish/2-1.png" TargetMode="External"/><Relationship Id="rId2496" Type="http://schemas.openxmlformats.org/officeDocument/2006/relationships/hyperlink" Target="https://www.oag.com/hubfs/Flourish/Mexico.png" TargetMode="External"/><Relationship Id="rId575" Type="http://schemas.openxmlformats.org/officeDocument/2006/relationships/hyperlink" Target="https://www.oag.com/hubfs/Flourish/United%20States.png" TargetMode="External"/><Relationship Id="rId1166" Type="http://schemas.openxmlformats.org/officeDocument/2006/relationships/hyperlink" Target="https://www.oag.com/hubfs/Flourish/United%20States.png" TargetMode="External"/><Relationship Id="rId2497" Type="http://schemas.openxmlformats.org/officeDocument/2006/relationships/hyperlink" Target="https://www.oag.com/hubfs/Flourish/1-1.png" TargetMode="External"/><Relationship Id="rId574" Type="http://schemas.openxmlformats.org/officeDocument/2006/relationships/hyperlink" Target="https://www.oag.com/hubfs/Flourish/United%20States.png" TargetMode="External"/><Relationship Id="rId1167" Type="http://schemas.openxmlformats.org/officeDocument/2006/relationships/hyperlink" Target="https://www.oag.com/hubfs/Flourish/United%20States.png" TargetMode="External"/><Relationship Id="rId2498" Type="http://schemas.openxmlformats.org/officeDocument/2006/relationships/hyperlink" Target="https://www.oag.com/hubfs/Flourish/6.png" TargetMode="External"/><Relationship Id="rId573" Type="http://schemas.openxmlformats.org/officeDocument/2006/relationships/hyperlink" Target="https://www.oag.com/hubfs/Flourish/Japan.png" TargetMode="External"/><Relationship Id="rId1168" Type="http://schemas.openxmlformats.org/officeDocument/2006/relationships/hyperlink" Target="https://www.oag.com/hubfs/Flourish/United%20States.png" TargetMode="External"/><Relationship Id="rId2499" Type="http://schemas.openxmlformats.org/officeDocument/2006/relationships/hyperlink" Target="https://www.oag.com/hubfs/Flourish/Japan.png" TargetMode="External"/><Relationship Id="rId1190" Type="http://schemas.openxmlformats.org/officeDocument/2006/relationships/hyperlink" Target="https://www.oag.com/hubfs/Flourish/United%20States.png" TargetMode="External"/><Relationship Id="rId1191" Type="http://schemas.openxmlformats.org/officeDocument/2006/relationships/hyperlink" Target="https://www.oag.com/hubfs/Flourish/Croatia.png" TargetMode="External"/><Relationship Id="rId1192" Type="http://schemas.openxmlformats.org/officeDocument/2006/relationships/hyperlink" Target="https://www.oag.com/hubfs/Flourish/United%20States.png" TargetMode="External"/><Relationship Id="rId1193" Type="http://schemas.openxmlformats.org/officeDocument/2006/relationships/hyperlink" Target="https://www.oag.com/hubfs/Flourish/6.png" TargetMode="External"/><Relationship Id="rId1194" Type="http://schemas.openxmlformats.org/officeDocument/2006/relationships/hyperlink" Target="https://www.oag.com/hubfs/Flourish/3-1.png" TargetMode="External"/><Relationship Id="rId1195" Type="http://schemas.openxmlformats.org/officeDocument/2006/relationships/hyperlink" Target="https://www.oag.com/hubfs/Flourish/United%20States.png" TargetMode="External"/><Relationship Id="rId1196" Type="http://schemas.openxmlformats.org/officeDocument/2006/relationships/hyperlink" Target="https://www.oag.com/hubfs/Flourish/United%20States.png" TargetMode="External"/><Relationship Id="rId1197" Type="http://schemas.openxmlformats.org/officeDocument/2006/relationships/hyperlink" Target="https://www.oag.com/hubfs/Flourish/India.png" TargetMode="External"/><Relationship Id="rId1198" Type="http://schemas.openxmlformats.org/officeDocument/2006/relationships/hyperlink" Target="https://www.oag.com/hubfs/Flourish/India.png" TargetMode="External"/><Relationship Id="rId1199" Type="http://schemas.openxmlformats.org/officeDocument/2006/relationships/hyperlink" Target="https://www.oag.com/hubfs/Flourish/United%20States.png" TargetMode="External"/><Relationship Id="rId599" Type="http://schemas.openxmlformats.org/officeDocument/2006/relationships/hyperlink" Target="https://www.oag.com/hubfs/Flourish/United%20States.png" TargetMode="External"/><Relationship Id="rId1180" Type="http://schemas.openxmlformats.org/officeDocument/2006/relationships/hyperlink" Target="https://www.oag.com/hubfs/Flourish/United%20States.png" TargetMode="External"/><Relationship Id="rId1181" Type="http://schemas.openxmlformats.org/officeDocument/2006/relationships/hyperlink" Target="https://www.oag.com/hubfs/Flourish/United%20States.png" TargetMode="External"/><Relationship Id="rId1182" Type="http://schemas.openxmlformats.org/officeDocument/2006/relationships/hyperlink" Target="https://www.oag.com/hubfs/Flourish/United%20States.png" TargetMode="External"/><Relationship Id="rId594" Type="http://schemas.openxmlformats.org/officeDocument/2006/relationships/hyperlink" Target="https://www.oag.com/hubfs/Flourish/United%20States.png" TargetMode="External"/><Relationship Id="rId1183" Type="http://schemas.openxmlformats.org/officeDocument/2006/relationships/hyperlink" Target="https://www.oag.com/hubfs/Flourish/United%20States.png" TargetMode="External"/><Relationship Id="rId593" Type="http://schemas.openxmlformats.org/officeDocument/2006/relationships/hyperlink" Target="https://www.oag.com/hubfs/Flourish/8.png" TargetMode="External"/><Relationship Id="rId1184" Type="http://schemas.openxmlformats.org/officeDocument/2006/relationships/hyperlink" Target="https://www.oag.com/hubfs/Flourish/China.png" TargetMode="External"/><Relationship Id="rId592" Type="http://schemas.openxmlformats.org/officeDocument/2006/relationships/hyperlink" Target="https://www.oag.com/hubfs/Flourish/United%20States.png" TargetMode="External"/><Relationship Id="rId1185" Type="http://schemas.openxmlformats.org/officeDocument/2006/relationships/hyperlink" Target="https://www.oag.com/hubfs/Flourish/United%20States.png" TargetMode="External"/><Relationship Id="rId591" Type="http://schemas.openxmlformats.org/officeDocument/2006/relationships/hyperlink" Target="https://www.oag.com/hubfs/Flourish/8.png" TargetMode="External"/><Relationship Id="rId1186" Type="http://schemas.openxmlformats.org/officeDocument/2006/relationships/hyperlink" Target="https://www.oag.com/hubfs/Flourish/China.png" TargetMode="External"/><Relationship Id="rId598" Type="http://schemas.openxmlformats.org/officeDocument/2006/relationships/hyperlink" Target="https://www.oag.com/hubfs/Flourish/United%20States.png" TargetMode="External"/><Relationship Id="rId1187" Type="http://schemas.openxmlformats.org/officeDocument/2006/relationships/hyperlink" Target="https://www.oag.com/hubfs/Flourish/United%20States.png" TargetMode="External"/><Relationship Id="rId597" Type="http://schemas.openxmlformats.org/officeDocument/2006/relationships/hyperlink" Target="https://www.oag.com/hubfs/Flourish/8.png" TargetMode="External"/><Relationship Id="rId1188" Type="http://schemas.openxmlformats.org/officeDocument/2006/relationships/hyperlink" Target="https://www.oag.com/hubfs/Flourish/India.png" TargetMode="External"/><Relationship Id="rId596" Type="http://schemas.openxmlformats.org/officeDocument/2006/relationships/hyperlink" Target="https://www.oag.com/hubfs/Flourish/8.png" TargetMode="External"/><Relationship Id="rId1189" Type="http://schemas.openxmlformats.org/officeDocument/2006/relationships/hyperlink" Target="https://www.oag.com/hubfs/Flourish/United%20States.png" TargetMode="External"/><Relationship Id="rId595" Type="http://schemas.openxmlformats.org/officeDocument/2006/relationships/hyperlink" Target="https://www.oag.com/hubfs/Flourish/8.png" TargetMode="External"/><Relationship Id="rId1136" Type="http://schemas.openxmlformats.org/officeDocument/2006/relationships/hyperlink" Target="https://www.oag.com/hubfs/Flourish/United%20States.png" TargetMode="External"/><Relationship Id="rId2467" Type="http://schemas.openxmlformats.org/officeDocument/2006/relationships/hyperlink" Target="https://www.oag.com/hubfs/Flourish/United%20States.png" TargetMode="External"/><Relationship Id="rId1137" Type="http://schemas.openxmlformats.org/officeDocument/2006/relationships/hyperlink" Target="https://www.oag.com/hubfs/Flourish/China.png" TargetMode="External"/><Relationship Id="rId2468" Type="http://schemas.openxmlformats.org/officeDocument/2006/relationships/hyperlink" Target="https://www.oag.com/hubfs/Flourish/Croatia.png" TargetMode="External"/><Relationship Id="rId1138" Type="http://schemas.openxmlformats.org/officeDocument/2006/relationships/hyperlink" Target="https://www.oag.com/hubfs/Flourish/6.png" TargetMode="External"/><Relationship Id="rId2469" Type="http://schemas.openxmlformats.org/officeDocument/2006/relationships/hyperlink" Target="https://www.oag.com/hubfs/Flourish/United%20States.png" TargetMode="External"/><Relationship Id="rId1139" Type="http://schemas.openxmlformats.org/officeDocument/2006/relationships/hyperlink" Target="https://www.oag.com/hubfs/Flourish/United%20States.png" TargetMode="External"/><Relationship Id="rId547" Type="http://schemas.openxmlformats.org/officeDocument/2006/relationships/hyperlink" Target="https://www.oag.com/hubfs/Flourish/8.png" TargetMode="External"/><Relationship Id="rId546" Type="http://schemas.openxmlformats.org/officeDocument/2006/relationships/hyperlink" Target="https://www.oag.com/hubfs/Flourish/United%20States.png" TargetMode="External"/><Relationship Id="rId545" Type="http://schemas.openxmlformats.org/officeDocument/2006/relationships/hyperlink" Target="https://www.oag.com/hubfs/Flourish/United%20States.png" TargetMode="External"/><Relationship Id="rId544" Type="http://schemas.openxmlformats.org/officeDocument/2006/relationships/hyperlink" Target="https://www.oag.com/hubfs/Flourish/United%20States.png" TargetMode="External"/><Relationship Id="rId549" Type="http://schemas.openxmlformats.org/officeDocument/2006/relationships/hyperlink" Target="https://www.oag.com/hubfs/Flourish/United%20States.png" TargetMode="External"/><Relationship Id="rId548" Type="http://schemas.openxmlformats.org/officeDocument/2006/relationships/hyperlink" Target="https://www.oag.com/hubfs/Flourish/8.png" TargetMode="External"/><Relationship Id="rId2460" Type="http://schemas.openxmlformats.org/officeDocument/2006/relationships/hyperlink" Target="https://www.oag.com/hubfs/Flourish/United%20States.png" TargetMode="External"/><Relationship Id="rId1130" Type="http://schemas.openxmlformats.org/officeDocument/2006/relationships/hyperlink" Target="https://www.oag.com/hubfs/Flourish/6.png" TargetMode="External"/><Relationship Id="rId2461" Type="http://schemas.openxmlformats.org/officeDocument/2006/relationships/hyperlink" Target="https://www.oag.com/hubfs/Flourish/United%20States.png" TargetMode="External"/><Relationship Id="rId1131" Type="http://schemas.openxmlformats.org/officeDocument/2006/relationships/hyperlink" Target="https://www.oag.com/hubfs/Flourish/United%20States.png" TargetMode="External"/><Relationship Id="rId2462" Type="http://schemas.openxmlformats.org/officeDocument/2006/relationships/hyperlink" Target="https://www.oag.com/hubfs/Flourish/United%20States.png" TargetMode="External"/><Relationship Id="rId543" Type="http://schemas.openxmlformats.org/officeDocument/2006/relationships/hyperlink" Target="https://www.oag.com/hubfs/Flourish/8.png" TargetMode="External"/><Relationship Id="rId1132" Type="http://schemas.openxmlformats.org/officeDocument/2006/relationships/hyperlink" Target="https://www.oag.com/hubfs/Flourish/2-1.png" TargetMode="External"/><Relationship Id="rId2463" Type="http://schemas.openxmlformats.org/officeDocument/2006/relationships/hyperlink" Target="https://www.oag.com/hubfs/Flourish/United%20States.png" TargetMode="External"/><Relationship Id="rId542" Type="http://schemas.openxmlformats.org/officeDocument/2006/relationships/hyperlink" Target="https://www.oag.com/hubfs/Flourish/4.png" TargetMode="External"/><Relationship Id="rId1133" Type="http://schemas.openxmlformats.org/officeDocument/2006/relationships/hyperlink" Target="https://www.oag.com/hubfs/Flourish/3-1.png" TargetMode="External"/><Relationship Id="rId2464" Type="http://schemas.openxmlformats.org/officeDocument/2006/relationships/hyperlink" Target="https://www.oag.com/hubfs/Flourish/3-1.png" TargetMode="External"/><Relationship Id="rId541" Type="http://schemas.openxmlformats.org/officeDocument/2006/relationships/hyperlink" Target="https://www.oag.com/hubfs/Flourish/8.png" TargetMode="External"/><Relationship Id="rId1134" Type="http://schemas.openxmlformats.org/officeDocument/2006/relationships/hyperlink" Target="https://www.oag.com/hubfs/Flourish/United%20States.png" TargetMode="External"/><Relationship Id="rId2465" Type="http://schemas.openxmlformats.org/officeDocument/2006/relationships/hyperlink" Target="https://www.oag.com/hubfs/Flourish/S%20Korea.jpg" TargetMode="External"/><Relationship Id="rId540" Type="http://schemas.openxmlformats.org/officeDocument/2006/relationships/hyperlink" Target="https://www.oag.com/hubfs/Flourish/S%20Korea.jpg" TargetMode="External"/><Relationship Id="rId1135" Type="http://schemas.openxmlformats.org/officeDocument/2006/relationships/hyperlink" Target="https://www.oag.com/hubfs/Flourish/8.png" TargetMode="External"/><Relationship Id="rId2466" Type="http://schemas.openxmlformats.org/officeDocument/2006/relationships/hyperlink" Target="https://www.oag.com/hubfs/Flourish/India.png" TargetMode="External"/><Relationship Id="rId1125" Type="http://schemas.openxmlformats.org/officeDocument/2006/relationships/hyperlink" Target="https://www.oag.com/hubfs/Flourish/1-1.png" TargetMode="External"/><Relationship Id="rId2456" Type="http://schemas.openxmlformats.org/officeDocument/2006/relationships/hyperlink" Target="https://www.oag.com/hubfs/Flourish/United%20States.png" TargetMode="External"/><Relationship Id="rId1126" Type="http://schemas.openxmlformats.org/officeDocument/2006/relationships/hyperlink" Target="https://www.oag.com/hubfs/Flourish/United%20States.png" TargetMode="External"/><Relationship Id="rId2457" Type="http://schemas.openxmlformats.org/officeDocument/2006/relationships/hyperlink" Target="https://www.oag.com/hubfs/Flourish/United%20States.png" TargetMode="External"/><Relationship Id="rId1127" Type="http://schemas.openxmlformats.org/officeDocument/2006/relationships/hyperlink" Target="https://www.oag.com/hubfs/Flourish/United%20States.png" TargetMode="External"/><Relationship Id="rId2458" Type="http://schemas.openxmlformats.org/officeDocument/2006/relationships/hyperlink" Target="https://www.oag.com/hubfs/Flourish/United%20States.png" TargetMode="External"/><Relationship Id="rId1128" Type="http://schemas.openxmlformats.org/officeDocument/2006/relationships/hyperlink" Target="https://www.oag.com/hubfs/Flourish/United%20States.png" TargetMode="External"/><Relationship Id="rId2459" Type="http://schemas.openxmlformats.org/officeDocument/2006/relationships/hyperlink" Target="https://www.oag.com/hubfs/Flourish/United%20States.png" TargetMode="External"/><Relationship Id="rId1129" Type="http://schemas.openxmlformats.org/officeDocument/2006/relationships/hyperlink" Target="https://www.oag.com/hubfs/Flourish/United%20States.png" TargetMode="External"/><Relationship Id="rId536" Type="http://schemas.openxmlformats.org/officeDocument/2006/relationships/hyperlink" Target="https://www.oag.com/hubfs/Flourish/United%20States.png" TargetMode="External"/><Relationship Id="rId535" Type="http://schemas.openxmlformats.org/officeDocument/2006/relationships/hyperlink" Target="https://www.oag.com/hubfs/Flourish/United%20States.png" TargetMode="External"/><Relationship Id="rId534" Type="http://schemas.openxmlformats.org/officeDocument/2006/relationships/hyperlink" Target="https://www.oag.com/hubfs/Flourish/6.png" TargetMode="External"/><Relationship Id="rId533" Type="http://schemas.openxmlformats.org/officeDocument/2006/relationships/hyperlink" Target="https://www.oag.com/hubfs/Flourish/4.png" TargetMode="External"/><Relationship Id="rId539" Type="http://schemas.openxmlformats.org/officeDocument/2006/relationships/hyperlink" Target="https://www.oag.com/hubfs/Flourish/2-1.png" TargetMode="External"/><Relationship Id="rId538" Type="http://schemas.openxmlformats.org/officeDocument/2006/relationships/hyperlink" Target="https://www.oag.com/hubfs/Flourish/United%20States.png" TargetMode="External"/><Relationship Id="rId537" Type="http://schemas.openxmlformats.org/officeDocument/2006/relationships/hyperlink" Target="https://www.oag.com/hubfs/Flourish/2-1.png" TargetMode="External"/><Relationship Id="rId2450" Type="http://schemas.openxmlformats.org/officeDocument/2006/relationships/hyperlink" Target="https://www.oag.com/hubfs/Flourish/United%20States.png" TargetMode="External"/><Relationship Id="rId1120" Type="http://schemas.openxmlformats.org/officeDocument/2006/relationships/hyperlink" Target="https://www.oag.com/hubfs/Flourish/United%20States.png" TargetMode="External"/><Relationship Id="rId2451" Type="http://schemas.openxmlformats.org/officeDocument/2006/relationships/hyperlink" Target="https://www.oag.com/hubfs/Flourish/8.png" TargetMode="External"/><Relationship Id="rId532" Type="http://schemas.openxmlformats.org/officeDocument/2006/relationships/hyperlink" Target="https://www.oag.com/hubfs/Flourish/United%20States.png" TargetMode="External"/><Relationship Id="rId1121" Type="http://schemas.openxmlformats.org/officeDocument/2006/relationships/hyperlink" Target="https://www.oag.com/hubfs/Flourish/United%20States.png" TargetMode="External"/><Relationship Id="rId2452" Type="http://schemas.openxmlformats.org/officeDocument/2006/relationships/hyperlink" Target="https://www.oag.com/hubfs/Flourish/2-1.png" TargetMode="External"/><Relationship Id="rId531" Type="http://schemas.openxmlformats.org/officeDocument/2006/relationships/hyperlink" Target="https://www.oag.com/hubfs/Flourish/United%20States.png" TargetMode="External"/><Relationship Id="rId1122" Type="http://schemas.openxmlformats.org/officeDocument/2006/relationships/hyperlink" Target="https://www.oag.com/hubfs/Flourish/Mexico.png" TargetMode="External"/><Relationship Id="rId2453" Type="http://schemas.openxmlformats.org/officeDocument/2006/relationships/hyperlink" Target="https://www.oag.com/hubfs/Flourish/United%20States.png" TargetMode="External"/><Relationship Id="rId530" Type="http://schemas.openxmlformats.org/officeDocument/2006/relationships/hyperlink" Target="https://www.oag.com/hubfs/Flourish/United%20States.png" TargetMode="External"/><Relationship Id="rId1123" Type="http://schemas.openxmlformats.org/officeDocument/2006/relationships/hyperlink" Target="https://www.oag.com/hubfs/Flourish/United%20States.png" TargetMode="External"/><Relationship Id="rId2454" Type="http://schemas.openxmlformats.org/officeDocument/2006/relationships/hyperlink" Target="https://www.oag.com/hubfs/Flourish/United%20States.png" TargetMode="External"/><Relationship Id="rId1124" Type="http://schemas.openxmlformats.org/officeDocument/2006/relationships/hyperlink" Target="https://www.oag.com/hubfs/Flourish/3-1.png" TargetMode="External"/><Relationship Id="rId2455" Type="http://schemas.openxmlformats.org/officeDocument/2006/relationships/hyperlink" Target="https://www.oag.com/hubfs/Flourish/6.png" TargetMode="External"/><Relationship Id="rId1158" Type="http://schemas.openxmlformats.org/officeDocument/2006/relationships/hyperlink" Target="https://www.oag.com/hubfs/Flourish/United%20States.png" TargetMode="External"/><Relationship Id="rId2489" Type="http://schemas.openxmlformats.org/officeDocument/2006/relationships/hyperlink" Target="https://www.oag.com/hubfs/Flourish/6.png" TargetMode="External"/><Relationship Id="rId1159" Type="http://schemas.openxmlformats.org/officeDocument/2006/relationships/hyperlink" Target="https://www.oag.com/hubfs/Flourish/United%20States.png" TargetMode="External"/><Relationship Id="rId569" Type="http://schemas.openxmlformats.org/officeDocument/2006/relationships/hyperlink" Target="https://www.oag.com/hubfs/Flourish/8.png" TargetMode="External"/><Relationship Id="rId568" Type="http://schemas.openxmlformats.org/officeDocument/2006/relationships/hyperlink" Target="https://www.oag.com/hubfs/Flourish/2-1.png" TargetMode="External"/><Relationship Id="rId567" Type="http://schemas.openxmlformats.org/officeDocument/2006/relationships/hyperlink" Target="https://www.oag.com/hubfs/Flourish/United%20States.png" TargetMode="External"/><Relationship Id="rId566" Type="http://schemas.openxmlformats.org/officeDocument/2006/relationships/hyperlink" Target="https://www.oag.com/hubfs/Flourish/India.png" TargetMode="External"/><Relationship Id="rId2480" Type="http://schemas.openxmlformats.org/officeDocument/2006/relationships/hyperlink" Target="https://www.oag.com/hubfs/Flourish/5.png" TargetMode="External"/><Relationship Id="rId561" Type="http://schemas.openxmlformats.org/officeDocument/2006/relationships/hyperlink" Target="https://www.oag.com/hubfs/Flourish/3-1.png" TargetMode="External"/><Relationship Id="rId1150" Type="http://schemas.openxmlformats.org/officeDocument/2006/relationships/hyperlink" Target="https://www.oag.com/hubfs/Flourish/Mexico.png" TargetMode="External"/><Relationship Id="rId2481" Type="http://schemas.openxmlformats.org/officeDocument/2006/relationships/hyperlink" Target="https://www.oag.com/hubfs/Flourish/United%20States.png" TargetMode="External"/><Relationship Id="rId560" Type="http://schemas.openxmlformats.org/officeDocument/2006/relationships/hyperlink" Target="https://www.oag.com/hubfs/Flourish/8.png" TargetMode="External"/><Relationship Id="rId1151" Type="http://schemas.openxmlformats.org/officeDocument/2006/relationships/hyperlink" Target="https://www.oag.com/hubfs/Flourish/Mexico.png" TargetMode="External"/><Relationship Id="rId2482" Type="http://schemas.openxmlformats.org/officeDocument/2006/relationships/hyperlink" Target="https://www.oag.com/hubfs/Flourish/United%20States.png" TargetMode="External"/><Relationship Id="rId1152" Type="http://schemas.openxmlformats.org/officeDocument/2006/relationships/hyperlink" Target="https://www.oag.com/hubfs/Flourish/Mexico.png" TargetMode="External"/><Relationship Id="rId2483" Type="http://schemas.openxmlformats.org/officeDocument/2006/relationships/hyperlink" Target="https://www.oag.com/hubfs/Flourish/Thailand.png" TargetMode="External"/><Relationship Id="rId1153" Type="http://schemas.openxmlformats.org/officeDocument/2006/relationships/hyperlink" Target="https://www.oag.com/hubfs/Flourish/3-1.png" TargetMode="External"/><Relationship Id="rId2484" Type="http://schemas.openxmlformats.org/officeDocument/2006/relationships/hyperlink" Target="https://www.oag.com/hubfs/Flourish/2-1.png" TargetMode="External"/><Relationship Id="rId565" Type="http://schemas.openxmlformats.org/officeDocument/2006/relationships/hyperlink" Target="https://www.oag.com/hubfs/Flourish/United%20States.png" TargetMode="External"/><Relationship Id="rId1154" Type="http://schemas.openxmlformats.org/officeDocument/2006/relationships/hyperlink" Target="https://www.oag.com/hubfs/Flourish/United%20States.png" TargetMode="External"/><Relationship Id="rId2485" Type="http://schemas.openxmlformats.org/officeDocument/2006/relationships/hyperlink" Target="https://www.oag.com/hubfs/Flourish/2-1.png" TargetMode="External"/><Relationship Id="rId564" Type="http://schemas.openxmlformats.org/officeDocument/2006/relationships/hyperlink" Target="https://www.oag.com/hubfs/Flourish/Poland.png" TargetMode="External"/><Relationship Id="rId1155" Type="http://schemas.openxmlformats.org/officeDocument/2006/relationships/hyperlink" Target="https://www.oag.com/hubfs/Flourish/Mexico.png" TargetMode="External"/><Relationship Id="rId2486" Type="http://schemas.openxmlformats.org/officeDocument/2006/relationships/hyperlink" Target="https://www.oag.com/hubfs/Flourish/8.png" TargetMode="External"/><Relationship Id="rId563" Type="http://schemas.openxmlformats.org/officeDocument/2006/relationships/hyperlink" Target="https://www.oag.com/hubfs/Flourish/Poland.png" TargetMode="External"/><Relationship Id="rId1156" Type="http://schemas.openxmlformats.org/officeDocument/2006/relationships/hyperlink" Target="https://www.oag.com/hubfs/Flourish/Mexico.png" TargetMode="External"/><Relationship Id="rId2487" Type="http://schemas.openxmlformats.org/officeDocument/2006/relationships/hyperlink" Target="https://www.oag.com/hubfs/Flourish/2-1.png" TargetMode="External"/><Relationship Id="rId562" Type="http://schemas.openxmlformats.org/officeDocument/2006/relationships/hyperlink" Target="https://www.oag.com/hubfs/Flourish/3-1.png" TargetMode="External"/><Relationship Id="rId1157" Type="http://schemas.openxmlformats.org/officeDocument/2006/relationships/hyperlink" Target="https://www.oag.com/hubfs/Flourish/United%20States.png" TargetMode="External"/><Relationship Id="rId2488" Type="http://schemas.openxmlformats.org/officeDocument/2006/relationships/hyperlink" Target="https://www.oag.com/hubfs/Flourish/2-1.png" TargetMode="External"/><Relationship Id="rId1147" Type="http://schemas.openxmlformats.org/officeDocument/2006/relationships/hyperlink" Target="https://www.oag.com/hubfs/Flourish/Mexico.png" TargetMode="External"/><Relationship Id="rId2478" Type="http://schemas.openxmlformats.org/officeDocument/2006/relationships/hyperlink" Target="https://www.oag.com/hubfs/Flourish/United%20States.png" TargetMode="External"/><Relationship Id="rId1148" Type="http://schemas.openxmlformats.org/officeDocument/2006/relationships/hyperlink" Target="https://www.oag.com/hubfs/Flourish/United%20States.png" TargetMode="External"/><Relationship Id="rId2479" Type="http://schemas.openxmlformats.org/officeDocument/2006/relationships/hyperlink" Target="https://www.oag.com/hubfs/Flourish/Mexico.png" TargetMode="External"/><Relationship Id="rId1149" Type="http://schemas.openxmlformats.org/officeDocument/2006/relationships/hyperlink" Target="https://www.oag.com/hubfs/Flourish/6.png" TargetMode="External"/><Relationship Id="rId558" Type="http://schemas.openxmlformats.org/officeDocument/2006/relationships/hyperlink" Target="https://www.oag.com/hubfs/Flourish/3-1.png" TargetMode="External"/><Relationship Id="rId557" Type="http://schemas.openxmlformats.org/officeDocument/2006/relationships/hyperlink" Target="https://www.oag.com/hubfs/Flourish/3-1.png" TargetMode="External"/><Relationship Id="rId556" Type="http://schemas.openxmlformats.org/officeDocument/2006/relationships/hyperlink" Target="https://www.oag.com/hubfs/Flourish/3-1.png" TargetMode="External"/><Relationship Id="rId555" Type="http://schemas.openxmlformats.org/officeDocument/2006/relationships/hyperlink" Target="https://www.oag.com/hubfs/Flourish/8.png" TargetMode="External"/><Relationship Id="rId559" Type="http://schemas.openxmlformats.org/officeDocument/2006/relationships/hyperlink" Target="https://www.oag.com/hubfs/Flourish/8.png" TargetMode="External"/><Relationship Id="rId550" Type="http://schemas.openxmlformats.org/officeDocument/2006/relationships/hyperlink" Target="https://www.oag.com/hubfs/Flourish/United%20States.png" TargetMode="External"/><Relationship Id="rId2470" Type="http://schemas.openxmlformats.org/officeDocument/2006/relationships/hyperlink" Target="https://www.oag.com/hubfs/Flourish/United%20States.png" TargetMode="External"/><Relationship Id="rId1140" Type="http://schemas.openxmlformats.org/officeDocument/2006/relationships/hyperlink" Target="https://www.oag.com/hubfs/Flourish/United%20States.png" TargetMode="External"/><Relationship Id="rId2471" Type="http://schemas.openxmlformats.org/officeDocument/2006/relationships/hyperlink" Target="https://www.oag.com/hubfs/Flourish/China.png" TargetMode="External"/><Relationship Id="rId1141" Type="http://schemas.openxmlformats.org/officeDocument/2006/relationships/hyperlink" Target="https://www.oag.com/hubfs/Flourish/United%20States.png" TargetMode="External"/><Relationship Id="rId2472" Type="http://schemas.openxmlformats.org/officeDocument/2006/relationships/hyperlink" Target="https://www.oag.com/hubfs/Flourish/Mexico.png" TargetMode="External"/><Relationship Id="rId1142" Type="http://schemas.openxmlformats.org/officeDocument/2006/relationships/hyperlink" Target="https://www.oag.com/hubfs/Flourish/Mexico.png" TargetMode="External"/><Relationship Id="rId2473" Type="http://schemas.openxmlformats.org/officeDocument/2006/relationships/hyperlink" Target="https://www.oag.com/hubfs/Flourish/United%20States.png" TargetMode="External"/><Relationship Id="rId554" Type="http://schemas.openxmlformats.org/officeDocument/2006/relationships/hyperlink" Target="https://www.oag.com/hubfs/Flourish/2-1.png" TargetMode="External"/><Relationship Id="rId1143" Type="http://schemas.openxmlformats.org/officeDocument/2006/relationships/hyperlink" Target="https://www.oag.com/hubfs/Flourish/Japan.png" TargetMode="External"/><Relationship Id="rId2474" Type="http://schemas.openxmlformats.org/officeDocument/2006/relationships/hyperlink" Target="https://www.oag.com/hubfs/Flourish/United%20States.png" TargetMode="External"/><Relationship Id="rId553" Type="http://schemas.openxmlformats.org/officeDocument/2006/relationships/hyperlink" Target="https://www.oag.com/hubfs/Flourish/United%20States.png" TargetMode="External"/><Relationship Id="rId1144" Type="http://schemas.openxmlformats.org/officeDocument/2006/relationships/hyperlink" Target="https://www.oag.com/hubfs/Flourish/3-1.png" TargetMode="External"/><Relationship Id="rId2475" Type="http://schemas.openxmlformats.org/officeDocument/2006/relationships/hyperlink" Target="https://www.oag.com/hubfs/Flourish/United%20States.png" TargetMode="External"/><Relationship Id="rId552" Type="http://schemas.openxmlformats.org/officeDocument/2006/relationships/hyperlink" Target="https://www.oag.com/hubfs/Flourish/United%20States.png" TargetMode="External"/><Relationship Id="rId1145" Type="http://schemas.openxmlformats.org/officeDocument/2006/relationships/hyperlink" Target="https://www.oag.com/hubfs/Flourish/China.png" TargetMode="External"/><Relationship Id="rId2476" Type="http://schemas.openxmlformats.org/officeDocument/2006/relationships/hyperlink" Target="https://www.oag.com/hubfs/Flourish/United%20States.png" TargetMode="External"/><Relationship Id="rId551" Type="http://schemas.openxmlformats.org/officeDocument/2006/relationships/hyperlink" Target="https://www.oag.com/hubfs/Flourish/United%20States.png" TargetMode="External"/><Relationship Id="rId1146" Type="http://schemas.openxmlformats.org/officeDocument/2006/relationships/hyperlink" Target="https://www.oag.com/hubfs/Flourish/United%20States.png" TargetMode="External"/><Relationship Id="rId2477" Type="http://schemas.openxmlformats.org/officeDocument/2006/relationships/hyperlink" Target="https://www.oag.com/hubfs/Flourish/United%20States.png" TargetMode="External"/><Relationship Id="rId495" Type="http://schemas.openxmlformats.org/officeDocument/2006/relationships/hyperlink" Target="https://www.oag.com/hubfs/Flourish/8.png" TargetMode="External"/><Relationship Id="rId494" Type="http://schemas.openxmlformats.org/officeDocument/2006/relationships/hyperlink" Target="https://www.oag.com/hubfs/Flourish/8.png" TargetMode="External"/><Relationship Id="rId493" Type="http://schemas.openxmlformats.org/officeDocument/2006/relationships/hyperlink" Target="https://www.oag.com/hubfs/Flourish/8.png" TargetMode="External"/><Relationship Id="rId492" Type="http://schemas.openxmlformats.org/officeDocument/2006/relationships/hyperlink" Target="https://www.oag.com/hubfs/Flourish/8.png" TargetMode="External"/><Relationship Id="rId499" Type="http://schemas.openxmlformats.org/officeDocument/2006/relationships/hyperlink" Target="https://www.oag.com/hubfs/Flourish/8.png" TargetMode="External"/><Relationship Id="rId498" Type="http://schemas.openxmlformats.org/officeDocument/2006/relationships/hyperlink" Target="https://www.oag.com/hubfs/Flourish/8.png" TargetMode="External"/><Relationship Id="rId497" Type="http://schemas.openxmlformats.org/officeDocument/2006/relationships/hyperlink" Target="https://www.oag.com/hubfs/Flourish/8.png" TargetMode="External"/><Relationship Id="rId496" Type="http://schemas.openxmlformats.org/officeDocument/2006/relationships/hyperlink" Target="https://www.oag.com/hubfs/Flourish/8.png" TargetMode="External"/><Relationship Id="rId1213" Type="http://schemas.openxmlformats.org/officeDocument/2006/relationships/hyperlink" Target="https://www.oag.com/hubfs/Flourish/7.png" TargetMode="External"/><Relationship Id="rId2544" Type="http://schemas.openxmlformats.org/officeDocument/2006/relationships/hyperlink" Target="https://www.oag.com/hubfs/Flourish/United%20States.png" TargetMode="External"/><Relationship Id="rId1214" Type="http://schemas.openxmlformats.org/officeDocument/2006/relationships/hyperlink" Target="https://www.oag.com/hubfs/Flourish/United%20States.png" TargetMode="External"/><Relationship Id="rId2545" Type="http://schemas.openxmlformats.org/officeDocument/2006/relationships/hyperlink" Target="https://www.oag.com/hubfs/Flourish/United%20States.png" TargetMode="External"/><Relationship Id="rId1215" Type="http://schemas.openxmlformats.org/officeDocument/2006/relationships/hyperlink" Target="https://www.oag.com/hubfs/Flourish/United%20States.png" TargetMode="External"/><Relationship Id="rId2546" Type="http://schemas.openxmlformats.org/officeDocument/2006/relationships/hyperlink" Target="https://www.oag.com/hubfs/Flourish/United%20States.png" TargetMode="External"/><Relationship Id="rId1216" Type="http://schemas.openxmlformats.org/officeDocument/2006/relationships/hyperlink" Target="https://www.oag.com/hubfs/Flourish/China.png" TargetMode="External"/><Relationship Id="rId2547" Type="http://schemas.openxmlformats.org/officeDocument/2006/relationships/hyperlink" Target="https://www.oag.com/hubfs/Flourish/United%20States.png" TargetMode="External"/><Relationship Id="rId1217" Type="http://schemas.openxmlformats.org/officeDocument/2006/relationships/hyperlink" Target="https://www.oag.com/hubfs/Flourish/3-1.png" TargetMode="External"/><Relationship Id="rId2548" Type="http://schemas.openxmlformats.org/officeDocument/2006/relationships/hyperlink" Target="https://www.oag.com/hubfs/Flourish/United%20States.png" TargetMode="External"/><Relationship Id="rId1218" Type="http://schemas.openxmlformats.org/officeDocument/2006/relationships/hyperlink" Target="https://www.oag.com/hubfs/Flourish/United%20States.png" TargetMode="External"/><Relationship Id="rId2549" Type="http://schemas.openxmlformats.org/officeDocument/2006/relationships/hyperlink" Target="https://www.oag.com/hubfs/Flourish/UAE.jpg" TargetMode="External"/><Relationship Id="rId1219" Type="http://schemas.openxmlformats.org/officeDocument/2006/relationships/hyperlink" Target="https://www.oag.com/hubfs/Flourish/United%20States.png" TargetMode="External"/><Relationship Id="rId2540" Type="http://schemas.openxmlformats.org/officeDocument/2006/relationships/hyperlink" Target="https://www.oag.com/hubfs/Flourish/United%20States.png" TargetMode="External"/><Relationship Id="rId1210" Type="http://schemas.openxmlformats.org/officeDocument/2006/relationships/hyperlink" Target="https://www.oag.com/hubfs/Flourish/3-1.png" TargetMode="External"/><Relationship Id="rId2541" Type="http://schemas.openxmlformats.org/officeDocument/2006/relationships/hyperlink" Target="https://www.oag.com/hubfs/Flourish/India.png" TargetMode="External"/><Relationship Id="rId1211" Type="http://schemas.openxmlformats.org/officeDocument/2006/relationships/hyperlink" Target="https://www.oag.com/hubfs/Flourish/United%20States.png" TargetMode="External"/><Relationship Id="rId2542" Type="http://schemas.openxmlformats.org/officeDocument/2006/relationships/hyperlink" Target="https://www.oag.com/hubfs/Flourish/Croatia.png" TargetMode="External"/><Relationship Id="rId1212" Type="http://schemas.openxmlformats.org/officeDocument/2006/relationships/hyperlink" Target="https://www.oag.com/hubfs/Flourish/India.png" TargetMode="External"/><Relationship Id="rId2543" Type="http://schemas.openxmlformats.org/officeDocument/2006/relationships/hyperlink" Target="https://www.oag.com/hubfs/Flourish/1-1.png" TargetMode="External"/><Relationship Id="rId1202" Type="http://schemas.openxmlformats.org/officeDocument/2006/relationships/hyperlink" Target="https://www.oag.com/hubfs/Flourish/United%20States.png" TargetMode="External"/><Relationship Id="rId2533" Type="http://schemas.openxmlformats.org/officeDocument/2006/relationships/hyperlink" Target="https://www.oag.com/hubfs/Flourish/United%20States.png" TargetMode="External"/><Relationship Id="rId1203" Type="http://schemas.openxmlformats.org/officeDocument/2006/relationships/hyperlink" Target="https://www.oag.com/hubfs/Flourish/Mexico.png" TargetMode="External"/><Relationship Id="rId2534" Type="http://schemas.openxmlformats.org/officeDocument/2006/relationships/hyperlink" Target="https://www.oag.com/hubfs/Flourish/United%20States.png" TargetMode="External"/><Relationship Id="rId1204" Type="http://schemas.openxmlformats.org/officeDocument/2006/relationships/hyperlink" Target="https://www.oag.com/hubfs/Flourish/India.png" TargetMode="External"/><Relationship Id="rId2535" Type="http://schemas.openxmlformats.org/officeDocument/2006/relationships/hyperlink" Target="https://www.oag.com/hubfs/Flourish/United%20States.png" TargetMode="External"/><Relationship Id="rId1205" Type="http://schemas.openxmlformats.org/officeDocument/2006/relationships/hyperlink" Target="https://www.oag.com/hubfs/Flourish/United%20States.png" TargetMode="External"/><Relationship Id="rId2536" Type="http://schemas.openxmlformats.org/officeDocument/2006/relationships/hyperlink" Target="https://www.oag.com/hubfs/Flourish/United%20States.png" TargetMode="External"/><Relationship Id="rId1206" Type="http://schemas.openxmlformats.org/officeDocument/2006/relationships/hyperlink" Target="https://www.oag.com/hubfs/Flourish/4.png" TargetMode="External"/><Relationship Id="rId2537" Type="http://schemas.openxmlformats.org/officeDocument/2006/relationships/hyperlink" Target="https://www.oag.com/hubfs/Flourish/Japan.png" TargetMode="External"/><Relationship Id="rId1207" Type="http://schemas.openxmlformats.org/officeDocument/2006/relationships/hyperlink" Target="https://www.oag.com/hubfs/Flourish/United%20States.png" TargetMode="External"/><Relationship Id="rId2538" Type="http://schemas.openxmlformats.org/officeDocument/2006/relationships/hyperlink" Target="https://www.oag.com/hubfs/Flourish/United%20States.png" TargetMode="External"/><Relationship Id="rId1208" Type="http://schemas.openxmlformats.org/officeDocument/2006/relationships/hyperlink" Target="https://www.oag.com/hubfs/Flourish/India.png" TargetMode="External"/><Relationship Id="rId2539" Type="http://schemas.openxmlformats.org/officeDocument/2006/relationships/hyperlink" Target="https://www.oag.com/hubfs/Flourish/United%20States.png" TargetMode="External"/><Relationship Id="rId1209" Type="http://schemas.openxmlformats.org/officeDocument/2006/relationships/hyperlink" Target="https://www.oag.com/hubfs/Flourish/China.png" TargetMode="External"/><Relationship Id="rId2530" Type="http://schemas.openxmlformats.org/officeDocument/2006/relationships/hyperlink" Target="https://www.oag.com/hubfs/Flourish/United%20States.png" TargetMode="External"/><Relationship Id="rId1200" Type="http://schemas.openxmlformats.org/officeDocument/2006/relationships/hyperlink" Target="https://www.oag.com/hubfs/Flourish/United%20States.png" TargetMode="External"/><Relationship Id="rId2531" Type="http://schemas.openxmlformats.org/officeDocument/2006/relationships/hyperlink" Target="https://www.oag.com/hubfs/Flourish/United%20States.png" TargetMode="External"/><Relationship Id="rId1201" Type="http://schemas.openxmlformats.org/officeDocument/2006/relationships/hyperlink" Target="https://www.oag.com/hubfs/Flourish/United%20States.png" TargetMode="External"/><Relationship Id="rId2532" Type="http://schemas.openxmlformats.org/officeDocument/2006/relationships/hyperlink" Target="https://www.oag.com/hubfs/Flourish/United%20States.png" TargetMode="External"/><Relationship Id="rId1235" Type="http://schemas.openxmlformats.org/officeDocument/2006/relationships/hyperlink" Target="https://www.oag.com/hubfs/Flourish/7.png" TargetMode="External"/><Relationship Id="rId2566" Type="http://schemas.openxmlformats.org/officeDocument/2006/relationships/hyperlink" Target="https://www.oag.com/hubfs/Flourish/United%20States.png" TargetMode="External"/><Relationship Id="rId1236" Type="http://schemas.openxmlformats.org/officeDocument/2006/relationships/hyperlink" Target="https://www.oag.com/hubfs/Flourish/3-1.png" TargetMode="External"/><Relationship Id="rId2567" Type="http://schemas.openxmlformats.org/officeDocument/2006/relationships/hyperlink" Target="https://www.oag.com/hubfs/Flourish/Thailand.png" TargetMode="External"/><Relationship Id="rId1237" Type="http://schemas.openxmlformats.org/officeDocument/2006/relationships/hyperlink" Target="https://www.oag.com/hubfs/Flourish/United%20States.png" TargetMode="External"/><Relationship Id="rId2568" Type="http://schemas.openxmlformats.org/officeDocument/2006/relationships/hyperlink" Target="https://www.oag.com/hubfs/Flourish/United%20States.png" TargetMode="External"/><Relationship Id="rId1238" Type="http://schemas.openxmlformats.org/officeDocument/2006/relationships/hyperlink" Target="https://www.oag.com/hubfs/Flourish/United%20States.png" TargetMode="External"/><Relationship Id="rId2569" Type="http://schemas.openxmlformats.org/officeDocument/2006/relationships/hyperlink" Target="https://www.oag.com/hubfs/Flourish/India.png" TargetMode="External"/><Relationship Id="rId1239" Type="http://schemas.openxmlformats.org/officeDocument/2006/relationships/hyperlink" Target="https://www.oag.com/hubfs/Flourish/United%20States.png" TargetMode="External"/><Relationship Id="rId409" Type="http://schemas.openxmlformats.org/officeDocument/2006/relationships/hyperlink" Target="https://www.oag.com/hubfs/Flourish/United%20States.png" TargetMode="External"/><Relationship Id="rId404" Type="http://schemas.openxmlformats.org/officeDocument/2006/relationships/hyperlink" Target="https://www.oag.com/hubfs/Flourish/Thailand.png" TargetMode="External"/><Relationship Id="rId403" Type="http://schemas.openxmlformats.org/officeDocument/2006/relationships/hyperlink" Target="https://www.oag.com/hubfs/Flourish/Thailand.png" TargetMode="External"/><Relationship Id="rId402" Type="http://schemas.openxmlformats.org/officeDocument/2006/relationships/hyperlink" Target="https://www.oag.com/hubfs/Flourish/Thailand.png" TargetMode="External"/><Relationship Id="rId401" Type="http://schemas.openxmlformats.org/officeDocument/2006/relationships/hyperlink" Target="https://www.oag.com/hubfs/Flourish/Thailand.png" TargetMode="External"/><Relationship Id="rId408" Type="http://schemas.openxmlformats.org/officeDocument/2006/relationships/hyperlink" Target="https://www.oag.com/hubfs/Flourish/United%20States.png" TargetMode="External"/><Relationship Id="rId407" Type="http://schemas.openxmlformats.org/officeDocument/2006/relationships/hyperlink" Target="https://www.oag.com/hubfs/Flourish/United%20States.png" TargetMode="External"/><Relationship Id="rId406" Type="http://schemas.openxmlformats.org/officeDocument/2006/relationships/hyperlink" Target="https://www.oag.com/hubfs/Flourish/singapore.jpg" TargetMode="External"/><Relationship Id="rId405" Type="http://schemas.openxmlformats.org/officeDocument/2006/relationships/hyperlink" Target="https://www.oag.com/hubfs/Flourish/singapore.jpg" TargetMode="External"/><Relationship Id="rId2560" Type="http://schemas.openxmlformats.org/officeDocument/2006/relationships/hyperlink" Target="https://www.oag.com/hubfs/Flourish/Japan.png" TargetMode="External"/><Relationship Id="rId1230" Type="http://schemas.openxmlformats.org/officeDocument/2006/relationships/hyperlink" Target="https://www.oag.com/hubfs/Flourish/China.png" TargetMode="External"/><Relationship Id="rId2561" Type="http://schemas.openxmlformats.org/officeDocument/2006/relationships/hyperlink" Target="https://www.oag.com/hubfs/Flourish/United%20States.png" TargetMode="External"/><Relationship Id="rId400" Type="http://schemas.openxmlformats.org/officeDocument/2006/relationships/hyperlink" Target="https://www.oag.com/hubfs/Flourish/Thailand.png" TargetMode="External"/><Relationship Id="rId1231" Type="http://schemas.openxmlformats.org/officeDocument/2006/relationships/hyperlink" Target="https://www.oag.com/hubfs/Flourish/United%20States.png" TargetMode="External"/><Relationship Id="rId2562" Type="http://schemas.openxmlformats.org/officeDocument/2006/relationships/hyperlink" Target="https://www.oag.com/hubfs/Flourish/United%20States.png" TargetMode="External"/><Relationship Id="rId1232" Type="http://schemas.openxmlformats.org/officeDocument/2006/relationships/hyperlink" Target="https://www.oag.com/hubfs/Flourish/United%20States.png" TargetMode="External"/><Relationship Id="rId2563" Type="http://schemas.openxmlformats.org/officeDocument/2006/relationships/hyperlink" Target="https://www.oag.com/hubfs/Flourish/3-1.png" TargetMode="External"/><Relationship Id="rId1233" Type="http://schemas.openxmlformats.org/officeDocument/2006/relationships/hyperlink" Target="https://www.oag.com/hubfs/Flourish/3-1.png" TargetMode="External"/><Relationship Id="rId2564" Type="http://schemas.openxmlformats.org/officeDocument/2006/relationships/hyperlink" Target="https://www.oag.com/hubfs/Flourish/United%20States.png" TargetMode="External"/><Relationship Id="rId1234" Type="http://schemas.openxmlformats.org/officeDocument/2006/relationships/hyperlink" Target="https://www.oag.com/hubfs/Flourish/United%20States.png" TargetMode="External"/><Relationship Id="rId2565" Type="http://schemas.openxmlformats.org/officeDocument/2006/relationships/hyperlink" Target="https://www.oag.com/hubfs/Flourish/United%20States.png" TargetMode="External"/><Relationship Id="rId1224" Type="http://schemas.openxmlformats.org/officeDocument/2006/relationships/hyperlink" Target="https://www.oag.com/hubfs/Flourish/United%20States.png" TargetMode="External"/><Relationship Id="rId2555" Type="http://schemas.openxmlformats.org/officeDocument/2006/relationships/hyperlink" Target="https://www.oag.com/hubfs/Flourish/8.png" TargetMode="External"/><Relationship Id="rId1225" Type="http://schemas.openxmlformats.org/officeDocument/2006/relationships/hyperlink" Target="https://www.oag.com/hubfs/Flourish/Thailand.png" TargetMode="External"/><Relationship Id="rId2556" Type="http://schemas.openxmlformats.org/officeDocument/2006/relationships/hyperlink" Target="https://www.oag.com/hubfs/Flourish/United%20States.png" TargetMode="External"/><Relationship Id="rId1226" Type="http://schemas.openxmlformats.org/officeDocument/2006/relationships/hyperlink" Target="https://www.oag.com/hubfs/Flourish/United%20States.png" TargetMode="External"/><Relationship Id="rId2557" Type="http://schemas.openxmlformats.org/officeDocument/2006/relationships/hyperlink" Target="https://www.oag.com/hubfs/Flourish/United%20States.png" TargetMode="External"/><Relationship Id="rId1227" Type="http://schemas.openxmlformats.org/officeDocument/2006/relationships/hyperlink" Target="https://www.oag.com/hubfs/Flourish/India.png" TargetMode="External"/><Relationship Id="rId2558" Type="http://schemas.openxmlformats.org/officeDocument/2006/relationships/hyperlink" Target="https://www.oag.com/hubfs/Flourish/3-1.png" TargetMode="External"/><Relationship Id="rId1228" Type="http://schemas.openxmlformats.org/officeDocument/2006/relationships/hyperlink" Target="https://www.oag.com/hubfs/Flourish/Japan.png" TargetMode="External"/><Relationship Id="rId2559" Type="http://schemas.openxmlformats.org/officeDocument/2006/relationships/hyperlink" Target="https://www.oag.com/hubfs/Flourish/United%20States.png" TargetMode="External"/><Relationship Id="rId1229" Type="http://schemas.openxmlformats.org/officeDocument/2006/relationships/hyperlink" Target="https://www.oag.com/hubfs/Flourish/2-1.png" TargetMode="External"/><Relationship Id="rId2550" Type="http://schemas.openxmlformats.org/officeDocument/2006/relationships/hyperlink" Target="https://www.oag.com/hubfs/Flourish/8.png" TargetMode="External"/><Relationship Id="rId1220" Type="http://schemas.openxmlformats.org/officeDocument/2006/relationships/hyperlink" Target="https://www.oag.com/hubfs/Flourish/United%20States.png" TargetMode="External"/><Relationship Id="rId2551" Type="http://schemas.openxmlformats.org/officeDocument/2006/relationships/hyperlink" Target="https://www.oag.com/hubfs/Flourish/China.png" TargetMode="External"/><Relationship Id="rId1221" Type="http://schemas.openxmlformats.org/officeDocument/2006/relationships/hyperlink" Target="https://www.oag.com/hubfs/Flourish/United%20States.png" TargetMode="External"/><Relationship Id="rId2552" Type="http://schemas.openxmlformats.org/officeDocument/2006/relationships/hyperlink" Target="https://www.oag.com/hubfs/Flourish/United%20States.png" TargetMode="External"/><Relationship Id="rId1222" Type="http://schemas.openxmlformats.org/officeDocument/2006/relationships/hyperlink" Target="https://www.oag.com/hubfs/Flourish/7.png" TargetMode="External"/><Relationship Id="rId2553" Type="http://schemas.openxmlformats.org/officeDocument/2006/relationships/hyperlink" Target="https://www.oag.com/hubfs/Flourish/United%20States.png" TargetMode="External"/><Relationship Id="rId1223" Type="http://schemas.openxmlformats.org/officeDocument/2006/relationships/hyperlink" Target="https://www.oag.com/hubfs/Flourish/China.png" TargetMode="External"/><Relationship Id="rId2554" Type="http://schemas.openxmlformats.org/officeDocument/2006/relationships/hyperlink" Target="https://www.oag.com/hubfs/Flourish/6.png" TargetMode="External"/><Relationship Id="rId2500" Type="http://schemas.openxmlformats.org/officeDocument/2006/relationships/hyperlink" Target="https://www.oag.com/hubfs/Flourish/3-1.png" TargetMode="External"/><Relationship Id="rId2501" Type="http://schemas.openxmlformats.org/officeDocument/2006/relationships/hyperlink" Target="https://www.oag.com/hubfs/Flourish/Poland.png" TargetMode="External"/><Relationship Id="rId2502" Type="http://schemas.openxmlformats.org/officeDocument/2006/relationships/hyperlink" Target="https://www.oag.com/hubfs/Flourish/Poland.png" TargetMode="External"/><Relationship Id="rId2503" Type="http://schemas.openxmlformats.org/officeDocument/2006/relationships/hyperlink" Target="https://www.oag.com/hubfs/Flourish/3-1.png" TargetMode="External"/><Relationship Id="rId2504" Type="http://schemas.openxmlformats.org/officeDocument/2006/relationships/hyperlink" Target="https://www.oag.com/hubfs/Flourish/United%20States.png" TargetMode="External"/><Relationship Id="rId2505" Type="http://schemas.openxmlformats.org/officeDocument/2006/relationships/hyperlink" Target="https://www.oag.com/hubfs/Flourish/India.png" TargetMode="External"/><Relationship Id="rId2506" Type="http://schemas.openxmlformats.org/officeDocument/2006/relationships/hyperlink" Target="https://www.oag.com/hubfs/Flourish/United%20States.png" TargetMode="External"/><Relationship Id="rId2507" Type="http://schemas.openxmlformats.org/officeDocument/2006/relationships/hyperlink" Target="https://www.oag.com/hubfs/Flourish/United%20States.png" TargetMode="External"/><Relationship Id="rId2508" Type="http://schemas.openxmlformats.org/officeDocument/2006/relationships/hyperlink" Target="https://www.oag.com/hubfs/Flourish/United%20States.png" TargetMode="External"/><Relationship Id="rId2509" Type="http://schemas.openxmlformats.org/officeDocument/2006/relationships/hyperlink" Target="https://www.oag.com/hubfs/Flourish/United%20States.png" TargetMode="External"/><Relationship Id="rId2522" Type="http://schemas.openxmlformats.org/officeDocument/2006/relationships/hyperlink" Target="https://www.oag.com/hubfs/Flourish/3-1.png" TargetMode="External"/><Relationship Id="rId2523" Type="http://schemas.openxmlformats.org/officeDocument/2006/relationships/hyperlink" Target="https://www.oag.com/hubfs/Flourish/6.png" TargetMode="External"/><Relationship Id="rId2524" Type="http://schemas.openxmlformats.org/officeDocument/2006/relationships/hyperlink" Target="https://www.oag.com/hubfs/Flourish/United%20States.png" TargetMode="External"/><Relationship Id="rId2525" Type="http://schemas.openxmlformats.org/officeDocument/2006/relationships/hyperlink" Target="https://www.oag.com/hubfs/Flourish/1-1.png" TargetMode="External"/><Relationship Id="rId2526" Type="http://schemas.openxmlformats.org/officeDocument/2006/relationships/hyperlink" Target="https://www.oag.com/hubfs/Flourish/Mexico.png" TargetMode="External"/><Relationship Id="rId2527" Type="http://schemas.openxmlformats.org/officeDocument/2006/relationships/hyperlink" Target="https://www.oag.com/hubfs/Flourish/United%20States.png" TargetMode="External"/><Relationship Id="rId2528" Type="http://schemas.openxmlformats.org/officeDocument/2006/relationships/hyperlink" Target="https://www.oag.com/hubfs/Flourish/1-1.png" TargetMode="External"/><Relationship Id="rId2529" Type="http://schemas.openxmlformats.org/officeDocument/2006/relationships/hyperlink" Target="https://www.oag.com/hubfs/Flourish/3-1.png" TargetMode="External"/><Relationship Id="rId2520" Type="http://schemas.openxmlformats.org/officeDocument/2006/relationships/hyperlink" Target="https://www.oag.com/hubfs/Flourish/United%20States.png" TargetMode="External"/><Relationship Id="rId2521" Type="http://schemas.openxmlformats.org/officeDocument/2006/relationships/hyperlink" Target="https://www.oag.com/hubfs/Flourish/United%20States.png" TargetMode="External"/><Relationship Id="rId2511" Type="http://schemas.openxmlformats.org/officeDocument/2006/relationships/hyperlink" Target="https://www.oag.com/hubfs/Flourish/United%20States.png" TargetMode="External"/><Relationship Id="rId2512" Type="http://schemas.openxmlformats.org/officeDocument/2006/relationships/hyperlink" Target="https://www.oag.com/hubfs/Flourish/United%20States.png" TargetMode="External"/><Relationship Id="rId2513" Type="http://schemas.openxmlformats.org/officeDocument/2006/relationships/hyperlink" Target="https://www.oag.com/hubfs/Flourish/3-1.png" TargetMode="External"/><Relationship Id="rId2514" Type="http://schemas.openxmlformats.org/officeDocument/2006/relationships/hyperlink" Target="https://www.oag.com/hubfs/Flourish/2-1.png" TargetMode="External"/><Relationship Id="rId2515" Type="http://schemas.openxmlformats.org/officeDocument/2006/relationships/hyperlink" Target="https://www.oag.com/hubfs/Flourish/United%20States.png" TargetMode="External"/><Relationship Id="rId2516" Type="http://schemas.openxmlformats.org/officeDocument/2006/relationships/hyperlink" Target="https://www.oag.com/hubfs/Flourish/United%20States.png" TargetMode="External"/><Relationship Id="rId2517" Type="http://schemas.openxmlformats.org/officeDocument/2006/relationships/hyperlink" Target="https://www.oag.com/hubfs/Flourish/United%20States.png" TargetMode="External"/><Relationship Id="rId2518" Type="http://schemas.openxmlformats.org/officeDocument/2006/relationships/hyperlink" Target="https://www.oag.com/hubfs/Flourish/United%20States.png" TargetMode="External"/><Relationship Id="rId2519" Type="http://schemas.openxmlformats.org/officeDocument/2006/relationships/hyperlink" Target="https://www.oag.com/hubfs/Flourish/India.png" TargetMode="External"/><Relationship Id="rId2510" Type="http://schemas.openxmlformats.org/officeDocument/2006/relationships/hyperlink" Target="https://www.oag.com/hubfs/Flourish/8.png" TargetMode="External"/><Relationship Id="rId469" Type="http://schemas.openxmlformats.org/officeDocument/2006/relationships/hyperlink" Target="https://www.oag.com/hubfs/Flourish/8.png" TargetMode="External"/><Relationship Id="rId468" Type="http://schemas.openxmlformats.org/officeDocument/2006/relationships/hyperlink" Target="https://www.oag.com/hubfs/Flourish/3-1.png" TargetMode="External"/><Relationship Id="rId467" Type="http://schemas.openxmlformats.org/officeDocument/2006/relationships/hyperlink" Target="https://www.oag.com/hubfs/Flourish/4.png" TargetMode="External"/><Relationship Id="rId1290" Type="http://schemas.openxmlformats.org/officeDocument/2006/relationships/hyperlink" Target="https://www.oag.com/hubfs/Flourish/United%20States.png" TargetMode="External"/><Relationship Id="rId1291" Type="http://schemas.openxmlformats.org/officeDocument/2006/relationships/hyperlink" Target="https://www.oag.com/hubfs/Flourish/United%20States.png" TargetMode="External"/><Relationship Id="rId1292" Type="http://schemas.openxmlformats.org/officeDocument/2006/relationships/hyperlink" Target="https://www.oag.com/hubfs/Flourish/United%20States.png" TargetMode="External"/><Relationship Id="rId462" Type="http://schemas.openxmlformats.org/officeDocument/2006/relationships/hyperlink" Target="https://www.oag.com/hubfs/Flourish/Poland.png" TargetMode="External"/><Relationship Id="rId1293" Type="http://schemas.openxmlformats.org/officeDocument/2006/relationships/hyperlink" Target="https://www.oag.com/hubfs/Flourish/United%20States.png" TargetMode="External"/><Relationship Id="rId461" Type="http://schemas.openxmlformats.org/officeDocument/2006/relationships/hyperlink" Target="https://www.oag.com/hubfs/Flourish/Poland.png" TargetMode="External"/><Relationship Id="rId1294" Type="http://schemas.openxmlformats.org/officeDocument/2006/relationships/hyperlink" Target="https://www.oag.com/hubfs/Flourish/3-1.png" TargetMode="External"/><Relationship Id="rId460" Type="http://schemas.openxmlformats.org/officeDocument/2006/relationships/hyperlink" Target="https://www.oag.com/hubfs/Flourish/Poland.png" TargetMode="External"/><Relationship Id="rId1295" Type="http://schemas.openxmlformats.org/officeDocument/2006/relationships/hyperlink" Target="https://www.oag.com/hubfs/Flourish/United%20States.png" TargetMode="External"/><Relationship Id="rId1296" Type="http://schemas.openxmlformats.org/officeDocument/2006/relationships/hyperlink" Target="https://www.oag.com/hubfs/Flourish/United%20States.png" TargetMode="External"/><Relationship Id="rId466" Type="http://schemas.openxmlformats.org/officeDocument/2006/relationships/hyperlink" Target="https://www.oag.com/hubfs/Flourish/4.png" TargetMode="External"/><Relationship Id="rId1297" Type="http://schemas.openxmlformats.org/officeDocument/2006/relationships/hyperlink" Target="https://www.oag.com/hubfs/Flourish/United%20States.png" TargetMode="External"/><Relationship Id="rId465" Type="http://schemas.openxmlformats.org/officeDocument/2006/relationships/hyperlink" Target="https://www.oag.com/hubfs/Flourish/4.png" TargetMode="External"/><Relationship Id="rId1298" Type="http://schemas.openxmlformats.org/officeDocument/2006/relationships/hyperlink" Target="https://www.oag.com/hubfs/Flourish/United%20States.png" TargetMode="External"/><Relationship Id="rId464" Type="http://schemas.openxmlformats.org/officeDocument/2006/relationships/hyperlink" Target="https://www.oag.com/hubfs/Flourish/4.png" TargetMode="External"/><Relationship Id="rId1299" Type="http://schemas.openxmlformats.org/officeDocument/2006/relationships/hyperlink" Target="https://www.oag.com/hubfs/Flourish/United%20States.png" TargetMode="External"/><Relationship Id="rId463" Type="http://schemas.openxmlformats.org/officeDocument/2006/relationships/hyperlink" Target="https://www.oag.com/hubfs/Flourish/Poland.png" TargetMode="External"/><Relationship Id="rId459" Type="http://schemas.openxmlformats.org/officeDocument/2006/relationships/hyperlink" Target="https://www.oag.com/hubfs/Flourish/2-1.png" TargetMode="External"/><Relationship Id="rId458" Type="http://schemas.openxmlformats.org/officeDocument/2006/relationships/hyperlink" Target="https://www.oag.com/hubfs/Flourish/2-1.png" TargetMode="External"/><Relationship Id="rId457" Type="http://schemas.openxmlformats.org/officeDocument/2006/relationships/hyperlink" Target="https://www.oag.com/hubfs/Flourish/1-1.png" TargetMode="External"/><Relationship Id="rId456" Type="http://schemas.openxmlformats.org/officeDocument/2006/relationships/hyperlink" Target="https://www.oag.com/hubfs/Flourish/4.png" TargetMode="External"/><Relationship Id="rId1280" Type="http://schemas.openxmlformats.org/officeDocument/2006/relationships/hyperlink" Target="https://www.oag.com/hubfs/Flourish/United%20States.png" TargetMode="External"/><Relationship Id="rId1281" Type="http://schemas.openxmlformats.org/officeDocument/2006/relationships/hyperlink" Target="https://www.oag.com/hubfs/Flourish/United%20States.png" TargetMode="External"/><Relationship Id="rId451" Type="http://schemas.openxmlformats.org/officeDocument/2006/relationships/hyperlink" Target="https://www.oag.com/hubfs/Flourish/2-1.png" TargetMode="External"/><Relationship Id="rId1282" Type="http://schemas.openxmlformats.org/officeDocument/2006/relationships/hyperlink" Target="https://www.oag.com/hubfs/Flourish/1-1.png" TargetMode="External"/><Relationship Id="rId450" Type="http://schemas.openxmlformats.org/officeDocument/2006/relationships/hyperlink" Target="https://www.oag.com/hubfs/Flourish/United%20States.png" TargetMode="External"/><Relationship Id="rId1283" Type="http://schemas.openxmlformats.org/officeDocument/2006/relationships/hyperlink" Target="https://www.oag.com/hubfs/Flourish/United%20States.png" TargetMode="External"/><Relationship Id="rId1284" Type="http://schemas.openxmlformats.org/officeDocument/2006/relationships/hyperlink" Target="https://www.oag.com/hubfs/Flourish/2-1.png" TargetMode="External"/><Relationship Id="rId1285" Type="http://schemas.openxmlformats.org/officeDocument/2006/relationships/hyperlink" Target="https://www.oag.com/hubfs/Flourish/3-1.png" TargetMode="External"/><Relationship Id="rId455" Type="http://schemas.openxmlformats.org/officeDocument/2006/relationships/hyperlink" Target="https://www.oag.com/hubfs/Flourish/4.png" TargetMode="External"/><Relationship Id="rId1286" Type="http://schemas.openxmlformats.org/officeDocument/2006/relationships/hyperlink" Target="https://www.oag.com/hubfs/Flourish/United%20States.png" TargetMode="External"/><Relationship Id="rId454" Type="http://schemas.openxmlformats.org/officeDocument/2006/relationships/hyperlink" Target="https://www.oag.com/hubfs/Flourish/United%20States.png" TargetMode="External"/><Relationship Id="rId1287" Type="http://schemas.openxmlformats.org/officeDocument/2006/relationships/hyperlink" Target="https://www.oag.com/hubfs/Flourish/7.png" TargetMode="External"/><Relationship Id="rId453" Type="http://schemas.openxmlformats.org/officeDocument/2006/relationships/hyperlink" Target="https://www.oag.com/hubfs/Flourish/8.png" TargetMode="External"/><Relationship Id="rId1288" Type="http://schemas.openxmlformats.org/officeDocument/2006/relationships/hyperlink" Target="https://www.oag.com/hubfs/Flourish/United%20States.png" TargetMode="External"/><Relationship Id="rId452" Type="http://schemas.openxmlformats.org/officeDocument/2006/relationships/hyperlink" Target="https://www.oag.com/hubfs/Flourish/6.png" TargetMode="External"/><Relationship Id="rId1289" Type="http://schemas.openxmlformats.org/officeDocument/2006/relationships/hyperlink" Target="https://www.oag.com/hubfs/Flourish/United%20States.png" TargetMode="External"/><Relationship Id="rId3018" Type="http://schemas.openxmlformats.org/officeDocument/2006/relationships/hyperlink" Target="https://www.oag.com/hubfs/Flourish/United%20States.png" TargetMode="External"/><Relationship Id="rId3017" Type="http://schemas.openxmlformats.org/officeDocument/2006/relationships/hyperlink" Target="https://www.oag.com/hubfs/Flourish/3-1.png" TargetMode="External"/><Relationship Id="rId3019" Type="http://schemas.openxmlformats.org/officeDocument/2006/relationships/hyperlink" Target="https://www.oag.com/hubfs/Flourish/China.png" TargetMode="External"/><Relationship Id="rId491" Type="http://schemas.openxmlformats.org/officeDocument/2006/relationships/hyperlink" Target="https://www.oag.com/hubfs/Flourish/8.png" TargetMode="External"/><Relationship Id="rId490" Type="http://schemas.openxmlformats.org/officeDocument/2006/relationships/hyperlink" Target="https://www.oag.com/hubfs/Flourish/8.png" TargetMode="External"/><Relationship Id="rId489" Type="http://schemas.openxmlformats.org/officeDocument/2006/relationships/hyperlink" Target="https://www.oag.com/hubfs/Flourish/8.png" TargetMode="External"/><Relationship Id="rId484" Type="http://schemas.openxmlformats.org/officeDocument/2006/relationships/hyperlink" Target="https://www.oag.com/hubfs/Flourish/United%20States.png" TargetMode="External"/><Relationship Id="rId3010" Type="http://schemas.openxmlformats.org/officeDocument/2006/relationships/hyperlink" Target="https://www.oag.com/hubfs/Flourish/United%20States.png" TargetMode="External"/><Relationship Id="rId483" Type="http://schemas.openxmlformats.org/officeDocument/2006/relationships/hyperlink" Target="https://www.oag.com/hubfs/Flourish/8.png" TargetMode="External"/><Relationship Id="rId482" Type="http://schemas.openxmlformats.org/officeDocument/2006/relationships/hyperlink" Target="https://www.oag.com/hubfs/Flourish/8.png" TargetMode="External"/><Relationship Id="rId3012" Type="http://schemas.openxmlformats.org/officeDocument/2006/relationships/hyperlink" Target="https://www.oag.com/hubfs/Flourish/China.png" TargetMode="External"/><Relationship Id="rId481" Type="http://schemas.openxmlformats.org/officeDocument/2006/relationships/hyperlink" Target="https://www.oag.com/hubfs/Flourish/United%20States.png" TargetMode="External"/><Relationship Id="rId3011" Type="http://schemas.openxmlformats.org/officeDocument/2006/relationships/hyperlink" Target="https://www.oag.com/hubfs/Flourish/United%20States.png" TargetMode="External"/><Relationship Id="rId488" Type="http://schemas.openxmlformats.org/officeDocument/2006/relationships/hyperlink" Target="https://www.oag.com/hubfs/Flourish/8.png" TargetMode="External"/><Relationship Id="rId3014" Type="http://schemas.openxmlformats.org/officeDocument/2006/relationships/hyperlink" Target="https://www.oag.com/hubfs/Flourish/3-1.png" TargetMode="External"/><Relationship Id="rId487" Type="http://schemas.openxmlformats.org/officeDocument/2006/relationships/hyperlink" Target="https://www.oag.com/hubfs/Flourish/8.png" TargetMode="External"/><Relationship Id="rId3013" Type="http://schemas.openxmlformats.org/officeDocument/2006/relationships/hyperlink" Target="https://www.oag.com/hubfs/Flourish/United%20States.png" TargetMode="External"/><Relationship Id="rId486" Type="http://schemas.openxmlformats.org/officeDocument/2006/relationships/hyperlink" Target="https://www.oag.com/hubfs/Flourish/8.png" TargetMode="External"/><Relationship Id="rId3016" Type="http://schemas.openxmlformats.org/officeDocument/2006/relationships/hyperlink" Target="https://www.oag.com/hubfs/Flourish/3-1.png" TargetMode="External"/><Relationship Id="rId485" Type="http://schemas.openxmlformats.org/officeDocument/2006/relationships/hyperlink" Target="https://www.oag.com/hubfs/Flourish/8.png" TargetMode="External"/><Relationship Id="rId3015" Type="http://schemas.openxmlformats.org/officeDocument/2006/relationships/hyperlink" Target="https://www.oag.com/hubfs/Flourish/3-1.png" TargetMode="External"/><Relationship Id="rId3007" Type="http://schemas.openxmlformats.org/officeDocument/2006/relationships/hyperlink" Target="https://www.oag.com/hubfs/Flourish/United%20States.png" TargetMode="External"/><Relationship Id="rId3006" Type="http://schemas.openxmlformats.org/officeDocument/2006/relationships/hyperlink" Target="https://www.oag.com/hubfs/Flourish/China.png" TargetMode="External"/><Relationship Id="rId3009" Type="http://schemas.openxmlformats.org/officeDocument/2006/relationships/hyperlink" Target="https://www.oag.com/hubfs/Flourish/United%20States.png" TargetMode="External"/><Relationship Id="rId3008" Type="http://schemas.openxmlformats.org/officeDocument/2006/relationships/hyperlink" Target="https://www.oag.com/hubfs/Flourish/8.png" TargetMode="External"/><Relationship Id="rId480" Type="http://schemas.openxmlformats.org/officeDocument/2006/relationships/hyperlink" Target="https://www.oag.com/hubfs/Flourish/United%20States.png" TargetMode="External"/><Relationship Id="rId479" Type="http://schemas.openxmlformats.org/officeDocument/2006/relationships/hyperlink" Target="https://www.oag.com/hubfs/Flourish/United%20States.png" TargetMode="External"/><Relationship Id="rId478" Type="http://schemas.openxmlformats.org/officeDocument/2006/relationships/hyperlink" Target="https://www.oag.com/hubfs/Flourish/United%20States.png" TargetMode="External"/><Relationship Id="rId473" Type="http://schemas.openxmlformats.org/officeDocument/2006/relationships/hyperlink" Target="https://www.oag.com/hubfs/Flourish/8.png" TargetMode="External"/><Relationship Id="rId472" Type="http://schemas.openxmlformats.org/officeDocument/2006/relationships/hyperlink" Target="https://www.oag.com/hubfs/Flourish/3-1.png" TargetMode="External"/><Relationship Id="rId471" Type="http://schemas.openxmlformats.org/officeDocument/2006/relationships/hyperlink" Target="https://www.oag.com/hubfs/Flourish/4.png" TargetMode="External"/><Relationship Id="rId3001" Type="http://schemas.openxmlformats.org/officeDocument/2006/relationships/hyperlink" Target="https://www.oag.com/hubfs/Flourish/2-1.png" TargetMode="External"/><Relationship Id="rId470" Type="http://schemas.openxmlformats.org/officeDocument/2006/relationships/hyperlink" Target="https://www.oag.com/hubfs/Flourish/United%20States.png" TargetMode="External"/><Relationship Id="rId3000" Type="http://schemas.openxmlformats.org/officeDocument/2006/relationships/hyperlink" Target="https://www.oag.com/hubfs/Flourish/United%20States.png" TargetMode="External"/><Relationship Id="rId477" Type="http://schemas.openxmlformats.org/officeDocument/2006/relationships/hyperlink" Target="https://www.oag.com/hubfs/Flourish/United%20States.png" TargetMode="External"/><Relationship Id="rId3003" Type="http://schemas.openxmlformats.org/officeDocument/2006/relationships/hyperlink" Target="https://www.oag.com/hubfs/Flourish/China.png" TargetMode="External"/><Relationship Id="rId476" Type="http://schemas.openxmlformats.org/officeDocument/2006/relationships/hyperlink" Target="https://www.oag.com/hubfs/Flourish/8.png" TargetMode="External"/><Relationship Id="rId3002" Type="http://schemas.openxmlformats.org/officeDocument/2006/relationships/hyperlink" Target="https://www.oag.com/hubfs/Flourish/China.png" TargetMode="External"/><Relationship Id="rId475" Type="http://schemas.openxmlformats.org/officeDocument/2006/relationships/hyperlink" Target="https://www.oag.com/hubfs/Flourish/United%20States.png" TargetMode="External"/><Relationship Id="rId3005" Type="http://schemas.openxmlformats.org/officeDocument/2006/relationships/hyperlink" Target="https://www.oag.com/hubfs/Flourish/China.png" TargetMode="External"/><Relationship Id="rId474" Type="http://schemas.openxmlformats.org/officeDocument/2006/relationships/hyperlink" Target="https://www.oag.com/hubfs/Flourish/8.png" TargetMode="External"/><Relationship Id="rId3004" Type="http://schemas.openxmlformats.org/officeDocument/2006/relationships/hyperlink" Target="https://www.oag.com/hubfs/Flourish/China.png" TargetMode="External"/><Relationship Id="rId1257" Type="http://schemas.openxmlformats.org/officeDocument/2006/relationships/hyperlink" Target="https://www.oag.com/hubfs/Flourish/United%20States.png" TargetMode="External"/><Relationship Id="rId2588" Type="http://schemas.openxmlformats.org/officeDocument/2006/relationships/hyperlink" Target="https://www.oag.com/hubfs/Flourish/United%20States.png" TargetMode="External"/><Relationship Id="rId1258" Type="http://schemas.openxmlformats.org/officeDocument/2006/relationships/hyperlink" Target="https://www.oag.com/hubfs/Flourish/8.png" TargetMode="External"/><Relationship Id="rId2589" Type="http://schemas.openxmlformats.org/officeDocument/2006/relationships/hyperlink" Target="https://www.oag.com/hubfs/Flourish/United%20States.png" TargetMode="External"/><Relationship Id="rId1259" Type="http://schemas.openxmlformats.org/officeDocument/2006/relationships/hyperlink" Target="https://www.oag.com/hubfs/Flourish/United%20States.png" TargetMode="External"/><Relationship Id="rId426" Type="http://schemas.openxmlformats.org/officeDocument/2006/relationships/hyperlink" Target="https://www.oag.com/hubfs/Flourish/Poland.png" TargetMode="External"/><Relationship Id="rId425" Type="http://schemas.openxmlformats.org/officeDocument/2006/relationships/hyperlink" Target="https://www.oag.com/hubfs/Flourish/8.png" TargetMode="External"/><Relationship Id="rId424" Type="http://schemas.openxmlformats.org/officeDocument/2006/relationships/hyperlink" Target="https://www.oag.com/hubfs/Flourish/3-1.png" TargetMode="External"/><Relationship Id="rId423" Type="http://schemas.openxmlformats.org/officeDocument/2006/relationships/hyperlink" Target="https://www.oag.com/hubfs/Flourish/2-1.png" TargetMode="External"/><Relationship Id="rId429" Type="http://schemas.openxmlformats.org/officeDocument/2006/relationships/hyperlink" Target="https://www.oag.com/hubfs/Flourish/8.png" TargetMode="External"/><Relationship Id="rId428" Type="http://schemas.openxmlformats.org/officeDocument/2006/relationships/hyperlink" Target="https://www.oag.com/hubfs/Flourish/8.png" TargetMode="External"/><Relationship Id="rId427" Type="http://schemas.openxmlformats.org/officeDocument/2006/relationships/hyperlink" Target="https://www.oag.com/hubfs/Flourish/8.png" TargetMode="External"/><Relationship Id="rId2580" Type="http://schemas.openxmlformats.org/officeDocument/2006/relationships/hyperlink" Target="https://www.oag.com/hubfs/Flourish/United%20States.png" TargetMode="External"/><Relationship Id="rId1250" Type="http://schemas.openxmlformats.org/officeDocument/2006/relationships/hyperlink" Target="https://www.oag.com/hubfs/Flourish/United%20States.png" TargetMode="External"/><Relationship Id="rId2581" Type="http://schemas.openxmlformats.org/officeDocument/2006/relationships/hyperlink" Target="https://www.oag.com/hubfs/Flourish/United%20States.png" TargetMode="External"/><Relationship Id="rId1251" Type="http://schemas.openxmlformats.org/officeDocument/2006/relationships/hyperlink" Target="https://www.oag.com/hubfs/Flourish/8.png" TargetMode="External"/><Relationship Id="rId2582" Type="http://schemas.openxmlformats.org/officeDocument/2006/relationships/hyperlink" Target="https://www.oag.com/hubfs/Flourish/United%20States.png" TargetMode="External"/><Relationship Id="rId1252" Type="http://schemas.openxmlformats.org/officeDocument/2006/relationships/hyperlink" Target="https://www.oag.com/hubfs/Flourish/United%20States.png" TargetMode="External"/><Relationship Id="rId2583" Type="http://schemas.openxmlformats.org/officeDocument/2006/relationships/hyperlink" Target="https://www.oag.com/hubfs/Flourish/United%20States.png" TargetMode="External"/><Relationship Id="rId422" Type="http://schemas.openxmlformats.org/officeDocument/2006/relationships/hyperlink" Target="https://www.oag.com/hubfs/Flourish/United%20States.png" TargetMode="External"/><Relationship Id="rId1253" Type="http://schemas.openxmlformats.org/officeDocument/2006/relationships/hyperlink" Target="https://www.oag.com/hubfs/Flourish/United%20States.png" TargetMode="External"/><Relationship Id="rId2584" Type="http://schemas.openxmlformats.org/officeDocument/2006/relationships/hyperlink" Target="https://www.oag.com/hubfs/Flourish/3-1.png" TargetMode="External"/><Relationship Id="rId421" Type="http://schemas.openxmlformats.org/officeDocument/2006/relationships/hyperlink" Target="https://www.oag.com/hubfs/Flourish/8.png" TargetMode="External"/><Relationship Id="rId1254" Type="http://schemas.openxmlformats.org/officeDocument/2006/relationships/hyperlink" Target="https://www.oag.com/hubfs/Flourish/Ireland.png" TargetMode="External"/><Relationship Id="rId2585" Type="http://schemas.openxmlformats.org/officeDocument/2006/relationships/hyperlink" Target="https://www.oag.com/hubfs/Flourish/United%20States.png" TargetMode="External"/><Relationship Id="rId420" Type="http://schemas.openxmlformats.org/officeDocument/2006/relationships/hyperlink" Target="https://www.oag.com/hubfs/Flourish/China.png" TargetMode="External"/><Relationship Id="rId1255" Type="http://schemas.openxmlformats.org/officeDocument/2006/relationships/hyperlink" Target="https://www.oag.com/hubfs/Flourish/United%20States.png" TargetMode="External"/><Relationship Id="rId2586" Type="http://schemas.openxmlformats.org/officeDocument/2006/relationships/hyperlink" Target="https://www.oag.com/hubfs/Flourish/Poland.png" TargetMode="External"/><Relationship Id="rId1256" Type="http://schemas.openxmlformats.org/officeDocument/2006/relationships/hyperlink" Target="https://www.oag.com/hubfs/Flourish/United%20States.png" TargetMode="External"/><Relationship Id="rId2587" Type="http://schemas.openxmlformats.org/officeDocument/2006/relationships/hyperlink" Target="https://www.oag.com/hubfs/Flourish/United%20States.png" TargetMode="External"/><Relationship Id="rId1246" Type="http://schemas.openxmlformats.org/officeDocument/2006/relationships/hyperlink" Target="https://www.oag.com/hubfs/Flourish/United%20States.png" TargetMode="External"/><Relationship Id="rId2577" Type="http://schemas.openxmlformats.org/officeDocument/2006/relationships/hyperlink" Target="https://www.oag.com/hubfs/Flourish/4.png" TargetMode="External"/><Relationship Id="rId1247" Type="http://schemas.openxmlformats.org/officeDocument/2006/relationships/hyperlink" Target="https://www.oag.com/hubfs/Flourish/2-1.png" TargetMode="External"/><Relationship Id="rId2578" Type="http://schemas.openxmlformats.org/officeDocument/2006/relationships/hyperlink" Target="https://www.oag.com/hubfs/Flourish/China.png" TargetMode="External"/><Relationship Id="rId1248" Type="http://schemas.openxmlformats.org/officeDocument/2006/relationships/hyperlink" Target="https://www.oag.com/hubfs/Flourish/United%20States.png" TargetMode="External"/><Relationship Id="rId2579" Type="http://schemas.openxmlformats.org/officeDocument/2006/relationships/hyperlink" Target="https://www.oag.com/hubfs/Flourish/United%20States.png" TargetMode="External"/><Relationship Id="rId1249" Type="http://schemas.openxmlformats.org/officeDocument/2006/relationships/hyperlink" Target="https://www.oag.com/hubfs/Flourish/China.png" TargetMode="External"/><Relationship Id="rId415" Type="http://schemas.openxmlformats.org/officeDocument/2006/relationships/hyperlink" Target="https://www.oag.com/hubfs/Flourish/United%20States.png" TargetMode="External"/><Relationship Id="rId414" Type="http://schemas.openxmlformats.org/officeDocument/2006/relationships/hyperlink" Target="https://www.oag.com/hubfs/Flourish/United%20States.png" TargetMode="External"/><Relationship Id="rId413" Type="http://schemas.openxmlformats.org/officeDocument/2006/relationships/hyperlink" Target="https://www.oag.com/hubfs/Flourish/United%20States.png" TargetMode="External"/><Relationship Id="rId412" Type="http://schemas.openxmlformats.org/officeDocument/2006/relationships/hyperlink" Target="https://www.oag.com/hubfs/Flourish/United%20States.png" TargetMode="External"/><Relationship Id="rId419" Type="http://schemas.openxmlformats.org/officeDocument/2006/relationships/hyperlink" Target="https://www.oag.com/hubfs/Flourish/Poland.png" TargetMode="External"/><Relationship Id="rId418" Type="http://schemas.openxmlformats.org/officeDocument/2006/relationships/hyperlink" Target="https://www.oag.com/hubfs/Flourish/Ireland.png" TargetMode="External"/><Relationship Id="rId417" Type="http://schemas.openxmlformats.org/officeDocument/2006/relationships/hyperlink" Target="https://www.oag.com/hubfs/Flourish/Hong%20kong.jpg" TargetMode="External"/><Relationship Id="rId416" Type="http://schemas.openxmlformats.org/officeDocument/2006/relationships/hyperlink" Target="https://www.oag.com/hubfs/Flourish/3-1.png" TargetMode="External"/><Relationship Id="rId2570" Type="http://schemas.openxmlformats.org/officeDocument/2006/relationships/hyperlink" Target="https://www.oag.com/hubfs/Flourish/India.png" TargetMode="External"/><Relationship Id="rId1240" Type="http://schemas.openxmlformats.org/officeDocument/2006/relationships/hyperlink" Target="https://www.oag.com/hubfs/Flourish/United%20States.png" TargetMode="External"/><Relationship Id="rId2571" Type="http://schemas.openxmlformats.org/officeDocument/2006/relationships/hyperlink" Target="https://www.oag.com/hubfs/Flourish/United%20States.png" TargetMode="External"/><Relationship Id="rId1241" Type="http://schemas.openxmlformats.org/officeDocument/2006/relationships/hyperlink" Target="https://www.oag.com/hubfs/Flourish/United%20States.png" TargetMode="External"/><Relationship Id="rId2572" Type="http://schemas.openxmlformats.org/officeDocument/2006/relationships/hyperlink" Target="https://www.oag.com/hubfs/Flourish/United%20States.png" TargetMode="External"/><Relationship Id="rId411" Type="http://schemas.openxmlformats.org/officeDocument/2006/relationships/hyperlink" Target="https://www.oag.com/hubfs/Flourish/United%20States.png" TargetMode="External"/><Relationship Id="rId1242" Type="http://schemas.openxmlformats.org/officeDocument/2006/relationships/hyperlink" Target="https://www.oag.com/hubfs/Flourish/United%20States.png" TargetMode="External"/><Relationship Id="rId2573" Type="http://schemas.openxmlformats.org/officeDocument/2006/relationships/hyperlink" Target="https://www.oag.com/hubfs/Flourish/United%20States.png" TargetMode="External"/><Relationship Id="rId410" Type="http://schemas.openxmlformats.org/officeDocument/2006/relationships/hyperlink" Target="https://www.oag.com/hubfs/Flourish/United%20States.png" TargetMode="External"/><Relationship Id="rId1243" Type="http://schemas.openxmlformats.org/officeDocument/2006/relationships/hyperlink" Target="https://www.oag.com/hubfs/Flourish/United%20States.png" TargetMode="External"/><Relationship Id="rId2574" Type="http://schemas.openxmlformats.org/officeDocument/2006/relationships/hyperlink" Target="https://www.oag.com/hubfs/Flourish/S%20Korea.jpg" TargetMode="External"/><Relationship Id="rId1244" Type="http://schemas.openxmlformats.org/officeDocument/2006/relationships/hyperlink" Target="https://www.oag.com/hubfs/Flourish/United%20States.png" TargetMode="External"/><Relationship Id="rId2575" Type="http://schemas.openxmlformats.org/officeDocument/2006/relationships/hyperlink" Target="https://www.oag.com/hubfs/Flourish/United%20States.png" TargetMode="External"/><Relationship Id="rId1245" Type="http://schemas.openxmlformats.org/officeDocument/2006/relationships/hyperlink" Target="https://www.oag.com/hubfs/Flourish/8.png" TargetMode="External"/><Relationship Id="rId2576" Type="http://schemas.openxmlformats.org/officeDocument/2006/relationships/hyperlink" Target="https://www.oag.com/hubfs/Flourish/India.png" TargetMode="External"/><Relationship Id="rId1279" Type="http://schemas.openxmlformats.org/officeDocument/2006/relationships/hyperlink" Target="https://www.oag.com/hubfs/Flourish/3-1.png" TargetMode="External"/><Relationship Id="rId448" Type="http://schemas.openxmlformats.org/officeDocument/2006/relationships/hyperlink" Target="https://www.oag.com/hubfs/Flourish/8.png" TargetMode="External"/><Relationship Id="rId447" Type="http://schemas.openxmlformats.org/officeDocument/2006/relationships/hyperlink" Target="https://www.oag.com/hubfs/Flourish/5.png" TargetMode="External"/><Relationship Id="rId446" Type="http://schemas.openxmlformats.org/officeDocument/2006/relationships/hyperlink" Target="https://www.oag.com/hubfs/Flourish/8.png" TargetMode="External"/><Relationship Id="rId445" Type="http://schemas.openxmlformats.org/officeDocument/2006/relationships/hyperlink" Target="https://www.oag.com/hubfs/Flourish/United%20States.png" TargetMode="External"/><Relationship Id="rId449" Type="http://schemas.openxmlformats.org/officeDocument/2006/relationships/hyperlink" Target="https://www.oag.com/hubfs/Flourish/United%20States.png" TargetMode="External"/><Relationship Id="rId1270" Type="http://schemas.openxmlformats.org/officeDocument/2006/relationships/hyperlink" Target="https://www.oag.com/hubfs/Flourish/United%20States.png" TargetMode="External"/><Relationship Id="rId440" Type="http://schemas.openxmlformats.org/officeDocument/2006/relationships/hyperlink" Target="https://www.oag.com/hubfs/Flourish/United%20States.png" TargetMode="External"/><Relationship Id="rId1271" Type="http://schemas.openxmlformats.org/officeDocument/2006/relationships/hyperlink" Target="https://www.oag.com/hubfs/Flourish/United%20States.png" TargetMode="External"/><Relationship Id="rId1272" Type="http://schemas.openxmlformats.org/officeDocument/2006/relationships/hyperlink" Target="https://www.oag.com/hubfs/Flourish/United%20States.png" TargetMode="External"/><Relationship Id="rId1273" Type="http://schemas.openxmlformats.org/officeDocument/2006/relationships/hyperlink" Target="https://www.oag.com/hubfs/Flourish/United%20States.png" TargetMode="External"/><Relationship Id="rId1274" Type="http://schemas.openxmlformats.org/officeDocument/2006/relationships/hyperlink" Target="https://www.oag.com/hubfs/Flourish/1-1.png" TargetMode="External"/><Relationship Id="rId444" Type="http://schemas.openxmlformats.org/officeDocument/2006/relationships/hyperlink" Target="https://www.oag.com/hubfs/Flourish/3-1.png" TargetMode="External"/><Relationship Id="rId1275" Type="http://schemas.openxmlformats.org/officeDocument/2006/relationships/hyperlink" Target="https://www.oag.com/hubfs/Flourish/United%20States.png" TargetMode="External"/><Relationship Id="rId443" Type="http://schemas.openxmlformats.org/officeDocument/2006/relationships/hyperlink" Target="https://www.oag.com/hubfs/Flourish/Mexico.png" TargetMode="External"/><Relationship Id="rId1276" Type="http://schemas.openxmlformats.org/officeDocument/2006/relationships/hyperlink" Target="https://www.oag.com/hubfs/Flourish/United%20States.png" TargetMode="External"/><Relationship Id="rId442" Type="http://schemas.openxmlformats.org/officeDocument/2006/relationships/hyperlink" Target="https://www.oag.com/hubfs/Flourish/Mexico.png" TargetMode="External"/><Relationship Id="rId1277" Type="http://schemas.openxmlformats.org/officeDocument/2006/relationships/hyperlink" Target="https://www.oag.com/hubfs/Flourish/6.png" TargetMode="External"/><Relationship Id="rId441" Type="http://schemas.openxmlformats.org/officeDocument/2006/relationships/hyperlink" Target="https://www.oag.com/hubfs/Flourish/8.png" TargetMode="External"/><Relationship Id="rId1278" Type="http://schemas.openxmlformats.org/officeDocument/2006/relationships/hyperlink" Target="https://www.oag.com/hubfs/Flourish/8.png" TargetMode="External"/><Relationship Id="rId1268" Type="http://schemas.openxmlformats.org/officeDocument/2006/relationships/hyperlink" Target="https://www.oag.com/hubfs/Flourish/United%20States.png" TargetMode="External"/><Relationship Id="rId2599" Type="http://schemas.openxmlformats.org/officeDocument/2006/relationships/hyperlink" Target="https://www.oag.com/hubfs/Flourish/United%20States.png" TargetMode="External"/><Relationship Id="rId1269" Type="http://schemas.openxmlformats.org/officeDocument/2006/relationships/hyperlink" Target="https://www.oag.com/hubfs/Flourish/United%20States.png" TargetMode="External"/><Relationship Id="rId437" Type="http://schemas.openxmlformats.org/officeDocument/2006/relationships/hyperlink" Target="https://www.oag.com/hubfs/Flourish/4.png" TargetMode="External"/><Relationship Id="rId436" Type="http://schemas.openxmlformats.org/officeDocument/2006/relationships/hyperlink" Target="https://www.oag.com/hubfs/Flourish/United%20States.png" TargetMode="External"/><Relationship Id="rId435" Type="http://schemas.openxmlformats.org/officeDocument/2006/relationships/hyperlink" Target="https://www.oag.com/hubfs/Flourish/8.png" TargetMode="External"/><Relationship Id="rId434" Type="http://schemas.openxmlformats.org/officeDocument/2006/relationships/hyperlink" Target="https://www.oag.com/hubfs/Flourish/United%20States.png" TargetMode="External"/><Relationship Id="rId439" Type="http://schemas.openxmlformats.org/officeDocument/2006/relationships/hyperlink" Target="https://www.oag.com/hubfs/Flourish/United%20States.png" TargetMode="External"/><Relationship Id="rId438" Type="http://schemas.openxmlformats.org/officeDocument/2006/relationships/hyperlink" Target="https://www.oag.com/hubfs/Flourish/United%20States.png" TargetMode="External"/><Relationship Id="rId2590" Type="http://schemas.openxmlformats.org/officeDocument/2006/relationships/hyperlink" Target="https://www.oag.com/hubfs/Flourish/United%20States.png" TargetMode="External"/><Relationship Id="rId1260" Type="http://schemas.openxmlformats.org/officeDocument/2006/relationships/hyperlink" Target="https://www.oag.com/hubfs/Flourish/United%20States.png" TargetMode="External"/><Relationship Id="rId2591" Type="http://schemas.openxmlformats.org/officeDocument/2006/relationships/hyperlink" Target="https://www.oag.com/hubfs/Flourish/United%20States.png" TargetMode="External"/><Relationship Id="rId1261" Type="http://schemas.openxmlformats.org/officeDocument/2006/relationships/hyperlink" Target="https://www.oag.com/hubfs/Flourish/United%20States.png" TargetMode="External"/><Relationship Id="rId2592" Type="http://schemas.openxmlformats.org/officeDocument/2006/relationships/hyperlink" Target="https://www.oag.com/hubfs/Flourish/United%20States.png" TargetMode="External"/><Relationship Id="rId1262" Type="http://schemas.openxmlformats.org/officeDocument/2006/relationships/hyperlink" Target="https://www.oag.com/hubfs/Flourish/United%20States.png" TargetMode="External"/><Relationship Id="rId2593" Type="http://schemas.openxmlformats.org/officeDocument/2006/relationships/hyperlink" Target="https://www.oag.com/hubfs/Flourish/United%20States.png" TargetMode="External"/><Relationship Id="rId1263" Type="http://schemas.openxmlformats.org/officeDocument/2006/relationships/hyperlink" Target="https://www.oag.com/hubfs/Flourish/UAE.jpg" TargetMode="External"/><Relationship Id="rId2594" Type="http://schemas.openxmlformats.org/officeDocument/2006/relationships/hyperlink" Target="https://www.oag.com/hubfs/Flourish/United%20States.png" TargetMode="External"/><Relationship Id="rId433" Type="http://schemas.openxmlformats.org/officeDocument/2006/relationships/hyperlink" Target="https://www.oag.com/hubfs/Flourish/Japan.png" TargetMode="External"/><Relationship Id="rId1264" Type="http://schemas.openxmlformats.org/officeDocument/2006/relationships/hyperlink" Target="https://www.oag.com/hubfs/Flourish/United%20States.png" TargetMode="External"/><Relationship Id="rId2595" Type="http://schemas.openxmlformats.org/officeDocument/2006/relationships/hyperlink" Target="https://www.oag.com/hubfs/Flourish/United%20States.png" TargetMode="External"/><Relationship Id="rId432" Type="http://schemas.openxmlformats.org/officeDocument/2006/relationships/hyperlink" Target="https://www.oag.com/hubfs/Flourish/8.png" TargetMode="External"/><Relationship Id="rId1265" Type="http://schemas.openxmlformats.org/officeDocument/2006/relationships/hyperlink" Target="https://www.oag.com/hubfs/Flourish/UAE.jpg" TargetMode="External"/><Relationship Id="rId2596" Type="http://schemas.openxmlformats.org/officeDocument/2006/relationships/hyperlink" Target="https://www.oag.com/hubfs/Flourish/7.png" TargetMode="External"/><Relationship Id="rId431" Type="http://schemas.openxmlformats.org/officeDocument/2006/relationships/hyperlink" Target="https://www.oag.com/hubfs/Flourish/8.png" TargetMode="External"/><Relationship Id="rId1266" Type="http://schemas.openxmlformats.org/officeDocument/2006/relationships/hyperlink" Target="https://www.oag.com/hubfs/Flourish/United%20States.png" TargetMode="External"/><Relationship Id="rId2597" Type="http://schemas.openxmlformats.org/officeDocument/2006/relationships/hyperlink" Target="https://www.oag.com/hubfs/Flourish/6.png" TargetMode="External"/><Relationship Id="rId430" Type="http://schemas.openxmlformats.org/officeDocument/2006/relationships/hyperlink" Target="https://www.oag.com/hubfs/Flourish/United%20States.png" TargetMode="External"/><Relationship Id="rId1267" Type="http://schemas.openxmlformats.org/officeDocument/2006/relationships/hyperlink" Target="https://www.oag.com/hubfs/Flourish/China.png" TargetMode="External"/><Relationship Id="rId2598" Type="http://schemas.openxmlformats.org/officeDocument/2006/relationships/hyperlink" Target="https://www.oag.com/hubfs/Flourish/United%20States.png" TargetMode="External"/><Relationship Id="rId3070" Type="http://schemas.openxmlformats.org/officeDocument/2006/relationships/hyperlink" Target="https://www.oag.com/hubfs/Flourish/Mexico.png" TargetMode="External"/><Relationship Id="rId3072" Type="http://schemas.openxmlformats.org/officeDocument/2006/relationships/hyperlink" Target="https://www.oag.com/hubfs/Flourish/8.png" TargetMode="External"/><Relationship Id="rId3071" Type="http://schemas.openxmlformats.org/officeDocument/2006/relationships/hyperlink" Target="https://www.oag.com/hubfs/Flourish/Mexico.png" TargetMode="External"/><Relationship Id="rId3074" Type="http://schemas.openxmlformats.org/officeDocument/2006/relationships/hyperlink" Target="https://www.oag.com/hubfs/Flourish/United%20States.png" TargetMode="External"/><Relationship Id="rId3073" Type="http://schemas.openxmlformats.org/officeDocument/2006/relationships/hyperlink" Target="https://www.oag.com/hubfs/Flourish/8.png" TargetMode="External"/><Relationship Id="rId3076" Type="http://schemas.openxmlformats.org/officeDocument/2006/relationships/hyperlink" Target="https://www.oag.com/hubfs/Flourish/8.png" TargetMode="External"/><Relationship Id="rId3075" Type="http://schemas.openxmlformats.org/officeDocument/2006/relationships/hyperlink" Target="https://www.oag.com/hubfs/Flourish/8.png" TargetMode="External"/><Relationship Id="rId3078" Type="http://schemas.openxmlformats.org/officeDocument/2006/relationships/hyperlink" Target="https://www.oag.com/hubfs/Flourish/8.png" TargetMode="External"/><Relationship Id="rId3077" Type="http://schemas.openxmlformats.org/officeDocument/2006/relationships/hyperlink" Target="https://www.oag.com/hubfs/Flourish/8.png" TargetMode="External"/><Relationship Id="rId3079" Type="http://schemas.openxmlformats.org/officeDocument/2006/relationships/hyperlink" Target="https://www.oag.com/hubfs/Flourish/8.png" TargetMode="External"/><Relationship Id="rId3061" Type="http://schemas.openxmlformats.org/officeDocument/2006/relationships/hyperlink" Target="https://www.oag.com/hubfs/Flourish/Croatia.png" TargetMode="External"/><Relationship Id="rId3060" Type="http://schemas.openxmlformats.org/officeDocument/2006/relationships/hyperlink" Target="https://www.oag.com/hubfs/Flourish/Croatia.png" TargetMode="External"/><Relationship Id="rId3063" Type="http://schemas.openxmlformats.org/officeDocument/2006/relationships/hyperlink" Target="https://www.oag.com/hubfs/Flourish/1-1.png" TargetMode="External"/><Relationship Id="rId3062" Type="http://schemas.openxmlformats.org/officeDocument/2006/relationships/hyperlink" Target="https://www.oag.com/hubfs/Flourish/China.png" TargetMode="External"/><Relationship Id="rId3065" Type="http://schemas.openxmlformats.org/officeDocument/2006/relationships/hyperlink" Target="https://www.oag.com/hubfs/Flourish/Mexico.png" TargetMode="External"/><Relationship Id="rId3064" Type="http://schemas.openxmlformats.org/officeDocument/2006/relationships/hyperlink" Target="https://www.oag.com/hubfs/Flourish/8.png" TargetMode="External"/><Relationship Id="rId3067" Type="http://schemas.openxmlformats.org/officeDocument/2006/relationships/hyperlink" Target="https://www.oag.com/hubfs/Flourish/China.png" TargetMode="External"/><Relationship Id="rId3066" Type="http://schemas.openxmlformats.org/officeDocument/2006/relationships/hyperlink" Target="https://www.oag.com/hubfs/Flourish/8.png" TargetMode="External"/><Relationship Id="rId3069" Type="http://schemas.openxmlformats.org/officeDocument/2006/relationships/hyperlink" Target="https://www.oag.com/hubfs/Flourish/Mexico.png" TargetMode="External"/><Relationship Id="rId3068" Type="http://schemas.openxmlformats.org/officeDocument/2006/relationships/hyperlink" Target="https://www.oag.com/hubfs/Flourish/China.png" TargetMode="External"/><Relationship Id="rId3081" Type="http://schemas.openxmlformats.org/officeDocument/2006/relationships/hyperlink" Target="https://www.oag.com/hubfs/Flourish/China.png" TargetMode="External"/><Relationship Id="rId3080" Type="http://schemas.openxmlformats.org/officeDocument/2006/relationships/hyperlink" Target="https://www.oag.com/hubfs/Flourish/United%20States.png" TargetMode="External"/><Relationship Id="rId3083" Type="http://schemas.openxmlformats.org/officeDocument/2006/relationships/hyperlink" Target="https://www.oag.com/hubfs/Flourish/China.png" TargetMode="External"/><Relationship Id="rId3082" Type="http://schemas.openxmlformats.org/officeDocument/2006/relationships/hyperlink" Target="https://www.oag.com/hubfs/Flourish/United%20States.png" TargetMode="External"/><Relationship Id="rId3085" Type="http://schemas.openxmlformats.org/officeDocument/2006/relationships/drawing" Target="../drawings/drawing10.xml"/><Relationship Id="rId3084" Type="http://schemas.openxmlformats.org/officeDocument/2006/relationships/hyperlink" Target="https://www.oag.com/hubfs/Flourish/United%20States.png" TargetMode="External"/><Relationship Id="rId3039" Type="http://schemas.openxmlformats.org/officeDocument/2006/relationships/hyperlink" Target="https://www.oag.com/hubfs/Flourish/2-1.png" TargetMode="External"/><Relationship Id="rId1" Type="http://schemas.openxmlformats.org/officeDocument/2006/relationships/hyperlink" Target="https://www.oag.com/hubfs/Flourish/Airlines/LATAM.png" TargetMode="External"/><Relationship Id="rId2" Type="http://schemas.openxmlformats.org/officeDocument/2006/relationships/hyperlink" Target="https://www.oag.com/hubfs/Flourish/Airlines/Avianca.png" TargetMode="External"/><Relationship Id="rId3" Type="http://schemas.openxmlformats.org/officeDocument/2006/relationships/hyperlink" Target="https://www.oag.com/hubfs/Flourish/Airlines/Azul.png" TargetMode="External"/><Relationship Id="rId4" Type="http://schemas.openxmlformats.org/officeDocument/2006/relationships/hyperlink" Target="https://www.oag.com/hubfs/Flourish/Airlines/GOL.png" TargetMode="External"/><Relationship Id="rId3030" Type="http://schemas.openxmlformats.org/officeDocument/2006/relationships/hyperlink" Target="https://www.oag.com/hubfs/Flourish/UAE.jpg" TargetMode="External"/><Relationship Id="rId9" Type="http://schemas.openxmlformats.org/officeDocument/2006/relationships/hyperlink" Target="https://www.oag.com/hubfs/Flourish/Airlines/Aerolineas%20Argentinas.png" TargetMode="External"/><Relationship Id="rId3032" Type="http://schemas.openxmlformats.org/officeDocument/2006/relationships/hyperlink" Target="https://www.oag.com/hubfs/Flourish/China.png" TargetMode="External"/><Relationship Id="rId3031" Type="http://schemas.openxmlformats.org/officeDocument/2006/relationships/hyperlink" Target="https://www.oag.com/hubfs/Flourish/singapore.jpg" TargetMode="External"/><Relationship Id="rId3034" Type="http://schemas.openxmlformats.org/officeDocument/2006/relationships/hyperlink" Target="https://www.oag.com/hubfs/Flourish/United%20States.png" TargetMode="External"/><Relationship Id="rId3033" Type="http://schemas.openxmlformats.org/officeDocument/2006/relationships/hyperlink" Target="https://www.oag.com/hubfs/Flourish/3-1.png" TargetMode="External"/><Relationship Id="rId5" Type="http://schemas.openxmlformats.org/officeDocument/2006/relationships/hyperlink" Target="https://www.oag.com/hubfs/Flourish/Airlines/VivaAerobus.png" TargetMode="External"/><Relationship Id="rId3036" Type="http://schemas.openxmlformats.org/officeDocument/2006/relationships/hyperlink" Target="https://www.oag.com/hubfs/Flourish/China.png" TargetMode="External"/><Relationship Id="rId6" Type="http://schemas.openxmlformats.org/officeDocument/2006/relationships/hyperlink" Target="https://www.oag.com/hubfs/Flourish/Airlines/Volaris.png" TargetMode="External"/><Relationship Id="rId3035" Type="http://schemas.openxmlformats.org/officeDocument/2006/relationships/hyperlink" Target="https://www.oag.com/hubfs/Flourish/China.png" TargetMode="External"/><Relationship Id="rId7" Type="http://schemas.openxmlformats.org/officeDocument/2006/relationships/hyperlink" Target="https://www.oag.com/hubfs/Flourish/Airlines/Aeromexico.png" TargetMode="External"/><Relationship Id="rId3038" Type="http://schemas.openxmlformats.org/officeDocument/2006/relationships/hyperlink" Target="https://www.oag.com/hubfs/Flourish/7.png" TargetMode="External"/><Relationship Id="rId8" Type="http://schemas.openxmlformats.org/officeDocument/2006/relationships/hyperlink" Target="https://www.oag.com/hubfs/Flourish/Airlines/Copa.png" TargetMode="External"/><Relationship Id="rId3037" Type="http://schemas.openxmlformats.org/officeDocument/2006/relationships/hyperlink" Target="https://www.oag.com/hubfs/Flourish/S%20Korea.jpg" TargetMode="External"/><Relationship Id="rId3029" Type="http://schemas.openxmlformats.org/officeDocument/2006/relationships/hyperlink" Target="https://www.oag.com/hubfs/Flourish/1-1.png" TargetMode="External"/><Relationship Id="rId3028" Type="http://schemas.openxmlformats.org/officeDocument/2006/relationships/hyperlink" Target="https://www.oag.com/hubfs/Flourish/China.png" TargetMode="External"/><Relationship Id="rId3021" Type="http://schemas.openxmlformats.org/officeDocument/2006/relationships/hyperlink" Target="https://www.oag.com/hubfs/Flourish/China.png" TargetMode="External"/><Relationship Id="rId3020" Type="http://schemas.openxmlformats.org/officeDocument/2006/relationships/hyperlink" Target="https://www.oag.com/hubfs/Flourish/8.png" TargetMode="External"/><Relationship Id="rId3023" Type="http://schemas.openxmlformats.org/officeDocument/2006/relationships/hyperlink" Target="https://www.oag.com/hubfs/Flourish/China.png" TargetMode="External"/><Relationship Id="rId3022" Type="http://schemas.openxmlformats.org/officeDocument/2006/relationships/hyperlink" Target="https://www.oag.com/hubfs/Flourish/China.png" TargetMode="External"/><Relationship Id="rId3025" Type="http://schemas.openxmlformats.org/officeDocument/2006/relationships/hyperlink" Target="https://www.oag.com/hubfs/Flourish/United%20States.png" TargetMode="External"/><Relationship Id="rId3024" Type="http://schemas.openxmlformats.org/officeDocument/2006/relationships/hyperlink" Target="https://www.oag.com/hubfs/Flourish/China.png" TargetMode="External"/><Relationship Id="rId3027" Type="http://schemas.openxmlformats.org/officeDocument/2006/relationships/hyperlink" Target="https://www.oag.com/hubfs/Flourish/United%20States.png" TargetMode="External"/><Relationship Id="rId3026" Type="http://schemas.openxmlformats.org/officeDocument/2006/relationships/hyperlink" Target="https://www.oag.com/hubfs/Flourish/3-1.png" TargetMode="External"/><Relationship Id="rId3050" Type="http://schemas.openxmlformats.org/officeDocument/2006/relationships/hyperlink" Target="https://www.oag.com/hubfs/Flourish/7.png" TargetMode="External"/><Relationship Id="rId3052" Type="http://schemas.openxmlformats.org/officeDocument/2006/relationships/hyperlink" Target="https://www.oag.com/hubfs/Flourish/China.png" TargetMode="External"/><Relationship Id="rId3051" Type="http://schemas.openxmlformats.org/officeDocument/2006/relationships/hyperlink" Target="https://www.oag.com/hubfs/Flourish/United%20States.png" TargetMode="External"/><Relationship Id="rId3054" Type="http://schemas.openxmlformats.org/officeDocument/2006/relationships/hyperlink" Target="https://www.oag.com/hubfs/Flourish/S%20Korea.jpg" TargetMode="External"/><Relationship Id="rId3053" Type="http://schemas.openxmlformats.org/officeDocument/2006/relationships/hyperlink" Target="https://www.oag.com/hubfs/Flourish/China.png" TargetMode="External"/><Relationship Id="rId3056" Type="http://schemas.openxmlformats.org/officeDocument/2006/relationships/hyperlink" Target="https://www.oag.com/hubfs/Flourish/China.png" TargetMode="External"/><Relationship Id="rId3055" Type="http://schemas.openxmlformats.org/officeDocument/2006/relationships/hyperlink" Target="https://www.oag.com/hubfs/Flourish/China.png" TargetMode="External"/><Relationship Id="rId3058" Type="http://schemas.openxmlformats.org/officeDocument/2006/relationships/hyperlink" Target="https://www.oag.com/hubfs/Flourish/China.png" TargetMode="External"/><Relationship Id="rId3057" Type="http://schemas.openxmlformats.org/officeDocument/2006/relationships/hyperlink" Target="https://www.oag.com/hubfs/Flourish/United%20States.png" TargetMode="External"/><Relationship Id="rId3059" Type="http://schemas.openxmlformats.org/officeDocument/2006/relationships/hyperlink" Target="https://www.oag.com/hubfs/Flourish/United%20States.png" TargetMode="External"/><Relationship Id="rId3041" Type="http://schemas.openxmlformats.org/officeDocument/2006/relationships/hyperlink" Target="https://www.oag.com/hubfs/Flourish/China.png" TargetMode="External"/><Relationship Id="rId3040" Type="http://schemas.openxmlformats.org/officeDocument/2006/relationships/hyperlink" Target="https://www.oag.com/hubfs/Flourish/Japan.png" TargetMode="External"/><Relationship Id="rId3043" Type="http://schemas.openxmlformats.org/officeDocument/2006/relationships/hyperlink" Target="https://www.oag.com/hubfs/Flourish/China.png" TargetMode="External"/><Relationship Id="rId3042" Type="http://schemas.openxmlformats.org/officeDocument/2006/relationships/hyperlink" Target="https://www.oag.com/hubfs/Flourish/China.png" TargetMode="External"/><Relationship Id="rId3045" Type="http://schemas.openxmlformats.org/officeDocument/2006/relationships/hyperlink" Target="https://www.oag.com/hubfs/Flourish/United%20States.png" TargetMode="External"/><Relationship Id="rId3044" Type="http://schemas.openxmlformats.org/officeDocument/2006/relationships/hyperlink" Target="https://www.oag.com/hubfs/Flourish/China.png" TargetMode="External"/><Relationship Id="rId3047" Type="http://schemas.openxmlformats.org/officeDocument/2006/relationships/hyperlink" Target="https://www.oag.com/hubfs/Flourish/China.png" TargetMode="External"/><Relationship Id="rId3046" Type="http://schemas.openxmlformats.org/officeDocument/2006/relationships/hyperlink" Target="https://www.oag.com/hubfs/Flourish/China.png" TargetMode="External"/><Relationship Id="rId3049" Type="http://schemas.openxmlformats.org/officeDocument/2006/relationships/hyperlink" Target="https://www.oag.com/hubfs/Flourish/United%20States.png" TargetMode="External"/><Relationship Id="rId3048" Type="http://schemas.openxmlformats.org/officeDocument/2006/relationships/hyperlink" Target="https://www.oag.com/hubfs/Flourish/United%20States.png" TargetMode="External"/><Relationship Id="rId2600" Type="http://schemas.openxmlformats.org/officeDocument/2006/relationships/hyperlink" Target="https://www.oag.com/hubfs/Flourish/3-1.png" TargetMode="External"/><Relationship Id="rId2601" Type="http://schemas.openxmlformats.org/officeDocument/2006/relationships/hyperlink" Target="https://www.oag.com/hubfs/Flourish/3-1.png" TargetMode="External"/><Relationship Id="rId2602" Type="http://schemas.openxmlformats.org/officeDocument/2006/relationships/hyperlink" Target="https://www.oag.com/hubfs/Flourish/United%20States.png" TargetMode="External"/><Relationship Id="rId2603" Type="http://schemas.openxmlformats.org/officeDocument/2006/relationships/hyperlink" Target="https://www.oag.com/hubfs/Flourish/United%20States.png" TargetMode="External"/><Relationship Id="rId2604" Type="http://schemas.openxmlformats.org/officeDocument/2006/relationships/hyperlink" Target="https://www.oag.com/hubfs/Flourish/United%20States.png" TargetMode="External"/><Relationship Id="rId2605" Type="http://schemas.openxmlformats.org/officeDocument/2006/relationships/hyperlink" Target="https://www.oag.com/hubfs/Flourish/United%20States.png" TargetMode="External"/><Relationship Id="rId2606" Type="http://schemas.openxmlformats.org/officeDocument/2006/relationships/hyperlink" Target="https://www.oag.com/hubfs/Flourish/United%20States.png" TargetMode="External"/><Relationship Id="rId808" Type="http://schemas.openxmlformats.org/officeDocument/2006/relationships/hyperlink" Target="https://www.oag.com/hubfs/Flourish/United%20States.png" TargetMode="External"/><Relationship Id="rId2607" Type="http://schemas.openxmlformats.org/officeDocument/2006/relationships/hyperlink" Target="https://www.oag.com/hubfs/Flourish/United%20States.png" TargetMode="External"/><Relationship Id="rId807" Type="http://schemas.openxmlformats.org/officeDocument/2006/relationships/hyperlink" Target="https://www.oag.com/hubfs/Flourish/China.png" TargetMode="External"/><Relationship Id="rId2608" Type="http://schemas.openxmlformats.org/officeDocument/2006/relationships/hyperlink" Target="https://www.oag.com/hubfs/Flourish/United%20States.png" TargetMode="External"/><Relationship Id="rId806" Type="http://schemas.openxmlformats.org/officeDocument/2006/relationships/hyperlink" Target="https://www.oag.com/hubfs/Flourish/7.png" TargetMode="External"/><Relationship Id="rId2609" Type="http://schemas.openxmlformats.org/officeDocument/2006/relationships/hyperlink" Target="https://www.oag.com/hubfs/Flourish/United%20States.png" TargetMode="External"/><Relationship Id="rId805" Type="http://schemas.openxmlformats.org/officeDocument/2006/relationships/hyperlink" Target="https://www.oag.com/hubfs/Flourish/8.png" TargetMode="External"/><Relationship Id="rId809" Type="http://schemas.openxmlformats.org/officeDocument/2006/relationships/hyperlink" Target="https://www.oag.com/hubfs/Flourish/6.png" TargetMode="External"/><Relationship Id="rId800" Type="http://schemas.openxmlformats.org/officeDocument/2006/relationships/hyperlink" Target="https://www.oag.com/hubfs/Flourish/7.png" TargetMode="External"/><Relationship Id="rId804" Type="http://schemas.openxmlformats.org/officeDocument/2006/relationships/hyperlink" Target="https://www.oag.com/hubfs/Flourish/United%20States.png" TargetMode="External"/><Relationship Id="rId803" Type="http://schemas.openxmlformats.org/officeDocument/2006/relationships/hyperlink" Target="https://www.oag.com/hubfs/Flourish/United%20States.png" TargetMode="External"/><Relationship Id="rId802" Type="http://schemas.openxmlformats.org/officeDocument/2006/relationships/hyperlink" Target="https://www.oag.com/hubfs/Flourish/United%20States.png" TargetMode="External"/><Relationship Id="rId801" Type="http://schemas.openxmlformats.org/officeDocument/2006/relationships/hyperlink" Target="https://www.oag.com/hubfs/Flourish/United%20States.png" TargetMode="External"/><Relationship Id="rId1334" Type="http://schemas.openxmlformats.org/officeDocument/2006/relationships/hyperlink" Target="https://www.oag.com/hubfs/Flourish/United%20States.png" TargetMode="External"/><Relationship Id="rId2665" Type="http://schemas.openxmlformats.org/officeDocument/2006/relationships/hyperlink" Target="https://www.oag.com/hubfs/Flourish/United%20States.png" TargetMode="External"/><Relationship Id="rId1335" Type="http://schemas.openxmlformats.org/officeDocument/2006/relationships/hyperlink" Target="https://www.oag.com/hubfs/Flourish/7.png" TargetMode="External"/><Relationship Id="rId2666" Type="http://schemas.openxmlformats.org/officeDocument/2006/relationships/hyperlink" Target="https://www.oag.com/hubfs/Flourish/China.png" TargetMode="External"/><Relationship Id="rId1336" Type="http://schemas.openxmlformats.org/officeDocument/2006/relationships/hyperlink" Target="https://www.oag.com/hubfs/Flourish/8.png" TargetMode="External"/><Relationship Id="rId2667" Type="http://schemas.openxmlformats.org/officeDocument/2006/relationships/hyperlink" Target="https://www.oag.com/hubfs/Flourish/5.png" TargetMode="External"/><Relationship Id="rId1337" Type="http://schemas.openxmlformats.org/officeDocument/2006/relationships/hyperlink" Target="https://www.oag.com/hubfs/Flourish/United%20States.png" TargetMode="External"/><Relationship Id="rId2668" Type="http://schemas.openxmlformats.org/officeDocument/2006/relationships/hyperlink" Target="https://www.oag.com/hubfs/Flourish/United%20States.png" TargetMode="External"/><Relationship Id="rId1338" Type="http://schemas.openxmlformats.org/officeDocument/2006/relationships/hyperlink" Target="https://www.oag.com/hubfs/Flourish/China.png" TargetMode="External"/><Relationship Id="rId2669" Type="http://schemas.openxmlformats.org/officeDocument/2006/relationships/hyperlink" Target="https://www.oag.com/hubfs/Flourish/United%20States.png" TargetMode="External"/><Relationship Id="rId1339" Type="http://schemas.openxmlformats.org/officeDocument/2006/relationships/hyperlink" Target="https://www.oag.com/hubfs/Flourish/United%20States.png" TargetMode="External"/><Relationship Id="rId745" Type="http://schemas.openxmlformats.org/officeDocument/2006/relationships/hyperlink" Target="https://www.oag.com/hubfs/Flourish/United%20States.png" TargetMode="External"/><Relationship Id="rId744" Type="http://schemas.openxmlformats.org/officeDocument/2006/relationships/hyperlink" Target="https://www.oag.com/hubfs/Flourish/United%20States.png" TargetMode="External"/><Relationship Id="rId743" Type="http://schemas.openxmlformats.org/officeDocument/2006/relationships/hyperlink" Target="https://www.oag.com/hubfs/Flourish/2-1.png" TargetMode="External"/><Relationship Id="rId742" Type="http://schemas.openxmlformats.org/officeDocument/2006/relationships/hyperlink" Target="https://www.oag.com/hubfs/Flourish/United%20States.png" TargetMode="External"/><Relationship Id="rId749" Type="http://schemas.openxmlformats.org/officeDocument/2006/relationships/hyperlink" Target="https://www.oag.com/hubfs/Flourish/8.png" TargetMode="External"/><Relationship Id="rId748" Type="http://schemas.openxmlformats.org/officeDocument/2006/relationships/hyperlink" Target="https://www.oag.com/hubfs/Flourish/7.png" TargetMode="External"/><Relationship Id="rId747" Type="http://schemas.openxmlformats.org/officeDocument/2006/relationships/hyperlink" Target="https://www.oag.com/hubfs/Flourish/United%20States.png" TargetMode="External"/><Relationship Id="rId746" Type="http://schemas.openxmlformats.org/officeDocument/2006/relationships/hyperlink" Target="https://www.oag.com/hubfs/Flourish/United%20States.png" TargetMode="External"/><Relationship Id="rId2660" Type="http://schemas.openxmlformats.org/officeDocument/2006/relationships/hyperlink" Target="https://www.oag.com/hubfs/Flourish/United%20States.png" TargetMode="External"/><Relationship Id="rId741" Type="http://schemas.openxmlformats.org/officeDocument/2006/relationships/hyperlink" Target="https://www.oag.com/hubfs/Flourish/United%20States.png" TargetMode="External"/><Relationship Id="rId1330" Type="http://schemas.openxmlformats.org/officeDocument/2006/relationships/hyperlink" Target="https://www.oag.com/hubfs/Flourish/China.png" TargetMode="External"/><Relationship Id="rId2661" Type="http://schemas.openxmlformats.org/officeDocument/2006/relationships/hyperlink" Target="https://www.oag.com/hubfs/Flourish/singapore.jpg" TargetMode="External"/><Relationship Id="rId740" Type="http://schemas.openxmlformats.org/officeDocument/2006/relationships/hyperlink" Target="https://www.oag.com/hubfs/Flourish/United%20States.png" TargetMode="External"/><Relationship Id="rId1331" Type="http://schemas.openxmlformats.org/officeDocument/2006/relationships/hyperlink" Target="https://www.oag.com/hubfs/Flourish/2-1.png" TargetMode="External"/><Relationship Id="rId2662" Type="http://schemas.openxmlformats.org/officeDocument/2006/relationships/hyperlink" Target="https://www.oag.com/hubfs/Flourish/United%20States.png" TargetMode="External"/><Relationship Id="rId1332" Type="http://schemas.openxmlformats.org/officeDocument/2006/relationships/hyperlink" Target="https://www.oag.com/hubfs/Flourish/United%20States.png" TargetMode="External"/><Relationship Id="rId2663" Type="http://schemas.openxmlformats.org/officeDocument/2006/relationships/hyperlink" Target="https://www.oag.com/hubfs/Flourish/United%20States.png" TargetMode="External"/><Relationship Id="rId1333" Type="http://schemas.openxmlformats.org/officeDocument/2006/relationships/hyperlink" Target="https://www.oag.com/hubfs/Flourish/3-1.png" TargetMode="External"/><Relationship Id="rId2664" Type="http://schemas.openxmlformats.org/officeDocument/2006/relationships/hyperlink" Target="https://www.oag.com/hubfs/Flourish/Mexico.png" TargetMode="External"/><Relationship Id="rId1323" Type="http://schemas.openxmlformats.org/officeDocument/2006/relationships/hyperlink" Target="https://www.oag.com/hubfs/Flourish/United%20States.png" TargetMode="External"/><Relationship Id="rId2654" Type="http://schemas.openxmlformats.org/officeDocument/2006/relationships/hyperlink" Target="https://www.oag.com/hubfs/Flourish/China.png" TargetMode="External"/><Relationship Id="rId1324" Type="http://schemas.openxmlformats.org/officeDocument/2006/relationships/hyperlink" Target="https://www.oag.com/hubfs/Flourish/China.png" TargetMode="External"/><Relationship Id="rId2655" Type="http://schemas.openxmlformats.org/officeDocument/2006/relationships/hyperlink" Target="https://www.oag.com/hubfs/Flourish/United%20States.png" TargetMode="External"/><Relationship Id="rId1325" Type="http://schemas.openxmlformats.org/officeDocument/2006/relationships/hyperlink" Target="https://www.oag.com/hubfs/Flourish/2-1.png" TargetMode="External"/><Relationship Id="rId2656" Type="http://schemas.openxmlformats.org/officeDocument/2006/relationships/hyperlink" Target="https://www.oag.com/hubfs/Flourish/United%20States.png" TargetMode="External"/><Relationship Id="rId1326" Type="http://schemas.openxmlformats.org/officeDocument/2006/relationships/hyperlink" Target="https://www.oag.com/hubfs/Flourish/United%20States.png" TargetMode="External"/><Relationship Id="rId2657" Type="http://schemas.openxmlformats.org/officeDocument/2006/relationships/hyperlink" Target="https://www.oag.com/hubfs/Flourish/United%20States.png" TargetMode="External"/><Relationship Id="rId1327" Type="http://schemas.openxmlformats.org/officeDocument/2006/relationships/hyperlink" Target="https://www.oag.com/hubfs/Flourish/4.png" TargetMode="External"/><Relationship Id="rId2658" Type="http://schemas.openxmlformats.org/officeDocument/2006/relationships/hyperlink" Target="https://www.oag.com/hubfs/Flourish/China.png" TargetMode="External"/><Relationship Id="rId1328" Type="http://schemas.openxmlformats.org/officeDocument/2006/relationships/hyperlink" Target="https://www.oag.com/hubfs/Flourish/United%20States.png" TargetMode="External"/><Relationship Id="rId2659" Type="http://schemas.openxmlformats.org/officeDocument/2006/relationships/hyperlink" Target="https://www.oag.com/hubfs/Flourish/7.png" TargetMode="External"/><Relationship Id="rId1329" Type="http://schemas.openxmlformats.org/officeDocument/2006/relationships/hyperlink" Target="https://www.oag.com/hubfs/Flourish/United%20States.png" TargetMode="External"/><Relationship Id="rId739" Type="http://schemas.openxmlformats.org/officeDocument/2006/relationships/hyperlink" Target="https://www.oag.com/hubfs/Flourish/United%20States.png" TargetMode="External"/><Relationship Id="rId734" Type="http://schemas.openxmlformats.org/officeDocument/2006/relationships/hyperlink" Target="https://www.oag.com/hubfs/Flourish/United%20States.png" TargetMode="External"/><Relationship Id="rId733" Type="http://schemas.openxmlformats.org/officeDocument/2006/relationships/hyperlink" Target="https://www.oag.com/hubfs/Flourish/China.png" TargetMode="External"/><Relationship Id="rId732" Type="http://schemas.openxmlformats.org/officeDocument/2006/relationships/hyperlink" Target="https://www.oag.com/hubfs/Flourish/United%20States.png" TargetMode="External"/><Relationship Id="rId731" Type="http://schemas.openxmlformats.org/officeDocument/2006/relationships/hyperlink" Target="https://www.oag.com/hubfs/Flourish/United%20States.png" TargetMode="External"/><Relationship Id="rId738" Type="http://schemas.openxmlformats.org/officeDocument/2006/relationships/hyperlink" Target="https://www.oag.com/hubfs/Flourish/United%20States.png" TargetMode="External"/><Relationship Id="rId737" Type="http://schemas.openxmlformats.org/officeDocument/2006/relationships/hyperlink" Target="https://www.oag.com/hubfs/Flourish/7.png" TargetMode="External"/><Relationship Id="rId736" Type="http://schemas.openxmlformats.org/officeDocument/2006/relationships/hyperlink" Target="https://www.oag.com/hubfs/Flourish/7.png" TargetMode="External"/><Relationship Id="rId735" Type="http://schemas.openxmlformats.org/officeDocument/2006/relationships/hyperlink" Target="https://www.oag.com/hubfs/Flourish/7.png" TargetMode="External"/><Relationship Id="rId730" Type="http://schemas.openxmlformats.org/officeDocument/2006/relationships/hyperlink" Target="https://www.oag.com/hubfs/Flourish/United%20States.png" TargetMode="External"/><Relationship Id="rId2650" Type="http://schemas.openxmlformats.org/officeDocument/2006/relationships/hyperlink" Target="https://www.oag.com/hubfs/Flourish/India.png" TargetMode="External"/><Relationship Id="rId1320" Type="http://schemas.openxmlformats.org/officeDocument/2006/relationships/hyperlink" Target="https://www.oag.com/hubfs/Flourish/United%20States.png" TargetMode="External"/><Relationship Id="rId2651" Type="http://schemas.openxmlformats.org/officeDocument/2006/relationships/hyperlink" Target="https://www.oag.com/hubfs/Flourish/Japan.png" TargetMode="External"/><Relationship Id="rId1321" Type="http://schemas.openxmlformats.org/officeDocument/2006/relationships/hyperlink" Target="https://www.oag.com/hubfs/Flourish/United%20States.png" TargetMode="External"/><Relationship Id="rId2652" Type="http://schemas.openxmlformats.org/officeDocument/2006/relationships/hyperlink" Target="https://www.oag.com/hubfs/Flourish/United%20States.png" TargetMode="External"/><Relationship Id="rId1322" Type="http://schemas.openxmlformats.org/officeDocument/2006/relationships/hyperlink" Target="https://www.oag.com/hubfs/Flourish/3-1.png" TargetMode="External"/><Relationship Id="rId2653" Type="http://schemas.openxmlformats.org/officeDocument/2006/relationships/hyperlink" Target="https://www.oag.com/hubfs/Flourish/S%20Korea.jpg" TargetMode="External"/><Relationship Id="rId1356" Type="http://schemas.openxmlformats.org/officeDocument/2006/relationships/hyperlink" Target="https://www.oag.com/hubfs/Flourish/United%20States.png" TargetMode="External"/><Relationship Id="rId2687" Type="http://schemas.openxmlformats.org/officeDocument/2006/relationships/hyperlink" Target="https://www.oag.com/hubfs/Flourish/United%20States.png" TargetMode="External"/><Relationship Id="rId1357" Type="http://schemas.openxmlformats.org/officeDocument/2006/relationships/hyperlink" Target="https://www.oag.com/hubfs/Flourish/United%20States.png" TargetMode="External"/><Relationship Id="rId2688" Type="http://schemas.openxmlformats.org/officeDocument/2006/relationships/hyperlink" Target="https://www.oag.com/hubfs/Flourish/United%20States.png" TargetMode="External"/><Relationship Id="rId1358" Type="http://schemas.openxmlformats.org/officeDocument/2006/relationships/hyperlink" Target="https://www.oag.com/hubfs/Flourish/United%20States.png" TargetMode="External"/><Relationship Id="rId2689" Type="http://schemas.openxmlformats.org/officeDocument/2006/relationships/hyperlink" Target="https://www.oag.com/hubfs/Flourish/United%20States.png" TargetMode="External"/><Relationship Id="rId1359" Type="http://schemas.openxmlformats.org/officeDocument/2006/relationships/hyperlink" Target="https://www.oag.com/hubfs/Flourish/United%20States.png" TargetMode="External"/><Relationship Id="rId767" Type="http://schemas.openxmlformats.org/officeDocument/2006/relationships/hyperlink" Target="https://www.oag.com/hubfs/Flourish/3-1.png" TargetMode="External"/><Relationship Id="rId766" Type="http://schemas.openxmlformats.org/officeDocument/2006/relationships/hyperlink" Target="https://www.oag.com/hubfs/Flourish/United%20States.png" TargetMode="External"/><Relationship Id="rId765" Type="http://schemas.openxmlformats.org/officeDocument/2006/relationships/hyperlink" Target="https://www.oag.com/hubfs/Flourish/United%20States.png" TargetMode="External"/><Relationship Id="rId764" Type="http://schemas.openxmlformats.org/officeDocument/2006/relationships/hyperlink" Target="https://www.oag.com/hubfs/Flourish/United%20States.png" TargetMode="External"/><Relationship Id="rId769" Type="http://schemas.openxmlformats.org/officeDocument/2006/relationships/hyperlink" Target="https://www.oag.com/hubfs/Flourish/India.png" TargetMode="External"/><Relationship Id="rId768" Type="http://schemas.openxmlformats.org/officeDocument/2006/relationships/hyperlink" Target="https://www.oag.com/hubfs/Flourish/7.png" TargetMode="External"/><Relationship Id="rId2680" Type="http://schemas.openxmlformats.org/officeDocument/2006/relationships/hyperlink" Target="https://www.oag.com/hubfs/Flourish/Mexico.png" TargetMode="External"/><Relationship Id="rId1350" Type="http://schemas.openxmlformats.org/officeDocument/2006/relationships/hyperlink" Target="https://www.oag.com/hubfs/Flourish/8.png" TargetMode="External"/><Relationship Id="rId2681" Type="http://schemas.openxmlformats.org/officeDocument/2006/relationships/hyperlink" Target="https://www.oag.com/hubfs/Flourish/5.png" TargetMode="External"/><Relationship Id="rId1351" Type="http://schemas.openxmlformats.org/officeDocument/2006/relationships/hyperlink" Target="https://www.oag.com/hubfs/Flourish/8.png" TargetMode="External"/><Relationship Id="rId2682" Type="http://schemas.openxmlformats.org/officeDocument/2006/relationships/hyperlink" Target="https://www.oag.com/hubfs/Flourish/United%20States.png" TargetMode="External"/><Relationship Id="rId763" Type="http://schemas.openxmlformats.org/officeDocument/2006/relationships/hyperlink" Target="https://www.oag.com/hubfs/Flourish/United%20States.png" TargetMode="External"/><Relationship Id="rId1352" Type="http://schemas.openxmlformats.org/officeDocument/2006/relationships/hyperlink" Target="https://www.oag.com/hubfs/Flourish/3-1.png" TargetMode="External"/><Relationship Id="rId2683" Type="http://schemas.openxmlformats.org/officeDocument/2006/relationships/hyperlink" Target="https://www.oag.com/hubfs/Flourish/United%20States.png" TargetMode="External"/><Relationship Id="rId762" Type="http://schemas.openxmlformats.org/officeDocument/2006/relationships/hyperlink" Target="https://www.oag.com/hubfs/Flourish/United%20States.png" TargetMode="External"/><Relationship Id="rId1353" Type="http://schemas.openxmlformats.org/officeDocument/2006/relationships/hyperlink" Target="https://www.oag.com/hubfs/Flourish/United%20States.png" TargetMode="External"/><Relationship Id="rId2684" Type="http://schemas.openxmlformats.org/officeDocument/2006/relationships/hyperlink" Target="https://www.oag.com/hubfs/Flourish/United%20States.png" TargetMode="External"/><Relationship Id="rId761" Type="http://schemas.openxmlformats.org/officeDocument/2006/relationships/hyperlink" Target="https://www.oag.com/hubfs/Flourish/6.png" TargetMode="External"/><Relationship Id="rId1354" Type="http://schemas.openxmlformats.org/officeDocument/2006/relationships/hyperlink" Target="https://www.oag.com/hubfs/Flourish/United%20States.png" TargetMode="External"/><Relationship Id="rId2685" Type="http://schemas.openxmlformats.org/officeDocument/2006/relationships/hyperlink" Target="https://www.oag.com/hubfs/Flourish/United%20States.png" TargetMode="External"/><Relationship Id="rId760" Type="http://schemas.openxmlformats.org/officeDocument/2006/relationships/hyperlink" Target="https://www.oag.com/hubfs/Flourish/United%20States.png" TargetMode="External"/><Relationship Id="rId1355" Type="http://schemas.openxmlformats.org/officeDocument/2006/relationships/hyperlink" Target="https://www.oag.com/hubfs/Flourish/8.png" TargetMode="External"/><Relationship Id="rId2686" Type="http://schemas.openxmlformats.org/officeDocument/2006/relationships/hyperlink" Target="https://www.oag.com/hubfs/Flourish/United%20States.png" TargetMode="External"/><Relationship Id="rId1345" Type="http://schemas.openxmlformats.org/officeDocument/2006/relationships/hyperlink" Target="https://www.oag.com/hubfs/Flourish/Mexico.png" TargetMode="External"/><Relationship Id="rId2676" Type="http://schemas.openxmlformats.org/officeDocument/2006/relationships/hyperlink" Target="https://www.oag.com/hubfs/Flourish/United%20States.png" TargetMode="External"/><Relationship Id="rId1346" Type="http://schemas.openxmlformats.org/officeDocument/2006/relationships/hyperlink" Target="https://www.oag.com/hubfs/Flourish/United%20States.png" TargetMode="External"/><Relationship Id="rId2677" Type="http://schemas.openxmlformats.org/officeDocument/2006/relationships/hyperlink" Target="https://www.oag.com/hubfs/Flourish/Mexico.png" TargetMode="External"/><Relationship Id="rId1347" Type="http://schemas.openxmlformats.org/officeDocument/2006/relationships/hyperlink" Target="https://www.oag.com/hubfs/Flourish/2-1.png" TargetMode="External"/><Relationship Id="rId2678" Type="http://schemas.openxmlformats.org/officeDocument/2006/relationships/hyperlink" Target="https://www.oag.com/hubfs/Flourish/United%20States.png" TargetMode="External"/><Relationship Id="rId1348" Type="http://schemas.openxmlformats.org/officeDocument/2006/relationships/hyperlink" Target="https://www.oag.com/hubfs/Flourish/7.png" TargetMode="External"/><Relationship Id="rId2679" Type="http://schemas.openxmlformats.org/officeDocument/2006/relationships/hyperlink" Target="https://www.oag.com/hubfs/Flourish/India.png" TargetMode="External"/><Relationship Id="rId1349" Type="http://schemas.openxmlformats.org/officeDocument/2006/relationships/hyperlink" Target="https://www.oag.com/hubfs/Flourish/United%20States.png" TargetMode="External"/><Relationship Id="rId756" Type="http://schemas.openxmlformats.org/officeDocument/2006/relationships/hyperlink" Target="https://www.oag.com/hubfs/Flourish/India.png" TargetMode="External"/><Relationship Id="rId755" Type="http://schemas.openxmlformats.org/officeDocument/2006/relationships/hyperlink" Target="https://www.oag.com/hubfs/Flourish/1-1.png" TargetMode="External"/><Relationship Id="rId754" Type="http://schemas.openxmlformats.org/officeDocument/2006/relationships/hyperlink" Target="https://www.oag.com/hubfs/Flourish/United%20States.png" TargetMode="External"/><Relationship Id="rId753" Type="http://schemas.openxmlformats.org/officeDocument/2006/relationships/hyperlink" Target="https://www.oag.com/hubfs/Flourish/Japan.png" TargetMode="External"/><Relationship Id="rId759" Type="http://schemas.openxmlformats.org/officeDocument/2006/relationships/hyperlink" Target="https://www.oag.com/hubfs/Flourish/India.png" TargetMode="External"/><Relationship Id="rId758" Type="http://schemas.openxmlformats.org/officeDocument/2006/relationships/hyperlink" Target="https://www.oag.com/hubfs/Flourish/Mexico.png" TargetMode="External"/><Relationship Id="rId757" Type="http://schemas.openxmlformats.org/officeDocument/2006/relationships/hyperlink" Target="https://www.oag.com/hubfs/Flourish/United%20States.png" TargetMode="External"/><Relationship Id="rId2670" Type="http://schemas.openxmlformats.org/officeDocument/2006/relationships/hyperlink" Target="https://www.oag.com/hubfs/Flourish/United%20States.png" TargetMode="External"/><Relationship Id="rId1340" Type="http://schemas.openxmlformats.org/officeDocument/2006/relationships/hyperlink" Target="https://www.oag.com/hubfs/Flourish/United%20States.png" TargetMode="External"/><Relationship Id="rId2671" Type="http://schemas.openxmlformats.org/officeDocument/2006/relationships/hyperlink" Target="https://www.oag.com/hubfs/Flourish/United%20States.png" TargetMode="External"/><Relationship Id="rId752" Type="http://schemas.openxmlformats.org/officeDocument/2006/relationships/hyperlink" Target="https://www.oag.com/hubfs/Flourish/3-1.png" TargetMode="External"/><Relationship Id="rId1341" Type="http://schemas.openxmlformats.org/officeDocument/2006/relationships/hyperlink" Target="https://www.oag.com/hubfs/Flourish/7.png" TargetMode="External"/><Relationship Id="rId2672" Type="http://schemas.openxmlformats.org/officeDocument/2006/relationships/hyperlink" Target="https://www.oag.com/hubfs/Flourish/United%20States.png" TargetMode="External"/><Relationship Id="rId751" Type="http://schemas.openxmlformats.org/officeDocument/2006/relationships/hyperlink" Target="https://www.oag.com/hubfs/Flourish/8.png" TargetMode="External"/><Relationship Id="rId1342" Type="http://schemas.openxmlformats.org/officeDocument/2006/relationships/hyperlink" Target="https://www.oag.com/hubfs/Flourish/7.png" TargetMode="External"/><Relationship Id="rId2673" Type="http://schemas.openxmlformats.org/officeDocument/2006/relationships/hyperlink" Target="https://www.oag.com/hubfs/Flourish/United%20States.png" TargetMode="External"/><Relationship Id="rId750" Type="http://schemas.openxmlformats.org/officeDocument/2006/relationships/hyperlink" Target="https://www.oag.com/hubfs/Flourish/United%20States.png" TargetMode="External"/><Relationship Id="rId1343" Type="http://schemas.openxmlformats.org/officeDocument/2006/relationships/hyperlink" Target="https://www.oag.com/hubfs/Flourish/United%20States.png" TargetMode="External"/><Relationship Id="rId2674" Type="http://schemas.openxmlformats.org/officeDocument/2006/relationships/hyperlink" Target="https://www.oag.com/hubfs/Flourish/United%20States.png" TargetMode="External"/><Relationship Id="rId1344" Type="http://schemas.openxmlformats.org/officeDocument/2006/relationships/hyperlink" Target="https://www.oag.com/hubfs/Flourish/United%20States.png" TargetMode="External"/><Relationship Id="rId2675" Type="http://schemas.openxmlformats.org/officeDocument/2006/relationships/hyperlink" Target="https://www.oag.com/hubfs/Flourish/1-1.png" TargetMode="External"/><Relationship Id="rId2621" Type="http://schemas.openxmlformats.org/officeDocument/2006/relationships/hyperlink" Target="https://www.oag.com/hubfs/Flourish/United%20States.png" TargetMode="External"/><Relationship Id="rId2622" Type="http://schemas.openxmlformats.org/officeDocument/2006/relationships/hyperlink" Target="https://www.oag.com/hubfs/Flourish/1-1.png" TargetMode="External"/><Relationship Id="rId2623" Type="http://schemas.openxmlformats.org/officeDocument/2006/relationships/hyperlink" Target="https://www.oag.com/hubfs/Flourish/Japan.png" TargetMode="External"/><Relationship Id="rId2624" Type="http://schemas.openxmlformats.org/officeDocument/2006/relationships/hyperlink" Target="https://www.oag.com/hubfs/Flourish/United%20States.png" TargetMode="External"/><Relationship Id="rId2625" Type="http://schemas.openxmlformats.org/officeDocument/2006/relationships/hyperlink" Target="https://www.oag.com/hubfs/Flourish/United%20States.png" TargetMode="External"/><Relationship Id="rId2626" Type="http://schemas.openxmlformats.org/officeDocument/2006/relationships/hyperlink" Target="https://www.oag.com/hubfs/Flourish/United%20States.png" TargetMode="External"/><Relationship Id="rId2627" Type="http://schemas.openxmlformats.org/officeDocument/2006/relationships/hyperlink" Target="https://www.oag.com/hubfs/Flourish/United%20States.png" TargetMode="External"/><Relationship Id="rId2628" Type="http://schemas.openxmlformats.org/officeDocument/2006/relationships/hyperlink" Target="https://www.oag.com/hubfs/Flourish/United%20States.png" TargetMode="External"/><Relationship Id="rId709" Type="http://schemas.openxmlformats.org/officeDocument/2006/relationships/hyperlink" Target="https://www.oag.com/hubfs/Flourish/United%20States.png" TargetMode="External"/><Relationship Id="rId2629" Type="http://schemas.openxmlformats.org/officeDocument/2006/relationships/hyperlink" Target="https://www.oag.com/hubfs/Flourish/United%20States.png" TargetMode="External"/><Relationship Id="rId708" Type="http://schemas.openxmlformats.org/officeDocument/2006/relationships/hyperlink" Target="https://www.oag.com/hubfs/Flourish/United%20States.png" TargetMode="External"/><Relationship Id="rId707" Type="http://schemas.openxmlformats.org/officeDocument/2006/relationships/hyperlink" Target="https://www.oag.com/hubfs/Flourish/United%20States.png" TargetMode="External"/><Relationship Id="rId706" Type="http://schemas.openxmlformats.org/officeDocument/2006/relationships/hyperlink" Target="https://www.oag.com/hubfs/Flourish/United%20States.png" TargetMode="External"/><Relationship Id="rId701" Type="http://schemas.openxmlformats.org/officeDocument/2006/relationships/hyperlink" Target="https://www.oag.com/hubfs/Flourish/United%20States.png" TargetMode="External"/><Relationship Id="rId700" Type="http://schemas.openxmlformats.org/officeDocument/2006/relationships/hyperlink" Target="https://www.oag.com/hubfs/Flourish/United%20States.png" TargetMode="External"/><Relationship Id="rId705" Type="http://schemas.openxmlformats.org/officeDocument/2006/relationships/hyperlink" Target="https://www.oag.com/hubfs/Flourish/United%20States.png" TargetMode="External"/><Relationship Id="rId704" Type="http://schemas.openxmlformats.org/officeDocument/2006/relationships/hyperlink" Target="https://www.oag.com/hubfs/Flourish/United%20States.png" TargetMode="External"/><Relationship Id="rId703" Type="http://schemas.openxmlformats.org/officeDocument/2006/relationships/hyperlink" Target="https://www.oag.com/hubfs/Flourish/United%20States.png" TargetMode="External"/><Relationship Id="rId702" Type="http://schemas.openxmlformats.org/officeDocument/2006/relationships/hyperlink" Target="https://www.oag.com/hubfs/Flourish/United%20States.png" TargetMode="External"/><Relationship Id="rId2620" Type="http://schemas.openxmlformats.org/officeDocument/2006/relationships/hyperlink" Target="https://www.oag.com/hubfs/Flourish/United%20States.png" TargetMode="External"/><Relationship Id="rId2610" Type="http://schemas.openxmlformats.org/officeDocument/2006/relationships/hyperlink" Target="https://www.oag.com/hubfs/Flourish/United%20States.png" TargetMode="External"/><Relationship Id="rId2611" Type="http://schemas.openxmlformats.org/officeDocument/2006/relationships/hyperlink" Target="https://www.oag.com/hubfs/Flourish/United%20States.png" TargetMode="External"/><Relationship Id="rId2612" Type="http://schemas.openxmlformats.org/officeDocument/2006/relationships/hyperlink" Target="https://www.oag.com/hubfs/Flourish/United%20States.png" TargetMode="External"/><Relationship Id="rId2613" Type="http://schemas.openxmlformats.org/officeDocument/2006/relationships/hyperlink" Target="https://www.oag.com/hubfs/Flourish/United%20States.png" TargetMode="External"/><Relationship Id="rId2614" Type="http://schemas.openxmlformats.org/officeDocument/2006/relationships/hyperlink" Target="https://www.oag.com/hubfs/Flourish/8.png" TargetMode="External"/><Relationship Id="rId2615" Type="http://schemas.openxmlformats.org/officeDocument/2006/relationships/hyperlink" Target="https://www.oag.com/hubfs/Flourish/1-1.png" TargetMode="External"/><Relationship Id="rId2616" Type="http://schemas.openxmlformats.org/officeDocument/2006/relationships/hyperlink" Target="https://www.oag.com/hubfs/Flourish/2-1.png" TargetMode="External"/><Relationship Id="rId2617" Type="http://schemas.openxmlformats.org/officeDocument/2006/relationships/hyperlink" Target="https://www.oag.com/hubfs/Flourish/United%20States.png" TargetMode="External"/><Relationship Id="rId2618" Type="http://schemas.openxmlformats.org/officeDocument/2006/relationships/hyperlink" Target="https://www.oag.com/hubfs/Flourish/United%20States.png" TargetMode="External"/><Relationship Id="rId2619" Type="http://schemas.openxmlformats.org/officeDocument/2006/relationships/hyperlink" Target="https://www.oag.com/hubfs/Flourish/Japan.png" TargetMode="External"/><Relationship Id="rId1312" Type="http://schemas.openxmlformats.org/officeDocument/2006/relationships/hyperlink" Target="https://www.oag.com/hubfs/Flourish/United%20States.png" TargetMode="External"/><Relationship Id="rId2643" Type="http://schemas.openxmlformats.org/officeDocument/2006/relationships/hyperlink" Target="https://www.oag.com/hubfs/Flourish/Japan.png" TargetMode="External"/><Relationship Id="rId1313" Type="http://schemas.openxmlformats.org/officeDocument/2006/relationships/hyperlink" Target="https://www.oag.com/hubfs/Flourish/United%20States.png" TargetMode="External"/><Relationship Id="rId2644" Type="http://schemas.openxmlformats.org/officeDocument/2006/relationships/hyperlink" Target="https://www.oag.com/hubfs/Flourish/United%20States.png" TargetMode="External"/><Relationship Id="rId1314" Type="http://schemas.openxmlformats.org/officeDocument/2006/relationships/hyperlink" Target="https://www.oag.com/hubfs/Flourish/United%20States.png" TargetMode="External"/><Relationship Id="rId2645" Type="http://schemas.openxmlformats.org/officeDocument/2006/relationships/hyperlink" Target="https://www.oag.com/hubfs/Flourish/China.png" TargetMode="External"/><Relationship Id="rId1315" Type="http://schemas.openxmlformats.org/officeDocument/2006/relationships/hyperlink" Target="https://www.oag.com/hubfs/Flourish/2-1.png" TargetMode="External"/><Relationship Id="rId2646" Type="http://schemas.openxmlformats.org/officeDocument/2006/relationships/hyperlink" Target="https://www.oag.com/hubfs/Flourish/United%20States.png" TargetMode="External"/><Relationship Id="rId1316" Type="http://schemas.openxmlformats.org/officeDocument/2006/relationships/hyperlink" Target="https://www.oag.com/hubfs/Flourish/8.png" TargetMode="External"/><Relationship Id="rId2647" Type="http://schemas.openxmlformats.org/officeDocument/2006/relationships/hyperlink" Target="https://www.oag.com/hubfs/Flourish/United%20States.png" TargetMode="External"/><Relationship Id="rId1317" Type="http://schemas.openxmlformats.org/officeDocument/2006/relationships/hyperlink" Target="https://www.oag.com/hubfs/Flourish/United%20States.png" TargetMode="External"/><Relationship Id="rId2648" Type="http://schemas.openxmlformats.org/officeDocument/2006/relationships/hyperlink" Target="https://www.oag.com/hubfs/Flourish/Japan.png" TargetMode="External"/><Relationship Id="rId1318" Type="http://schemas.openxmlformats.org/officeDocument/2006/relationships/hyperlink" Target="https://www.oag.com/hubfs/Flourish/8.png" TargetMode="External"/><Relationship Id="rId2649" Type="http://schemas.openxmlformats.org/officeDocument/2006/relationships/hyperlink" Target="https://www.oag.com/hubfs/Flourish/UAE.jpg" TargetMode="External"/><Relationship Id="rId1319" Type="http://schemas.openxmlformats.org/officeDocument/2006/relationships/hyperlink" Target="https://www.oag.com/hubfs/Flourish/United%20States.png" TargetMode="External"/><Relationship Id="rId729" Type="http://schemas.openxmlformats.org/officeDocument/2006/relationships/hyperlink" Target="https://www.oag.com/hubfs/Flourish/1-1.png" TargetMode="External"/><Relationship Id="rId728" Type="http://schemas.openxmlformats.org/officeDocument/2006/relationships/hyperlink" Target="https://www.oag.com/hubfs/Flourish/Mexico.png" TargetMode="External"/><Relationship Id="rId723" Type="http://schemas.openxmlformats.org/officeDocument/2006/relationships/hyperlink" Target="https://www.oag.com/hubfs/Flourish/United%20States.png" TargetMode="External"/><Relationship Id="rId722" Type="http://schemas.openxmlformats.org/officeDocument/2006/relationships/hyperlink" Target="https://www.oag.com/hubfs/Flourish/United%20States.png" TargetMode="External"/><Relationship Id="rId721" Type="http://schemas.openxmlformats.org/officeDocument/2006/relationships/hyperlink" Target="https://www.oag.com/hubfs/Flourish/United%20States.png" TargetMode="External"/><Relationship Id="rId720" Type="http://schemas.openxmlformats.org/officeDocument/2006/relationships/hyperlink" Target="https://www.oag.com/hubfs/Flourish/United%20States.png" TargetMode="External"/><Relationship Id="rId727" Type="http://schemas.openxmlformats.org/officeDocument/2006/relationships/hyperlink" Target="https://www.oag.com/hubfs/Flourish/2-1.png" TargetMode="External"/><Relationship Id="rId726" Type="http://schemas.openxmlformats.org/officeDocument/2006/relationships/hyperlink" Target="https://www.oag.com/hubfs/Flourish/United%20States.png" TargetMode="External"/><Relationship Id="rId725" Type="http://schemas.openxmlformats.org/officeDocument/2006/relationships/hyperlink" Target="https://www.oag.com/hubfs/Flourish/United%20States.png" TargetMode="External"/><Relationship Id="rId724" Type="http://schemas.openxmlformats.org/officeDocument/2006/relationships/hyperlink" Target="https://www.oag.com/hubfs/Flourish/United%20States.png" TargetMode="External"/><Relationship Id="rId2640" Type="http://schemas.openxmlformats.org/officeDocument/2006/relationships/hyperlink" Target="https://www.oag.com/hubfs/Flourish/United%20States.png" TargetMode="External"/><Relationship Id="rId1310" Type="http://schemas.openxmlformats.org/officeDocument/2006/relationships/hyperlink" Target="https://www.oag.com/hubfs/Flourish/United%20States.png" TargetMode="External"/><Relationship Id="rId2641" Type="http://schemas.openxmlformats.org/officeDocument/2006/relationships/hyperlink" Target="https://www.oag.com/hubfs/Flourish/United%20States.png" TargetMode="External"/><Relationship Id="rId1311" Type="http://schemas.openxmlformats.org/officeDocument/2006/relationships/hyperlink" Target="https://www.oag.com/hubfs/Flourish/United%20States.png" TargetMode="External"/><Relationship Id="rId2642" Type="http://schemas.openxmlformats.org/officeDocument/2006/relationships/hyperlink" Target="https://www.oag.com/hubfs/Flourish/China.png" TargetMode="External"/><Relationship Id="rId1301" Type="http://schemas.openxmlformats.org/officeDocument/2006/relationships/hyperlink" Target="https://www.oag.com/hubfs/Flourish/United%20States.png" TargetMode="External"/><Relationship Id="rId2632" Type="http://schemas.openxmlformats.org/officeDocument/2006/relationships/hyperlink" Target="https://www.oag.com/hubfs/Flourish/United%20States.png" TargetMode="External"/><Relationship Id="rId1302" Type="http://schemas.openxmlformats.org/officeDocument/2006/relationships/hyperlink" Target="https://www.oag.com/hubfs/Flourish/United%20States.png" TargetMode="External"/><Relationship Id="rId2633" Type="http://schemas.openxmlformats.org/officeDocument/2006/relationships/hyperlink" Target="https://www.oag.com/hubfs/Flourish/Mexico.png" TargetMode="External"/><Relationship Id="rId1303" Type="http://schemas.openxmlformats.org/officeDocument/2006/relationships/hyperlink" Target="https://www.oag.com/hubfs/Flourish/4.png" TargetMode="External"/><Relationship Id="rId2634" Type="http://schemas.openxmlformats.org/officeDocument/2006/relationships/hyperlink" Target="https://www.oag.com/hubfs/Flourish/United%20States.png" TargetMode="External"/><Relationship Id="rId1304" Type="http://schemas.openxmlformats.org/officeDocument/2006/relationships/hyperlink" Target="https://www.oag.com/hubfs/Flourish/United%20States.png" TargetMode="External"/><Relationship Id="rId2635" Type="http://schemas.openxmlformats.org/officeDocument/2006/relationships/hyperlink" Target="https://www.oag.com/hubfs/Flourish/7.png" TargetMode="External"/><Relationship Id="rId1305" Type="http://schemas.openxmlformats.org/officeDocument/2006/relationships/hyperlink" Target="https://www.oag.com/hubfs/Flourish/United%20States.png" TargetMode="External"/><Relationship Id="rId2636" Type="http://schemas.openxmlformats.org/officeDocument/2006/relationships/hyperlink" Target="https://www.oag.com/hubfs/Flourish/United%20States.png" TargetMode="External"/><Relationship Id="rId1306" Type="http://schemas.openxmlformats.org/officeDocument/2006/relationships/hyperlink" Target="https://www.oag.com/hubfs/Flourish/United%20States.png" TargetMode="External"/><Relationship Id="rId2637" Type="http://schemas.openxmlformats.org/officeDocument/2006/relationships/hyperlink" Target="https://www.oag.com/hubfs/Flourish/United%20States.png" TargetMode="External"/><Relationship Id="rId1307" Type="http://schemas.openxmlformats.org/officeDocument/2006/relationships/hyperlink" Target="https://www.oag.com/hubfs/Flourish/United%20States.png" TargetMode="External"/><Relationship Id="rId2638" Type="http://schemas.openxmlformats.org/officeDocument/2006/relationships/hyperlink" Target="https://www.oag.com/hubfs/Flourish/United%20States.png" TargetMode="External"/><Relationship Id="rId1308" Type="http://schemas.openxmlformats.org/officeDocument/2006/relationships/hyperlink" Target="https://www.oag.com/hubfs/Flourish/United%20States.png" TargetMode="External"/><Relationship Id="rId2639" Type="http://schemas.openxmlformats.org/officeDocument/2006/relationships/hyperlink" Target="https://www.oag.com/hubfs/Flourish/United%20States.png" TargetMode="External"/><Relationship Id="rId1309" Type="http://schemas.openxmlformats.org/officeDocument/2006/relationships/hyperlink" Target="https://www.oag.com/hubfs/Flourish/United%20States.png" TargetMode="External"/><Relationship Id="rId719" Type="http://schemas.openxmlformats.org/officeDocument/2006/relationships/hyperlink" Target="https://www.oag.com/hubfs/Flourish/UAE.jpg" TargetMode="External"/><Relationship Id="rId718" Type="http://schemas.openxmlformats.org/officeDocument/2006/relationships/hyperlink" Target="https://www.oag.com/hubfs/Flourish/8.png" TargetMode="External"/><Relationship Id="rId717" Type="http://schemas.openxmlformats.org/officeDocument/2006/relationships/hyperlink" Target="https://www.oag.com/hubfs/Flourish/United%20States.png" TargetMode="External"/><Relationship Id="rId712" Type="http://schemas.openxmlformats.org/officeDocument/2006/relationships/hyperlink" Target="https://www.oag.com/hubfs/Flourish/United%20States.png" TargetMode="External"/><Relationship Id="rId711" Type="http://schemas.openxmlformats.org/officeDocument/2006/relationships/hyperlink" Target="https://www.oag.com/hubfs/Flourish/United%20States.png" TargetMode="External"/><Relationship Id="rId710" Type="http://schemas.openxmlformats.org/officeDocument/2006/relationships/hyperlink" Target="https://www.oag.com/hubfs/Flourish/United%20States.png" TargetMode="External"/><Relationship Id="rId716" Type="http://schemas.openxmlformats.org/officeDocument/2006/relationships/hyperlink" Target="https://www.oag.com/hubfs/Flourish/United%20States.png" TargetMode="External"/><Relationship Id="rId715" Type="http://schemas.openxmlformats.org/officeDocument/2006/relationships/hyperlink" Target="https://www.oag.com/hubfs/Flourish/United%20States.png" TargetMode="External"/><Relationship Id="rId714" Type="http://schemas.openxmlformats.org/officeDocument/2006/relationships/hyperlink" Target="https://www.oag.com/hubfs/Flourish/United%20States.png" TargetMode="External"/><Relationship Id="rId713" Type="http://schemas.openxmlformats.org/officeDocument/2006/relationships/hyperlink" Target="https://www.oag.com/hubfs/Flourish/United%20States.png" TargetMode="External"/><Relationship Id="rId2630" Type="http://schemas.openxmlformats.org/officeDocument/2006/relationships/hyperlink" Target="https://www.oag.com/hubfs/Flourish/2-1.png" TargetMode="External"/><Relationship Id="rId1300" Type="http://schemas.openxmlformats.org/officeDocument/2006/relationships/hyperlink" Target="https://www.oag.com/hubfs/Flourish/United%20States.png" TargetMode="External"/><Relationship Id="rId2631" Type="http://schemas.openxmlformats.org/officeDocument/2006/relationships/hyperlink" Target="https://www.oag.com/hubfs/Flourish/United%20States.png" TargetMode="External"/><Relationship Id="rId1378" Type="http://schemas.openxmlformats.org/officeDocument/2006/relationships/hyperlink" Target="https://www.oag.com/hubfs/Flourish/6.png" TargetMode="External"/><Relationship Id="rId1379" Type="http://schemas.openxmlformats.org/officeDocument/2006/relationships/hyperlink" Target="https://www.oag.com/hubfs/Flourish/United%20States.png" TargetMode="External"/><Relationship Id="rId789" Type="http://schemas.openxmlformats.org/officeDocument/2006/relationships/hyperlink" Target="https://www.oag.com/hubfs/Flourish/United%20States.png" TargetMode="External"/><Relationship Id="rId788" Type="http://schemas.openxmlformats.org/officeDocument/2006/relationships/hyperlink" Target="https://www.oag.com/hubfs/Flourish/United%20States.png" TargetMode="External"/><Relationship Id="rId787" Type="http://schemas.openxmlformats.org/officeDocument/2006/relationships/hyperlink" Target="https://www.oag.com/hubfs/Flourish/United%20States.png" TargetMode="External"/><Relationship Id="rId786" Type="http://schemas.openxmlformats.org/officeDocument/2006/relationships/hyperlink" Target="https://www.oag.com/hubfs/Flourish/United%20States.png" TargetMode="External"/><Relationship Id="rId781" Type="http://schemas.openxmlformats.org/officeDocument/2006/relationships/hyperlink" Target="https://www.oag.com/hubfs/Flourish/United%20States.png" TargetMode="External"/><Relationship Id="rId1370" Type="http://schemas.openxmlformats.org/officeDocument/2006/relationships/hyperlink" Target="https://www.oag.com/hubfs/Flourish/United%20States.png" TargetMode="External"/><Relationship Id="rId780" Type="http://schemas.openxmlformats.org/officeDocument/2006/relationships/hyperlink" Target="https://www.oag.com/hubfs/Flourish/China.png" TargetMode="External"/><Relationship Id="rId1371" Type="http://schemas.openxmlformats.org/officeDocument/2006/relationships/hyperlink" Target="https://www.oag.com/hubfs/Flourish/United%20States.png" TargetMode="External"/><Relationship Id="rId1372" Type="http://schemas.openxmlformats.org/officeDocument/2006/relationships/hyperlink" Target="https://www.oag.com/hubfs/Flourish/United%20States.png" TargetMode="External"/><Relationship Id="rId1373" Type="http://schemas.openxmlformats.org/officeDocument/2006/relationships/hyperlink" Target="https://www.oag.com/hubfs/Flourish/United%20States.png" TargetMode="External"/><Relationship Id="rId785" Type="http://schemas.openxmlformats.org/officeDocument/2006/relationships/hyperlink" Target="https://www.oag.com/hubfs/Flourish/United%20States.png" TargetMode="External"/><Relationship Id="rId1374" Type="http://schemas.openxmlformats.org/officeDocument/2006/relationships/hyperlink" Target="https://www.oag.com/hubfs/Flourish/United%20States.png" TargetMode="External"/><Relationship Id="rId784" Type="http://schemas.openxmlformats.org/officeDocument/2006/relationships/hyperlink" Target="https://www.oag.com/hubfs/Flourish/6.png" TargetMode="External"/><Relationship Id="rId1375" Type="http://schemas.openxmlformats.org/officeDocument/2006/relationships/hyperlink" Target="https://www.oag.com/hubfs/Flourish/United%20States.png" TargetMode="External"/><Relationship Id="rId783" Type="http://schemas.openxmlformats.org/officeDocument/2006/relationships/hyperlink" Target="https://www.oag.com/hubfs/Flourish/United%20States.png" TargetMode="External"/><Relationship Id="rId1376" Type="http://schemas.openxmlformats.org/officeDocument/2006/relationships/hyperlink" Target="https://www.oag.com/hubfs/Flourish/United%20States.png" TargetMode="External"/><Relationship Id="rId782" Type="http://schemas.openxmlformats.org/officeDocument/2006/relationships/hyperlink" Target="https://www.oag.com/hubfs/Flourish/1-1.png" TargetMode="External"/><Relationship Id="rId1377" Type="http://schemas.openxmlformats.org/officeDocument/2006/relationships/hyperlink" Target="https://www.oag.com/hubfs/Flourish/United%20States.png" TargetMode="External"/><Relationship Id="rId1367" Type="http://schemas.openxmlformats.org/officeDocument/2006/relationships/hyperlink" Target="https://www.oag.com/hubfs/Flourish/United%20States.png" TargetMode="External"/><Relationship Id="rId2698" Type="http://schemas.openxmlformats.org/officeDocument/2006/relationships/hyperlink" Target="https://www.oag.com/hubfs/Flourish/2-1.png" TargetMode="External"/><Relationship Id="rId1368" Type="http://schemas.openxmlformats.org/officeDocument/2006/relationships/hyperlink" Target="https://www.oag.com/hubfs/Flourish/5.png" TargetMode="External"/><Relationship Id="rId2699" Type="http://schemas.openxmlformats.org/officeDocument/2006/relationships/hyperlink" Target="https://www.oag.com/hubfs/Flourish/United%20States.png" TargetMode="External"/><Relationship Id="rId1369" Type="http://schemas.openxmlformats.org/officeDocument/2006/relationships/hyperlink" Target="https://www.oag.com/hubfs/Flourish/United%20States.png" TargetMode="External"/><Relationship Id="rId778" Type="http://schemas.openxmlformats.org/officeDocument/2006/relationships/hyperlink" Target="https://www.oag.com/hubfs/Flourish/United%20States.png" TargetMode="External"/><Relationship Id="rId777" Type="http://schemas.openxmlformats.org/officeDocument/2006/relationships/hyperlink" Target="https://www.oag.com/hubfs/Flourish/United%20States.png" TargetMode="External"/><Relationship Id="rId776" Type="http://schemas.openxmlformats.org/officeDocument/2006/relationships/hyperlink" Target="https://www.oag.com/hubfs/Flourish/United%20States.png" TargetMode="External"/><Relationship Id="rId775" Type="http://schemas.openxmlformats.org/officeDocument/2006/relationships/hyperlink" Target="https://www.oag.com/hubfs/Flourish/Japan.png" TargetMode="External"/><Relationship Id="rId779" Type="http://schemas.openxmlformats.org/officeDocument/2006/relationships/hyperlink" Target="https://www.oag.com/hubfs/Flourish/United%20States.png" TargetMode="External"/><Relationship Id="rId770" Type="http://schemas.openxmlformats.org/officeDocument/2006/relationships/hyperlink" Target="https://www.oag.com/hubfs/Flourish/China.png" TargetMode="External"/><Relationship Id="rId2690" Type="http://schemas.openxmlformats.org/officeDocument/2006/relationships/hyperlink" Target="https://www.oag.com/hubfs/Flourish/Ireland.png" TargetMode="External"/><Relationship Id="rId1360" Type="http://schemas.openxmlformats.org/officeDocument/2006/relationships/hyperlink" Target="https://www.oag.com/hubfs/Flourish/United%20States.png" TargetMode="External"/><Relationship Id="rId2691" Type="http://schemas.openxmlformats.org/officeDocument/2006/relationships/hyperlink" Target="https://www.oag.com/hubfs/Flourish/Thailand.png" TargetMode="External"/><Relationship Id="rId1361" Type="http://schemas.openxmlformats.org/officeDocument/2006/relationships/hyperlink" Target="https://www.oag.com/hubfs/Flourish/United%20States.png" TargetMode="External"/><Relationship Id="rId2692" Type="http://schemas.openxmlformats.org/officeDocument/2006/relationships/hyperlink" Target="https://www.oag.com/hubfs/Flourish/United%20States.png" TargetMode="External"/><Relationship Id="rId1362" Type="http://schemas.openxmlformats.org/officeDocument/2006/relationships/hyperlink" Target="https://www.oag.com/hubfs/Flourish/2-1.png" TargetMode="External"/><Relationship Id="rId2693" Type="http://schemas.openxmlformats.org/officeDocument/2006/relationships/hyperlink" Target="https://www.oag.com/hubfs/Flourish/3-1.png" TargetMode="External"/><Relationship Id="rId774" Type="http://schemas.openxmlformats.org/officeDocument/2006/relationships/hyperlink" Target="https://www.oag.com/hubfs/Flourish/United%20States.png" TargetMode="External"/><Relationship Id="rId1363" Type="http://schemas.openxmlformats.org/officeDocument/2006/relationships/hyperlink" Target="https://www.oag.com/hubfs/Flourish/United%20States.png" TargetMode="External"/><Relationship Id="rId2694" Type="http://schemas.openxmlformats.org/officeDocument/2006/relationships/hyperlink" Target="https://www.oag.com/hubfs/Flourish/United%20States.png" TargetMode="External"/><Relationship Id="rId773" Type="http://schemas.openxmlformats.org/officeDocument/2006/relationships/hyperlink" Target="https://www.oag.com/hubfs/Flourish/India.png" TargetMode="External"/><Relationship Id="rId1364" Type="http://schemas.openxmlformats.org/officeDocument/2006/relationships/hyperlink" Target="https://www.oag.com/hubfs/Flourish/7.png" TargetMode="External"/><Relationship Id="rId2695" Type="http://schemas.openxmlformats.org/officeDocument/2006/relationships/hyperlink" Target="https://www.oag.com/hubfs/Flourish/United%20States.png" TargetMode="External"/><Relationship Id="rId772" Type="http://schemas.openxmlformats.org/officeDocument/2006/relationships/hyperlink" Target="https://www.oag.com/hubfs/Flourish/United%20States.png" TargetMode="External"/><Relationship Id="rId1365" Type="http://schemas.openxmlformats.org/officeDocument/2006/relationships/hyperlink" Target="https://www.oag.com/hubfs/Flourish/2-1.png" TargetMode="External"/><Relationship Id="rId2696" Type="http://schemas.openxmlformats.org/officeDocument/2006/relationships/hyperlink" Target="https://www.oag.com/hubfs/Flourish/United%20States.png" TargetMode="External"/><Relationship Id="rId771" Type="http://schemas.openxmlformats.org/officeDocument/2006/relationships/hyperlink" Target="https://www.oag.com/hubfs/Flourish/United%20States.png" TargetMode="External"/><Relationship Id="rId1366" Type="http://schemas.openxmlformats.org/officeDocument/2006/relationships/hyperlink" Target="https://www.oag.com/hubfs/Flourish/United%20States.png" TargetMode="External"/><Relationship Id="rId2697" Type="http://schemas.openxmlformats.org/officeDocument/2006/relationships/hyperlink" Target="https://www.oag.com/hubfs/Flourish/United%20States.png" TargetMode="External"/><Relationship Id="rId1390" Type="http://schemas.openxmlformats.org/officeDocument/2006/relationships/hyperlink" Target="https://www.oag.com/hubfs/Flourish/United%20States.png" TargetMode="External"/><Relationship Id="rId1391" Type="http://schemas.openxmlformats.org/officeDocument/2006/relationships/hyperlink" Target="https://www.oag.com/hubfs/Flourish/United%20States.png" TargetMode="External"/><Relationship Id="rId1392" Type="http://schemas.openxmlformats.org/officeDocument/2006/relationships/hyperlink" Target="https://www.oag.com/hubfs/Flourish/2-1.png" TargetMode="External"/><Relationship Id="rId1393" Type="http://schemas.openxmlformats.org/officeDocument/2006/relationships/hyperlink" Target="https://www.oag.com/hubfs/Flourish/United%20States.png" TargetMode="External"/><Relationship Id="rId1394" Type="http://schemas.openxmlformats.org/officeDocument/2006/relationships/hyperlink" Target="https://www.oag.com/hubfs/Flourish/UAE.jpg" TargetMode="External"/><Relationship Id="rId1395" Type="http://schemas.openxmlformats.org/officeDocument/2006/relationships/hyperlink" Target="https://www.oag.com/hubfs/Flourish/8.png" TargetMode="External"/><Relationship Id="rId1396" Type="http://schemas.openxmlformats.org/officeDocument/2006/relationships/hyperlink" Target="https://www.oag.com/hubfs/Flourish/United%20States.png" TargetMode="External"/><Relationship Id="rId1397" Type="http://schemas.openxmlformats.org/officeDocument/2006/relationships/hyperlink" Target="https://www.oag.com/hubfs/Flourish/Japan.png" TargetMode="External"/><Relationship Id="rId1398" Type="http://schemas.openxmlformats.org/officeDocument/2006/relationships/hyperlink" Target="https://www.oag.com/hubfs/Flourish/United%20States.png" TargetMode="External"/><Relationship Id="rId1399" Type="http://schemas.openxmlformats.org/officeDocument/2006/relationships/hyperlink" Target="https://www.oag.com/hubfs/Flourish/8.png" TargetMode="External"/><Relationship Id="rId1389" Type="http://schemas.openxmlformats.org/officeDocument/2006/relationships/hyperlink" Target="https://www.oag.com/hubfs/Flourish/United%20States.png" TargetMode="External"/><Relationship Id="rId799" Type="http://schemas.openxmlformats.org/officeDocument/2006/relationships/hyperlink" Target="https://www.oag.com/hubfs/Flourish/United%20States.png" TargetMode="External"/><Relationship Id="rId798" Type="http://schemas.openxmlformats.org/officeDocument/2006/relationships/hyperlink" Target="https://www.oag.com/hubfs/Flourish/3-1.png" TargetMode="External"/><Relationship Id="rId797" Type="http://schemas.openxmlformats.org/officeDocument/2006/relationships/hyperlink" Target="https://www.oag.com/hubfs/Flourish/3-1.png" TargetMode="External"/><Relationship Id="rId1380" Type="http://schemas.openxmlformats.org/officeDocument/2006/relationships/hyperlink" Target="https://www.oag.com/hubfs/Flourish/8.png" TargetMode="External"/><Relationship Id="rId792" Type="http://schemas.openxmlformats.org/officeDocument/2006/relationships/hyperlink" Target="https://www.oag.com/hubfs/Flourish/India.png" TargetMode="External"/><Relationship Id="rId1381" Type="http://schemas.openxmlformats.org/officeDocument/2006/relationships/hyperlink" Target="https://www.oag.com/hubfs/Flourish/United%20States.png" TargetMode="External"/><Relationship Id="rId791" Type="http://schemas.openxmlformats.org/officeDocument/2006/relationships/hyperlink" Target="https://www.oag.com/hubfs/Flourish/United%20States.png" TargetMode="External"/><Relationship Id="rId1382" Type="http://schemas.openxmlformats.org/officeDocument/2006/relationships/hyperlink" Target="https://www.oag.com/hubfs/Flourish/United%20States.png" TargetMode="External"/><Relationship Id="rId790" Type="http://schemas.openxmlformats.org/officeDocument/2006/relationships/hyperlink" Target="https://www.oag.com/hubfs/Flourish/United%20States.png" TargetMode="External"/><Relationship Id="rId1383" Type="http://schemas.openxmlformats.org/officeDocument/2006/relationships/hyperlink" Target="https://www.oag.com/hubfs/Flourish/8.png" TargetMode="External"/><Relationship Id="rId1384" Type="http://schemas.openxmlformats.org/officeDocument/2006/relationships/hyperlink" Target="https://www.oag.com/hubfs/Flourish/United%20States.png" TargetMode="External"/><Relationship Id="rId796" Type="http://schemas.openxmlformats.org/officeDocument/2006/relationships/hyperlink" Target="https://www.oag.com/hubfs/Flourish/United%20States.png" TargetMode="External"/><Relationship Id="rId1385" Type="http://schemas.openxmlformats.org/officeDocument/2006/relationships/hyperlink" Target="https://www.oag.com/hubfs/Flourish/United%20States.png" TargetMode="External"/><Relationship Id="rId795" Type="http://schemas.openxmlformats.org/officeDocument/2006/relationships/hyperlink" Target="https://www.oag.com/hubfs/Flourish/United%20States.png" TargetMode="External"/><Relationship Id="rId1386" Type="http://schemas.openxmlformats.org/officeDocument/2006/relationships/hyperlink" Target="https://www.oag.com/hubfs/Flourish/United%20States.png" TargetMode="External"/><Relationship Id="rId794" Type="http://schemas.openxmlformats.org/officeDocument/2006/relationships/hyperlink" Target="https://www.oag.com/hubfs/Flourish/United%20States.png" TargetMode="External"/><Relationship Id="rId1387" Type="http://schemas.openxmlformats.org/officeDocument/2006/relationships/hyperlink" Target="https://www.oag.com/hubfs/Flourish/2-1.png" TargetMode="External"/><Relationship Id="rId793" Type="http://schemas.openxmlformats.org/officeDocument/2006/relationships/hyperlink" Target="https://www.oag.com/hubfs/Flourish/4.png" TargetMode="External"/><Relationship Id="rId1388" Type="http://schemas.openxmlformats.org/officeDocument/2006/relationships/hyperlink" Target="https://www.oag.com/hubfs/Flourish/United%20States.png" TargetMode="External"/><Relationship Id="rId2700" Type="http://schemas.openxmlformats.org/officeDocument/2006/relationships/hyperlink" Target="https://www.oag.com/hubfs/Flourish/2-1.png" TargetMode="External"/><Relationship Id="rId2701" Type="http://schemas.openxmlformats.org/officeDocument/2006/relationships/hyperlink" Target="https://www.oag.com/hubfs/Flourish/3-1.png" TargetMode="External"/><Relationship Id="rId2702" Type="http://schemas.openxmlformats.org/officeDocument/2006/relationships/hyperlink" Target="https://www.oag.com/hubfs/Flourish/1-1.png" TargetMode="External"/><Relationship Id="rId2703" Type="http://schemas.openxmlformats.org/officeDocument/2006/relationships/hyperlink" Target="https://www.oag.com/hubfs/Flourish/United%20States.png" TargetMode="External"/><Relationship Id="rId2704" Type="http://schemas.openxmlformats.org/officeDocument/2006/relationships/hyperlink" Target="https://www.oag.com/hubfs/Flourish/United%20States.png" TargetMode="External"/><Relationship Id="rId2705" Type="http://schemas.openxmlformats.org/officeDocument/2006/relationships/hyperlink" Target="https://www.oag.com/hubfs/Flourish/United%20States.png" TargetMode="External"/><Relationship Id="rId2706" Type="http://schemas.openxmlformats.org/officeDocument/2006/relationships/hyperlink" Target="https://www.oag.com/hubfs/Flourish/Japan.png" TargetMode="External"/><Relationship Id="rId2707" Type="http://schemas.openxmlformats.org/officeDocument/2006/relationships/hyperlink" Target="https://www.oag.com/hubfs/Flourish/8.png" TargetMode="External"/><Relationship Id="rId2708" Type="http://schemas.openxmlformats.org/officeDocument/2006/relationships/hyperlink" Target="https://www.oag.com/hubfs/Flourish/United%20States.png" TargetMode="External"/><Relationship Id="rId2709" Type="http://schemas.openxmlformats.org/officeDocument/2006/relationships/hyperlink" Target="https://www.oag.com/hubfs/Flourish/Croatia.png" TargetMode="External"/><Relationship Id="rId2720" Type="http://schemas.openxmlformats.org/officeDocument/2006/relationships/hyperlink" Target="https://www.oag.com/hubfs/Flourish/United%20States.png" TargetMode="External"/><Relationship Id="rId2721" Type="http://schemas.openxmlformats.org/officeDocument/2006/relationships/hyperlink" Target="https://www.oag.com/hubfs/Flourish/United%20States.png" TargetMode="External"/><Relationship Id="rId2722" Type="http://schemas.openxmlformats.org/officeDocument/2006/relationships/hyperlink" Target="https://www.oag.com/hubfs/Flourish/United%20States.png" TargetMode="External"/><Relationship Id="rId2723" Type="http://schemas.openxmlformats.org/officeDocument/2006/relationships/hyperlink" Target="https://www.oag.com/hubfs/Flourish/United%20States.png" TargetMode="External"/><Relationship Id="rId2724" Type="http://schemas.openxmlformats.org/officeDocument/2006/relationships/hyperlink" Target="https://www.oag.com/hubfs/Flourish/United%20States.png" TargetMode="External"/><Relationship Id="rId2725" Type="http://schemas.openxmlformats.org/officeDocument/2006/relationships/hyperlink" Target="https://www.oag.com/hubfs/Flourish/United%20States.png" TargetMode="External"/><Relationship Id="rId2726" Type="http://schemas.openxmlformats.org/officeDocument/2006/relationships/hyperlink" Target="https://www.oag.com/hubfs/Flourish/2-1.png" TargetMode="External"/><Relationship Id="rId2727" Type="http://schemas.openxmlformats.org/officeDocument/2006/relationships/hyperlink" Target="https://www.oag.com/hubfs/Flourish/United%20States.png" TargetMode="External"/><Relationship Id="rId2728" Type="http://schemas.openxmlformats.org/officeDocument/2006/relationships/hyperlink" Target="https://www.oag.com/hubfs/Flourish/8.png" TargetMode="External"/><Relationship Id="rId2729" Type="http://schemas.openxmlformats.org/officeDocument/2006/relationships/hyperlink" Target="https://www.oag.com/hubfs/Flourish/United%20States.png" TargetMode="External"/><Relationship Id="rId2710" Type="http://schemas.openxmlformats.org/officeDocument/2006/relationships/hyperlink" Target="https://www.oag.com/hubfs/Flourish/United%20States.png" TargetMode="External"/><Relationship Id="rId2711" Type="http://schemas.openxmlformats.org/officeDocument/2006/relationships/hyperlink" Target="https://www.oag.com/hubfs/Flourish/United%20States.png" TargetMode="External"/><Relationship Id="rId2712" Type="http://schemas.openxmlformats.org/officeDocument/2006/relationships/hyperlink" Target="https://www.oag.com/hubfs/Flourish/United%20States.png" TargetMode="External"/><Relationship Id="rId2713" Type="http://schemas.openxmlformats.org/officeDocument/2006/relationships/hyperlink" Target="https://www.oag.com/hubfs/Flourish/United%20States.png" TargetMode="External"/><Relationship Id="rId2714" Type="http://schemas.openxmlformats.org/officeDocument/2006/relationships/hyperlink" Target="https://www.oag.com/hubfs/Flourish/United%20States.png" TargetMode="External"/><Relationship Id="rId2715" Type="http://schemas.openxmlformats.org/officeDocument/2006/relationships/hyperlink" Target="https://www.oag.com/hubfs/Flourish/United%20States.png" TargetMode="External"/><Relationship Id="rId2716" Type="http://schemas.openxmlformats.org/officeDocument/2006/relationships/hyperlink" Target="https://www.oag.com/hubfs/Flourish/India.png" TargetMode="External"/><Relationship Id="rId2717" Type="http://schemas.openxmlformats.org/officeDocument/2006/relationships/hyperlink" Target="https://www.oag.com/hubfs/Flourish/United%20States.png" TargetMode="External"/><Relationship Id="rId2718" Type="http://schemas.openxmlformats.org/officeDocument/2006/relationships/hyperlink" Target="https://www.oag.com/hubfs/Flourish/United%20States.png" TargetMode="External"/><Relationship Id="rId2719" Type="http://schemas.openxmlformats.org/officeDocument/2006/relationships/hyperlink" Target="https://www.oag.com/hubfs/Flourish/S%20Korea.jpg" TargetMode="External"/><Relationship Id="rId1455" Type="http://schemas.openxmlformats.org/officeDocument/2006/relationships/hyperlink" Target="https://www.oag.com/hubfs/Flourish/Japan.png" TargetMode="External"/><Relationship Id="rId2786" Type="http://schemas.openxmlformats.org/officeDocument/2006/relationships/hyperlink" Target="https://www.oag.com/hubfs/Flourish/China.png" TargetMode="External"/><Relationship Id="rId1456" Type="http://schemas.openxmlformats.org/officeDocument/2006/relationships/hyperlink" Target="https://www.oag.com/hubfs/Flourish/United%20States.png" TargetMode="External"/><Relationship Id="rId2787" Type="http://schemas.openxmlformats.org/officeDocument/2006/relationships/hyperlink" Target="https://www.oag.com/hubfs/Flourish/7.png" TargetMode="External"/><Relationship Id="rId1457" Type="http://schemas.openxmlformats.org/officeDocument/2006/relationships/hyperlink" Target="https://www.oag.com/hubfs/Flourish/United%20States.png" TargetMode="External"/><Relationship Id="rId2788" Type="http://schemas.openxmlformats.org/officeDocument/2006/relationships/hyperlink" Target="https://www.oag.com/hubfs/Flourish/5.png" TargetMode="External"/><Relationship Id="rId1458" Type="http://schemas.openxmlformats.org/officeDocument/2006/relationships/hyperlink" Target="https://www.oag.com/hubfs/Flourish/India.png" TargetMode="External"/><Relationship Id="rId2789" Type="http://schemas.openxmlformats.org/officeDocument/2006/relationships/hyperlink" Target="https://www.oag.com/hubfs/Flourish/1-1.png" TargetMode="External"/><Relationship Id="rId1459" Type="http://schemas.openxmlformats.org/officeDocument/2006/relationships/hyperlink" Target="https://www.oag.com/hubfs/Flourish/India.png" TargetMode="External"/><Relationship Id="rId629" Type="http://schemas.openxmlformats.org/officeDocument/2006/relationships/hyperlink" Target="https://www.oag.com/hubfs/Flourish/United%20States.png" TargetMode="External"/><Relationship Id="rId624" Type="http://schemas.openxmlformats.org/officeDocument/2006/relationships/hyperlink" Target="https://www.oag.com/hubfs/Flourish/United%20States.png" TargetMode="External"/><Relationship Id="rId623" Type="http://schemas.openxmlformats.org/officeDocument/2006/relationships/hyperlink" Target="https://www.oag.com/hubfs/Flourish/United%20States.png" TargetMode="External"/><Relationship Id="rId622" Type="http://schemas.openxmlformats.org/officeDocument/2006/relationships/hyperlink" Target="https://www.oag.com/hubfs/Flourish/United%20States.png" TargetMode="External"/><Relationship Id="rId621" Type="http://schemas.openxmlformats.org/officeDocument/2006/relationships/hyperlink" Target="https://www.oag.com/hubfs/Flourish/United%20States.png" TargetMode="External"/><Relationship Id="rId628" Type="http://schemas.openxmlformats.org/officeDocument/2006/relationships/hyperlink" Target="https://www.oag.com/hubfs/Flourish/United%20States.png" TargetMode="External"/><Relationship Id="rId627" Type="http://schemas.openxmlformats.org/officeDocument/2006/relationships/hyperlink" Target="https://www.oag.com/hubfs/Flourish/United%20States.png" TargetMode="External"/><Relationship Id="rId626" Type="http://schemas.openxmlformats.org/officeDocument/2006/relationships/hyperlink" Target="https://www.oag.com/hubfs/Flourish/United%20States.png" TargetMode="External"/><Relationship Id="rId625" Type="http://schemas.openxmlformats.org/officeDocument/2006/relationships/hyperlink" Target="https://www.oag.com/hubfs/Flourish/United%20States.png" TargetMode="External"/><Relationship Id="rId2780" Type="http://schemas.openxmlformats.org/officeDocument/2006/relationships/hyperlink" Target="https://www.oag.com/hubfs/Flourish/Mexico.png" TargetMode="External"/><Relationship Id="rId1450" Type="http://schemas.openxmlformats.org/officeDocument/2006/relationships/hyperlink" Target="https://www.oag.com/hubfs/Flourish/United%20States.png" TargetMode="External"/><Relationship Id="rId2781" Type="http://schemas.openxmlformats.org/officeDocument/2006/relationships/hyperlink" Target="https://www.oag.com/hubfs/Flourish/United%20States.png" TargetMode="External"/><Relationship Id="rId620" Type="http://schemas.openxmlformats.org/officeDocument/2006/relationships/hyperlink" Target="https://www.oag.com/hubfs/Flourish/United%20States.png" TargetMode="External"/><Relationship Id="rId1451" Type="http://schemas.openxmlformats.org/officeDocument/2006/relationships/hyperlink" Target="https://www.oag.com/hubfs/Flourish/United%20States.png" TargetMode="External"/><Relationship Id="rId2782" Type="http://schemas.openxmlformats.org/officeDocument/2006/relationships/hyperlink" Target="https://www.oag.com/hubfs/Flourish/China.png" TargetMode="External"/><Relationship Id="rId1452" Type="http://schemas.openxmlformats.org/officeDocument/2006/relationships/hyperlink" Target="https://www.oag.com/hubfs/Flourish/2-1.png" TargetMode="External"/><Relationship Id="rId2783" Type="http://schemas.openxmlformats.org/officeDocument/2006/relationships/hyperlink" Target="https://www.oag.com/hubfs/Flourish/United%20States.png" TargetMode="External"/><Relationship Id="rId1453" Type="http://schemas.openxmlformats.org/officeDocument/2006/relationships/hyperlink" Target="https://www.oag.com/hubfs/Flourish/United%20States.png" TargetMode="External"/><Relationship Id="rId2784" Type="http://schemas.openxmlformats.org/officeDocument/2006/relationships/hyperlink" Target="https://www.oag.com/hubfs/Flourish/Thailand.png" TargetMode="External"/><Relationship Id="rId1454" Type="http://schemas.openxmlformats.org/officeDocument/2006/relationships/hyperlink" Target="https://www.oag.com/hubfs/Flourish/United%20States.png" TargetMode="External"/><Relationship Id="rId2785" Type="http://schemas.openxmlformats.org/officeDocument/2006/relationships/hyperlink" Target="https://www.oag.com/hubfs/Flourish/United%20States.png" TargetMode="External"/><Relationship Id="rId1444" Type="http://schemas.openxmlformats.org/officeDocument/2006/relationships/hyperlink" Target="https://www.oag.com/hubfs/Flourish/United%20States.png" TargetMode="External"/><Relationship Id="rId2775" Type="http://schemas.openxmlformats.org/officeDocument/2006/relationships/hyperlink" Target="https://www.oag.com/hubfs/Flourish/United%20States.png" TargetMode="External"/><Relationship Id="rId1445" Type="http://schemas.openxmlformats.org/officeDocument/2006/relationships/hyperlink" Target="https://www.oag.com/hubfs/Flourish/United%20States.png" TargetMode="External"/><Relationship Id="rId2776" Type="http://schemas.openxmlformats.org/officeDocument/2006/relationships/hyperlink" Target="https://www.oag.com/hubfs/Flourish/United%20States.png" TargetMode="External"/><Relationship Id="rId1446" Type="http://schemas.openxmlformats.org/officeDocument/2006/relationships/hyperlink" Target="https://www.oag.com/hubfs/Flourish/United%20States.png" TargetMode="External"/><Relationship Id="rId2777" Type="http://schemas.openxmlformats.org/officeDocument/2006/relationships/hyperlink" Target="https://www.oag.com/hubfs/Flourish/China.png" TargetMode="External"/><Relationship Id="rId1447" Type="http://schemas.openxmlformats.org/officeDocument/2006/relationships/hyperlink" Target="https://www.oag.com/hubfs/Flourish/China.png" TargetMode="External"/><Relationship Id="rId2778" Type="http://schemas.openxmlformats.org/officeDocument/2006/relationships/hyperlink" Target="https://www.oag.com/hubfs/Flourish/United%20States.png" TargetMode="External"/><Relationship Id="rId1448" Type="http://schemas.openxmlformats.org/officeDocument/2006/relationships/hyperlink" Target="https://www.oag.com/hubfs/Flourish/United%20States.png" TargetMode="External"/><Relationship Id="rId2779" Type="http://schemas.openxmlformats.org/officeDocument/2006/relationships/hyperlink" Target="https://www.oag.com/hubfs/Flourish/United%20States.png" TargetMode="External"/><Relationship Id="rId1449" Type="http://schemas.openxmlformats.org/officeDocument/2006/relationships/hyperlink" Target="https://www.oag.com/hubfs/Flourish/United%20States.png" TargetMode="External"/><Relationship Id="rId619" Type="http://schemas.openxmlformats.org/officeDocument/2006/relationships/hyperlink" Target="https://www.oag.com/hubfs/Flourish/United%20States.png" TargetMode="External"/><Relationship Id="rId618" Type="http://schemas.openxmlformats.org/officeDocument/2006/relationships/hyperlink" Target="https://www.oag.com/hubfs/Flourish/United%20States.png" TargetMode="External"/><Relationship Id="rId613" Type="http://schemas.openxmlformats.org/officeDocument/2006/relationships/hyperlink" Target="https://www.oag.com/hubfs/Flourish/United%20States.png" TargetMode="External"/><Relationship Id="rId612" Type="http://schemas.openxmlformats.org/officeDocument/2006/relationships/hyperlink" Target="https://www.oag.com/hubfs/Flourish/United%20States.png" TargetMode="External"/><Relationship Id="rId611" Type="http://schemas.openxmlformats.org/officeDocument/2006/relationships/hyperlink" Target="https://www.oag.com/hubfs/Flourish/2-1.png" TargetMode="External"/><Relationship Id="rId610" Type="http://schemas.openxmlformats.org/officeDocument/2006/relationships/hyperlink" Target="https://www.oag.com/hubfs/Flourish/United%20States.png" TargetMode="External"/><Relationship Id="rId617" Type="http://schemas.openxmlformats.org/officeDocument/2006/relationships/hyperlink" Target="https://www.oag.com/hubfs/Flourish/United%20States.png" TargetMode="External"/><Relationship Id="rId616" Type="http://schemas.openxmlformats.org/officeDocument/2006/relationships/hyperlink" Target="https://www.oag.com/hubfs/Flourish/United%20States.png" TargetMode="External"/><Relationship Id="rId615" Type="http://schemas.openxmlformats.org/officeDocument/2006/relationships/hyperlink" Target="https://www.oag.com/hubfs/Flourish/United%20States.png" TargetMode="External"/><Relationship Id="rId614" Type="http://schemas.openxmlformats.org/officeDocument/2006/relationships/hyperlink" Target="https://www.oag.com/hubfs/Flourish/United%20States.png" TargetMode="External"/><Relationship Id="rId2770" Type="http://schemas.openxmlformats.org/officeDocument/2006/relationships/hyperlink" Target="https://www.oag.com/hubfs/Flourish/Mexico.png" TargetMode="External"/><Relationship Id="rId1440" Type="http://schemas.openxmlformats.org/officeDocument/2006/relationships/hyperlink" Target="https://www.oag.com/hubfs/Flourish/1-1.png" TargetMode="External"/><Relationship Id="rId2771" Type="http://schemas.openxmlformats.org/officeDocument/2006/relationships/hyperlink" Target="https://www.oag.com/hubfs/Flourish/United%20States.png" TargetMode="External"/><Relationship Id="rId1441" Type="http://schemas.openxmlformats.org/officeDocument/2006/relationships/hyperlink" Target="https://www.oag.com/hubfs/Flourish/China.png" TargetMode="External"/><Relationship Id="rId2772" Type="http://schemas.openxmlformats.org/officeDocument/2006/relationships/hyperlink" Target="https://www.oag.com/hubfs/Flourish/China.png" TargetMode="External"/><Relationship Id="rId1442" Type="http://schemas.openxmlformats.org/officeDocument/2006/relationships/hyperlink" Target="https://www.oag.com/hubfs/Flourish/Japan.png" TargetMode="External"/><Relationship Id="rId2773" Type="http://schemas.openxmlformats.org/officeDocument/2006/relationships/hyperlink" Target="https://www.oag.com/hubfs/Flourish/Mexico.png" TargetMode="External"/><Relationship Id="rId1443" Type="http://schemas.openxmlformats.org/officeDocument/2006/relationships/hyperlink" Target="https://www.oag.com/hubfs/Flourish/Japan.png" TargetMode="External"/><Relationship Id="rId2774" Type="http://schemas.openxmlformats.org/officeDocument/2006/relationships/hyperlink" Target="https://www.oag.com/hubfs/Flourish/6.png" TargetMode="External"/><Relationship Id="rId1477" Type="http://schemas.openxmlformats.org/officeDocument/2006/relationships/hyperlink" Target="https://www.oag.com/hubfs/Flourish/United%20States.png" TargetMode="External"/><Relationship Id="rId1478" Type="http://schemas.openxmlformats.org/officeDocument/2006/relationships/hyperlink" Target="https://www.oag.com/hubfs/Flourish/8.png" TargetMode="External"/><Relationship Id="rId1479" Type="http://schemas.openxmlformats.org/officeDocument/2006/relationships/hyperlink" Target="https://www.oag.com/hubfs/Flourish/United%20States.png" TargetMode="External"/><Relationship Id="rId646" Type="http://schemas.openxmlformats.org/officeDocument/2006/relationships/hyperlink" Target="https://www.oag.com/hubfs/Flourish/5.png" TargetMode="External"/><Relationship Id="rId645" Type="http://schemas.openxmlformats.org/officeDocument/2006/relationships/hyperlink" Target="https://www.oag.com/hubfs/Flourish/S%20Korea.jpg" TargetMode="External"/><Relationship Id="rId644" Type="http://schemas.openxmlformats.org/officeDocument/2006/relationships/hyperlink" Target="https://www.oag.com/hubfs/Flourish/3-1.png" TargetMode="External"/><Relationship Id="rId643" Type="http://schemas.openxmlformats.org/officeDocument/2006/relationships/hyperlink" Target="https://www.oag.com/hubfs/Flourish/Japan.png" TargetMode="External"/><Relationship Id="rId649" Type="http://schemas.openxmlformats.org/officeDocument/2006/relationships/hyperlink" Target="https://www.oag.com/hubfs/Flourish/2-1.png" TargetMode="External"/><Relationship Id="rId648" Type="http://schemas.openxmlformats.org/officeDocument/2006/relationships/hyperlink" Target="https://www.oag.com/hubfs/Flourish/2-1.png" TargetMode="External"/><Relationship Id="rId647" Type="http://schemas.openxmlformats.org/officeDocument/2006/relationships/hyperlink" Target="https://www.oag.com/hubfs/Flourish/8.png" TargetMode="External"/><Relationship Id="rId1470" Type="http://schemas.openxmlformats.org/officeDocument/2006/relationships/hyperlink" Target="https://www.oag.com/hubfs/Flourish/United%20States.png" TargetMode="External"/><Relationship Id="rId1471" Type="http://schemas.openxmlformats.org/officeDocument/2006/relationships/hyperlink" Target="https://www.oag.com/hubfs/Flourish/United%20States.png" TargetMode="External"/><Relationship Id="rId1472" Type="http://schemas.openxmlformats.org/officeDocument/2006/relationships/hyperlink" Target="https://www.oag.com/hubfs/Flourish/United%20States.png" TargetMode="External"/><Relationship Id="rId642" Type="http://schemas.openxmlformats.org/officeDocument/2006/relationships/hyperlink" Target="https://www.oag.com/hubfs/Flourish/Japan.png" TargetMode="External"/><Relationship Id="rId1473" Type="http://schemas.openxmlformats.org/officeDocument/2006/relationships/hyperlink" Target="https://www.oag.com/hubfs/Flourish/United%20States.png" TargetMode="External"/><Relationship Id="rId641" Type="http://schemas.openxmlformats.org/officeDocument/2006/relationships/hyperlink" Target="https://www.oag.com/hubfs/Flourish/Japan.png" TargetMode="External"/><Relationship Id="rId1474" Type="http://schemas.openxmlformats.org/officeDocument/2006/relationships/hyperlink" Target="https://www.oag.com/hubfs/Flourish/3-1.png" TargetMode="External"/><Relationship Id="rId640" Type="http://schemas.openxmlformats.org/officeDocument/2006/relationships/hyperlink" Target="https://www.oag.com/hubfs/Flourish/2-1.png" TargetMode="External"/><Relationship Id="rId1475" Type="http://schemas.openxmlformats.org/officeDocument/2006/relationships/hyperlink" Target="https://www.oag.com/hubfs/Flourish/United%20States.png" TargetMode="External"/><Relationship Id="rId1476" Type="http://schemas.openxmlformats.org/officeDocument/2006/relationships/hyperlink" Target="https://www.oag.com/hubfs/Flourish/United%20States.png" TargetMode="External"/><Relationship Id="rId1466" Type="http://schemas.openxmlformats.org/officeDocument/2006/relationships/hyperlink" Target="https://www.oag.com/hubfs/Flourish/Poland.png" TargetMode="External"/><Relationship Id="rId2797" Type="http://schemas.openxmlformats.org/officeDocument/2006/relationships/hyperlink" Target="https://www.oag.com/hubfs/Flourish/Thailand.png" TargetMode="External"/><Relationship Id="rId1467" Type="http://schemas.openxmlformats.org/officeDocument/2006/relationships/hyperlink" Target="https://www.oag.com/hubfs/Flourish/United%20States.png" TargetMode="External"/><Relationship Id="rId2798" Type="http://schemas.openxmlformats.org/officeDocument/2006/relationships/hyperlink" Target="https://www.oag.com/hubfs/Flourish/Mexico.png" TargetMode="External"/><Relationship Id="rId1468" Type="http://schemas.openxmlformats.org/officeDocument/2006/relationships/hyperlink" Target="https://www.oag.com/hubfs/Flourish/United%20States.png" TargetMode="External"/><Relationship Id="rId2799" Type="http://schemas.openxmlformats.org/officeDocument/2006/relationships/hyperlink" Target="https://www.oag.com/hubfs/Flourish/United%20States.png" TargetMode="External"/><Relationship Id="rId1469" Type="http://schemas.openxmlformats.org/officeDocument/2006/relationships/hyperlink" Target="https://www.oag.com/hubfs/Flourish/United%20States.png" TargetMode="External"/><Relationship Id="rId635" Type="http://schemas.openxmlformats.org/officeDocument/2006/relationships/hyperlink" Target="https://www.oag.com/hubfs/Flourish/2-1.png" TargetMode="External"/><Relationship Id="rId634" Type="http://schemas.openxmlformats.org/officeDocument/2006/relationships/hyperlink" Target="https://www.oag.com/hubfs/Flourish/2-1.png" TargetMode="External"/><Relationship Id="rId633" Type="http://schemas.openxmlformats.org/officeDocument/2006/relationships/hyperlink" Target="https://www.oag.com/hubfs/Flourish/2-1.png" TargetMode="External"/><Relationship Id="rId632" Type="http://schemas.openxmlformats.org/officeDocument/2006/relationships/hyperlink" Target="https://www.oag.com/hubfs/Flourish/2-1.png" TargetMode="External"/><Relationship Id="rId639" Type="http://schemas.openxmlformats.org/officeDocument/2006/relationships/hyperlink" Target="https://www.oag.com/hubfs/Flourish/3-1.png" TargetMode="External"/><Relationship Id="rId638" Type="http://schemas.openxmlformats.org/officeDocument/2006/relationships/hyperlink" Target="https://www.oag.com/hubfs/Flourish/United%20States.png" TargetMode="External"/><Relationship Id="rId637" Type="http://schemas.openxmlformats.org/officeDocument/2006/relationships/hyperlink" Target="https://www.oag.com/hubfs/Flourish/S%20Korea.jpg" TargetMode="External"/><Relationship Id="rId636" Type="http://schemas.openxmlformats.org/officeDocument/2006/relationships/hyperlink" Target="https://www.oag.com/hubfs/Flourish/2-1.png" TargetMode="External"/><Relationship Id="rId2790" Type="http://schemas.openxmlformats.org/officeDocument/2006/relationships/hyperlink" Target="https://www.oag.com/hubfs/Flourish/United%20States.png" TargetMode="External"/><Relationship Id="rId1460" Type="http://schemas.openxmlformats.org/officeDocument/2006/relationships/hyperlink" Target="https://www.oag.com/hubfs/Flourish/United%20States.png" TargetMode="External"/><Relationship Id="rId2791" Type="http://schemas.openxmlformats.org/officeDocument/2006/relationships/hyperlink" Target="https://www.oag.com/hubfs/Flourish/India.png" TargetMode="External"/><Relationship Id="rId1461" Type="http://schemas.openxmlformats.org/officeDocument/2006/relationships/hyperlink" Target="https://www.oag.com/hubfs/Flourish/United%20States.png" TargetMode="External"/><Relationship Id="rId2792" Type="http://schemas.openxmlformats.org/officeDocument/2006/relationships/hyperlink" Target="https://www.oag.com/hubfs/Flourish/1-1.png" TargetMode="External"/><Relationship Id="rId631" Type="http://schemas.openxmlformats.org/officeDocument/2006/relationships/hyperlink" Target="https://www.oag.com/hubfs/Flourish/United%20States.png" TargetMode="External"/><Relationship Id="rId1462" Type="http://schemas.openxmlformats.org/officeDocument/2006/relationships/hyperlink" Target="https://www.oag.com/hubfs/Flourish/United%20States.png" TargetMode="External"/><Relationship Id="rId2793" Type="http://schemas.openxmlformats.org/officeDocument/2006/relationships/hyperlink" Target="https://www.oag.com/hubfs/Flourish/1-1.png" TargetMode="External"/><Relationship Id="rId630" Type="http://schemas.openxmlformats.org/officeDocument/2006/relationships/hyperlink" Target="https://www.oag.com/hubfs/Flourish/United%20States.png" TargetMode="External"/><Relationship Id="rId1463" Type="http://schemas.openxmlformats.org/officeDocument/2006/relationships/hyperlink" Target="https://www.oag.com/hubfs/Flourish/United%20States.png" TargetMode="External"/><Relationship Id="rId2794" Type="http://schemas.openxmlformats.org/officeDocument/2006/relationships/hyperlink" Target="https://www.oag.com/hubfs/Flourish/China.png" TargetMode="External"/><Relationship Id="rId1464" Type="http://schemas.openxmlformats.org/officeDocument/2006/relationships/hyperlink" Target="https://www.oag.com/hubfs/Flourish/United%20States.png" TargetMode="External"/><Relationship Id="rId2795" Type="http://schemas.openxmlformats.org/officeDocument/2006/relationships/hyperlink" Target="https://www.oag.com/hubfs/Flourish/Mexico.png" TargetMode="External"/><Relationship Id="rId1465" Type="http://schemas.openxmlformats.org/officeDocument/2006/relationships/hyperlink" Target="https://www.oag.com/hubfs/Flourish/Mexico.png" TargetMode="External"/><Relationship Id="rId2796" Type="http://schemas.openxmlformats.org/officeDocument/2006/relationships/hyperlink" Target="https://www.oag.com/hubfs/Flourish/8.png" TargetMode="External"/><Relationship Id="rId1411" Type="http://schemas.openxmlformats.org/officeDocument/2006/relationships/hyperlink" Target="https://www.oag.com/hubfs/Flourish/8.png" TargetMode="External"/><Relationship Id="rId2742" Type="http://schemas.openxmlformats.org/officeDocument/2006/relationships/hyperlink" Target="https://www.oag.com/hubfs/Flourish/1-1.png" TargetMode="External"/><Relationship Id="rId1412" Type="http://schemas.openxmlformats.org/officeDocument/2006/relationships/hyperlink" Target="https://www.oag.com/hubfs/Flourish/5.png" TargetMode="External"/><Relationship Id="rId2743" Type="http://schemas.openxmlformats.org/officeDocument/2006/relationships/hyperlink" Target="https://www.oag.com/hubfs/Flourish/United%20States.png" TargetMode="External"/><Relationship Id="rId1413" Type="http://schemas.openxmlformats.org/officeDocument/2006/relationships/hyperlink" Target="https://www.oag.com/hubfs/Flourish/3-1.png" TargetMode="External"/><Relationship Id="rId2744" Type="http://schemas.openxmlformats.org/officeDocument/2006/relationships/hyperlink" Target="https://www.oag.com/hubfs/Flourish/China.png" TargetMode="External"/><Relationship Id="rId1414" Type="http://schemas.openxmlformats.org/officeDocument/2006/relationships/hyperlink" Target="https://www.oag.com/hubfs/Flourish/United%20States.png" TargetMode="External"/><Relationship Id="rId2745" Type="http://schemas.openxmlformats.org/officeDocument/2006/relationships/hyperlink" Target="https://www.oag.com/hubfs/Flourish/United%20States.png" TargetMode="External"/><Relationship Id="rId1415" Type="http://schemas.openxmlformats.org/officeDocument/2006/relationships/hyperlink" Target="https://www.oag.com/hubfs/Flourish/United%20States.png" TargetMode="External"/><Relationship Id="rId2746" Type="http://schemas.openxmlformats.org/officeDocument/2006/relationships/hyperlink" Target="https://www.oag.com/hubfs/Flourish/United%20States.png" TargetMode="External"/><Relationship Id="rId1416" Type="http://schemas.openxmlformats.org/officeDocument/2006/relationships/hyperlink" Target="https://www.oag.com/hubfs/Flourish/United%20States.png" TargetMode="External"/><Relationship Id="rId2747" Type="http://schemas.openxmlformats.org/officeDocument/2006/relationships/hyperlink" Target="https://www.oag.com/hubfs/Flourish/2-1.png" TargetMode="External"/><Relationship Id="rId1417" Type="http://schemas.openxmlformats.org/officeDocument/2006/relationships/hyperlink" Target="https://www.oag.com/hubfs/Flourish/6.png" TargetMode="External"/><Relationship Id="rId2748" Type="http://schemas.openxmlformats.org/officeDocument/2006/relationships/hyperlink" Target="https://www.oag.com/hubfs/Flourish/S%20Korea.jpg" TargetMode="External"/><Relationship Id="rId1418" Type="http://schemas.openxmlformats.org/officeDocument/2006/relationships/hyperlink" Target="https://www.oag.com/hubfs/Flourish/China.png" TargetMode="External"/><Relationship Id="rId2749" Type="http://schemas.openxmlformats.org/officeDocument/2006/relationships/hyperlink" Target="https://www.oag.com/hubfs/Flourish/3-1.png" TargetMode="External"/><Relationship Id="rId1419" Type="http://schemas.openxmlformats.org/officeDocument/2006/relationships/hyperlink" Target="https://www.oag.com/hubfs/Flourish/United%20States.png" TargetMode="External"/><Relationship Id="rId2740" Type="http://schemas.openxmlformats.org/officeDocument/2006/relationships/hyperlink" Target="https://www.oag.com/hubfs/Flourish/United%20States.png" TargetMode="External"/><Relationship Id="rId1410" Type="http://schemas.openxmlformats.org/officeDocument/2006/relationships/hyperlink" Target="https://www.oag.com/hubfs/Flourish/United%20States.png" TargetMode="External"/><Relationship Id="rId2741" Type="http://schemas.openxmlformats.org/officeDocument/2006/relationships/hyperlink" Target="https://www.oag.com/hubfs/Flourish/United%20States.png" TargetMode="External"/><Relationship Id="rId1400" Type="http://schemas.openxmlformats.org/officeDocument/2006/relationships/hyperlink" Target="https://www.oag.com/hubfs/Flourish/United%20States.png" TargetMode="External"/><Relationship Id="rId2731" Type="http://schemas.openxmlformats.org/officeDocument/2006/relationships/hyperlink" Target="https://www.oag.com/hubfs/Flourish/United%20States.png" TargetMode="External"/><Relationship Id="rId1401" Type="http://schemas.openxmlformats.org/officeDocument/2006/relationships/hyperlink" Target="https://www.oag.com/hubfs/Flourish/United%20States.png" TargetMode="External"/><Relationship Id="rId2732" Type="http://schemas.openxmlformats.org/officeDocument/2006/relationships/hyperlink" Target="https://www.oag.com/hubfs/Flourish/6.png" TargetMode="External"/><Relationship Id="rId1402" Type="http://schemas.openxmlformats.org/officeDocument/2006/relationships/hyperlink" Target="https://www.oag.com/hubfs/Flourish/United%20States.png" TargetMode="External"/><Relationship Id="rId2733" Type="http://schemas.openxmlformats.org/officeDocument/2006/relationships/hyperlink" Target="https://www.oag.com/hubfs/Flourish/United%20States.png" TargetMode="External"/><Relationship Id="rId1403" Type="http://schemas.openxmlformats.org/officeDocument/2006/relationships/hyperlink" Target="https://www.oag.com/hubfs/Flourish/6.png" TargetMode="External"/><Relationship Id="rId2734" Type="http://schemas.openxmlformats.org/officeDocument/2006/relationships/hyperlink" Target="https://www.oag.com/hubfs/Flourish/United%20States.png" TargetMode="External"/><Relationship Id="rId1404" Type="http://schemas.openxmlformats.org/officeDocument/2006/relationships/hyperlink" Target="https://www.oag.com/hubfs/Flourish/United%20States.png" TargetMode="External"/><Relationship Id="rId2735" Type="http://schemas.openxmlformats.org/officeDocument/2006/relationships/hyperlink" Target="https://www.oag.com/hubfs/Flourish/United%20States.png" TargetMode="External"/><Relationship Id="rId1405" Type="http://schemas.openxmlformats.org/officeDocument/2006/relationships/hyperlink" Target="https://www.oag.com/hubfs/Flourish/5.png" TargetMode="External"/><Relationship Id="rId2736" Type="http://schemas.openxmlformats.org/officeDocument/2006/relationships/hyperlink" Target="https://www.oag.com/hubfs/Flourish/United%20States.png" TargetMode="External"/><Relationship Id="rId1406" Type="http://schemas.openxmlformats.org/officeDocument/2006/relationships/hyperlink" Target="https://www.oag.com/hubfs/Flourish/United%20States.png" TargetMode="External"/><Relationship Id="rId2737" Type="http://schemas.openxmlformats.org/officeDocument/2006/relationships/hyperlink" Target="https://www.oag.com/hubfs/Flourish/United%20States.png" TargetMode="External"/><Relationship Id="rId1407" Type="http://schemas.openxmlformats.org/officeDocument/2006/relationships/hyperlink" Target="https://www.oag.com/hubfs/Flourish/8.png" TargetMode="External"/><Relationship Id="rId2738" Type="http://schemas.openxmlformats.org/officeDocument/2006/relationships/hyperlink" Target="https://www.oag.com/hubfs/Flourish/United%20States.png" TargetMode="External"/><Relationship Id="rId1408" Type="http://schemas.openxmlformats.org/officeDocument/2006/relationships/hyperlink" Target="https://www.oag.com/hubfs/Flourish/United%20States.png" TargetMode="External"/><Relationship Id="rId2739" Type="http://schemas.openxmlformats.org/officeDocument/2006/relationships/hyperlink" Target="https://www.oag.com/hubfs/Flourish/United%20States.png" TargetMode="External"/><Relationship Id="rId1409" Type="http://schemas.openxmlformats.org/officeDocument/2006/relationships/hyperlink" Target="https://www.oag.com/hubfs/Flourish/8.png" TargetMode="External"/><Relationship Id="rId2730" Type="http://schemas.openxmlformats.org/officeDocument/2006/relationships/hyperlink" Target="https://www.oag.com/hubfs/Flourish/India.png" TargetMode="External"/><Relationship Id="rId1433" Type="http://schemas.openxmlformats.org/officeDocument/2006/relationships/hyperlink" Target="https://www.oag.com/hubfs/Flourish/United%20States.png" TargetMode="External"/><Relationship Id="rId2764" Type="http://schemas.openxmlformats.org/officeDocument/2006/relationships/hyperlink" Target="https://www.oag.com/hubfs/Flourish/8.png" TargetMode="External"/><Relationship Id="rId1434" Type="http://schemas.openxmlformats.org/officeDocument/2006/relationships/hyperlink" Target="https://www.oag.com/hubfs/Flourish/2-1.png" TargetMode="External"/><Relationship Id="rId2765" Type="http://schemas.openxmlformats.org/officeDocument/2006/relationships/hyperlink" Target="https://www.oag.com/hubfs/Flourish/China.png" TargetMode="External"/><Relationship Id="rId1435" Type="http://schemas.openxmlformats.org/officeDocument/2006/relationships/hyperlink" Target="https://www.oag.com/hubfs/Flourish/United%20States.png" TargetMode="External"/><Relationship Id="rId2766" Type="http://schemas.openxmlformats.org/officeDocument/2006/relationships/hyperlink" Target="https://www.oag.com/hubfs/Flourish/Poland.png" TargetMode="External"/><Relationship Id="rId1436" Type="http://schemas.openxmlformats.org/officeDocument/2006/relationships/hyperlink" Target="https://www.oag.com/hubfs/Flourish/United%20States.png" TargetMode="External"/><Relationship Id="rId2767" Type="http://schemas.openxmlformats.org/officeDocument/2006/relationships/hyperlink" Target="https://www.oag.com/hubfs/Flourish/Poland.png" TargetMode="External"/><Relationship Id="rId1437" Type="http://schemas.openxmlformats.org/officeDocument/2006/relationships/hyperlink" Target="https://www.oag.com/hubfs/Flourish/United%20States.png" TargetMode="External"/><Relationship Id="rId2768" Type="http://schemas.openxmlformats.org/officeDocument/2006/relationships/hyperlink" Target="https://www.oag.com/hubfs/Flourish/S%20Korea.jpg" TargetMode="External"/><Relationship Id="rId1438" Type="http://schemas.openxmlformats.org/officeDocument/2006/relationships/hyperlink" Target="https://www.oag.com/hubfs/Flourish/United%20States.png" TargetMode="External"/><Relationship Id="rId2769" Type="http://schemas.openxmlformats.org/officeDocument/2006/relationships/hyperlink" Target="https://www.oag.com/hubfs/Flourish/Japan.png" TargetMode="External"/><Relationship Id="rId1439" Type="http://schemas.openxmlformats.org/officeDocument/2006/relationships/hyperlink" Target="https://www.oag.com/hubfs/Flourish/United%20States.png" TargetMode="External"/><Relationship Id="rId609" Type="http://schemas.openxmlformats.org/officeDocument/2006/relationships/hyperlink" Target="https://www.oag.com/hubfs/Flourish/United%20States.png" TargetMode="External"/><Relationship Id="rId608" Type="http://schemas.openxmlformats.org/officeDocument/2006/relationships/hyperlink" Target="https://www.oag.com/hubfs/Flourish/United%20States.png" TargetMode="External"/><Relationship Id="rId607" Type="http://schemas.openxmlformats.org/officeDocument/2006/relationships/hyperlink" Target="https://www.oag.com/hubfs/Flourish/1-1.png" TargetMode="External"/><Relationship Id="rId602" Type="http://schemas.openxmlformats.org/officeDocument/2006/relationships/hyperlink" Target="https://www.oag.com/hubfs/Flourish/United%20States.png" TargetMode="External"/><Relationship Id="rId601" Type="http://schemas.openxmlformats.org/officeDocument/2006/relationships/hyperlink" Target="https://www.oag.com/hubfs/Flourish/2-1.png" TargetMode="External"/><Relationship Id="rId600" Type="http://schemas.openxmlformats.org/officeDocument/2006/relationships/hyperlink" Target="https://www.oag.com/hubfs/Flourish/2-1.png" TargetMode="External"/><Relationship Id="rId606" Type="http://schemas.openxmlformats.org/officeDocument/2006/relationships/hyperlink" Target="https://www.oag.com/hubfs/Flourish/3-1.png" TargetMode="External"/><Relationship Id="rId605" Type="http://schemas.openxmlformats.org/officeDocument/2006/relationships/hyperlink" Target="https://www.oag.com/hubfs/Flourish/United%20States.png" TargetMode="External"/><Relationship Id="rId604" Type="http://schemas.openxmlformats.org/officeDocument/2006/relationships/hyperlink" Target="https://www.oag.com/hubfs/Flourish/3-1.png" TargetMode="External"/><Relationship Id="rId603" Type="http://schemas.openxmlformats.org/officeDocument/2006/relationships/hyperlink" Target="https://www.oag.com/hubfs/Flourish/8.png" TargetMode="External"/><Relationship Id="rId2760" Type="http://schemas.openxmlformats.org/officeDocument/2006/relationships/hyperlink" Target="https://www.oag.com/hubfs/Flourish/7.png" TargetMode="External"/><Relationship Id="rId1430" Type="http://schemas.openxmlformats.org/officeDocument/2006/relationships/hyperlink" Target="https://www.oag.com/hubfs/Flourish/3-1.png" TargetMode="External"/><Relationship Id="rId2761" Type="http://schemas.openxmlformats.org/officeDocument/2006/relationships/hyperlink" Target="https://www.oag.com/hubfs/Flourish/United%20States.png" TargetMode="External"/><Relationship Id="rId1431" Type="http://schemas.openxmlformats.org/officeDocument/2006/relationships/hyperlink" Target="https://www.oag.com/hubfs/Flourish/United%20States.png" TargetMode="External"/><Relationship Id="rId2762" Type="http://schemas.openxmlformats.org/officeDocument/2006/relationships/hyperlink" Target="https://www.oag.com/hubfs/Flourish/Mexico.png" TargetMode="External"/><Relationship Id="rId1432" Type="http://schemas.openxmlformats.org/officeDocument/2006/relationships/hyperlink" Target="https://www.oag.com/hubfs/Flourish/United%20States.png" TargetMode="External"/><Relationship Id="rId2763" Type="http://schemas.openxmlformats.org/officeDocument/2006/relationships/hyperlink" Target="https://www.oag.com/hubfs/Flourish/China.png" TargetMode="External"/><Relationship Id="rId1422" Type="http://schemas.openxmlformats.org/officeDocument/2006/relationships/hyperlink" Target="https://www.oag.com/hubfs/Flourish/United%20States.png" TargetMode="External"/><Relationship Id="rId2753" Type="http://schemas.openxmlformats.org/officeDocument/2006/relationships/hyperlink" Target="https://www.oag.com/hubfs/Flourish/United%20States.png" TargetMode="External"/><Relationship Id="rId1423" Type="http://schemas.openxmlformats.org/officeDocument/2006/relationships/hyperlink" Target="https://www.oag.com/hubfs/Flourish/8.png" TargetMode="External"/><Relationship Id="rId2754" Type="http://schemas.openxmlformats.org/officeDocument/2006/relationships/hyperlink" Target="https://www.oag.com/hubfs/Flourish/India.png" TargetMode="External"/><Relationship Id="rId1424" Type="http://schemas.openxmlformats.org/officeDocument/2006/relationships/hyperlink" Target="https://www.oag.com/hubfs/Flourish/United%20States.png" TargetMode="External"/><Relationship Id="rId2755" Type="http://schemas.openxmlformats.org/officeDocument/2006/relationships/hyperlink" Target="https://www.oag.com/hubfs/Flourish/China.png" TargetMode="External"/><Relationship Id="rId1425" Type="http://schemas.openxmlformats.org/officeDocument/2006/relationships/hyperlink" Target="https://www.oag.com/hubfs/Flourish/United%20States.png" TargetMode="External"/><Relationship Id="rId2756" Type="http://schemas.openxmlformats.org/officeDocument/2006/relationships/hyperlink" Target="https://www.oag.com/hubfs/Flourish/Japan.png" TargetMode="External"/><Relationship Id="rId1426" Type="http://schemas.openxmlformats.org/officeDocument/2006/relationships/hyperlink" Target="https://www.oag.com/hubfs/Flourish/3-1.png" TargetMode="External"/><Relationship Id="rId2757" Type="http://schemas.openxmlformats.org/officeDocument/2006/relationships/hyperlink" Target="https://www.oag.com/hubfs/Flourish/United%20States.png" TargetMode="External"/><Relationship Id="rId1427" Type="http://schemas.openxmlformats.org/officeDocument/2006/relationships/hyperlink" Target="https://www.oag.com/hubfs/Flourish/6.png" TargetMode="External"/><Relationship Id="rId2758" Type="http://schemas.openxmlformats.org/officeDocument/2006/relationships/hyperlink" Target="https://www.oag.com/hubfs/Flourish/China.png" TargetMode="External"/><Relationship Id="rId1428" Type="http://schemas.openxmlformats.org/officeDocument/2006/relationships/hyperlink" Target="https://www.oag.com/hubfs/Flourish/United%20States.png" TargetMode="External"/><Relationship Id="rId2759" Type="http://schemas.openxmlformats.org/officeDocument/2006/relationships/hyperlink" Target="https://www.oag.com/hubfs/Flourish/2-1.png" TargetMode="External"/><Relationship Id="rId1429" Type="http://schemas.openxmlformats.org/officeDocument/2006/relationships/hyperlink" Target="https://www.oag.com/hubfs/Flourish/United%20States.png" TargetMode="External"/><Relationship Id="rId2750" Type="http://schemas.openxmlformats.org/officeDocument/2006/relationships/hyperlink" Target="https://www.oag.com/hubfs/Flourish/8.png" TargetMode="External"/><Relationship Id="rId1420" Type="http://schemas.openxmlformats.org/officeDocument/2006/relationships/hyperlink" Target="https://www.oag.com/hubfs/Flourish/United%20States.png" TargetMode="External"/><Relationship Id="rId2751" Type="http://schemas.openxmlformats.org/officeDocument/2006/relationships/hyperlink" Target="https://www.oag.com/hubfs/Flourish/China.png" TargetMode="External"/><Relationship Id="rId1421" Type="http://schemas.openxmlformats.org/officeDocument/2006/relationships/hyperlink" Target="https://www.oag.com/hubfs/Flourish/6.png" TargetMode="External"/><Relationship Id="rId2752" Type="http://schemas.openxmlformats.org/officeDocument/2006/relationships/hyperlink" Target="https://www.oag.com/hubfs/Flourish/Ireland.png" TargetMode="External"/><Relationship Id="rId699" Type="http://schemas.openxmlformats.org/officeDocument/2006/relationships/hyperlink" Target="https://www.oag.com/hubfs/Flourish/United%20States.png" TargetMode="External"/><Relationship Id="rId698" Type="http://schemas.openxmlformats.org/officeDocument/2006/relationships/hyperlink" Target="https://www.oag.com/hubfs/Flourish/China.png" TargetMode="External"/><Relationship Id="rId693" Type="http://schemas.openxmlformats.org/officeDocument/2006/relationships/hyperlink" Target="https://www.oag.com/hubfs/Flourish/6.png" TargetMode="External"/><Relationship Id="rId692" Type="http://schemas.openxmlformats.org/officeDocument/2006/relationships/hyperlink" Target="https://www.oag.com/hubfs/Flourish/6.png" TargetMode="External"/><Relationship Id="rId691" Type="http://schemas.openxmlformats.org/officeDocument/2006/relationships/hyperlink" Target="https://www.oag.com/hubfs/Flourish/6.png" TargetMode="External"/><Relationship Id="rId690" Type="http://schemas.openxmlformats.org/officeDocument/2006/relationships/hyperlink" Target="https://www.oag.com/hubfs/Flourish/6.png" TargetMode="External"/><Relationship Id="rId697" Type="http://schemas.openxmlformats.org/officeDocument/2006/relationships/hyperlink" Target="https://www.oag.com/hubfs/Flourish/singapore.jpg" TargetMode="External"/><Relationship Id="rId696" Type="http://schemas.openxmlformats.org/officeDocument/2006/relationships/hyperlink" Target="https://www.oag.com/hubfs/Flourish/S%20Korea.jpg" TargetMode="External"/><Relationship Id="rId695" Type="http://schemas.openxmlformats.org/officeDocument/2006/relationships/hyperlink" Target="https://www.oag.com/hubfs/Flourish/Japan.png" TargetMode="External"/><Relationship Id="rId694" Type="http://schemas.openxmlformats.org/officeDocument/2006/relationships/hyperlink" Target="https://www.oag.com/hubfs/Flourish/6.png" TargetMode="External"/><Relationship Id="rId1499" Type="http://schemas.openxmlformats.org/officeDocument/2006/relationships/hyperlink" Target="https://www.oag.com/hubfs/Flourish/6.png" TargetMode="External"/><Relationship Id="rId668" Type="http://schemas.openxmlformats.org/officeDocument/2006/relationships/hyperlink" Target="https://www.oag.com/hubfs/Flourish/Poland.png" TargetMode="External"/><Relationship Id="rId667" Type="http://schemas.openxmlformats.org/officeDocument/2006/relationships/hyperlink" Target="https://www.oag.com/hubfs/Flourish/3-1.png" TargetMode="External"/><Relationship Id="rId666" Type="http://schemas.openxmlformats.org/officeDocument/2006/relationships/hyperlink" Target="https://www.oag.com/hubfs/Flourish/8.png" TargetMode="External"/><Relationship Id="rId665" Type="http://schemas.openxmlformats.org/officeDocument/2006/relationships/hyperlink" Target="https://www.oag.com/hubfs/Flourish/United%20States.png" TargetMode="External"/><Relationship Id="rId669" Type="http://schemas.openxmlformats.org/officeDocument/2006/relationships/hyperlink" Target="https://www.oag.com/hubfs/Flourish/United%20States.png" TargetMode="External"/><Relationship Id="rId1490" Type="http://schemas.openxmlformats.org/officeDocument/2006/relationships/hyperlink" Target="https://www.oag.com/hubfs/Flourish/United%20States.png" TargetMode="External"/><Relationship Id="rId660" Type="http://schemas.openxmlformats.org/officeDocument/2006/relationships/hyperlink" Target="https://www.oag.com/hubfs/Flourish/United%20States.png" TargetMode="External"/><Relationship Id="rId1491" Type="http://schemas.openxmlformats.org/officeDocument/2006/relationships/hyperlink" Target="https://www.oag.com/hubfs/Flourish/United%20States.png" TargetMode="External"/><Relationship Id="rId1492" Type="http://schemas.openxmlformats.org/officeDocument/2006/relationships/hyperlink" Target="https://www.oag.com/hubfs/Flourish/S%20Korea.jpg" TargetMode="External"/><Relationship Id="rId1493" Type="http://schemas.openxmlformats.org/officeDocument/2006/relationships/hyperlink" Target="https://www.oag.com/hubfs/Flourish/United%20States.png" TargetMode="External"/><Relationship Id="rId1494" Type="http://schemas.openxmlformats.org/officeDocument/2006/relationships/hyperlink" Target="https://www.oag.com/hubfs/Flourish/1-1.png" TargetMode="External"/><Relationship Id="rId664" Type="http://schemas.openxmlformats.org/officeDocument/2006/relationships/hyperlink" Target="https://www.oag.com/hubfs/Flourish/United%20States.png" TargetMode="External"/><Relationship Id="rId1495" Type="http://schemas.openxmlformats.org/officeDocument/2006/relationships/hyperlink" Target="https://www.oag.com/hubfs/Flourish/3-1.png" TargetMode="External"/><Relationship Id="rId663" Type="http://schemas.openxmlformats.org/officeDocument/2006/relationships/hyperlink" Target="https://www.oag.com/hubfs/Flourish/United%20States.png" TargetMode="External"/><Relationship Id="rId1496" Type="http://schemas.openxmlformats.org/officeDocument/2006/relationships/hyperlink" Target="https://www.oag.com/hubfs/Flourish/United%20States.png" TargetMode="External"/><Relationship Id="rId662" Type="http://schemas.openxmlformats.org/officeDocument/2006/relationships/hyperlink" Target="https://www.oag.com/hubfs/Flourish/United%20States.png" TargetMode="External"/><Relationship Id="rId1497" Type="http://schemas.openxmlformats.org/officeDocument/2006/relationships/hyperlink" Target="https://www.oag.com/hubfs/Flourish/United%20States.png" TargetMode="External"/><Relationship Id="rId661" Type="http://schemas.openxmlformats.org/officeDocument/2006/relationships/hyperlink" Target="https://www.oag.com/hubfs/Flourish/United%20States.png" TargetMode="External"/><Relationship Id="rId1498" Type="http://schemas.openxmlformats.org/officeDocument/2006/relationships/hyperlink" Target="https://www.oag.com/hubfs/Flourish/7.png" TargetMode="External"/><Relationship Id="rId1488" Type="http://schemas.openxmlformats.org/officeDocument/2006/relationships/hyperlink" Target="https://www.oag.com/hubfs/Flourish/2-1.png" TargetMode="External"/><Relationship Id="rId1489" Type="http://schemas.openxmlformats.org/officeDocument/2006/relationships/hyperlink" Target="https://www.oag.com/hubfs/Flourish/United%20States.png" TargetMode="External"/><Relationship Id="rId657" Type="http://schemas.openxmlformats.org/officeDocument/2006/relationships/hyperlink" Target="https://www.oag.com/hubfs/Flourish/8.png" TargetMode="External"/><Relationship Id="rId656" Type="http://schemas.openxmlformats.org/officeDocument/2006/relationships/hyperlink" Target="https://www.oag.com/hubfs/Flourish/United%20States.png" TargetMode="External"/><Relationship Id="rId655" Type="http://schemas.openxmlformats.org/officeDocument/2006/relationships/hyperlink" Target="https://www.oag.com/hubfs/Flourish/8.png" TargetMode="External"/><Relationship Id="rId654" Type="http://schemas.openxmlformats.org/officeDocument/2006/relationships/hyperlink" Target="https://www.oag.com/hubfs/Flourish/2-1.png" TargetMode="External"/><Relationship Id="rId659" Type="http://schemas.openxmlformats.org/officeDocument/2006/relationships/hyperlink" Target="https://www.oag.com/hubfs/Flourish/3-1.png" TargetMode="External"/><Relationship Id="rId658" Type="http://schemas.openxmlformats.org/officeDocument/2006/relationships/hyperlink" Target="https://www.oag.com/hubfs/Flourish/United%20States.png" TargetMode="External"/><Relationship Id="rId1480" Type="http://schemas.openxmlformats.org/officeDocument/2006/relationships/hyperlink" Target="https://www.oag.com/hubfs/Flourish/United%20States.png" TargetMode="External"/><Relationship Id="rId1481" Type="http://schemas.openxmlformats.org/officeDocument/2006/relationships/hyperlink" Target="https://www.oag.com/hubfs/Flourish/United%20States.png" TargetMode="External"/><Relationship Id="rId1482" Type="http://schemas.openxmlformats.org/officeDocument/2006/relationships/hyperlink" Target="https://www.oag.com/hubfs/Flourish/8.png" TargetMode="External"/><Relationship Id="rId1483" Type="http://schemas.openxmlformats.org/officeDocument/2006/relationships/hyperlink" Target="https://www.oag.com/hubfs/Flourish/United%20States.png" TargetMode="External"/><Relationship Id="rId653" Type="http://schemas.openxmlformats.org/officeDocument/2006/relationships/hyperlink" Target="https://www.oag.com/hubfs/Flourish/India.png" TargetMode="External"/><Relationship Id="rId1484" Type="http://schemas.openxmlformats.org/officeDocument/2006/relationships/hyperlink" Target="https://www.oag.com/hubfs/Flourish/United%20States.png" TargetMode="External"/><Relationship Id="rId652" Type="http://schemas.openxmlformats.org/officeDocument/2006/relationships/hyperlink" Target="https://www.oag.com/hubfs/Flourish/2-1.png" TargetMode="External"/><Relationship Id="rId1485" Type="http://schemas.openxmlformats.org/officeDocument/2006/relationships/hyperlink" Target="https://www.oag.com/hubfs/Flourish/2-1.png" TargetMode="External"/><Relationship Id="rId651" Type="http://schemas.openxmlformats.org/officeDocument/2006/relationships/hyperlink" Target="https://www.oag.com/hubfs/Flourish/2-1.png" TargetMode="External"/><Relationship Id="rId1486" Type="http://schemas.openxmlformats.org/officeDocument/2006/relationships/hyperlink" Target="https://www.oag.com/hubfs/Flourish/United%20States.png" TargetMode="External"/><Relationship Id="rId650" Type="http://schemas.openxmlformats.org/officeDocument/2006/relationships/hyperlink" Target="https://www.oag.com/hubfs/Flourish/2-1.png" TargetMode="External"/><Relationship Id="rId1487" Type="http://schemas.openxmlformats.org/officeDocument/2006/relationships/hyperlink" Target="https://www.oag.com/hubfs/Flourish/United%20States.png" TargetMode="External"/><Relationship Id="rId689" Type="http://schemas.openxmlformats.org/officeDocument/2006/relationships/hyperlink" Target="https://www.oag.com/hubfs/Flourish/6.png" TargetMode="External"/><Relationship Id="rId688" Type="http://schemas.openxmlformats.org/officeDocument/2006/relationships/hyperlink" Target="https://www.oag.com/hubfs/Flourish/3-1.png" TargetMode="External"/><Relationship Id="rId687" Type="http://schemas.openxmlformats.org/officeDocument/2006/relationships/hyperlink" Target="https://www.oag.com/hubfs/Flourish/United%20States.png" TargetMode="External"/><Relationship Id="rId682" Type="http://schemas.openxmlformats.org/officeDocument/2006/relationships/hyperlink" Target="https://www.oag.com/hubfs/Flourish/Poland.png" TargetMode="External"/><Relationship Id="rId681" Type="http://schemas.openxmlformats.org/officeDocument/2006/relationships/hyperlink" Target="https://www.oag.com/hubfs/Flourish/Poland.png" TargetMode="External"/><Relationship Id="rId680" Type="http://schemas.openxmlformats.org/officeDocument/2006/relationships/hyperlink" Target="https://www.oag.com/hubfs/Flourish/2-1.png" TargetMode="External"/><Relationship Id="rId686" Type="http://schemas.openxmlformats.org/officeDocument/2006/relationships/hyperlink" Target="https://www.oag.com/hubfs/Flourish/Poland.png" TargetMode="External"/><Relationship Id="rId685" Type="http://schemas.openxmlformats.org/officeDocument/2006/relationships/hyperlink" Target="https://www.oag.com/hubfs/Flourish/Poland.png" TargetMode="External"/><Relationship Id="rId684" Type="http://schemas.openxmlformats.org/officeDocument/2006/relationships/hyperlink" Target="https://www.oag.com/hubfs/Flourish/Poland.png" TargetMode="External"/><Relationship Id="rId683" Type="http://schemas.openxmlformats.org/officeDocument/2006/relationships/hyperlink" Target="https://www.oag.com/hubfs/Flourish/Poland.png" TargetMode="External"/><Relationship Id="rId679" Type="http://schemas.openxmlformats.org/officeDocument/2006/relationships/hyperlink" Target="https://www.oag.com/hubfs/Flourish/8.png" TargetMode="External"/><Relationship Id="rId678" Type="http://schemas.openxmlformats.org/officeDocument/2006/relationships/hyperlink" Target="https://www.oag.com/hubfs/Flourish/8.png" TargetMode="External"/><Relationship Id="rId677" Type="http://schemas.openxmlformats.org/officeDocument/2006/relationships/hyperlink" Target="https://www.oag.com/hubfs/Flourish/Croatia.png" TargetMode="External"/><Relationship Id="rId676" Type="http://schemas.openxmlformats.org/officeDocument/2006/relationships/hyperlink" Target="https://www.oag.com/hubfs/Flourish/8.png" TargetMode="External"/><Relationship Id="rId671" Type="http://schemas.openxmlformats.org/officeDocument/2006/relationships/hyperlink" Target="https://www.oag.com/hubfs/Flourish/8.png" TargetMode="External"/><Relationship Id="rId670" Type="http://schemas.openxmlformats.org/officeDocument/2006/relationships/hyperlink" Target="https://www.oag.com/hubfs/Flourish/8.png" TargetMode="External"/><Relationship Id="rId675" Type="http://schemas.openxmlformats.org/officeDocument/2006/relationships/hyperlink" Target="https://www.oag.com/hubfs/Flourish/8.png" TargetMode="External"/><Relationship Id="rId674" Type="http://schemas.openxmlformats.org/officeDocument/2006/relationships/hyperlink" Target="https://www.oag.com/hubfs/Flourish/8.png" TargetMode="External"/><Relationship Id="rId673" Type="http://schemas.openxmlformats.org/officeDocument/2006/relationships/hyperlink" Target="https://www.oag.com/hubfs/Flourish/8.png" TargetMode="External"/><Relationship Id="rId672" Type="http://schemas.openxmlformats.org/officeDocument/2006/relationships/hyperlink" Target="https://www.oag.com/hubfs/Flourish/8.png" TargetMode="External"/><Relationship Id="rId190" Type="http://schemas.openxmlformats.org/officeDocument/2006/relationships/hyperlink" Target="https://www.oag.com/hubfs/Flourish/8.png" TargetMode="External"/><Relationship Id="rId194" Type="http://schemas.openxmlformats.org/officeDocument/2006/relationships/hyperlink" Target="https://www.oag.com/hubfs/Flourish/Croatia.png" TargetMode="External"/><Relationship Id="rId193" Type="http://schemas.openxmlformats.org/officeDocument/2006/relationships/hyperlink" Target="https://www.oag.com/hubfs/Flourish/Croatia.png" TargetMode="External"/><Relationship Id="rId192" Type="http://schemas.openxmlformats.org/officeDocument/2006/relationships/hyperlink" Target="https://www.oag.com/hubfs/Flourish/Croatia.png" TargetMode="External"/><Relationship Id="rId191" Type="http://schemas.openxmlformats.org/officeDocument/2006/relationships/hyperlink" Target="https://www.oag.com/hubfs/Flourish/Croatia.png" TargetMode="External"/><Relationship Id="rId187" Type="http://schemas.openxmlformats.org/officeDocument/2006/relationships/hyperlink" Target="https://www.oag.com/hubfs/Flourish/8.png" TargetMode="External"/><Relationship Id="rId186" Type="http://schemas.openxmlformats.org/officeDocument/2006/relationships/hyperlink" Target="https://www.oag.com/hubfs/Flourish/8.png" TargetMode="External"/><Relationship Id="rId185" Type="http://schemas.openxmlformats.org/officeDocument/2006/relationships/hyperlink" Target="https://www.oag.com/hubfs/Flourish/8.png" TargetMode="External"/><Relationship Id="rId184" Type="http://schemas.openxmlformats.org/officeDocument/2006/relationships/hyperlink" Target="https://www.oag.com/hubfs/Flourish/8.png" TargetMode="External"/><Relationship Id="rId189" Type="http://schemas.openxmlformats.org/officeDocument/2006/relationships/hyperlink" Target="https://www.oag.com/hubfs/Flourish/8.png" TargetMode="External"/><Relationship Id="rId188" Type="http://schemas.openxmlformats.org/officeDocument/2006/relationships/hyperlink" Target="https://www.oag.com/hubfs/Flourish/8.png" TargetMode="External"/><Relationship Id="rId183" Type="http://schemas.openxmlformats.org/officeDocument/2006/relationships/hyperlink" Target="https://www.oag.com/hubfs/Flourish/8.png" TargetMode="External"/><Relationship Id="rId182" Type="http://schemas.openxmlformats.org/officeDocument/2006/relationships/hyperlink" Target="https://www.oag.com/hubfs/Flourish/8.png" TargetMode="External"/><Relationship Id="rId181" Type="http://schemas.openxmlformats.org/officeDocument/2006/relationships/hyperlink" Target="https://www.oag.com/hubfs/Flourish/8.png" TargetMode="External"/><Relationship Id="rId180" Type="http://schemas.openxmlformats.org/officeDocument/2006/relationships/hyperlink" Target="https://www.oag.com/hubfs/Flourish/8.png" TargetMode="External"/><Relationship Id="rId176" Type="http://schemas.openxmlformats.org/officeDocument/2006/relationships/hyperlink" Target="https://www.oag.com/hubfs/Flourish/8.png" TargetMode="External"/><Relationship Id="rId175" Type="http://schemas.openxmlformats.org/officeDocument/2006/relationships/hyperlink" Target="https://www.oag.com/hubfs/Flourish/8.png" TargetMode="External"/><Relationship Id="rId174" Type="http://schemas.openxmlformats.org/officeDocument/2006/relationships/hyperlink" Target="https://www.oag.com/hubfs/Flourish/8.png" TargetMode="External"/><Relationship Id="rId173" Type="http://schemas.openxmlformats.org/officeDocument/2006/relationships/hyperlink" Target="https://www.oag.com/hubfs/Flourish/8.png" TargetMode="External"/><Relationship Id="rId179" Type="http://schemas.openxmlformats.org/officeDocument/2006/relationships/hyperlink" Target="https://www.oag.com/hubfs/Flourish/8.png" TargetMode="External"/><Relationship Id="rId178" Type="http://schemas.openxmlformats.org/officeDocument/2006/relationships/hyperlink" Target="https://www.oag.com/hubfs/Flourish/8.png" TargetMode="External"/><Relationship Id="rId177" Type="http://schemas.openxmlformats.org/officeDocument/2006/relationships/hyperlink" Target="https://www.oag.com/hubfs/Flourish/8.png" TargetMode="External"/><Relationship Id="rId198" Type="http://schemas.openxmlformats.org/officeDocument/2006/relationships/hyperlink" Target="https://www.oag.com/hubfs/Flourish/1-1.png" TargetMode="External"/><Relationship Id="rId197" Type="http://schemas.openxmlformats.org/officeDocument/2006/relationships/hyperlink" Target="https://www.oag.com/hubfs/Flourish/1-1.png" TargetMode="External"/><Relationship Id="rId196" Type="http://schemas.openxmlformats.org/officeDocument/2006/relationships/hyperlink" Target="https://www.oag.com/hubfs/Flourish/1-1.png" TargetMode="External"/><Relationship Id="rId195" Type="http://schemas.openxmlformats.org/officeDocument/2006/relationships/hyperlink" Target="https://www.oag.com/hubfs/Flourish/1-1.png" TargetMode="External"/><Relationship Id="rId199" Type="http://schemas.openxmlformats.org/officeDocument/2006/relationships/hyperlink" Target="https://www.oag.com/hubfs/Flourish/1-1.png" TargetMode="External"/><Relationship Id="rId150" Type="http://schemas.openxmlformats.org/officeDocument/2006/relationships/hyperlink" Target="https://www.oag.com/hubfs/Flourish/2-1.png" TargetMode="External"/><Relationship Id="rId149" Type="http://schemas.openxmlformats.org/officeDocument/2006/relationships/hyperlink" Target="https://www.oag.com/hubfs/Flourish/2-1.png" TargetMode="External"/><Relationship Id="rId148" Type="http://schemas.openxmlformats.org/officeDocument/2006/relationships/hyperlink" Target="https://www.oag.com/hubfs/Flourish/2-1.png" TargetMode="External"/><Relationship Id="rId143" Type="http://schemas.openxmlformats.org/officeDocument/2006/relationships/hyperlink" Target="https://www.oag.com/hubfs/Flourish/2-1.png" TargetMode="External"/><Relationship Id="rId142" Type="http://schemas.openxmlformats.org/officeDocument/2006/relationships/hyperlink" Target="https://www.oag.com/hubfs/Flourish/2-1.png" TargetMode="External"/><Relationship Id="rId141" Type="http://schemas.openxmlformats.org/officeDocument/2006/relationships/hyperlink" Target="https://www.oag.com/hubfs/Flourish/2-1.png" TargetMode="External"/><Relationship Id="rId140" Type="http://schemas.openxmlformats.org/officeDocument/2006/relationships/hyperlink" Target="https://www.oag.com/hubfs/Flourish/2-1.png" TargetMode="External"/><Relationship Id="rId147" Type="http://schemas.openxmlformats.org/officeDocument/2006/relationships/hyperlink" Target="https://www.oag.com/hubfs/Flourish/2-1.png" TargetMode="External"/><Relationship Id="rId146" Type="http://schemas.openxmlformats.org/officeDocument/2006/relationships/hyperlink" Target="https://www.oag.com/hubfs/Flourish/2-1.png" TargetMode="External"/><Relationship Id="rId145" Type="http://schemas.openxmlformats.org/officeDocument/2006/relationships/hyperlink" Target="https://www.oag.com/hubfs/Flourish/2-1.png" TargetMode="External"/><Relationship Id="rId144" Type="http://schemas.openxmlformats.org/officeDocument/2006/relationships/hyperlink" Target="https://www.oag.com/hubfs/Flourish/2-1.png" TargetMode="External"/><Relationship Id="rId139" Type="http://schemas.openxmlformats.org/officeDocument/2006/relationships/hyperlink" Target="https://www.oag.com/hubfs/Flourish/2-1.png" TargetMode="External"/><Relationship Id="rId138" Type="http://schemas.openxmlformats.org/officeDocument/2006/relationships/hyperlink" Target="https://www.oag.com/hubfs/Flourish/2-1.png" TargetMode="External"/><Relationship Id="rId137" Type="http://schemas.openxmlformats.org/officeDocument/2006/relationships/hyperlink" Target="https://www.oag.com/hubfs/Flourish/2-1.png" TargetMode="External"/><Relationship Id="rId132" Type="http://schemas.openxmlformats.org/officeDocument/2006/relationships/hyperlink" Target="https://www.oag.com/hubfs/Flourish/2-1.png" TargetMode="External"/><Relationship Id="rId131" Type="http://schemas.openxmlformats.org/officeDocument/2006/relationships/hyperlink" Target="https://www.oag.com/hubfs/Flourish/2-1.png" TargetMode="External"/><Relationship Id="rId130" Type="http://schemas.openxmlformats.org/officeDocument/2006/relationships/hyperlink" Target="https://www.oag.com/hubfs/Flourish/2-1.png" TargetMode="External"/><Relationship Id="rId136" Type="http://schemas.openxmlformats.org/officeDocument/2006/relationships/hyperlink" Target="https://www.oag.com/hubfs/Flourish/2-1.png" TargetMode="External"/><Relationship Id="rId135" Type="http://schemas.openxmlformats.org/officeDocument/2006/relationships/hyperlink" Target="https://www.oag.com/hubfs/Flourish/2-1.png" TargetMode="External"/><Relationship Id="rId134" Type="http://schemas.openxmlformats.org/officeDocument/2006/relationships/hyperlink" Target="https://www.oag.com/hubfs/Flourish/2-1.png" TargetMode="External"/><Relationship Id="rId133" Type="http://schemas.openxmlformats.org/officeDocument/2006/relationships/hyperlink" Target="https://www.oag.com/hubfs/Flourish/2-1.png" TargetMode="External"/><Relationship Id="rId172" Type="http://schemas.openxmlformats.org/officeDocument/2006/relationships/hyperlink" Target="https://www.oag.com/hubfs/Flourish/8.png" TargetMode="External"/><Relationship Id="rId171" Type="http://schemas.openxmlformats.org/officeDocument/2006/relationships/hyperlink" Target="https://www.oag.com/hubfs/Flourish/8.png" TargetMode="External"/><Relationship Id="rId170" Type="http://schemas.openxmlformats.org/officeDocument/2006/relationships/hyperlink" Target="https://www.oag.com/hubfs/Flourish/8.png" TargetMode="External"/><Relationship Id="rId165" Type="http://schemas.openxmlformats.org/officeDocument/2006/relationships/hyperlink" Target="https://www.oag.com/hubfs/Flourish/8.png" TargetMode="External"/><Relationship Id="rId164" Type="http://schemas.openxmlformats.org/officeDocument/2006/relationships/hyperlink" Target="https://www.oag.com/hubfs/Flourish/8.png" TargetMode="External"/><Relationship Id="rId163" Type="http://schemas.openxmlformats.org/officeDocument/2006/relationships/hyperlink" Target="https://www.oag.com/hubfs/Flourish/8.png" TargetMode="External"/><Relationship Id="rId162" Type="http://schemas.openxmlformats.org/officeDocument/2006/relationships/hyperlink" Target="https://www.oag.com/hubfs/Flourish/Poland.png" TargetMode="External"/><Relationship Id="rId169" Type="http://schemas.openxmlformats.org/officeDocument/2006/relationships/hyperlink" Target="https://www.oag.com/hubfs/Flourish/8.png" TargetMode="External"/><Relationship Id="rId168" Type="http://schemas.openxmlformats.org/officeDocument/2006/relationships/hyperlink" Target="https://www.oag.com/hubfs/Flourish/8.png" TargetMode="External"/><Relationship Id="rId167" Type="http://schemas.openxmlformats.org/officeDocument/2006/relationships/hyperlink" Target="https://www.oag.com/hubfs/Flourish/8.png" TargetMode="External"/><Relationship Id="rId166" Type="http://schemas.openxmlformats.org/officeDocument/2006/relationships/hyperlink" Target="https://www.oag.com/hubfs/Flourish/8.png" TargetMode="External"/><Relationship Id="rId161" Type="http://schemas.openxmlformats.org/officeDocument/2006/relationships/hyperlink" Target="https://www.oag.com/hubfs/Flourish/Poland.png" TargetMode="External"/><Relationship Id="rId160" Type="http://schemas.openxmlformats.org/officeDocument/2006/relationships/hyperlink" Target="https://www.oag.com/hubfs/Flourish/Poland.png" TargetMode="External"/><Relationship Id="rId159" Type="http://schemas.openxmlformats.org/officeDocument/2006/relationships/hyperlink" Target="https://www.oag.com/hubfs/Flourish/Poland.png" TargetMode="External"/><Relationship Id="rId154" Type="http://schemas.openxmlformats.org/officeDocument/2006/relationships/hyperlink" Target="https://www.oag.com/hubfs/Flourish/4.png" TargetMode="External"/><Relationship Id="rId153" Type="http://schemas.openxmlformats.org/officeDocument/2006/relationships/hyperlink" Target="https://www.oag.com/hubfs/Flourish/2-1.png" TargetMode="External"/><Relationship Id="rId152" Type="http://schemas.openxmlformats.org/officeDocument/2006/relationships/hyperlink" Target="https://www.oag.com/hubfs/Flourish/2-1.png" TargetMode="External"/><Relationship Id="rId151" Type="http://schemas.openxmlformats.org/officeDocument/2006/relationships/hyperlink" Target="https://www.oag.com/hubfs/Flourish/2-1.png" TargetMode="External"/><Relationship Id="rId158" Type="http://schemas.openxmlformats.org/officeDocument/2006/relationships/hyperlink" Target="https://www.oag.com/hubfs/Flourish/Ireland.png" TargetMode="External"/><Relationship Id="rId157" Type="http://schemas.openxmlformats.org/officeDocument/2006/relationships/hyperlink" Target="https://www.oag.com/hubfs/Flourish/4.png" TargetMode="External"/><Relationship Id="rId156" Type="http://schemas.openxmlformats.org/officeDocument/2006/relationships/hyperlink" Target="https://www.oag.com/hubfs/Flourish/4.png" TargetMode="External"/><Relationship Id="rId155" Type="http://schemas.openxmlformats.org/officeDocument/2006/relationships/hyperlink" Target="https://www.oag.com/hubfs/Flourish/4.png" TargetMode="External"/><Relationship Id="rId2820" Type="http://schemas.openxmlformats.org/officeDocument/2006/relationships/hyperlink" Target="https://www.oag.com/hubfs/Flourish/6.png" TargetMode="External"/><Relationship Id="rId2821" Type="http://schemas.openxmlformats.org/officeDocument/2006/relationships/hyperlink" Target="https://www.oag.com/hubfs/Flourish/China.png" TargetMode="External"/><Relationship Id="rId2822" Type="http://schemas.openxmlformats.org/officeDocument/2006/relationships/hyperlink" Target="https://www.oag.com/hubfs/Flourish/United%20States.png" TargetMode="External"/><Relationship Id="rId2823" Type="http://schemas.openxmlformats.org/officeDocument/2006/relationships/hyperlink" Target="https://www.oag.com/hubfs/Flourish/Japan.png" TargetMode="External"/><Relationship Id="rId2824" Type="http://schemas.openxmlformats.org/officeDocument/2006/relationships/hyperlink" Target="https://www.oag.com/hubfs/Flourish/3-1.png" TargetMode="External"/><Relationship Id="rId2825" Type="http://schemas.openxmlformats.org/officeDocument/2006/relationships/hyperlink" Target="https://www.oag.com/hubfs/Flourish/China.png" TargetMode="External"/><Relationship Id="rId2826" Type="http://schemas.openxmlformats.org/officeDocument/2006/relationships/hyperlink" Target="https://www.oag.com/hubfs/Flourish/India.png" TargetMode="External"/><Relationship Id="rId2827" Type="http://schemas.openxmlformats.org/officeDocument/2006/relationships/hyperlink" Target="https://www.oag.com/hubfs/Flourish/United%20States.png" TargetMode="External"/><Relationship Id="rId2828" Type="http://schemas.openxmlformats.org/officeDocument/2006/relationships/hyperlink" Target="https://www.oag.com/hubfs/Flourish/United%20States.png" TargetMode="External"/><Relationship Id="rId2829" Type="http://schemas.openxmlformats.org/officeDocument/2006/relationships/hyperlink" Target="https://www.oag.com/hubfs/Flourish/United%20States.png" TargetMode="External"/><Relationship Id="rId2810" Type="http://schemas.openxmlformats.org/officeDocument/2006/relationships/hyperlink" Target="https://www.oag.com/hubfs/Flourish/Thailand.png" TargetMode="External"/><Relationship Id="rId2811" Type="http://schemas.openxmlformats.org/officeDocument/2006/relationships/hyperlink" Target="https://www.oag.com/hubfs/Flourish/United%20States.png" TargetMode="External"/><Relationship Id="rId2812" Type="http://schemas.openxmlformats.org/officeDocument/2006/relationships/hyperlink" Target="https://www.oag.com/hubfs/Flourish/Mexico.png" TargetMode="External"/><Relationship Id="rId2813" Type="http://schemas.openxmlformats.org/officeDocument/2006/relationships/hyperlink" Target="https://www.oag.com/hubfs/Flourish/United%20States.png" TargetMode="External"/><Relationship Id="rId2814" Type="http://schemas.openxmlformats.org/officeDocument/2006/relationships/hyperlink" Target="https://www.oag.com/hubfs/Flourish/United%20States.png" TargetMode="External"/><Relationship Id="rId2815" Type="http://schemas.openxmlformats.org/officeDocument/2006/relationships/hyperlink" Target="https://www.oag.com/hubfs/Flourish/3-1.png" TargetMode="External"/><Relationship Id="rId2816" Type="http://schemas.openxmlformats.org/officeDocument/2006/relationships/hyperlink" Target="https://www.oag.com/hubfs/Flourish/China.png" TargetMode="External"/><Relationship Id="rId2817" Type="http://schemas.openxmlformats.org/officeDocument/2006/relationships/hyperlink" Target="https://www.oag.com/hubfs/Flourish/3-1.png" TargetMode="External"/><Relationship Id="rId2818" Type="http://schemas.openxmlformats.org/officeDocument/2006/relationships/hyperlink" Target="https://www.oag.com/hubfs/Flourish/United%20States.png" TargetMode="External"/><Relationship Id="rId2819" Type="http://schemas.openxmlformats.org/officeDocument/2006/relationships/hyperlink" Target="https://www.oag.com/hubfs/Flourish/United%20States.png" TargetMode="External"/><Relationship Id="rId1510" Type="http://schemas.openxmlformats.org/officeDocument/2006/relationships/hyperlink" Target="https://www.oag.com/hubfs/Flourish/United%20States.png" TargetMode="External"/><Relationship Id="rId2841" Type="http://schemas.openxmlformats.org/officeDocument/2006/relationships/hyperlink" Target="https://www.oag.com/hubfs/Flourish/6.png" TargetMode="External"/><Relationship Id="rId1511" Type="http://schemas.openxmlformats.org/officeDocument/2006/relationships/hyperlink" Target="https://www.oag.com/hubfs/Flourish/United%20States.png" TargetMode="External"/><Relationship Id="rId2842" Type="http://schemas.openxmlformats.org/officeDocument/2006/relationships/hyperlink" Target="https://www.oag.com/hubfs/Flourish/United%20States.png" TargetMode="External"/><Relationship Id="rId1512" Type="http://schemas.openxmlformats.org/officeDocument/2006/relationships/hyperlink" Target="https://www.oag.com/hubfs/Flourish/1-1.png" TargetMode="External"/><Relationship Id="rId2843" Type="http://schemas.openxmlformats.org/officeDocument/2006/relationships/hyperlink" Target="https://www.oag.com/hubfs/Flourish/Mexico.png" TargetMode="External"/><Relationship Id="rId1513" Type="http://schemas.openxmlformats.org/officeDocument/2006/relationships/hyperlink" Target="https://www.oag.com/hubfs/Flourish/4.png" TargetMode="External"/><Relationship Id="rId2844" Type="http://schemas.openxmlformats.org/officeDocument/2006/relationships/hyperlink" Target="https://www.oag.com/hubfs/Flourish/2-1.png" TargetMode="External"/><Relationship Id="rId1514" Type="http://schemas.openxmlformats.org/officeDocument/2006/relationships/hyperlink" Target="https://www.oag.com/hubfs/Flourish/United%20States.png" TargetMode="External"/><Relationship Id="rId2845" Type="http://schemas.openxmlformats.org/officeDocument/2006/relationships/hyperlink" Target="https://www.oag.com/hubfs/Flourish/United%20States.png" TargetMode="External"/><Relationship Id="rId1515" Type="http://schemas.openxmlformats.org/officeDocument/2006/relationships/hyperlink" Target="https://www.oag.com/hubfs/Flourish/6.png" TargetMode="External"/><Relationship Id="rId2846" Type="http://schemas.openxmlformats.org/officeDocument/2006/relationships/hyperlink" Target="https://www.oag.com/hubfs/Flourish/United%20States.png" TargetMode="External"/><Relationship Id="rId1516" Type="http://schemas.openxmlformats.org/officeDocument/2006/relationships/hyperlink" Target="https://www.oag.com/hubfs/Flourish/5.png" TargetMode="External"/><Relationship Id="rId2847" Type="http://schemas.openxmlformats.org/officeDocument/2006/relationships/hyperlink" Target="https://www.oag.com/hubfs/Flourish/6.png" TargetMode="External"/><Relationship Id="rId1517" Type="http://schemas.openxmlformats.org/officeDocument/2006/relationships/hyperlink" Target="https://www.oag.com/hubfs/Flourish/1-1.png" TargetMode="External"/><Relationship Id="rId2848" Type="http://schemas.openxmlformats.org/officeDocument/2006/relationships/hyperlink" Target="https://www.oag.com/hubfs/Flourish/6.png" TargetMode="External"/><Relationship Id="rId1518" Type="http://schemas.openxmlformats.org/officeDocument/2006/relationships/hyperlink" Target="https://www.oag.com/hubfs/Flourish/United%20States.png" TargetMode="External"/><Relationship Id="rId2849" Type="http://schemas.openxmlformats.org/officeDocument/2006/relationships/hyperlink" Target="https://www.oag.com/hubfs/Flourish/India.png" TargetMode="External"/><Relationship Id="rId1519" Type="http://schemas.openxmlformats.org/officeDocument/2006/relationships/hyperlink" Target="https://www.oag.com/hubfs/Flourish/United%20States.png" TargetMode="External"/><Relationship Id="rId2840" Type="http://schemas.openxmlformats.org/officeDocument/2006/relationships/hyperlink" Target="https://www.oag.com/hubfs/Flourish/Mexico.png" TargetMode="External"/><Relationship Id="rId2830" Type="http://schemas.openxmlformats.org/officeDocument/2006/relationships/hyperlink" Target="https://www.oag.com/hubfs/Flourish/United%20States.png" TargetMode="External"/><Relationship Id="rId1500" Type="http://schemas.openxmlformats.org/officeDocument/2006/relationships/hyperlink" Target="https://www.oag.com/hubfs/Flourish/India.png" TargetMode="External"/><Relationship Id="rId2831" Type="http://schemas.openxmlformats.org/officeDocument/2006/relationships/hyperlink" Target="https://www.oag.com/hubfs/Flourish/United%20States.png" TargetMode="External"/><Relationship Id="rId1501" Type="http://schemas.openxmlformats.org/officeDocument/2006/relationships/hyperlink" Target="https://www.oag.com/hubfs/Flourish/United%20States.png" TargetMode="External"/><Relationship Id="rId2832" Type="http://schemas.openxmlformats.org/officeDocument/2006/relationships/hyperlink" Target="https://www.oag.com/hubfs/Flourish/1-1.png" TargetMode="External"/><Relationship Id="rId1502" Type="http://schemas.openxmlformats.org/officeDocument/2006/relationships/hyperlink" Target="https://www.oag.com/hubfs/Flourish/India.png" TargetMode="External"/><Relationship Id="rId2833" Type="http://schemas.openxmlformats.org/officeDocument/2006/relationships/hyperlink" Target="https://www.oag.com/hubfs/Flourish/United%20States.png" TargetMode="External"/><Relationship Id="rId1503" Type="http://schemas.openxmlformats.org/officeDocument/2006/relationships/hyperlink" Target="https://www.oag.com/hubfs/Flourish/China.png" TargetMode="External"/><Relationship Id="rId2834" Type="http://schemas.openxmlformats.org/officeDocument/2006/relationships/hyperlink" Target="https://www.oag.com/hubfs/Flourish/United%20States.png" TargetMode="External"/><Relationship Id="rId1504" Type="http://schemas.openxmlformats.org/officeDocument/2006/relationships/hyperlink" Target="https://www.oag.com/hubfs/Flourish/United%20States.png" TargetMode="External"/><Relationship Id="rId2835" Type="http://schemas.openxmlformats.org/officeDocument/2006/relationships/hyperlink" Target="https://www.oag.com/hubfs/Flourish/Japan.png" TargetMode="External"/><Relationship Id="rId1505" Type="http://schemas.openxmlformats.org/officeDocument/2006/relationships/hyperlink" Target="https://www.oag.com/hubfs/Flourish/United%20States.png" TargetMode="External"/><Relationship Id="rId2836" Type="http://schemas.openxmlformats.org/officeDocument/2006/relationships/hyperlink" Target="https://www.oag.com/hubfs/Flourish/United%20States.png" TargetMode="External"/><Relationship Id="rId1506" Type="http://schemas.openxmlformats.org/officeDocument/2006/relationships/hyperlink" Target="https://www.oag.com/hubfs/Flourish/United%20States.png" TargetMode="External"/><Relationship Id="rId2837" Type="http://schemas.openxmlformats.org/officeDocument/2006/relationships/hyperlink" Target="https://www.oag.com/hubfs/Flourish/United%20States.png" TargetMode="External"/><Relationship Id="rId1507" Type="http://schemas.openxmlformats.org/officeDocument/2006/relationships/hyperlink" Target="https://www.oag.com/hubfs/Flourish/United%20States.png" TargetMode="External"/><Relationship Id="rId2838" Type="http://schemas.openxmlformats.org/officeDocument/2006/relationships/hyperlink" Target="https://www.oag.com/hubfs/Flourish/United%20States.png" TargetMode="External"/><Relationship Id="rId1508" Type="http://schemas.openxmlformats.org/officeDocument/2006/relationships/hyperlink" Target="https://www.oag.com/hubfs/Flourish/United%20States.png" TargetMode="External"/><Relationship Id="rId2839" Type="http://schemas.openxmlformats.org/officeDocument/2006/relationships/hyperlink" Target="https://www.oag.com/hubfs/Flourish/United%20States.png" TargetMode="External"/><Relationship Id="rId1509" Type="http://schemas.openxmlformats.org/officeDocument/2006/relationships/hyperlink" Target="https://www.oag.com/hubfs/Flourish/United%20States.png" TargetMode="External"/><Relationship Id="rId2800" Type="http://schemas.openxmlformats.org/officeDocument/2006/relationships/hyperlink" Target="https://www.oag.com/hubfs/Flourish/India.png" TargetMode="External"/><Relationship Id="rId2801" Type="http://schemas.openxmlformats.org/officeDocument/2006/relationships/hyperlink" Target="https://www.oag.com/hubfs/Flourish/United%20States.png" TargetMode="External"/><Relationship Id="rId2802" Type="http://schemas.openxmlformats.org/officeDocument/2006/relationships/hyperlink" Target="https://www.oag.com/hubfs/Flourish/United%20States.png" TargetMode="External"/><Relationship Id="rId2803" Type="http://schemas.openxmlformats.org/officeDocument/2006/relationships/hyperlink" Target="https://www.oag.com/hubfs/Flourish/Japan.png" TargetMode="External"/><Relationship Id="rId2804" Type="http://schemas.openxmlformats.org/officeDocument/2006/relationships/hyperlink" Target="https://www.oag.com/hubfs/Flourish/United%20States.png" TargetMode="External"/><Relationship Id="rId2805" Type="http://schemas.openxmlformats.org/officeDocument/2006/relationships/hyperlink" Target="https://www.oag.com/hubfs/Flourish/United%20States.png" TargetMode="External"/><Relationship Id="rId2806" Type="http://schemas.openxmlformats.org/officeDocument/2006/relationships/hyperlink" Target="https://www.oag.com/hubfs/Flourish/United%20States.png" TargetMode="External"/><Relationship Id="rId2807" Type="http://schemas.openxmlformats.org/officeDocument/2006/relationships/hyperlink" Target="https://www.oag.com/hubfs/Flourish/United%20States.png" TargetMode="External"/><Relationship Id="rId2808" Type="http://schemas.openxmlformats.org/officeDocument/2006/relationships/hyperlink" Target="https://www.oag.com/hubfs/Flourish/Japan.png" TargetMode="External"/><Relationship Id="rId2809" Type="http://schemas.openxmlformats.org/officeDocument/2006/relationships/hyperlink" Target="https://www.oag.com/hubfs/Flourish/Japan.png" TargetMode="External"/><Relationship Id="rId1576" Type="http://schemas.openxmlformats.org/officeDocument/2006/relationships/hyperlink" Target="https://www.oag.com/hubfs/Flourish/United%20States.png" TargetMode="External"/><Relationship Id="rId1577" Type="http://schemas.openxmlformats.org/officeDocument/2006/relationships/hyperlink" Target="https://www.oag.com/hubfs/Flourish/United%20States.png" TargetMode="External"/><Relationship Id="rId1578" Type="http://schemas.openxmlformats.org/officeDocument/2006/relationships/hyperlink" Target="https://www.oag.com/hubfs/Flourish/United%20States.png" TargetMode="External"/><Relationship Id="rId1579" Type="http://schemas.openxmlformats.org/officeDocument/2006/relationships/hyperlink" Target="https://www.oag.com/hubfs/Flourish/8.png" TargetMode="External"/><Relationship Id="rId987" Type="http://schemas.openxmlformats.org/officeDocument/2006/relationships/hyperlink" Target="https://www.oag.com/hubfs/Flourish/3-1.png" TargetMode="External"/><Relationship Id="rId986" Type="http://schemas.openxmlformats.org/officeDocument/2006/relationships/hyperlink" Target="https://www.oag.com/hubfs/Flourish/United%20States.png" TargetMode="External"/><Relationship Id="rId985" Type="http://schemas.openxmlformats.org/officeDocument/2006/relationships/hyperlink" Target="https://www.oag.com/hubfs/Flourish/United%20States.png" TargetMode="External"/><Relationship Id="rId984" Type="http://schemas.openxmlformats.org/officeDocument/2006/relationships/hyperlink" Target="https://www.oag.com/hubfs/Flourish/United%20States.png" TargetMode="External"/><Relationship Id="rId989" Type="http://schemas.openxmlformats.org/officeDocument/2006/relationships/hyperlink" Target="https://www.oag.com/hubfs/Flourish/United%20States.png" TargetMode="External"/><Relationship Id="rId988" Type="http://schemas.openxmlformats.org/officeDocument/2006/relationships/hyperlink" Target="https://www.oag.com/hubfs/Flourish/3-1.png" TargetMode="External"/><Relationship Id="rId1570" Type="http://schemas.openxmlformats.org/officeDocument/2006/relationships/hyperlink" Target="https://www.oag.com/hubfs/Flourish/China.png" TargetMode="External"/><Relationship Id="rId1571" Type="http://schemas.openxmlformats.org/officeDocument/2006/relationships/hyperlink" Target="https://www.oag.com/hubfs/Flourish/United%20States.png" TargetMode="External"/><Relationship Id="rId983" Type="http://schemas.openxmlformats.org/officeDocument/2006/relationships/hyperlink" Target="https://www.oag.com/hubfs/Flourish/7.png" TargetMode="External"/><Relationship Id="rId1572" Type="http://schemas.openxmlformats.org/officeDocument/2006/relationships/hyperlink" Target="https://www.oag.com/hubfs/Flourish/China.png" TargetMode="External"/><Relationship Id="rId982" Type="http://schemas.openxmlformats.org/officeDocument/2006/relationships/hyperlink" Target="https://www.oag.com/hubfs/Flourish/United%20States.png" TargetMode="External"/><Relationship Id="rId1573" Type="http://schemas.openxmlformats.org/officeDocument/2006/relationships/hyperlink" Target="https://www.oag.com/hubfs/Flourish/China.png" TargetMode="External"/><Relationship Id="rId981" Type="http://schemas.openxmlformats.org/officeDocument/2006/relationships/hyperlink" Target="https://www.oag.com/hubfs/Flourish/United%20States.png" TargetMode="External"/><Relationship Id="rId1574" Type="http://schemas.openxmlformats.org/officeDocument/2006/relationships/hyperlink" Target="https://www.oag.com/hubfs/Flourish/8.png" TargetMode="External"/><Relationship Id="rId980" Type="http://schemas.openxmlformats.org/officeDocument/2006/relationships/hyperlink" Target="https://www.oag.com/hubfs/Flourish/United%20States.png" TargetMode="External"/><Relationship Id="rId1575" Type="http://schemas.openxmlformats.org/officeDocument/2006/relationships/hyperlink" Target="https://www.oag.com/hubfs/Flourish/Thailand.png" TargetMode="External"/><Relationship Id="rId1565" Type="http://schemas.openxmlformats.org/officeDocument/2006/relationships/hyperlink" Target="https://www.oag.com/hubfs/Flourish/United%20States.png" TargetMode="External"/><Relationship Id="rId2896" Type="http://schemas.openxmlformats.org/officeDocument/2006/relationships/hyperlink" Target="https://www.oag.com/hubfs/Flourish/United%20States.png" TargetMode="External"/><Relationship Id="rId1566" Type="http://schemas.openxmlformats.org/officeDocument/2006/relationships/hyperlink" Target="https://www.oag.com/hubfs/Flourish/United%20States.png" TargetMode="External"/><Relationship Id="rId2897" Type="http://schemas.openxmlformats.org/officeDocument/2006/relationships/hyperlink" Target="https://www.oag.com/hubfs/Flourish/Thailand.png" TargetMode="External"/><Relationship Id="rId1567" Type="http://schemas.openxmlformats.org/officeDocument/2006/relationships/hyperlink" Target="https://www.oag.com/hubfs/Flourish/Thailand.png" TargetMode="External"/><Relationship Id="rId2898" Type="http://schemas.openxmlformats.org/officeDocument/2006/relationships/hyperlink" Target="https://www.oag.com/hubfs/Flourish/2-1.png" TargetMode="External"/><Relationship Id="rId1568" Type="http://schemas.openxmlformats.org/officeDocument/2006/relationships/hyperlink" Target="https://www.oag.com/hubfs/Flourish/8.png" TargetMode="External"/><Relationship Id="rId2899" Type="http://schemas.openxmlformats.org/officeDocument/2006/relationships/hyperlink" Target="https://www.oag.com/hubfs/Flourish/United%20States.png" TargetMode="External"/><Relationship Id="rId1569" Type="http://schemas.openxmlformats.org/officeDocument/2006/relationships/hyperlink" Target="https://www.oag.com/hubfs/Flourish/China.png" TargetMode="External"/><Relationship Id="rId976" Type="http://schemas.openxmlformats.org/officeDocument/2006/relationships/hyperlink" Target="https://www.oag.com/hubfs/Flourish/3-1.png" TargetMode="External"/><Relationship Id="rId975" Type="http://schemas.openxmlformats.org/officeDocument/2006/relationships/hyperlink" Target="https://www.oag.com/hubfs/Flourish/United%20States.png" TargetMode="External"/><Relationship Id="rId974" Type="http://schemas.openxmlformats.org/officeDocument/2006/relationships/hyperlink" Target="https://www.oag.com/hubfs/Flourish/United%20States.png" TargetMode="External"/><Relationship Id="rId973" Type="http://schemas.openxmlformats.org/officeDocument/2006/relationships/hyperlink" Target="https://www.oag.com/hubfs/Flourish/8.png" TargetMode="External"/><Relationship Id="rId979" Type="http://schemas.openxmlformats.org/officeDocument/2006/relationships/hyperlink" Target="https://www.oag.com/hubfs/Flourish/United%20States.png" TargetMode="External"/><Relationship Id="rId978" Type="http://schemas.openxmlformats.org/officeDocument/2006/relationships/hyperlink" Target="https://www.oag.com/hubfs/Flourish/United%20States.png" TargetMode="External"/><Relationship Id="rId977" Type="http://schemas.openxmlformats.org/officeDocument/2006/relationships/hyperlink" Target="https://www.oag.com/hubfs/Flourish/United%20States.png" TargetMode="External"/><Relationship Id="rId2890" Type="http://schemas.openxmlformats.org/officeDocument/2006/relationships/hyperlink" Target="https://www.oag.com/hubfs/Flourish/Japan.png" TargetMode="External"/><Relationship Id="rId1560" Type="http://schemas.openxmlformats.org/officeDocument/2006/relationships/hyperlink" Target="https://www.oag.com/hubfs/Flourish/United%20States.png" TargetMode="External"/><Relationship Id="rId2891" Type="http://schemas.openxmlformats.org/officeDocument/2006/relationships/hyperlink" Target="https://www.oag.com/hubfs/Flourish/United%20States.png" TargetMode="External"/><Relationship Id="rId972" Type="http://schemas.openxmlformats.org/officeDocument/2006/relationships/hyperlink" Target="https://www.oag.com/hubfs/Flourish/2-1.png" TargetMode="External"/><Relationship Id="rId1561" Type="http://schemas.openxmlformats.org/officeDocument/2006/relationships/hyperlink" Target="https://www.oag.com/hubfs/Flourish/8.png" TargetMode="External"/><Relationship Id="rId2892" Type="http://schemas.openxmlformats.org/officeDocument/2006/relationships/hyperlink" Target="https://www.oag.com/hubfs/Flourish/United%20States.png" TargetMode="External"/><Relationship Id="rId971" Type="http://schemas.openxmlformats.org/officeDocument/2006/relationships/hyperlink" Target="https://www.oag.com/hubfs/Flourish/2-1.png" TargetMode="External"/><Relationship Id="rId1562" Type="http://schemas.openxmlformats.org/officeDocument/2006/relationships/hyperlink" Target="https://www.oag.com/hubfs/Flourish/China.png" TargetMode="External"/><Relationship Id="rId2893" Type="http://schemas.openxmlformats.org/officeDocument/2006/relationships/hyperlink" Target="https://www.oag.com/hubfs/Flourish/United%20States.png" TargetMode="External"/><Relationship Id="rId970" Type="http://schemas.openxmlformats.org/officeDocument/2006/relationships/hyperlink" Target="https://www.oag.com/hubfs/Flourish/United%20States.png" TargetMode="External"/><Relationship Id="rId1563" Type="http://schemas.openxmlformats.org/officeDocument/2006/relationships/hyperlink" Target="https://www.oag.com/hubfs/Flourish/United%20States.png" TargetMode="External"/><Relationship Id="rId2894" Type="http://schemas.openxmlformats.org/officeDocument/2006/relationships/hyperlink" Target="https://www.oag.com/hubfs/Flourish/United%20States.png" TargetMode="External"/><Relationship Id="rId1564" Type="http://schemas.openxmlformats.org/officeDocument/2006/relationships/hyperlink" Target="https://www.oag.com/hubfs/Flourish/United%20States.png" TargetMode="External"/><Relationship Id="rId2895" Type="http://schemas.openxmlformats.org/officeDocument/2006/relationships/hyperlink" Target="https://www.oag.com/hubfs/Flourish/United%20States.png" TargetMode="External"/><Relationship Id="rId1598" Type="http://schemas.openxmlformats.org/officeDocument/2006/relationships/hyperlink" Target="https://www.oag.com/hubfs/Flourish/China.png" TargetMode="External"/><Relationship Id="rId1599" Type="http://schemas.openxmlformats.org/officeDocument/2006/relationships/hyperlink" Target="https://www.oag.com/hubfs/Flourish/United%20States.png" TargetMode="External"/><Relationship Id="rId1590" Type="http://schemas.openxmlformats.org/officeDocument/2006/relationships/hyperlink" Target="https://www.oag.com/hubfs/Flourish/India.png" TargetMode="External"/><Relationship Id="rId1591" Type="http://schemas.openxmlformats.org/officeDocument/2006/relationships/hyperlink" Target="https://www.oag.com/hubfs/Flourish/United%20States.png" TargetMode="External"/><Relationship Id="rId1592" Type="http://schemas.openxmlformats.org/officeDocument/2006/relationships/hyperlink" Target="https://www.oag.com/hubfs/Flourish/Japan.png" TargetMode="External"/><Relationship Id="rId1593" Type="http://schemas.openxmlformats.org/officeDocument/2006/relationships/hyperlink" Target="https://www.oag.com/hubfs/Flourish/Hong%20kong.jpg" TargetMode="External"/><Relationship Id="rId1594" Type="http://schemas.openxmlformats.org/officeDocument/2006/relationships/hyperlink" Target="https://www.oag.com/hubfs/Flourish/Thailand.png" TargetMode="External"/><Relationship Id="rId1595" Type="http://schemas.openxmlformats.org/officeDocument/2006/relationships/hyperlink" Target="https://www.oag.com/hubfs/Flourish/United%20States.png" TargetMode="External"/><Relationship Id="rId1596" Type="http://schemas.openxmlformats.org/officeDocument/2006/relationships/hyperlink" Target="https://www.oag.com/hubfs/Flourish/China.png" TargetMode="External"/><Relationship Id="rId1597" Type="http://schemas.openxmlformats.org/officeDocument/2006/relationships/hyperlink" Target="https://www.oag.com/hubfs/Flourish/United%20States.png" TargetMode="External"/><Relationship Id="rId1587" Type="http://schemas.openxmlformats.org/officeDocument/2006/relationships/hyperlink" Target="https://www.oag.com/hubfs/Flourish/United%20States.png" TargetMode="External"/><Relationship Id="rId1588" Type="http://schemas.openxmlformats.org/officeDocument/2006/relationships/hyperlink" Target="https://www.oag.com/hubfs/Flourish/Japan.png" TargetMode="External"/><Relationship Id="rId1589" Type="http://schemas.openxmlformats.org/officeDocument/2006/relationships/hyperlink" Target="https://www.oag.com/hubfs/Flourish/China.png" TargetMode="External"/><Relationship Id="rId998" Type="http://schemas.openxmlformats.org/officeDocument/2006/relationships/hyperlink" Target="https://www.oag.com/hubfs/Flourish/United%20States.png" TargetMode="External"/><Relationship Id="rId997" Type="http://schemas.openxmlformats.org/officeDocument/2006/relationships/hyperlink" Target="https://www.oag.com/hubfs/Flourish/Poland.png" TargetMode="External"/><Relationship Id="rId996" Type="http://schemas.openxmlformats.org/officeDocument/2006/relationships/hyperlink" Target="https://www.oag.com/hubfs/Flourish/7.png" TargetMode="External"/><Relationship Id="rId995" Type="http://schemas.openxmlformats.org/officeDocument/2006/relationships/hyperlink" Target="https://www.oag.com/hubfs/Flourish/United%20States.png" TargetMode="External"/><Relationship Id="rId999" Type="http://schemas.openxmlformats.org/officeDocument/2006/relationships/hyperlink" Target="https://www.oag.com/hubfs/Flourish/United%20States.png" TargetMode="External"/><Relationship Id="rId990" Type="http://schemas.openxmlformats.org/officeDocument/2006/relationships/hyperlink" Target="https://www.oag.com/hubfs/Flourish/8.png" TargetMode="External"/><Relationship Id="rId1580" Type="http://schemas.openxmlformats.org/officeDocument/2006/relationships/hyperlink" Target="https://www.oag.com/hubfs/Flourish/Thailand.png" TargetMode="External"/><Relationship Id="rId1581" Type="http://schemas.openxmlformats.org/officeDocument/2006/relationships/hyperlink" Target="https://www.oag.com/hubfs/Flourish/United%20States.png" TargetMode="External"/><Relationship Id="rId1582" Type="http://schemas.openxmlformats.org/officeDocument/2006/relationships/hyperlink" Target="https://www.oag.com/hubfs/Flourish/United%20States.png" TargetMode="External"/><Relationship Id="rId994" Type="http://schemas.openxmlformats.org/officeDocument/2006/relationships/hyperlink" Target="https://www.oag.com/hubfs/Flourish/Croatia.png" TargetMode="External"/><Relationship Id="rId1583" Type="http://schemas.openxmlformats.org/officeDocument/2006/relationships/hyperlink" Target="https://www.oag.com/hubfs/Flourish/United%20States.png" TargetMode="External"/><Relationship Id="rId993" Type="http://schemas.openxmlformats.org/officeDocument/2006/relationships/hyperlink" Target="https://www.oag.com/hubfs/Flourish/United%20States.png" TargetMode="External"/><Relationship Id="rId1584" Type="http://schemas.openxmlformats.org/officeDocument/2006/relationships/hyperlink" Target="https://www.oag.com/hubfs/Flourish/United%20States.png" TargetMode="External"/><Relationship Id="rId992" Type="http://schemas.openxmlformats.org/officeDocument/2006/relationships/hyperlink" Target="https://www.oag.com/hubfs/Flourish/United%20States.png" TargetMode="External"/><Relationship Id="rId1585" Type="http://schemas.openxmlformats.org/officeDocument/2006/relationships/hyperlink" Target="https://www.oag.com/hubfs/Flourish/Japan.png" TargetMode="External"/><Relationship Id="rId991" Type="http://schemas.openxmlformats.org/officeDocument/2006/relationships/hyperlink" Target="https://www.oag.com/hubfs/Flourish/2-1.png" TargetMode="External"/><Relationship Id="rId1586" Type="http://schemas.openxmlformats.org/officeDocument/2006/relationships/hyperlink" Target="https://www.oag.com/hubfs/Flourish/S%20Korea.jpg" TargetMode="External"/><Relationship Id="rId1532" Type="http://schemas.openxmlformats.org/officeDocument/2006/relationships/hyperlink" Target="https://www.oag.com/hubfs/Flourish/United%20States.png" TargetMode="External"/><Relationship Id="rId2863" Type="http://schemas.openxmlformats.org/officeDocument/2006/relationships/hyperlink" Target="https://www.oag.com/hubfs/Flourish/United%20States.png" TargetMode="External"/><Relationship Id="rId1533" Type="http://schemas.openxmlformats.org/officeDocument/2006/relationships/hyperlink" Target="https://www.oag.com/hubfs/Flourish/United%20States.png" TargetMode="External"/><Relationship Id="rId2864" Type="http://schemas.openxmlformats.org/officeDocument/2006/relationships/hyperlink" Target="https://www.oag.com/hubfs/Flourish/United%20States.png" TargetMode="External"/><Relationship Id="rId1534" Type="http://schemas.openxmlformats.org/officeDocument/2006/relationships/hyperlink" Target="https://www.oag.com/hubfs/Flourish/United%20States.png" TargetMode="External"/><Relationship Id="rId2865" Type="http://schemas.openxmlformats.org/officeDocument/2006/relationships/hyperlink" Target="https://www.oag.com/hubfs/Flourish/United%20States.png" TargetMode="External"/><Relationship Id="rId1535" Type="http://schemas.openxmlformats.org/officeDocument/2006/relationships/hyperlink" Target="https://www.oag.com/hubfs/Flourish/United%20States.png" TargetMode="External"/><Relationship Id="rId2866" Type="http://schemas.openxmlformats.org/officeDocument/2006/relationships/hyperlink" Target="https://www.oag.com/hubfs/Flourish/United%20States.png" TargetMode="External"/><Relationship Id="rId1536" Type="http://schemas.openxmlformats.org/officeDocument/2006/relationships/hyperlink" Target="https://www.oag.com/hubfs/Flourish/India.png" TargetMode="External"/><Relationship Id="rId2867" Type="http://schemas.openxmlformats.org/officeDocument/2006/relationships/hyperlink" Target="https://www.oag.com/hubfs/Flourish/United%20States.png" TargetMode="External"/><Relationship Id="rId1537" Type="http://schemas.openxmlformats.org/officeDocument/2006/relationships/hyperlink" Target="https://www.oag.com/hubfs/Flourish/United%20States.png" TargetMode="External"/><Relationship Id="rId2868" Type="http://schemas.openxmlformats.org/officeDocument/2006/relationships/hyperlink" Target="https://www.oag.com/hubfs/Flourish/United%20States.png" TargetMode="External"/><Relationship Id="rId1538" Type="http://schemas.openxmlformats.org/officeDocument/2006/relationships/hyperlink" Target="https://www.oag.com/hubfs/Flourish/8.png" TargetMode="External"/><Relationship Id="rId2869" Type="http://schemas.openxmlformats.org/officeDocument/2006/relationships/hyperlink" Target="https://www.oag.com/hubfs/Flourish/United%20States.png" TargetMode="External"/><Relationship Id="rId1539" Type="http://schemas.openxmlformats.org/officeDocument/2006/relationships/hyperlink" Target="https://www.oag.com/hubfs/Flourish/Ireland.png" TargetMode="External"/><Relationship Id="rId949" Type="http://schemas.openxmlformats.org/officeDocument/2006/relationships/hyperlink" Target="https://www.oag.com/hubfs/Flourish/United%20States.png" TargetMode="External"/><Relationship Id="rId948" Type="http://schemas.openxmlformats.org/officeDocument/2006/relationships/hyperlink" Target="https://www.oag.com/hubfs/Flourish/United%20States.png" TargetMode="External"/><Relationship Id="rId943" Type="http://schemas.openxmlformats.org/officeDocument/2006/relationships/hyperlink" Target="https://www.oag.com/hubfs/Flourish/United%20States.png" TargetMode="External"/><Relationship Id="rId942" Type="http://schemas.openxmlformats.org/officeDocument/2006/relationships/hyperlink" Target="https://www.oag.com/hubfs/Flourish/United%20States.png" TargetMode="External"/><Relationship Id="rId941" Type="http://schemas.openxmlformats.org/officeDocument/2006/relationships/hyperlink" Target="https://www.oag.com/hubfs/Flourish/India.png" TargetMode="External"/><Relationship Id="rId940" Type="http://schemas.openxmlformats.org/officeDocument/2006/relationships/hyperlink" Target="https://www.oag.com/hubfs/Flourish/6.png" TargetMode="External"/><Relationship Id="rId947" Type="http://schemas.openxmlformats.org/officeDocument/2006/relationships/hyperlink" Target="https://www.oag.com/hubfs/Flourish/United%20States.png" TargetMode="External"/><Relationship Id="rId946" Type="http://schemas.openxmlformats.org/officeDocument/2006/relationships/hyperlink" Target="https://www.oag.com/hubfs/Flourish/8.png" TargetMode="External"/><Relationship Id="rId945" Type="http://schemas.openxmlformats.org/officeDocument/2006/relationships/hyperlink" Target="https://www.oag.com/hubfs/Flourish/United%20States.png" TargetMode="External"/><Relationship Id="rId944" Type="http://schemas.openxmlformats.org/officeDocument/2006/relationships/hyperlink" Target="https://www.oag.com/hubfs/Flourish/United%20States.png" TargetMode="External"/><Relationship Id="rId2860" Type="http://schemas.openxmlformats.org/officeDocument/2006/relationships/hyperlink" Target="https://www.oag.com/hubfs/Flourish/United%20States.png" TargetMode="External"/><Relationship Id="rId1530" Type="http://schemas.openxmlformats.org/officeDocument/2006/relationships/hyperlink" Target="https://www.oag.com/hubfs/Flourish/United%20States.png" TargetMode="External"/><Relationship Id="rId2861" Type="http://schemas.openxmlformats.org/officeDocument/2006/relationships/hyperlink" Target="https://www.oag.com/hubfs/Flourish/3-1.png" TargetMode="External"/><Relationship Id="rId1531" Type="http://schemas.openxmlformats.org/officeDocument/2006/relationships/hyperlink" Target="https://www.oag.com/hubfs/Flourish/8.png" TargetMode="External"/><Relationship Id="rId2862" Type="http://schemas.openxmlformats.org/officeDocument/2006/relationships/hyperlink" Target="https://www.oag.com/hubfs/Flourish/United%20States.png" TargetMode="External"/><Relationship Id="rId1521" Type="http://schemas.openxmlformats.org/officeDocument/2006/relationships/hyperlink" Target="https://www.oag.com/hubfs/Flourish/United%20States.png" TargetMode="External"/><Relationship Id="rId2852" Type="http://schemas.openxmlformats.org/officeDocument/2006/relationships/hyperlink" Target="https://www.oag.com/hubfs/Flourish/Japan.png" TargetMode="External"/><Relationship Id="rId1522" Type="http://schemas.openxmlformats.org/officeDocument/2006/relationships/hyperlink" Target="https://www.oag.com/hubfs/Flourish/United%20States.png" TargetMode="External"/><Relationship Id="rId2853" Type="http://schemas.openxmlformats.org/officeDocument/2006/relationships/hyperlink" Target="https://www.oag.com/hubfs/Flourish/Mexico.png" TargetMode="External"/><Relationship Id="rId1523" Type="http://schemas.openxmlformats.org/officeDocument/2006/relationships/hyperlink" Target="https://www.oag.com/hubfs/Flourish/United%20States.png" TargetMode="External"/><Relationship Id="rId2854" Type="http://schemas.openxmlformats.org/officeDocument/2006/relationships/hyperlink" Target="https://www.oag.com/hubfs/Flourish/China.png" TargetMode="External"/><Relationship Id="rId1524" Type="http://schemas.openxmlformats.org/officeDocument/2006/relationships/hyperlink" Target="https://www.oag.com/hubfs/Flourish/8.png" TargetMode="External"/><Relationship Id="rId2855" Type="http://schemas.openxmlformats.org/officeDocument/2006/relationships/hyperlink" Target="https://www.oag.com/hubfs/Flourish/2-1.png" TargetMode="External"/><Relationship Id="rId1525" Type="http://schemas.openxmlformats.org/officeDocument/2006/relationships/hyperlink" Target="https://www.oag.com/hubfs/Flourish/United%20States.png" TargetMode="External"/><Relationship Id="rId2856" Type="http://schemas.openxmlformats.org/officeDocument/2006/relationships/hyperlink" Target="https://www.oag.com/hubfs/Flourish/Thailand.png" TargetMode="External"/><Relationship Id="rId1526" Type="http://schemas.openxmlformats.org/officeDocument/2006/relationships/hyperlink" Target="https://www.oag.com/hubfs/Flourish/United%20States.png" TargetMode="External"/><Relationship Id="rId2857" Type="http://schemas.openxmlformats.org/officeDocument/2006/relationships/hyperlink" Target="https://www.oag.com/hubfs/Flourish/6.png" TargetMode="External"/><Relationship Id="rId1527" Type="http://schemas.openxmlformats.org/officeDocument/2006/relationships/hyperlink" Target="https://www.oag.com/hubfs/Flourish/Mexico.png" TargetMode="External"/><Relationship Id="rId2858" Type="http://schemas.openxmlformats.org/officeDocument/2006/relationships/hyperlink" Target="https://www.oag.com/hubfs/Flourish/United%20States.png" TargetMode="External"/><Relationship Id="rId1528" Type="http://schemas.openxmlformats.org/officeDocument/2006/relationships/hyperlink" Target="https://www.oag.com/hubfs/Flourish/United%20States.png" TargetMode="External"/><Relationship Id="rId2859" Type="http://schemas.openxmlformats.org/officeDocument/2006/relationships/hyperlink" Target="https://www.oag.com/hubfs/Flourish/Japan.png" TargetMode="External"/><Relationship Id="rId1529" Type="http://schemas.openxmlformats.org/officeDocument/2006/relationships/hyperlink" Target="https://www.oag.com/hubfs/Flourish/United%20States.png" TargetMode="External"/><Relationship Id="rId939" Type="http://schemas.openxmlformats.org/officeDocument/2006/relationships/hyperlink" Target="https://www.oag.com/hubfs/Flourish/2-1.png" TargetMode="External"/><Relationship Id="rId938" Type="http://schemas.openxmlformats.org/officeDocument/2006/relationships/hyperlink" Target="https://www.oag.com/hubfs/Flourish/United%20States.png" TargetMode="External"/><Relationship Id="rId937" Type="http://schemas.openxmlformats.org/officeDocument/2006/relationships/hyperlink" Target="https://www.oag.com/hubfs/Flourish/United%20States.png" TargetMode="External"/><Relationship Id="rId932" Type="http://schemas.openxmlformats.org/officeDocument/2006/relationships/hyperlink" Target="https://www.oag.com/hubfs/Flourish/United%20States.png" TargetMode="External"/><Relationship Id="rId931" Type="http://schemas.openxmlformats.org/officeDocument/2006/relationships/hyperlink" Target="https://www.oag.com/hubfs/Flourish/United%20States.png" TargetMode="External"/><Relationship Id="rId930" Type="http://schemas.openxmlformats.org/officeDocument/2006/relationships/hyperlink" Target="https://www.oag.com/hubfs/Flourish/United%20States.png" TargetMode="External"/><Relationship Id="rId936" Type="http://schemas.openxmlformats.org/officeDocument/2006/relationships/hyperlink" Target="https://www.oag.com/hubfs/Flourish/United%20States.png" TargetMode="External"/><Relationship Id="rId935" Type="http://schemas.openxmlformats.org/officeDocument/2006/relationships/hyperlink" Target="https://www.oag.com/hubfs/Flourish/United%20States.png" TargetMode="External"/><Relationship Id="rId934" Type="http://schemas.openxmlformats.org/officeDocument/2006/relationships/hyperlink" Target="https://www.oag.com/hubfs/Flourish/United%20States.png" TargetMode="External"/><Relationship Id="rId933" Type="http://schemas.openxmlformats.org/officeDocument/2006/relationships/hyperlink" Target="https://www.oag.com/hubfs/Flourish/Thailand.png" TargetMode="External"/><Relationship Id="rId2850" Type="http://schemas.openxmlformats.org/officeDocument/2006/relationships/hyperlink" Target="https://www.oag.com/hubfs/Flourish/India.png" TargetMode="External"/><Relationship Id="rId1520" Type="http://schemas.openxmlformats.org/officeDocument/2006/relationships/hyperlink" Target="https://www.oag.com/hubfs/Flourish/United%20States.png" TargetMode="External"/><Relationship Id="rId2851" Type="http://schemas.openxmlformats.org/officeDocument/2006/relationships/hyperlink" Target="https://www.oag.com/hubfs/Flourish/6.png" TargetMode="External"/><Relationship Id="rId1554" Type="http://schemas.openxmlformats.org/officeDocument/2006/relationships/hyperlink" Target="https://www.oag.com/hubfs/Flourish/United%20States.png" TargetMode="External"/><Relationship Id="rId2885" Type="http://schemas.openxmlformats.org/officeDocument/2006/relationships/hyperlink" Target="https://www.oag.com/hubfs/Flourish/India.png" TargetMode="External"/><Relationship Id="rId1555" Type="http://schemas.openxmlformats.org/officeDocument/2006/relationships/hyperlink" Target="https://www.oag.com/hubfs/Flourish/United%20States.png" TargetMode="External"/><Relationship Id="rId2886" Type="http://schemas.openxmlformats.org/officeDocument/2006/relationships/hyperlink" Target="https://www.oag.com/hubfs/Flourish/Japan.png" TargetMode="External"/><Relationship Id="rId1556" Type="http://schemas.openxmlformats.org/officeDocument/2006/relationships/hyperlink" Target="https://www.oag.com/hubfs/Flourish/United%20States.png" TargetMode="External"/><Relationship Id="rId2887" Type="http://schemas.openxmlformats.org/officeDocument/2006/relationships/hyperlink" Target="https://www.oag.com/hubfs/Flourish/United%20States.png" TargetMode="External"/><Relationship Id="rId1557" Type="http://schemas.openxmlformats.org/officeDocument/2006/relationships/hyperlink" Target="https://www.oag.com/hubfs/Flourish/India.png" TargetMode="External"/><Relationship Id="rId2888" Type="http://schemas.openxmlformats.org/officeDocument/2006/relationships/hyperlink" Target="https://www.oag.com/hubfs/Flourish/United%20States.png" TargetMode="External"/><Relationship Id="rId1558" Type="http://schemas.openxmlformats.org/officeDocument/2006/relationships/hyperlink" Target="https://www.oag.com/hubfs/Flourish/China.png" TargetMode="External"/><Relationship Id="rId2889" Type="http://schemas.openxmlformats.org/officeDocument/2006/relationships/hyperlink" Target="https://www.oag.com/hubfs/Flourish/3-1.png" TargetMode="External"/><Relationship Id="rId1559" Type="http://schemas.openxmlformats.org/officeDocument/2006/relationships/hyperlink" Target="https://www.oag.com/hubfs/Flourish/United%20States.png" TargetMode="External"/><Relationship Id="rId965" Type="http://schemas.openxmlformats.org/officeDocument/2006/relationships/hyperlink" Target="https://www.oag.com/hubfs/Flourish/United%20States.png" TargetMode="External"/><Relationship Id="rId964" Type="http://schemas.openxmlformats.org/officeDocument/2006/relationships/hyperlink" Target="https://www.oag.com/hubfs/Flourish/2-1.png" TargetMode="External"/><Relationship Id="rId963" Type="http://schemas.openxmlformats.org/officeDocument/2006/relationships/hyperlink" Target="https://www.oag.com/hubfs/Flourish/China.png" TargetMode="External"/><Relationship Id="rId962" Type="http://schemas.openxmlformats.org/officeDocument/2006/relationships/hyperlink" Target="https://www.oag.com/hubfs/Flourish/United%20States.png" TargetMode="External"/><Relationship Id="rId969" Type="http://schemas.openxmlformats.org/officeDocument/2006/relationships/hyperlink" Target="https://www.oag.com/hubfs/Flourish/United%20States.png" TargetMode="External"/><Relationship Id="rId968" Type="http://schemas.openxmlformats.org/officeDocument/2006/relationships/hyperlink" Target="https://www.oag.com/hubfs/Flourish/6.png" TargetMode="External"/><Relationship Id="rId967" Type="http://schemas.openxmlformats.org/officeDocument/2006/relationships/hyperlink" Target="https://www.oag.com/hubfs/Flourish/8.png" TargetMode="External"/><Relationship Id="rId966" Type="http://schemas.openxmlformats.org/officeDocument/2006/relationships/hyperlink" Target="https://www.oag.com/hubfs/Flourish/United%20States.png" TargetMode="External"/><Relationship Id="rId2880" Type="http://schemas.openxmlformats.org/officeDocument/2006/relationships/hyperlink" Target="https://www.oag.com/hubfs/Flourish/United%20States.png" TargetMode="External"/><Relationship Id="rId961" Type="http://schemas.openxmlformats.org/officeDocument/2006/relationships/hyperlink" Target="https://www.oag.com/hubfs/Flourish/India.png" TargetMode="External"/><Relationship Id="rId1550" Type="http://schemas.openxmlformats.org/officeDocument/2006/relationships/hyperlink" Target="https://www.oag.com/hubfs/Flourish/United%20States.png" TargetMode="External"/><Relationship Id="rId2881" Type="http://schemas.openxmlformats.org/officeDocument/2006/relationships/hyperlink" Target="https://www.oag.com/hubfs/Flourish/Japan.png" TargetMode="External"/><Relationship Id="rId960" Type="http://schemas.openxmlformats.org/officeDocument/2006/relationships/hyperlink" Target="https://www.oag.com/hubfs/Flourish/China.png" TargetMode="External"/><Relationship Id="rId1551" Type="http://schemas.openxmlformats.org/officeDocument/2006/relationships/hyperlink" Target="https://www.oag.com/hubfs/Flourish/8.png" TargetMode="External"/><Relationship Id="rId2882" Type="http://schemas.openxmlformats.org/officeDocument/2006/relationships/hyperlink" Target="https://www.oag.com/hubfs/Flourish/Thailand.png" TargetMode="External"/><Relationship Id="rId1552" Type="http://schemas.openxmlformats.org/officeDocument/2006/relationships/hyperlink" Target="https://www.oag.com/hubfs/Flourish/China.png" TargetMode="External"/><Relationship Id="rId2883" Type="http://schemas.openxmlformats.org/officeDocument/2006/relationships/hyperlink" Target="https://www.oag.com/hubfs/Flourish/United%20States.png" TargetMode="External"/><Relationship Id="rId1553" Type="http://schemas.openxmlformats.org/officeDocument/2006/relationships/hyperlink" Target="https://www.oag.com/hubfs/Flourish/8.png" TargetMode="External"/><Relationship Id="rId2884" Type="http://schemas.openxmlformats.org/officeDocument/2006/relationships/hyperlink" Target="https://www.oag.com/hubfs/Flourish/United%20States.png" TargetMode="External"/><Relationship Id="rId1543" Type="http://schemas.openxmlformats.org/officeDocument/2006/relationships/hyperlink" Target="https://www.oag.com/hubfs/Flourish/Mexico.png" TargetMode="External"/><Relationship Id="rId2874" Type="http://schemas.openxmlformats.org/officeDocument/2006/relationships/hyperlink" Target="https://www.oag.com/hubfs/Flourish/China.png" TargetMode="External"/><Relationship Id="rId1544" Type="http://schemas.openxmlformats.org/officeDocument/2006/relationships/hyperlink" Target="https://www.oag.com/hubfs/Flourish/China.png" TargetMode="External"/><Relationship Id="rId2875" Type="http://schemas.openxmlformats.org/officeDocument/2006/relationships/hyperlink" Target="https://www.oag.com/hubfs/Flourish/United%20States.png" TargetMode="External"/><Relationship Id="rId1545" Type="http://schemas.openxmlformats.org/officeDocument/2006/relationships/hyperlink" Target="https://www.oag.com/hubfs/Flourish/China.png" TargetMode="External"/><Relationship Id="rId2876" Type="http://schemas.openxmlformats.org/officeDocument/2006/relationships/hyperlink" Target="https://www.oag.com/hubfs/Flourish/United%20States.png" TargetMode="External"/><Relationship Id="rId1546" Type="http://schemas.openxmlformats.org/officeDocument/2006/relationships/hyperlink" Target="https://www.oag.com/hubfs/Flourish/United%20States.png" TargetMode="External"/><Relationship Id="rId2877" Type="http://schemas.openxmlformats.org/officeDocument/2006/relationships/hyperlink" Target="https://www.oag.com/hubfs/Flourish/United%20States.png" TargetMode="External"/><Relationship Id="rId1547" Type="http://schemas.openxmlformats.org/officeDocument/2006/relationships/hyperlink" Target="https://www.oag.com/hubfs/Flourish/7.png" TargetMode="External"/><Relationship Id="rId2878" Type="http://schemas.openxmlformats.org/officeDocument/2006/relationships/hyperlink" Target="https://www.oag.com/hubfs/Flourish/7.png" TargetMode="External"/><Relationship Id="rId1548" Type="http://schemas.openxmlformats.org/officeDocument/2006/relationships/hyperlink" Target="https://www.oag.com/hubfs/Flourish/7.png" TargetMode="External"/><Relationship Id="rId2879" Type="http://schemas.openxmlformats.org/officeDocument/2006/relationships/hyperlink" Target="https://www.oag.com/hubfs/Flourish/7.png" TargetMode="External"/><Relationship Id="rId1549" Type="http://schemas.openxmlformats.org/officeDocument/2006/relationships/hyperlink" Target="https://www.oag.com/hubfs/Flourish/Japan.png" TargetMode="External"/><Relationship Id="rId959" Type="http://schemas.openxmlformats.org/officeDocument/2006/relationships/hyperlink" Target="https://www.oag.com/hubfs/Flourish/United%20States.png" TargetMode="External"/><Relationship Id="rId954" Type="http://schemas.openxmlformats.org/officeDocument/2006/relationships/hyperlink" Target="https://www.oag.com/hubfs/Flourish/India.png" TargetMode="External"/><Relationship Id="rId953" Type="http://schemas.openxmlformats.org/officeDocument/2006/relationships/hyperlink" Target="https://www.oag.com/hubfs/Flourish/United%20States.png" TargetMode="External"/><Relationship Id="rId952" Type="http://schemas.openxmlformats.org/officeDocument/2006/relationships/hyperlink" Target="https://www.oag.com/hubfs/Flourish/2-1.png" TargetMode="External"/><Relationship Id="rId951" Type="http://schemas.openxmlformats.org/officeDocument/2006/relationships/hyperlink" Target="https://www.oag.com/hubfs/Flourish/3-1.png" TargetMode="External"/><Relationship Id="rId958" Type="http://schemas.openxmlformats.org/officeDocument/2006/relationships/hyperlink" Target="https://www.oag.com/hubfs/Flourish/United%20States.png" TargetMode="External"/><Relationship Id="rId957" Type="http://schemas.openxmlformats.org/officeDocument/2006/relationships/hyperlink" Target="https://www.oag.com/hubfs/Flourish/3-1.png" TargetMode="External"/><Relationship Id="rId956" Type="http://schemas.openxmlformats.org/officeDocument/2006/relationships/hyperlink" Target="https://www.oag.com/hubfs/Flourish/United%20States.png" TargetMode="External"/><Relationship Id="rId955" Type="http://schemas.openxmlformats.org/officeDocument/2006/relationships/hyperlink" Target="https://www.oag.com/hubfs/Flourish/3-1.png" TargetMode="External"/><Relationship Id="rId950" Type="http://schemas.openxmlformats.org/officeDocument/2006/relationships/hyperlink" Target="https://www.oag.com/hubfs/Flourish/United%20States.png" TargetMode="External"/><Relationship Id="rId2870" Type="http://schemas.openxmlformats.org/officeDocument/2006/relationships/hyperlink" Target="https://www.oag.com/hubfs/Flourish/Mexico.png" TargetMode="External"/><Relationship Id="rId1540" Type="http://schemas.openxmlformats.org/officeDocument/2006/relationships/hyperlink" Target="https://www.oag.com/hubfs/Flourish/China.png" TargetMode="External"/><Relationship Id="rId2871" Type="http://schemas.openxmlformats.org/officeDocument/2006/relationships/hyperlink" Target="https://www.oag.com/hubfs/Flourish/United%20States.png" TargetMode="External"/><Relationship Id="rId1541" Type="http://schemas.openxmlformats.org/officeDocument/2006/relationships/hyperlink" Target="https://www.oag.com/hubfs/Flourish/United%20States.png" TargetMode="External"/><Relationship Id="rId2872" Type="http://schemas.openxmlformats.org/officeDocument/2006/relationships/hyperlink" Target="https://www.oag.com/hubfs/Flourish/8.png" TargetMode="External"/><Relationship Id="rId1542" Type="http://schemas.openxmlformats.org/officeDocument/2006/relationships/hyperlink" Target="https://www.oag.com/hubfs/Flourish/United%20States.png" TargetMode="External"/><Relationship Id="rId2873" Type="http://schemas.openxmlformats.org/officeDocument/2006/relationships/hyperlink" Target="https://www.oag.com/hubfs/Flourish/China.png" TargetMode="External"/><Relationship Id="rId2027" Type="http://schemas.openxmlformats.org/officeDocument/2006/relationships/hyperlink" Target="https://www.oag.com/hubfs/Flourish/Mexico.png" TargetMode="External"/><Relationship Id="rId2028" Type="http://schemas.openxmlformats.org/officeDocument/2006/relationships/hyperlink" Target="https://www.oag.com/hubfs/Flourish/China.png" TargetMode="External"/><Relationship Id="rId2029" Type="http://schemas.openxmlformats.org/officeDocument/2006/relationships/hyperlink" Target="https://www.oag.com/hubfs/Flourish/China.png" TargetMode="External"/><Relationship Id="rId107" Type="http://schemas.openxmlformats.org/officeDocument/2006/relationships/hyperlink" Target="https://www.oag.com/hubfs/Flourish/Madagascar-1.png" TargetMode="External"/><Relationship Id="rId106" Type="http://schemas.openxmlformats.org/officeDocument/2006/relationships/hyperlink" Target="https://www.oag.com/hubfs/Flourish/8.png" TargetMode="External"/><Relationship Id="rId105" Type="http://schemas.openxmlformats.org/officeDocument/2006/relationships/hyperlink" Target="https://www.oag.com/hubfs/Flourish/Tunisia.png" TargetMode="External"/><Relationship Id="rId104" Type="http://schemas.openxmlformats.org/officeDocument/2006/relationships/hyperlink" Target="https://www.oag.com/hubfs/Flourish/8.png" TargetMode="External"/><Relationship Id="rId109" Type="http://schemas.openxmlformats.org/officeDocument/2006/relationships/hyperlink" Target="https://www.oag.com/hubfs/Flourish/Mauritius.png" TargetMode="External"/><Relationship Id="rId108" Type="http://schemas.openxmlformats.org/officeDocument/2006/relationships/hyperlink" Target="https://www.oag.com/hubfs/Flourish/8.png" TargetMode="External"/><Relationship Id="rId2020" Type="http://schemas.openxmlformats.org/officeDocument/2006/relationships/hyperlink" Target="https://www.oag.com/hubfs/Flourish/United%20States.png" TargetMode="External"/><Relationship Id="rId2021" Type="http://schemas.openxmlformats.org/officeDocument/2006/relationships/hyperlink" Target="https://www.oag.com/hubfs/Flourish/China.png" TargetMode="External"/><Relationship Id="rId2022" Type="http://schemas.openxmlformats.org/officeDocument/2006/relationships/hyperlink" Target="https://www.oag.com/hubfs/Flourish/2-1.png" TargetMode="External"/><Relationship Id="rId103" Type="http://schemas.openxmlformats.org/officeDocument/2006/relationships/hyperlink" Target="https://www.oag.com/hubfs/Flourish/Ghana.png" TargetMode="External"/><Relationship Id="rId2023" Type="http://schemas.openxmlformats.org/officeDocument/2006/relationships/hyperlink" Target="https://www.oag.com/hubfs/Flourish/3-1.png" TargetMode="External"/><Relationship Id="rId102" Type="http://schemas.openxmlformats.org/officeDocument/2006/relationships/hyperlink" Target="https://www.oag.com/hubfs/Flourish/8.png" TargetMode="External"/><Relationship Id="rId2024" Type="http://schemas.openxmlformats.org/officeDocument/2006/relationships/hyperlink" Target="https://www.oag.com/hubfs/Flourish/3-1.png" TargetMode="External"/><Relationship Id="rId101" Type="http://schemas.openxmlformats.org/officeDocument/2006/relationships/hyperlink" Target="https://www.oag.com/hubfs/Flourish/DR%20of%20Congo.png" TargetMode="External"/><Relationship Id="rId2025" Type="http://schemas.openxmlformats.org/officeDocument/2006/relationships/hyperlink" Target="https://www.oag.com/hubfs/Flourish/United%20States.png" TargetMode="External"/><Relationship Id="rId100" Type="http://schemas.openxmlformats.org/officeDocument/2006/relationships/hyperlink" Target="https://www.oag.com/hubfs/Flourish/8.png" TargetMode="External"/><Relationship Id="rId2026" Type="http://schemas.openxmlformats.org/officeDocument/2006/relationships/hyperlink" Target="https://www.oag.com/hubfs/Flourish/2-1.png" TargetMode="External"/><Relationship Id="rId2016" Type="http://schemas.openxmlformats.org/officeDocument/2006/relationships/hyperlink" Target="https://www.oag.com/hubfs/Flourish/United%20States.png" TargetMode="External"/><Relationship Id="rId2017" Type="http://schemas.openxmlformats.org/officeDocument/2006/relationships/hyperlink" Target="https://www.oag.com/hubfs/Flourish/China.png" TargetMode="External"/><Relationship Id="rId2018" Type="http://schemas.openxmlformats.org/officeDocument/2006/relationships/hyperlink" Target="https://www.oag.com/hubfs/Flourish/2-1.png" TargetMode="External"/><Relationship Id="rId2019" Type="http://schemas.openxmlformats.org/officeDocument/2006/relationships/hyperlink" Target="https://www.oag.com/hubfs/Flourish/China.png" TargetMode="External"/><Relationship Id="rId2010" Type="http://schemas.openxmlformats.org/officeDocument/2006/relationships/hyperlink" Target="https://www.oag.com/hubfs/Flourish/2-1.png" TargetMode="External"/><Relationship Id="rId2011" Type="http://schemas.openxmlformats.org/officeDocument/2006/relationships/hyperlink" Target="https://www.oag.com/hubfs/Flourish/United%20States.png" TargetMode="External"/><Relationship Id="rId2012" Type="http://schemas.openxmlformats.org/officeDocument/2006/relationships/hyperlink" Target="https://www.oag.com/hubfs/Flourish/4.png" TargetMode="External"/><Relationship Id="rId2013" Type="http://schemas.openxmlformats.org/officeDocument/2006/relationships/hyperlink" Target="https://www.oag.com/hubfs/Flourish/United%20States.png" TargetMode="External"/><Relationship Id="rId2014" Type="http://schemas.openxmlformats.org/officeDocument/2006/relationships/hyperlink" Target="https://www.oag.com/hubfs/Flourish/United%20States.png" TargetMode="External"/><Relationship Id="rId2015" Type="http://schemas.openxmlformats.org/officeDocument/2006/relationships/hyperlink" Target="https://www.oag.com/hubfs/Flourish/China.png" TargetMode="External"/><Relationship Id="rId2049" Type="http://schemas.openxmlformats.org/officeDocument/2006/relationships/hyperlink" Target="https://www.oag.com/hubfs/Flourish/United%20States.png" TargetMode="External"/><Relationship Id="rId129" Type="http://schemas.openxmlformats.org/officeDocument/2006/relationships/hyperlink" Target="https://www.oag.com/hubfs/Flourish/2-1.png" TargetMode="External"/><Relationship Id="rId128" Type="http://schemas.openxmlformats.org/officeDocument/2006/relationships/hyperlink" Target="https://www.oag.com/hubfs/Flourish/2-1.png" TargetMode="External"/><Relationship Id="rId127" Type="http://schemas.openxmlformats.org/officeDocument/2006/relationships/hyperlink" Target="https://www.oag.com/hubfs/Flourish/2-1.png" TargetMode="External"/><Relationship Id="rId126" Type="http://schemas.openxmlformats.org/officeDocument/2006/relationships/hyperlink" Target="https://www.oag.com/hubfs/Flourish/2-1.png" TargetMode="External"/><Relationship Id="rId2040" Type="http://schemas.openxmlformats.org/officeDocument/2006/relationships/hyperlink" Target="https://www.oag.com/hubfs/Flourish/2-1.png" TargetMode="External"/><Relationship Id="rId121" Type="http://schemas.openxmlformats.org/officeDocument/2006/relationships/hyperlink" Target="https://www.oag.com/hubfs/Flourish/2-1.png" TargetMode="External"/><Relationship Id="rId2041" Type="http://schemas.openxmlformats.org/officeDocument/2006/relationships/hyperlink" Target="https://www.oag.com/hubfs/Flourish/Thailand.png" TargetMode="External"/><Relationship Id="rId120" Type="http://schemas.openxmlformats.org/officeDocument/2006/relationships/hyperlink" Target="https://www.oag.com/hubfs/Flourish/2-1.png" TargetMode="External"/><Relationship Id="rId2042" Type="http://schemas.openxmlformats.org/officeDocument/2006/relationships/hyperlink" Target="https://www.oag.com/hubfs/Flourish/Japan.png" TargetMode="External"/><Relationship Id="rId2043" Type="http://schemas.openxmlformats.org/officeDocument/2006/relationships/hyperlink" Target="https://www.oag.com/hubfs/Flourish/United%20States.png" TargetMode="External"/><Relationship Id="rId2044" Type="http://schemas.openxmlformats.org/officeDocument/2006/relationships/hyperlink" Target="https://www.oag.com/hubfs/Flourish/United%20States.png" TargetMode="External"/><Relationship Id="rId125" Type="http://schemas.openxmlformats.org/officeDocument/2006/relationships/hyperlink" Target="https://www.oag.com/hubfs/Flourish/2-1.png" TargetMode="External"/><Relationship Id="rId2045" Type="http://schemas.openxmlformats.org/officeDocument/2006/relationships/hyperlink" Target="https://www.oag.com/hubfs/Flourish/United%20States.png" TargetMode="External"/><Relationship Id="rId124" Type="http://schemas.openxmlformats.org/officeDocument/2006/relationships/hyperlink" Target="https://www.oag.com/hubfs/Flourish/2-1.png" TargetMode="External"/><Relationship Id="rId2046" Type="http://schemas.openxmlformats.org/officeDocument/2006/relationships/hyperlink" Target="https://www.oag.com/hubfs/Flourish/United%20States.png" TargetMode="External"/><Relationship Id="rId123" Type="http://schemas.openxmlformats.org/officeDocument/2006/relationships/hyperlink" Target="https://www.oag.com/hubfs/Flourish/2-1.png" TargetMode="External"/><Relationship Id="rId2047" Type="http://schemas.openxmlformats.org/officeDocument/2006/relationships/hyperlink" Target="https://www.oag.com/hubfs/Flourish/United%20States.png" TargetMode="External"/><Relationship Id="rId122" Type="http://schemas.openxmlformats.org/officeDocument/2006/relationships/hyperlink" Target="https://www.oag.com/hubfs/Flourish/2-1.png" TargetMode="External"/><Relationship Id="rId2048" Type="http://schemas.openxmlformats.org/officeDocument/2006/relationships/hyperlink" Target="https://www.oag.com/hubfs/Flourish/United%20States.png" TargetMode="External"/><Relationship Id="rId2038" Type="http://schemas.openxmlformats.org/officeDocument/2006/relationships/hyperlink" Target="https://www.oag.com/hubfs/Flourish/1-1.png" TargetMode="External"/><Relationship Id="rId2039" Type="http://schemas.openxmlformats.org/officeDocument/2006/relationships/hyperlink" Target="https://www.oag.com/hubfs/Flourish/Mexico.png" TargetMode="External"/><Relationship Id="rId118" Type="http://schemas.openxmlformats.org/officeDocument/2006/relationships/hyperlink" Target="https://www.oag.com/hubfs/Flourish/2-1.png" TargetMode="External"/><Relationship Id="rId117" Type="http://schemas.openxmlformats.org/officeDocument/2006/relationships/hyperlink" Target="https://www.oag.com/hubfs/Flourish/2-1.png" TargetMode="External"/><Relationship Id="rId116" Type="http://schemas.openxmlformats.org/officeDocument/2006/relationships/hyperlink" Target="https://www.oag.com/hubfs/Flourish/8.png" TargetMode="External"/><Relationship Id="rId115" Type="http://schemas.openxmlformats.org/officeDocument/2006/relationships/hyperlink" Target="https://www.oag.com/hubfs/Flourish/8.png" TargetMode="External"/><Relationship Id="rId119" Type="http://schemas.openxmlformats.org/officeDocument/2006/relationships/hyperlink" Target="https://www.oag.com/hubfs/Flourish/2-1.png" TargetMode="External"/><Relationship Id="rId110" Type="http://schemas.openxmlformats.org/officeDocument/2006/relationships/hyperlink" Target="https://www.oag.com/hubfs/Flourish/8.png" TargetMode="External"/><Relationship Id="rId2030" Type="http://schemas.openxmlformats.org/officeDocument/2006/relationships/hyperlink" Target="https://www.oag.com/hubfs/Flourish/United%20States.png" TargetMode="External"/><Relationship Id="rId2031" Type="http://schemas.openxmlformats.org/officeDocument/2006/relationships/hyperlink" Target="https://www.oag.com/hubfs/Flourish/China.png" TargetMode="External"/><Relationship Id="rId2032" Type="http://schemas.openxmlformats.org/officeDocument/2006/relationships/hyperlink" Target="https://www.oag.com/hubfs/Flourish/United%20States.png" TargetMode="External"/><Relationship Id="rId2033" Type="http://schemas.openxmlformats.org/officeDocument/2006/relationships/hyperlink" Target="https://www.oag.com/hubfs/Flourish/United%20States.png" TargetMode="External"/><Relationship Id="rId114" Type="http://schemas.openxmlformats.org/officeDocument/2006/relationships/hyperlink" Target="https://www.oag.com/hubfs/Flourish/8.png" TargetMode="External"/><Relationship Id="rId2034" Type="http://schemas.openxmlformats.org/officeDocument/2006/relationships/hyperlink" Target="https://www.oag.com/hubfs/Flourish/India.png" TargetMode="External"/><Relationship Id="rId113" Type="http://schemas.openxmlformats.org/officeDocument/2006/relationships/hyperlink" Target="https://www.oag.com/hubfs/Flourish/8.png" TargetMode="External"/><Relationship Id="rId2035" Type="http://schemas.openxmlformats.org/officeDocument/2006/relationships/hyperlink" Target="https://www.oag.com/hubfs/Flourish/1-1.png" TargetMode="External"/><Relationship Id="rId112" Type="http://schemas.openxmlformats.org/officeDocument/2006/relationships/hyperlink" Target="https://www.oag.com/hubfs/Flourish/8.png" TargetMode="External"/><Relationship Id="rId2036" Type="http://schemas.openxmlformats.org/officeDocument/2006/relationships/hyperlink" Target="https://www.oag.com/hubfs/Flourish/United%20States.png" TargetMode="External"/><Relationship Id="rId111" Type="http://schemas.openxmlformats.org/officeDocument/2006/relationships/hyperlink" Target="https://www.oag.com/hubfs/Flourish/8.png" TargetMode="External"/><Relationship Id="rId2037" Type="http://schemas.openxmlformats.org/officeDocument/2006/relationships/hyperlink" Target="https://www.oag.com/hubfs/Flourish/United%20States.png" TargetMode="External"/><Relationship Id="rId2005" Type="http://schemas.openxmlformats.org/officeDocument/2006/relationships/hyperlink" Target="https://www.oag.com/hubfs/Flourish/United%20States.png" TargetMode="External"/><Relationship Id="rId2006" Type="http://schemas.openxmlformats.org/officeDocument/2006/relationships/hyperlink" Target="https://www.oag.com/hubfs/Flourish/United%20States.png" TargetMode="External"/><Relationship Id="rId2007" Type="http://schemas.openxmlformats.org/officeDocument/2006/relationships/hyperlink" Target="https://www.oag.com/hubfs/Flourish/United%20States.png" TargetMode="External"/><Relationship Id="rId2008" Type="http://schemas.openxmlformats.org/officeDocument/2006/relationships/hyperlink" Target="https://www.oag.com/hubfs/Flourish/United%20States.png" TargetMode="External"/><Relationship Id="rId2009" Type="http://schemas.openxmlformats.org/officeDocument/2006/relationships/hyperlink" Target="https://www.oag.com/hubfs/Flourish/United%20States.png" TargetMode="External"/><Relationship Id="rId2000" Type="http://schemas.openxmlformats.org/officeDocument/2006/relationships/hyperlink" Target="https://www.oag.com/hubfs/Flourish/China.png" TargetMode="External"/><Relationship Id="rId2001" Type="http://schemas.openxmlformats.org/officeDocument/2006/relationships/hyperlink" Target="https://www.oag.com/hubfs/Flourish/United%20States.png" TargetMode="External"/><Relationship Id="rId2002" Type="http://schemas.openxmlformats.org/officeDocument/2006/relationships/hyperlink" Target="https://www.oag.com/hubfs/Flourish/United%20States.png" TargetMode="External"/><Relationship Id="rId2003" Type="http://schemas.openxmlformats.org/officeDocument/2006/relationships/hyperlink" Target="https://www.oag.com/hubfs/Flourish/3-1.png" TargetMode="External"/><Relationship Id="rId2004" Type="http://schemas.openxmlformats.org/officeDocument/2006/relationships/hyperlink" Target="https://www.oag.com/hubfs/Flourish/United%20States.png" TargetMode="External"/><Relationship Id="rId2090" Type="http://schemas.openxmlformats.org/officeDocument/2006/relationships/hyperlink" Target="https://www.oag.com/hubfs/Flourish/United%20States.png" TargetMode="External"/><Relationship Id="rId2091" Type="http://schemas.openxmlformats.org/officeDocument/2006/relationships/hyperlink" Target="https://www.oag.com/hubfs/Flourish/Mexico.png" TargetMode="External"/><Relationship Id="rId2092" Type="http://schemas.openxmlformats.org/officeDocument/2006/relationships/hyperlink" Target="https://www.oag.com/hubfs/Flourish/United%20States.png" TargetMode="External"/><Relationship Id="rId2093" Type="http://schemas.openxmlformats.org/officeDocument/2006/relationships/hyperlink" Target="https://www.oag.com/hubfs/Flourish/China.png" TargetMode="External"/><Relationship Id="rId2094" Type="http://schemas.openxmlformats.org/officeDocument/2006/relationships/hyperlink" Target="https://www.oag.com/hubfs/Flourish/United%20States.png" TargetMode="External"/><Relationship Id="rId2095" Type="http://schemas.openxmlformats.org/officeDocument/2006/relationships/hyperlink" Target="https://www.oag.com/hubfs/Flourish/1-1.png" TargetMode="External"/><Relationship Id="rId2096" Type="http://schemas.openxmlformats.org/officeDocument/2006/relationships/hyperlink" Target="https://www.oag.com/hubfs/Flourish/United%20States.png" TargetMode="External"/><Relationship Id="rId2097" Type="http://schemas.openxmlformats.org/officeDocument/2006/relationships/hyperlink" Target="https://www.oag.com/hubfs/Flourish/United%20States.png" TargetMode="External"/><Relationship Id="rId2098" Type="http://schemas.openxmlformats.org/officeDocument/2006/relationships/hyperlink" Target="https://www.oag.com/hubfs/Flourish/United%20States.png" TargetMode="External"/><Relationship Id="rId2099" Type="http://schemas.openxmlformats.org/officeDocument/2006/relationships/hyperlink" Target="https://www.oag.com/hubfs/Flourish/United%20States.png" TargetMode="External"/><Relationship Id="rId2060" Type="http://schemas.openxmlformats.org/officeDocument/2006/relationships/hyperlink" Target="https://www.oag.com/hubfs/Flourish/United%20States.png" TargetMode="External"/><Relationship Id="rId2061" Type="http://schemas.openxmlformats.org/officeDocument/2006/relationships/hyperlink" Target="https://www.oag.com/hubfs/Flourish/United%20States.png" TargetMode="External"/><Relationship Id="rId2062" Type="http://schemas.openxmlformats.org/officeDocument/2006/relationships/hyperlink" Target="https://www.oag.com/hubfs/Flourish/United%20States.png" TargetMode="External"/><Relationship Id="rId2063" Type="http://schemas.openxmlformats.org/officeDocument/2006/relationships/hyperlink" Target="https://www.oag.com/hubfs/Flourish/United%20States.png" TargetMode="External"/><Relationship Id="rId2064" Type="http://schemas.openxmlformats.org/officeDocument/2006/relationships/hyperlink" Target="https://www.oag.com/hubfs/Flourish/United%20States.png" TargetMode="External"/><Relationship Id="rId2065" Type="http://schemas.openxmlformats.org/officeDocument/2006/relationships/hyperlink" Target="https://www.oag.com/hubfs/Flourish/3-1.png" TargetMode="External"/><Relationship Id="rId2066" Type="http://schemas.openxmlformats.org/officeDocument/2006/relationships/hyperlink" Target="https://www.oag.com/hubfs/Flourish/United%20States.png" TargetMode="External"/><Relationship Id="rId2067" Type="http://schemas.openxmlformats.org/officeDocument/2006/relationships/hyperlink" Target="https://www.oag.com/hubfs/Flourish/United%20States.png" TargetMode="External"/><Relationship Id="rId2068" Type="http://schemas.openxmlformats.org/officeDocument/2006/relationships/hyperlink" Target="https://www.oag.com/hubfs/Flourish/Mexico.png" TargetMode="External"/><Relationship Id="rId2069" Type="http://schemas.openxmlformats.org/officeDocument/2006/relationships/hyperlink" Target="https://www.oag.com/hubfs/Flourish/United%20States.png" TargetMode="External"/><Relationship Id="rId2050" Type="http://schemas.openxmlformats.org/officeDocument/2006/relationships/hyperlink" Target="https://www.oag.com/hubfs/Flourish/United%20States.png" TargetMode="External"/><Relationship Id="rId2051" Type="http://schemas.openxmlformats.org/officeDocument/2006/relationships/hyperlink" Target="https://www.oag.com/hubfs/Flourish/United%20States.png" TargetMode="External"/><Relationship Id="rId2052" Type="http://schemas.openxmlformats.org/officeDocument/2006/relationships/hyperlink" Target="https://www.oag.com/hubfs/Flourish/United%20States.png" TargetMode="External"/><Relationship Id="rId2053" Type="http://schemas.openxmlformats.org/officeDocument/2006/relationships/hyperlink" Target="https://www.oag.com/hubfs/Flourish/United%20States.png" TargetMode="External"/><Relationship Id="rId2054" Type="http://schemas.openxmlformats.org/officeDocument/2006/relationships/hyperlink" Target="https://www.oag.com/hubfs/Flourish/United%20States.png" TargetMode="External"/><Relationship Id="rId2055" Type="http://schemas.openxmlformats.org/officeDocument/2006/relationships/hyperlink" Target="https://www.oag.com/hubfs/Flourish/United%20States.png" TargetMode="External"/><Relationship Id="rId2056" Type="http://schemas.openxmlformats.org/officeDocument/2006/relationships/hyperlink" Target="https://www.oag.com/hubfs/Flourish/3-1.png" TargetMode="External"/><Relationship Id="rId2057" Type="http://schemas.openxmlformats.org/officeDocument/2006/relationships/hyperlink" Target="https://www.oag.com/hubfs/Flourish/United%20States.png" TargetMode="External"/><Relationship Id="rId2058" Type="http://schemas.openxmlformats.org/officeDocument/2006/relationships/hyperlink" Target="https://www.oag.com/hubfs/Flourish/China.png" TargetMode="External"/><Relationship Id="rId2059" Type="http://schemas.openxmlformats.org/officeDocument/2006/relationships/hyperlink" Target="https://www.oag.com/hubfs/Flourish/United%20States.png" TargetMode="External"/><Relationship Id="rId2080" Type="http://schemas.openxmlformats.org/officeDocument/2006/relationships/hyperlink" Target="https://www.oag.com/hubfs/Flourish/United%20States.png" TargetMode="External"/><Relationship Id="rId2081" Type="http://schemas.openxmlformats.org/officeDocument/2006/relationships/hyperlink" Target="https://www.oag.com/hubfs/Flourish/8.png" TargetMode="External"/><Relationship Id="rId2082" Type="http://schemas.openxmlformats.org/officeDocument/2006/relationships/hyperlink" Target="https://www.oag.com/hubfs/Flourish/United%20States.png" TargetMode="External"/><Relationship Id="rId2083" Type="http://schemas.openxmlformats.org/officeDocument/2006/relationships/hyperlink" Target="https://www.oag.com/hubfs/Flourish/United%20States.png" TargetMode="External"/><Relationship Id="rId2084" Type="http://schemas.openxmlformats.org/officeDocument/2006/relationships/hyperlink" Target="https://www.oag.com/hubfs/Flourish/United%20States.png" TargetMode="External"/><Relationship Id="rId2085" Type="http://schemas.openxmlformats.org/officeDocument/2006/relationships/hyperlink" Target="https://www.oag.com/hubfs/Flourish/United%20States.png" TargetMode="External"/><Relationship Id="rId2086" Type="http://schemas.openxmlformats.org/officeDocument/2006/relationships/hyperlink" Target="https://www.oag.com/hubfs/Flourish/United%20States.png" TargetMode="External"/><Relationship Id="rId2087" Type="http://schemas.openxmlformats.org/officeDocument/2006/relationships/hyperlink" Target="https://www.oag.com/hubfs/Flourish/2-1.png" TargetMode="External"/><Relationship Id="rId2088" Type="http://schemas.openxmlformats.org/officeDocument/2006/relationships/hyperlink" Target="https://www.oag.com/hubfs/Flourish/United%20States.png" TargetMode="External"/><Relationship Id="rId2089" Type="http://schemas.openxmlformats.org/officeDocument/2006/relationships/hyperlink" Target="https://www.oag.com/hubfs/Flourish/United%20States.png" TargetMode="External"/><Relationship Id="rId2070" Type="http://schemas.openxmlformats.org/officeDocument/2006/relationships/hyperlink" Target="https://www.oag.com/hubfs/Flourish/United%20States.png" TargetMode="External"/><Relationship Id="rId2071" Type="http://schemas.openxmlformats.org/officeDocument/2006/relationships/hyperlink" Target="https://www.oag.com/hubfs/Flourish/United%20States.png" TargetMode="External"/><Relationship Id="rId2072" Type="http://schemas.openxmlformats.org/officeDocument/2006/relationships/hyperlink" Target="https://www.oag.com/hubfs/Flourish/United%20States.png" TargetMode="External"/><Relationship Id="rId2073" Type="http://schemas.openxmlformats.org/officeDocument/2006/relationships/hyperlink" Target="https://www.oag.com/hubfs/Flourish/3-1.png" TargetMode="External"/><Relationship Id="rId2074" Type="http://schemas.openxmlformats.org/officeDocument/2006/relationships/hyperlink" Target="https://www.oag.com/hubfs/Flourish/United%20States.png" TargetMode="External"/><Relationship Id="rId2075" Type="http://schemas.openxmlformats.org/officeDocument/2006/relationships/hyperlink" Target="https://www.oag.com/hubfs/Flourish/United%20States.png" TargetMode="External"/><Relationship Id="rId2076" Type="http://schemas.openxmlformats.org/officeDocument/2006/relationships/hyperlink" Target="https://www.oag.com/hubfs/Flourish/United%20States.png" TargetMode="External"/><Relationship Id="rId2077" Type="http://schemas.openxmlformats.org/officeDocument/2006/relationships/hyperlink" Target="https://www.oag.com/hubfs/Flourish/8.png" TargetMode="External"/><Relationship Id="rId2078" Type="http://schemas.openxmlformats.org/officeDocument/2006/relationships/hyperlink" Target="https://www.oag.com/hubfs/Flourish/United%20States.png" TargetMode="External"/><Relationship Id="rId2079" Type="http://schemas.openxmlformats.org/officeDocument/2006/relationships/hyperlink" Target="https://www.oag.com/hubfs/Flourish/United%20States.png" TargetMode="External"/><Relationship Id="rId2940" Type="http://schemas.openxmlformats.org/officeDocument/2006/relationships/hyperlink" Target="https://www.oag.com/hubfs/Flourish/United%20States.png" TargetMode="External"/><Relationship Id="rId1610" Type="http://schemas.openxmlformats.org/officeDocument/2006/relationships/hyperlink" Target="https://www.oag.com/hubfs/Flourish/China.png" TargetMode="External"/><Relationship Id="rId2941" Type="http://schemas.openxmlformats.org/officeDocument/2006/relationships/hyperlink" Target="https://www.oag.com/hubfs/Flourish/1-1.png" TargetMode="External"/><Relationship Id="rId1611" Type="http://schemas.openxmlformats.org/officeDocument/2006/relationships/hyperlink" Target="https://www.oag.com/hubfs/Flourish/United%20States.png" TargetMode="External"/><Relationship Id="rId2942" Type="http://schemas.openxmlformats.org/officeDocument/2006/relationships/hyperlink" Target="https://www.oag.com/hubfs/Flourish/1-1.png" TargetMode="External"/><Relationship Id="rId1612" Type="http://schemas.openxmlformats.org/officeDocument/2006/relationships/hyperlink" Target="https://www.oag.com/hubfs/Flourish/United%20States.png" TargetMode="External"/><Relationship Id="rId2943" Type="http://schemas.openxmlformats.org/officeDocument/2006/relationships/hyperlink" Target="https://www.oag.com/hubfs/Flourish/United%20States.png" TargetMode="External"/><Relationship Id="rId1613" Type="http://schemas.openxmlformats.org/officeDocument/2006/relationships/hyperlink" Target="https://www.oag.com/hubfs/Flourish/United%20States.png" TargetMode="External"/><Relationship Id="rId2944" Type="http://schemas.openxmlformats.org/officeDocument/2006/relationships/hyperlink" Target="https://www.oag.com/hubfs/Flourish/1-1.png" TargetMode="External"/><Relationship Id="rId1614" Type="http://schemas.openxmlformats.org/officeDocument/2006/relationships/hyperlink" Target="https://www.oag.com/hubfs/Flourish/United%20States.png" TargetMode="External"/><Relationship Id="rId2945" Type="http://schemas.openxmlformats.org/officeDocument/2006/relationships/hyperlink" Target="https://www.oag.com/hubfs/Flourish/2-1.png" TargetMode="External"/><Relationship Id="rId1615" Type="http://schemas.openxmlformats.org/officeDocument/2006/relationships/hyperlink" Target="https://www.oag.com/hubfs/Flourish/United%20States.png" TargetMode="External"/><Relationship Id="rId2946" Type="http://schemas.openxmlformats.org/officeDocument/2006/relationships/hyperlink" Target="https://www.oag.com/hubfs/Flourish/United%20States.png" TargetMode="External"/><Relationship Id="rId1616" Type="http://schemas.openxmlformats.org/officeDocument/2006/relationships/hyperlink" Target="https://www.oag.com/hubfs/Flourish/8.png" TargetMode="External"/><Relationship Id="rId2947" Type="http://schemas.openxmlformats.org/officeDocument/2006/relationships/hyperlink" Target="https://www.oag.com/hubfs/Flourish/3-1.png" TargetMode="External"/><Relationship Id="rId907" Type="http://schemas.openxmlformats.org/officeDocument/2006/relationships/hyperlink" Target="https://www.oag.com/hubfs/Flourish/United%20States.png" TargetMode="External"/><Relationship Id="rId1617" Type="http://schemas.openxmlformats.org/officeDocument/2006/relationships/hyperlink" Target="https://www.oag.com/hubfs/Flourish/5.png" TargetMode="External"/><Relationship Id="rId2948" Type="http://schemas.openxmlformats.org/officeDocument/2006/relationships/hyperlink" Target="https://www.oag.com/hubfs/Flourish/India.png" TargetMode="External"/><Relationship Id="rId906" Type="http://schemas.openxmlformats.org/officeDocument/2006/relationships/hyperlink" Target="https://www.oag.com/hubfs/Flourish/India.png" TargetMode="External"/><Relationship Id="rId1618" Type="http://schemas.openxmlformats.org/officeDocument/2006/relationships/hyperlink" Target="https://www.oag.com/hubfs/Flourish/United%20States.png" TargetMode="External"/><Relationship Id="rId2949" Type="http://schemas.openxmlformats.org/officeDocument/2006/relationships/hyperlink" Target="https://www.oag.com/hubfs/Flourish/United%20States.png" TargetMode="External"/><Relationship Id="rId905" Type="http://schemas.openxmlformats.org/officeDocument/2006/relationships/hyperlink" Target="https://www.oag.com/hubfs/Flourish/2-1.png" TargetMode="External"/><Relationship Id="rId1619" Type="http://schemas.openxmlformats.org/officeDocument/2006/relationships/hyperlink" Target="https://www.oag.com/hubfs/Flourish/United%20States.png" TargetMode="External"/><Relationship Id="rId904" Type="http://schemas.openxmlformats.org/officeDocument/2006/relationships/hyperlink" Target="https://www.oag.com/hubfs/Flourish/United%20States.png" TargetMode="External"/><Relationship Id="rId909" Type="http://schemas.openxmlformats.org/officeDocument/2006/relationships/hyperlink" Target="https://www.oag.com/hubfs/Flourish/India.png" TargetMode="External"/><Relationship Id="rId908" Type="http://schemas.openxmlformats.org/officeDocument/2006/relationships/hyperlink" Target="https://www.oag.com/hubfs/Flourish/India.png" TargetMode="External"/><Relationship Id="rId903" Type="http://schemas.openxmlformats.org/officeDocument/2006/relationships/hyperlink" Target="https://www.oag.com/hubfs/Flourish/6.png" TargetMode="External"/><Relationship Id="rId902" Type="http://schemas.openxmlformats.org/officeDocument/2006/relationships/hyperlink" Target="https://www.oag.com/hubfs/Flourish/United%20States.png" TargetMode="External"/><Relationship Id="rId901" Type="http://schemas.openxmlformats.org/officeDocument/2006/relationships/hyperlink" Target="https://www.oag.com/hubfs/Flourish/United%20States.png" TargetMode="External"/><Relationship Id="rId900" Type="http://schemas.openxmlformats.org/officeDocument/2006/relationships/hyperlink" Target="https://www.oag.com/hubfs/Flourish/United%20States.png" TargetMode="External"/><Relationship Id="rId2930" Type="http://schemas.openxmlformats.org/officeDocument/2006/relationships/hyperlink" Target="https://www.oag.com/hubfs/Flourish/1-1.png" TargetMode="External"/><Relationship Id="rId1600" Type="http://schemas.openxmlformats.org/officeDocument/2006/relationships/hyperlink" Target="https://www.oag.com/hubfs/Flourish/United%20States.png" TargetMode="External"/><Relationship Id="rId2931" Type="http://schemas.openxmlformats.org/officeDocument/2006/relationships/hyperlink" Target="https://www.oag.com/hubfs/Flourish/United%20States.png" TargetMode="External"/><Relationship Id="rId1601" Type="http://schemas.openxmlformats.org/officeDocument/2006/relationships/hyperlink" Target="https://www.oag.com/hubfs/Flourish/China.png" TargetMode="External"/><Relationship Id="rId2932" Type="http://schemas.openxmlformats.org/officeDocument/2006/relationships/hyperlink" Target="https://www.oag.com/hubfs/Flourish/United%20States.png" TargetMode="External"/><Relationship Id="rId1602" Type="http://schemas.openxmlformats.org/officeDocument/2006/relationships/hyperlink" Target="https://www.oag.com/hubfs/Flourish/United%20States.png" TargetMode="External"/><Relationship Id="rId2933" Type="http://schemas.openxmlformats.org/officeDocument/2006/relationships/hyperlink" Target="https://www.oag.com/hubfs/Flourish/United%20States.png" TargetMode="External"/><Relationship Id="rId1603" Type="http://schemas.openxmlformats.org/officeDocument/2006/relationships/hyperlink" Target="https://www.oag.com/hubfs/Flourish/Mexico.png" TargetMode="External"/><Relationship Id="rId2934" Type="http://schemas.openxmlformats.org/officeDocument/2006/relationships/hyperlink" Target="https://www.oag.com/hubfs/Flourish/Mexico.png" TargetMode="External"/><Relationship Id="rId1604" Type="http://schemas.openxmlformats.org/officeDocument/2006/relationships/hyperlink" Target="https://www.oag.com/hubfs/Flourish/Japan.png" TargetMode="External"/><Relationship Id="rId2935" Type="http://schemas.openxmlformats.org/officeDocument/2006/relationships/hyperlink" Target="https://www.oag.com/hubfs/Flourish/India.png" TargetMode="External"/><Relationship Id="rId1605" Type="http://schemas.openxmlformats.org/officeDocument/2006/relationships/hyperlink" Target="https://www.oag.com/hubfs/Flourish/Japan.png" TargetMode="External"/><Relationship Id="rId2936" Type="http://schemas.openxmlformats.org/officeDocument/2006/relationships/hyperlink" Target="https://www.oag.com/hubfs/Flourish/1-1.png" TargetMode="External"/><Relationship Id="rId1606" Type="http://schemas.openxmlformats.org/officeDocument/2006/relationships/hyperlink" Target="https://www.oag.com/hubfs/Flourish/United%20States.png" TargetMode="External"/><Relationship Id="rId2937" Type="http://schemas.openxmlformats.org/officeDocument/2006/relationships/hyperlink" Target="https://www.oag.com/hubfs/Flourish/United%20States.png" TargetMode="External"/><Relationship Id="rId1607" Type="http://schemas.openxmlformats.org/officeDocument/2006/relationships/hyperlink" Target="https://www.oag.com/hubfs/Flourish/United%20States.png" TargetMode="External"/><Relationship Id="rId2938" Type="http://schemas.openxmlformats.org/officeDocument/2006/relationships/hyperlink" Target="https://www.oag.com/hubfs/Flourish/3-1.png" TargetMode="External"/><Relationship Id="rId1608" Type="http://schemas.openxmlformats.org/officeDocument/2006/relationships/hyperlink" Target="https://www.oag.com/hubfs/Flourish/United%20States.png" TargetMode="External"/><Relationship Id="rId2939" Type="http://schemas.openxmlformats.org/officeDocument/2006/relationships/hyperlink" Target="https://www.oag.com/hubfs/Flourish/6.png" TargetMode="External"/><Relationship Id="rId1609" Type="http://schemas.openxmlformats.org/officeDocument/2006/relationships/hyperlink" Target="https://www.oag.com/hubfs/Flourish/United%20States.png" TargetMode="External"/><Relationship Id="rId1631" Type="http://schemas.openxmlformats.org/officeDocument/2006/relationships/hyperlink" Target="https://www.oag.com/hubfs/Flourish/1-1.png" TargetMode="External"/><Relationship Id="rId2962" Type="http://schemas.openxmlformats.org/officeDocument/2006/relationships/hyperlink" Target="https://www.oag.com/hubfs/Flourish/UAE.jpg" TargetMode="External"/><Relationship Id="rId1632" Type="http://schemas.openxmlformats.org/officeDocument/2006/relationships/hyperlink" Target="https://www.oag.com/hubfs/Flourish/United%20States.png" TargetMode="External"/><Relationship Id="rId2963" Type="http://schemas.openxmlformats.org/officeDocument/2006/relationships/hyperlink" Target="https://www.oag.com/hubfs/Flourish/United%20States.png" TargetMode="External"/><Relationship Id="rId1633" Type="http://schemas.openxmlformats.org/officeDocument/2006/relationships/hyperlink" Target="https://www.oag.com/hubfs/Flourish/China.png" TargetMode="External"/><Relationship Id="rId2964" Type="http://schemas.openxmlformats.org/officeDocument/2006/relationships/hyperlink" Target="https://www.oag.com/hubfs/Flourish/United%20States.png" TargetMode="External"/><Relationship Id="rId1634" Type="http://schemas.openxmlformats.org/officeDocument/2006/relationships/hyperlink" Target="https://www.oag.com/hubfs/Flourish/United%20States.png" TargetMode="External"/><Relationship Id="rId2965" Type="http://schemas.openxmlformats.org/officeDocument/2006/relationships/hyperlink" Target="https://www.oag.com/hubfs/Flourish/Ireland.png" TargetMode="External"/><Relationship Id="rId1635" Type="http://schemas.openxmlformats.org/officeDocument/2006/relationships/hyperlink" Target="https://www.oag.com/hubfs/Flourish/United%20States.png" TargetMode="External"/><Relationship Id="rId2966" Type="http://schemas.openxmlformats.org/officeDocument/2006/relationships/hyperlink" Target="https://www.oag.com/hubfs/Flourish/Poland.png" TargetMode="External"/><Relationship Id="rId1636" Type="http://schemas.openxmlformats.org/officeDocument/2006/relationships/hyperlink" Target="https://www.oag.com/hubfs/Flourish/United%20States.png" TargetMode="External"/><Relationship Id="rId2967" Type="http://schemas.openxmlformats.org/officeDocument/2006/relationships/hyperlink" Target="https://www.oag.com/hubfs/Flourish/United%20States.png" TargetMode="External"/><Relationship Id="rId1637" Type="http://schemas.openxmlformats.org/officeDocument/2006/relationships/hyperlink" Target="https://www.oag.com/hubfs/Flourish/China.png" TargetMode="External"/><Relationship Id="rId2968" Type="http://schemas.openxmlformats.org/officeDocument/2006/relationships/hyperlink" Target="https://www.oag.com/hubfs/Flourish/United%20States.png" TargetMode="External"/><Relationship Id="rId1638" Type="http://schemas.openxmlformats.org/officeDocument/2006/relationships/hyperlink" Target="https://www.oag.com/hubfs/Flourish/Japan.png" TargetMode="External"/><Relationship Id="rId2969" Type="http://schemas.openxmlformats.org/officeDocument/2006/relationships/hyperlink" Target="https://www.oag.com/hubfs/Flourish/United%20States.png" TargetMode="External"/><Relationship Id="rId929" Type="http://schemas.openxmlformats.org/officeDocument/2006/relationships/hyperlink" Target="https://www.oag.com/hubfs/Flourish/United%20States.png" TargetMode="External"/><Relationship Id="rId1639" Type="http://schemas.openxmlformats.org/officeDocument/2006/relationships/hyperlink" Target="https://www.oag.com/hubfs/Flourish/United%20States.png" TargetMode="External"/><Relationship Id="rId928" Type="http://schemas.openxmlformats.org/officeDocument/2006/relationships/hyperlink" Target="https://www.oag.com/hubfs/Flourish/United%20States.png" TargetMode="External"/><Relationship Id="rId927" Type="http://schemas.openxmlformats.org/officeDocument/2006/relationships/hyperlink" Target="https://www.oag.com/hubfs/Flourish/1-1.png" TargetMode="External"/><Relationship Id="rId926" Type="http://schemas.openxmlformats.org/officeDocument/2006/relationships/hyperlink" Target="https://www.oag.com/hubfs/Flourish/Mexico.png" TargetMode="External"/><Relationship Id="rId921" Type="http://schemas.openxmlformats.org/officeDocument/2006/relationships/hyperlink" Target="https://www.oag.com/hubfs/Flourish/United%20States.png" TargetMode="External"/><Relationship Id="rId920" Type="http://schemas.openxmlformats.org/officeDocument/2006/relationships/hyperlink" Target="https://www.oag.com/hubfs/Flourish/United%20States.png" TargetMode="External"/><Relationship Id="rId925" Type="http://schemas.openxmlformats.org/officeDocument/2006/relationships/hyperlink" Target="https://www.oag.com/hubfs/Flourish/7.png" TargetMode="External"/><Relationship Id="rId924" Type="http://schemas.openxmlformats.org/officeDocument/2006/relationships/hyperlink" Target="https://www.oag.com/hubfs/Flourish/United%20States.png" TargetMode="External"/><Relationship Id="rId923" Type="http://schemas.openxmlformats.org/officeDocument/2006/relationships/hyperlink" Target="https://www.oag.com/hubfs/Flourish/United%20States.png" TargetMode="External"/><Relationship Id="rId922" Type="http://schemas.openxmlformats.org/officeDocument/2006/relationships/hyperlink" Target="https://www.oag.com/hubfs/Flourish/United%20States.png" TargetMode="External"/><Relationship Id="rId2960" Type="http://schemas.openxmlformats.org/officeDocument/2006/relationships/hyperlink" Target="https://www.oag.com/hubfs/Flourish/India.png" TargetMode="External"/><Relationship Id="rId1630" Type="http://schemas.openxmlformats.org/officeDocument/2006/relationships/hyperlink" Target="https://www.oag.com/hubfs/Flourish/United%20States.png" TargetMode="External"/><Relationship Id="rId2961" Type="http://schemas.openxmlformats.org/officeDocument/2006/relationships/hyperlink" Target="https://www.oag.com/hubfs/Flourish/United%20States.png" TargetMode="External"/><Relationship Id="rId1620" Type="http://schemas.openxmlformats.org/officeDocument/2006/relationships/hyperlink" Target="https://www.oag.com/hubfs/Flourish/United%20States.png" TargetMode="External"/><Relationship Id="rId2951" Type="http://schemas.openxmlformats.org/officeDocument/2006/relationships/hyperlink" Target="https://www.oag.com/hubfs/Flourish/United%20States.png" TargetMode="External"/><Relationship Id="rId1621" Type="http://schemas.openxmlformats.org/officeDocument/2006/relationships/hyperlink" Target="https://www.oag.com/hubfs/Flourish/China.png" TargetMode="External"/><Relationship Id="rId2952" Type="http://schemas.openxmlformats.org/officeDocument/2006/relationships/hyperlink" Target="https://www.oag.com/hubfs/Flourish/United%20States.png" TargetMode="External"/><Relationship Id="rId1622" Type="http://schemas.openxmlformats.org/officeDocument/2006/relationships/hyperlink" Target="https://www.oag.com/hubfs/Flourish/United%20States.png" TargetMode="External"/><Relationship Id="rId2953" Type="http://schemas.openxmlformats.org/officeDocument/2006/relationships/hyperlink" Target="https://www.oag.com/hubfs/Flourish/United%20States.png" TargetMode="External"/><Relationship Id="rId1623" Type="http://schemas.openxmlformats.org/officeDocument/2006/relationships/hyperlink" Target="https://www.oag.com/hubfs/Flourish/United%20States.png" TargetMode="External"/><Relationship Id="rId2954" Type="http://schemas.openxmlformats.org/officeDocument/2006/relationships/hyperlink" Target="https://www.oag.com/hubfs/Flourish/United%20States.png" TargetMode="External"/><Relationship Id="rId1624" Type="http://schemas.openxmlformats.org/officeDocument/2006/relationships/hyperlink" Target="https://www.oag.com/hubfs/Flourish/United%20States.png" TargetMode="External"/><Relationship Id="rId2955" Type="http://schemas.openxmlformats.org/officeDocument/2006/relationships/hyperlink" Target="https://www.oag.com/hubfs/Flourish/United%20States.png" TargetMode="External"/><Relationship Id="rId1625" Type="http://schemas.openxmlformats.org/officeDocument/2006/relationships/hyperlink" Target="https://www.oag.com/hubfs/Flourish/China.png" TargetMode="External"/><Relationship Id="rId2956" Type="http://schemas.openxmlformats.org/officeDocument/2006/relationships/hyperlink" Target="https://www.oag.com/hubfs/Flourish/5.png" TargetMode="External"/><Relationship Id="rId1626" Type="http://schemas.openxmlformats.org/officeDocument/2006/relationships/hyperlink" Target="https://www.oag.com/hubfs/Flourish/United%20States.png" TargetMode="External"/><Relationship Id="rId2957" Type="http://schemas.openxmlformats.org/officeDocument/2006/relationships/hyperlink" Target="https://www.oag.com/hubfs/Flourish/6.png" TargetMode="External"/><Relationship Id="rId1627" Type="http://schemas.openxmlformats.org/officeDocument/2006/relationships/hyperlink" Target="https://www.oag.com/hubfs/Flourish/United%20States.png" TargetMode="External"/><Relationship Id="rId2958" Type="http://schemas.openxmlformats.org/officeDocument/2006/relationships/hyperlink" Target="https://www.oag.com/hubfs/Flourish/Mexico.png" TargetMode="External"/><Relationship Id="rId918" Type="http://schemas.openxmlformats.org/officeDocument/2006/relationships/hyperlink" Target="https://www.oag.com/hubfs/Flourish/1-1.png" TargetMode="External"/><Relationship Id="rId1628" Type="http://schemas.openxmlformats.org/officeDocument/2006/relationships/hyperlink" Target="https://www.oag.com/hubfs/Flourish/2-1.png" TargetMode="External"/><Relationship Id="rId2959" Type="http://schemas.openxmlformats.org/officeDocument/2006/relationships/hyperlink" Target="https://www.oag.com/hubfs/Flourish/United%20States.png" TargetMode="External"/><Relationship Id="rId917" Type="http://schemas.openxmlformats.org/officeDocument/2006/relationships/hyperlink" Target="https://www.oag.com/hubfs/Flourish/United%20States.png" TargetMode="External"/><Relationship Id="rId1629" Type="http://schemas.openxmlformats.org/officeDocument/2006/relationships/hyperlink" Target="https://www.oag.com/hubfs/Flourish/Japan.png" TargetMode="External"/><Relationship Id="rId916" Type="http://schemas.openxmlformats.org/officeDocument/2006/relationships/hyperlink" Target="https://www.oag.com/hubfs/Flourish/United%20States.png" TargetMode="External"/><Relationship Id="rId915" Type="http://schemas.openxmlformats.org/officeDocument/2006/relationships/hyperlink" Target="https://www.oag.com/hubfs/Flourish/United%20States.png" TargetMode="External"/><Relationship Id="rId919" Type="http://schemas.openxmlformats.org/officeDocument/2006/relationships/hyperlink" Target="https://www.oag.com/hubfs/Flourish/3-1.png" TargetMode="External"/><Relationship Id="rId910" Type="http://schemas.openxmlformats.org/officeDocument/2006/relationships/hyperlink" Target="https://www.oag.com/hubfs/Flourish/2-1.png" TargetMode="External"/><Relationship Id="rId914" Type="http://schemas.openxmlformats.org/officeDocument/2006/relationships/hyperlink" Target="https://www.oag.com/hubfs/Flourish/United%20States.png" TargetMode="External"/><Relationship Id="rId913" Type="http://schemas.openxmlformats.org/officeDocument/2006/relationships/hyperlink" Target="https://www.oag.com/hubfs/Flourish/United%20States.png" TargetMode="External"/><Relationship Id="rId912" Type="http://schemas.openxmlformats.org/officeDocument/2006/relationships/hyperlink" Target="https://www.oag.com/hubfs/Flourish/3-1.png" TargetMode="External"/><Relationship Id="rId911" Type="http://schemas.openxmlformats.org/officeDocument/2006/relationships/hyperlink" Target="https://www.oag.com/hubfs/Flourish/China.png" TargetMode="External"/><Relationship Id="rId2950" Type="http://schemas.openxmlformats.org/officeDocument/2006/relationships/hyperlink" Target="https://www.oag.com/hubfs/Flourish/United%20States.png" TargetMode="External"/><Relationship Id="rId2900" Type="http://schemas.openxmlformats.org/officeDocument/2006/relationships/hyperlink" Target="https://www.oag.com/hubfs/Flourish/Mexico.png" TargetMode="External"/><Relationship Id="rId2901" Type="http://schemas.openxmlformats.org/officeDocument/2006/relationships/hyperlink" Target="https://www.oag.com/hubfs/Flourish/United%20States.png" TargetMode="External"/><Relationship Id="rId2902" Type="http://schemas.openxmlformats.org/officeDocument/2006/relationships/hyperlink" Target="https://www.oag.com/hubfs/Flourish/China.png" TargetMode="External"/><Relationship Id="rId2903" Type="http://schemas.openxmlformats.org/officeDocument/2006/relationships/hyperlink" Target="https://www.oag.com/hubfs/Flourish/3-1.png" TargetMode="External"/><Relationship Id="rId2904" Type="http://schemas.openxmlformats.org/officeDocument/2006/relationships/hyperlink" Target="https://www.oag.com/hubfs/Flourish/Thailand.png" TargetMode="External"/><Relationship Id="rId2905" Type="http://schemas.openxmlformats.org/officeDocument/2006/relationships/hyperlink" Target="https://www.oag.com/hubfs/Flourish/Thailand.png" TargetMode="External"/><Relationship Id="rId2906" Type="http://schemas.openxmlformats.org/officeDocument/2006/relationships/hyperlink" Target="https://www.oag.com/hubfs/Flourish/S%20Korea.jpg" TargetMode="External"/><Relationship Id="rId2907" Type="http://schemas.openxmlformats.org/officeDocument/2006/relationships/hyperlink" Target="https://www.oag.com/hubfs/Flourish/7.png" TargetMode="External"/><Relationship Id="rId2908" Type="http://schemas.openxmlformats.org/officeDocument/2006/relationships/hyperlink" Target="https://www.oag.com/hubfs/Flourish/United%20States.png" TargetMode="External"/><Relationship Id="rId2909" Type="http://schemas.openxmlformats.org/officeDocument/2006/relationships/hyperlink" Target="https://www.oag.com/hubfs/Flourish/4.png" TargetMode="External"/><Relationship Id="rId2920" Type="http://schemas.openxmlformats.org/officeDocument/2006/relationships/hyperlink" Target="https://www.oag.com/hubfs/Flourish/3-1.png" TargetMode="External"/><Relationship Id="rId2921" Type="http://schemas.openxmlformats.org/officeDocument/2006/relationships/hyperlink" Target="https://www.oag.com/hubfs/Flourish/United%20States.png" TargetMode="External"/><Relationship Id="rId2922" Type="http://schemas.openxmlformats.org/officeDocument/2006/relationships/hyperlink" Target="https://www.oag.com/hubfs/Flourish/7.png" TargetMode="External"/><Relationship Id="rId2923" Type="http://schemas.openxmlformats.org/officeDocument/2006/relationships/hyperlink" Target="https://www.oag.com/hubfs/Flourish/7.png" TargetMode="External"/><Relationship Id="rId2924" Type="http://schemas.openxmlformats.org/officeDocument/2006/relationships/hyperlink" Target="https://www.oag.com/hubfs/Flourish/United%20States.png" TargetMode="External"/><Relationship Id="rId2925" Type="http://schemas.openxmlformats.org/officeDocument/2006/relationships/hyperlink" Target="https://www.oag.com/hubfs/Flourish/United%20States.png" TargetMode="External"/><Relationship Id="rId2926" Type="http://schemas.openxmlformats.org/officeDocument/2006/relationships/hyperlink" Target="https://www.oag.com/hubfs/Flourish/6.png" TargetMode="External"/><Relationship Id="rId2927" Type="http://schemas.openxmlformats.org/officeDocument/2006/relationships/hyperlink" Target="https://www.oag.com/hubfs/Flourish/6.png" TargetMode="External"/><Relationship Id="rId2928" Type="http://schemas.openxmlformats.org/officeDocument/2006/relationships/hyperlink" Target="https://www.oag.com/hubfs/Flourish/United%20States.png" TargetMode="External"/><Relationship Id="rId2929" Type="http://schemas.openxmlformats.org/officeDocument/2006/relationships/hyperlink" Target="https://www.oag.com/hubfs/Flourish/United%20States.png" TargetMode="External"/><Relationship Id="rId2910" Type="http://schemas.openxmlformats.org/officeDocument/2006/relationships/hyperlink" Target="https://www.oag.com/hubfs/Flourish/Thailand.png" TargetMode="External"/><Relationship Id="rId2911" Type="http://schemas.openxmlformats.org/officeDocument/2006/relationships/hyperlink" Target="https://www.oag.com/hubfs/Flourish/United%20States.png" TargetMode="External"/><Relationship Id="rId2912" Type="http://schemas.openxmlformats.org/officeDocument/2006/relationships/hyperlink" Target="https://www.oag.com/hubfs/Flourish/United%20States.png" TargetMode="External"/><Relationship Id="rId2913" Type="http://schemas.openxmlformats.org/officeDocument/2006/relationships/hyperlink" Target="https://www.oag.com/hubfs/Flourish/Thailand.png" TargetMode="External"/><Relationship Id="rId2914" Type="http://schemas.openxmlformats.org/officeDocument/2006/relationships/hyperlink" Target="https://www.oag.com/hubfs/Flourish/United%20States.png" TargetMode="External"/><Relationship Id="rId2915" Type="http://schemas.openxmlformats.org/officeDocument/2006/relationships/hyperlink" Target="https://www.oag.com/hubfs/Flourish/United%20States.png" TargetMode="External"/><Relationship Id="rId2916" Type="http://schemas.openxmlformats.org/officeDocument/2006/relationships/hyperlink" Target="https://www.oag.com/hubfs/Flourish/United%20States.png" TargetMode="External"/><Relationship Id="rId2917" Type="http://schemas.openxmlformats.org/officeDocument/2006/relationships/hyperlink" Target="https://www.oag.com/hubfs/Flourish/United%20States.png" TargetMode="External"/><Relationship Id="rId2918" Type="http://schemas.openxmlformats.org/officeDocument/2006/relationships/hyperlink" Target="https://www.oag.com/hubfs/Flourish/China.png" TargetMode="External"/><Relationship Id="rId2919" Type="http://schemas.openxmlformats.org/officeDocument/2006/relationships/hyperlink" Target="https://www.oag.com/hubfs/Flourish/United%20States.png" TargetMode="External"/><Relationship Id="rId1697" Type="http://schemas.openxmlformats.org/officeDocument/2006/relationships/hyperlink" Target="https://www.oag.com/hubfs/Flourish/2-1.png" TargetMode="External"/><Relationship Id="rId1698" Type="http://schemas.openxmlformats.org/officeDocument/2006/relationships/hyperlink" Target="https://www.oag.com/hubfs/Flourish/India.png" TargetMode="External"/><Relationship Id="rId1699" Type="http://schemas.openxmlformats.org/officeDocument/2006/relationships/hyperlink" Target="https://www.oag.com/hubfs/Flourish/United%20States.png" TargetMode="External"/><Relationship Id="rId866" Type="http://schemas.openxmlformats.org/officeDocument/2006/relationships/hyperlink" Target="https://www.oag.com/hubfs/Flourish/8.png" TargetMode="External"/><Relationship Id="rId865" Type="http://schemas.openxmlformats.org/officeDocument/2006/relationships/hyperlink" Target="https://www.oag.com/hubfs/Flourish/United%20States.png" TargetMode="External"/><Relationship Id="rId864" Type="http://schemas.openxmlformats.org/officeDocument/2006/relationships/hyperlink" Target="https://www.oag.com/hubfs/Flourish/China.png" TargetMode="External"/><Relationship Id="rId863" Type="http://schemas.openxmlformats.org/officeDocument/2006/relationships/hyperlink" Target="https://www.oag.com/hubfs/Flourish/7.png" TargetMode="External"/><Relationship Id="rId869" Type="http://schemas.openxmlformats.org/officeDocument/2006/relationships/hyperlink" Target="https://www.oag.com/hubfs/Flourish/2-1.png" TargetMode="External"/><Relationship Id="rId868" Type="http://schemas.openxmlformats.org/officeDocument/2006/relationships/hyperlink" Target="https://www.oag.com/hubfs/Flourish/8.png" TargetMode="External"/><Relationship Id="rId867" Type="http://schemas.openxmlformats.org/officeDocument/2006/relationships/hyperlink" Target="https://www.oag.com/hubfs/Flourish/India.png" TargetMode="External"/><Relationship Id="rId1690" Type="http://schemas.openxmlformats.org/officeDocument/2006/relationships/hyperlink" Target="https://www.oag.com/hubfs/Flourish/United%20States.png" TargetMode="External"/><Relationship Id="rId1691" Type="http://schemas.openxmlformats.org/officeDocument/2006/relationships/hyperlink" Target="https://www.oag.com/hubfs/Flourish/United%20States.png" TargetMode="External"/><Relationship Id="rId1692" Type="http://schemas.openxmlformats.org/officeDocument/2006/relationships/hyperlink" Target="https://www.oag.com/hubfs/Flourish/1-1.png" TargetMode="External"/><Relationship Id="rId862" Type="http://schemas.openxmlformats.org/officeDocument/2006/relationships/hyperlink" Target="https://www.oag.com/hubfs/Flourish/United%20States.png" TargetMode="External"/><Relationship Id="rId1693" Type="http://schemas.openxmlformats.org/officeDocument/2006/relationships/hyperlink" Target="https://www.oag.com/hubfs/Flourish/United%20States.png" TargetMode="External"/><Relationship Id="rId861" Type="http://schemas.openxmlformats.org/officeDocument/2006/relationships/hyperlink" Target="https://www.oag.com/hubfs/Flourish/United%20States.png" TargetMode="External"/><Relationship Id="rId1694" Type="http://schemas.openxmlformats.org/officeDocument/2006/relationships/hyperlink" Target="https://www.oag.com/hubfs/Flourish/United%20States.png" TargetMode="External"/><Relationship Id="rId860" Type="http://schemas.openxmlformats.org/officeDocument/2006/relationships/hyperlink" Target="https://www.oag.com/hubfs/Flourish/United%20States.png" TargetMode="External"/><Relationship Id="rId1695" Type="http://schemas.openxmlformats.org/officeDocument/2006/relationships/hyperlink" Target="https://www.oag.com/hubfs/Flourish/United%20States.png" TargetMode="External"/><Relationship Id="rId1696" Type="http://schemas.openxmlformats.org/officeDocument/2006/relationships/hyperlink" Target="https://www.oag.com/hubfs/Flourish/United%20States.png" TargetMode="External"/><Relationship Id="rId1686" Type="http://schemas.openxmlformats.org/officeDocument/2006/relationships/hyperlink" Target="https://www.oag.com/hubfs/Flourish/United%20States.png" TargetMode="External"/><Relationship Id="rId1687" Type="http://schemas.openxmlformats.org/officeDocument/2006/relationships/hyperlink" Target="https://www.oag.com/hubfs/Flourish/Ireland.png" TargetMode="External"/><Relationship Id="rId1688" Type="http://schemas.openxmlformats.org/officeDocument/2006/relationships/hyperlink" Target="https://www.oag.com/hubfs/Flourish/United%20States.png" TargetMode="External"/><Relationship Id="rId1689" Type="http://schemas.openxmlformats.org/officeDocument/2006/relationships/hyperlink" Target="https://www.oag.com/hubfs/Flourish/Japan.png" TargetMode="External"/><Relationship Id="rId855" Type="http://schemas.openxmlformats.org/officeDocument/2006/relationships/hyperlink" Target="https://www.oag.com/hubfs/Flourish/Japan.png" TargetMode="External"/><Relationship Id="rId854" Type="http://schemas.openxmlformats.org/officeDocument/2006/relationships/hyperlink" Target="https://www.oag.com/hubfs/Flourish/United%20States.png" TargetMode="External"/><Relationship Id="rId853" Type="http://schemas.openxmlformats.org/officeDocument/2006/relationships/hyperlink" Target="https://www.oag.com/hubfs/Flourish/Japan.png" TargetMode="External"/><Relationship Id="rId852" Type="http://schemas.openxmlformats.org/officeDocument/2006/relationships/hyperlink" Target="https://www.oag.com/hubfs/Flourish/United%20States.png" TargetMode="External"/><Relationship Id="rId859" Type="http://schemas.openxmlformats.org/officeDocument/2006/relationships/hyperlink" Target="https://www.oag.com/hubfs/Flourish/United%20States.png" TargetMode="External"/><Relationship Id="rId858" Type="http://schemas.openxmlformats.org/officeDocument/2006/relationships/hyperlink" Target="https://www.oag.com/hubfs/Flourish/UAE.jpg" TargetMode="External"/><Relationship Id="rId857" Type="http://schemas.openxmlformats.org/officeDocument/2006/relationships/hyperlink" Target="https://www.oag.com/hubfs/Flourish/United%20States.png" TargetMode="External"/><Relationship Id="rId856" Type="http://schemas.openxmlformats.org/officeDocument/2006/relationships/hyperlink" Target="https://www.oag.com/hubfs/Flourish/7.png" TargetMode="External"/><Relationship Id="rId1680" Type="http://schemas.openxmlformats.org/officeDocument/2006/relationships/hyperlink" Target="https://www.oag.com/hubfs/Flourish/Poland.png" TargetMode="External"/><Relationship Id="rId1681" Type="http://schemas.openxmlformats.org/officeDocument/2006/relationships/hyperlink" Target="https://www.oag.com/hubfs/Flourish/Japan.png" TargetMode="External"/><Relationship Id="rId851" Type="http://schemas.openxmlformats.org/officeDocument/2006/relationships/hyperlink" Target="https://www.oag.com/hubfs/Flourish/United%20States.png" TargetMode="External"/><Relationship Id="rId1682" Type="http://schemas.openxmlformats.org/officeDocument/2006/relationships/hyperlink" Target="https://www.oag.com/hubfs/Flourish/United%20States.png" TargetMode="External"/><Relationship Id="rId850" Type="http://schemas.openxmlformats.org/officeDocument/2006/relationships/hyperlink" Target="https://www.oag.com/hubfs/Flourish/United%20States.png" TargetMode="External"/><Relationship Id="rId1683" Type="http://schemas.openxmlformats.org/officeDocument/2006/relationships/hyperlink" Target="https://www.oag.com/hubfs/Flourish/7.png" TargetMode="External"/><Relationship Id="rId1684" Type="http://schemas.openxmlformats.org/officeDocument/2006/relationships/hyperlink" Target="https://www.oag.com/hubfs/Flourish/United%20States.png" TargetMode="External"/><Relationship Id="rId1685" Type="http://schemas.openxmlformats.org/officeDocument/2006/relationships/hyperlink" Target="https://www.oag.com/hubfs/Flourish/8.png" TargetMode="External"/><Relationship Id="rId888" Type="http://schemas.openxmlformats.org/officeDocument/2006/relationships/hyperlink" Target="https://www.oag.com/hubfs/Flourish/United%20States.png" TargetMode="External"/><Relationship Id="rId887" Type="http://schemas.openxmlformats.org/officeDocument/2006/relationships/hyperlink" Target="https://www.oag.com/hubfs/Flourish/United%20States.png" TargetMode="External"/><Relationship Id="rId886" Type="http://schemas.openxmlformats.org/officeDocument/2006/relationships/hyperlink" Target="https://www.oag.com/hubfs/Flourish/3-1.png" TargetMode="External"/><Relationship Id="rId885" Type="http://schemas.openxmlformats.org/officeDocument/2006/relationships/hyperlink" Target="https://www.oag.com/hubfs/Flourish/2-1.png" TargetMode="External"/><Relationship Id="rId889" Type="http://schemas.openxmlformats.org/officeDocument/2006/relationships/hyperlink" Target="https://www.oag.com/hubfs/Flourish/United%20States.png" TargetMode="External"/><Relationship Id="rId880" Type="http://schemas.openxmlformats.org/officeDocument/2006/relationships/hyperlink" Target="https://www.oag.com/hubfs/Flourish/6.png" TargetMode="External"/><Relationship Id="rId884" Type="http://schemas.openxmlformats.org/officeDocument/2006/relationships/hyperlink" Target="https://www.oag.com/hubfs/Flourish/India.png" TargetMode="External"/><Relationship Id="rId883" Type="http://schemas.openxmlformats.org/officeDocument/2006/relationships/hyperlink" Target="https://www.oag.com/hubfs/Flourish/United%20States.png" TargetMode="External"/><Relationship Id="rId882" Type="http://schemas.openxmlformats.org/officeDocument/2006/relationships/hyperlink" Target="https://www.oag.com/hubfs/Flourish/United%20States.png" TargetMode="External"/><Relationship Id="rId881" Type="http://schemas.openxmlformats.org/officeDocument/2006/relationships/hyperlink" Target="https://www.oag.com/hubfs/Flourish/2-1.png" TargetMode="External"/><Relationship Id="rId877" Type="http://schemas.openxmlformats.org/officeDocument/2006/relationships/hyperlink" Target="https://www.oag.com/hubfs/Flourish/7.png" TargetMode="External"/><Relationship Id="rId876" Type="http://schemas.openxmlformats.org/officeDocument/2006/relationships/hyperlink" Target="https://www.oag.com/hubfs/Flourish/United%20States.png" TargetMode="External"/><Relationship Id="rId875" Type="http://schemas.openxmlformats.org/officeDocument/2006/relationships/hyperlink" Target="https://www.oag.com/hubfs/Flourish/United%20States.png" TargetMode="External"/><Relationship Id="rId874" Type="http://schemas.openxmlformats.org/officeDocument/2006/relationships/hyperlink" Target="https://www.oag.com/hubfs/Flourish/United%20States.png" TargetMode="External"/><Relationship Id="rId879" Type="http://schemas.openxmlformats.org/officeDocument/2006/relationships/hyperlink" Target="https://www.oag.com/hubfs/Flourish/United%20States.png" TargetMode="External"/><Relationship Id="rId878" Type="http://schemas.openxmlformats.org/officeDocument/2006/relationships/hyperlink" Target="https://www.oag.com/hubfs/Flourish/India.png" TargetMode="External"/><Relationship Id="rId873" Type="http://schemas.openxmlformats.org/officeDocument/2006/relationships/hyperlink" Target="https://www.oag.com/hubfs/Flourish/1-1.png" TargetMode="External"/><Relationship Id="rId872" Type="http://schemas.openxmlformats.org/officeDocument/2006/relationships/hyperlink" Target="https://www.oag.com/hubfs/Flourish/United%20States.png" TargetMode="External"/><Relationship Id="rId871" Type="http://schemas.openxmlformats.org/officeDocument/2006/relationships/hyperlink" Target="https://www.oag.com/hubfs/Flourish/United%20States.png" TargetMode="External"/><Relationship Id="rId870" Type="http://schemas.openxmlformats.org/officeDocument/2006/relationships/hyperlink" Target="https://www.oag.com/hubfs/Flourish/2-1.png" TargetMode="External"/><Relationship Id="rId1653" Type="http://schemas.openxmlformats.org/officeDocument/2006/relationships/hyperlink" Target="https://www.oag.com/hubfs/Flourish/United%20States.png" TargetMode="External"/><Relationship Id="rId2984" Type="http://schemas.openxmlformats.org/officeDocument/2006/relationships/hyperlink" Target="https://www.oag.com/hubfs/Flourish/United%20States.png" TargetMode="External"/><Relationship Id="rId1654" Type="http://schemas.openxmlformats.org/officeDocument/2006/relationships/hyperlink" Target="https://www.oag.com/hubfs/Flourish/United%20States.png" TargetMode="External"/><Relationship Id="rId2985" Type="http://schemas.openxmlformats.org/officeDocument/2006/relationships/hyperlink" Target="https://www.oag.com/hubfs/Flourish/United%20States.png" TargetMode="External"/><Relationship Id="rId1655" Type="http://schemas.openxmlformats.org/officeDocument/2006/relationships/hyperlink" Target="https://www.oag.com/hubfs/Flourish/United%20States.png" TargetMode="External"/><Relationship Id="rId2986" Type="http://schemas.openxmlformats.org/officeDocument/2006/relationships/hyperlink" Target="https://www.oag.com/hubfs/Flourish/Poland.png" TargetMode="External"/><Relationship Id="rId1656" Type="http://schemas.openxmlformats.org/officeDocument/2006/relationships/hyperlink" Target="https://www.oag.com/hubfs/Flourish/United%20States.png" TargetMode="External"/><Relationship Id="rId2987" Type="http://schemas.openxmlformats.org/officeDocument/2006/relationships/hyperlink" Target="https://www.oag.com/hubfs/Flourish/United%20States.png" TargetMode="External"/><Relationship Id="rId1657" Type="http://schemas.openxmlformats.org/officeDocument/2006/relationships/hyperlink" Target="https://www.oag.com/hubfs/Flourish/United%20States.png" TargetMode="External"/><Relationship Id="rId2988" Type="http://schemas.openxmlformats.org/officeDocument/2006/relationships/hyperlink" Target="https://www.oag.com/hubfs/Flourish/United%20States.png" TargetMode="External"/><Relationship Id="rId1658" Type="http://schemas.openxmlformats.org/officeDocument/2006/relationships/hyperlink" Target="https://www.oag.com/hubfs/Flourish/China.png" TargetMode="External"/><Relationship Id="rId2989" Type="http://schemas.openxmlformats.org/officeDocument/2006/relationships/hyperlink" Target="https://www.oag.com/hubfs/Flourish/China.png" TargetMode="External"/><Relationship Id="rId1659" Type="http://schemas.openxmlformats.org/officeDocument/2006/relationships/hyperlink" Target="https://www.oag.com/hubfs/Flourish/United%20States.png" TargetMode="External"/><Relationship Id="rId829" Type="http://schemas.openxmlformats.org/officeDocument/2006/relationships/hyperlink" Target="https://www.oag.com/hubfs/Flourish/7.png" TargetMode="External"/><Relationship Id="rId828" Type="http://schemas.openxmlformats.org/officeDocument/2006/relationships/hyperlink" Target="https://www.oag.com/hubfs/Flourish/United%20States.png" TargetMode="External"/><Relationship Id="rId827" Type="http://schemas.openxmlformats.org/officeDocument/2006/relationships/hyperlink" Target="https://www.oag.com/hubfs/Flourish/Japan.png" TargetMode="External"/><Relationship Id="rId822" Type="http://schemas.openxmlformats.org/officeDocument/2006/relationships/hyperlink" Target="https://www.oag.com/hubfs/Flourish/United%20States.png" TargetMode="External"/><Relationship Id="rId821" Type="http://schemas.openxmlformats.org/officeDocument/2006/relationships/hyperlink" Target="https://www.oag.com/hubfs/Flourish/United%20States.png" TargetMode="External"/><Relationship Id="rId820" Type="http://schemas.openxmlformats.org/officeDocument/2006/relationships/hyperlink" Target="https://www.oag.com/hubfs/Flourish/United%20States.png" TargetMode="External"/><Relationship Id="rId826" Type="http://schemas.openxmlformats.org/officeDocument/2006/relationships/hyperlink" Target="https://www.oag.com/hubfs/Flourish/United%20States.png" TargetMode="External"/><Relationship Id="rId825" Type="http://schemas.openxmlformats.org/officeDocument/2006/relationships/hyperlink" Target="https://www.oag.com/hubfs/Flourish/United%20States.png" TargetMode="External"/><Relationship Id="rId824" Type="http://schemas.openxmlformats.org/officeDocument/2006/relationships/hyperlink" Target="https://www.oag.com/hubfs/Flourish/United%20States.png" TargetMode="External"/><Relationship Id="rId823" Type="http://schemas.openxmlformats.org/officeDocument/2006/relationships/hyperlink" Target="https://www.oag.com/hubfs/Flourish/United%20States.png" TargetMode="External"/><Relationship Id="rId2980" Type="http://schemas.openxmlformats.org/officeDocument/2006/relationships/hyperlink" Target="https://www.oag.com/hubfs/Flourish/Japan.png" TargetMode="External"/><Relationship Id="rId1650" Type="http://schemas.openxmlformats.org/officeDocument/2006/relationships/hyperlink" Target="https://www.oag.com/hubfs/Flourish/United%20States.png" TargetMode="External"/><Relationship Id="rId2981" Type="http://schemas.openxmlformats.org/officeDocument/2006/relationships/hyperlink" Target="https://www.oag.com/hubfs/Flourish/United%20States.png" TargetMode="External"/><Relationship Id="rId1651" Type="http://schemas.openxmlformats.org/officeDocument/2006/relationships/hyperlink" Target="https://www.oag.com/hubfs/Flourish/United%20States.png" TargetMode="External"/><Relationship Id="rId2982" Type="http://schemas.openxmlformats.org/officeDocument/2006/relationships/hyperlink" Target="https://www.oag.com/hubfs/Flourish/United%20States.png" TargetMode="External"/><Relationship Id="rId1652" Type="http://schemas.openxmlformats.org/officeDocument/2006/relationships/hyperlink" Target="https://www.oag.com/hubfs/Flourish/United%20States.png" TargetMode="External"/><Relationship Id="rId2983" Type="http://schemas.openxmlformats.org/officeDocument/2006/relationships/hyperlink" Target="https://www.oag.com/hubfs/Flourish/United%20States.png" TargetMode="External"/><Relationship Id="rId1642" Type="http://schemas.openxmlformats.org/officeDocument/2006/relationships/hyperlink" Target="https://www.oag.com/hubfs/Flourish/7.png" TargetMode="External"/><Relationship Id="rId2973" Type="http://schemas.openxmlformats.org/officeDocument/2006/relationships/hyperlink" Target="https://www.oag.com/hubfs/Flourish/China.png" TargetMode="External"/><Relationship Id="rId1643" Type="http://schemas.openxmlformats.org/officeDocument/2006/relationships/hyperlink" Target="https://www.oag.com/hubfs/Flourish/United%20States.png" TargetMode="External"/><Relationship Id="rId2974" Type="http://schemas.openxmlformats.org/officeDocument/2006/relationships/hyperlink" Target="https://www.oag.com/hubfs/Flourish/United%20States.png" TargetMode="External"/><Relationship Id="rId1644" Type="http://schemas.openxmlformats.org/officeDocument/2006/relationships/hyperlink" Target="https://www.oag.com/hubfs/Flourish/United%20States.png" TargetMode="External"/><Relationship Id="rId2975" Type="http://schemas.openxmlformats.org/officeDocument/2006/relationships/hyperlink" Target="https://www.oag.com/hubfs/Flourish/United%20States.png" TargetMode="External"/><Relationship Id="rId1645" Type="http://schemas.openxmlformats.org/officeDocument/2006/relationships/hyperlink" Target="https://www.oag.com/hubfs/Flourish/United%20States.png" TargetMode="External"/><Relationship Id="rId2976" Type="http://schemas.openxmlformats.org/officeDocument/2006/relationships/hyperlink" Target="https://www.oag.com/hubfs/Flourish/China.png" TargetMode="External"/><Relationship Id="rId1646" Type="http://schemas.openxmlformats.org/officeDocument/2006/relationships/hyperlink" Target="https://www.oag.com/hubfs/Flourish/United%20States.png" TargetMode="External"/><Relationship Id="rId2977" Type="http://schemas.openxmlformats.org/officeDocument/2006/relationships/hyperlink" Target="https://www.oag.com/hubfs/Flourish/2-1.png" TargetMode="External"/><Relationship Id="rId1647" Type="http://schemas.openxmlformats.org/officeDocument/2006/relationships/hyperlink" Target="https://www.oag.com/hubfs/Flourish/United%20States.png" TargetMode="External"/><Relationship Id="rId2978" Type="http://schemas.openxmlformats.org/officeDocument/2006/relationships/hyperlink" Target="https://www.oag.com/hubfs/Flourish/United%20States.png" TargetMode="External"/><Relationship Id="rId1648" Type="http://schemas.openxmlformats.org/officeDocument/2006/relationships/hyperlink" Target="https://www.oag.com/hubfs/Flourish/Mexico.png" TargetMode="External"/><Relationship Id="rId2979" Type="http://schemas.openxmlformats.org/officeDocument/2006/relationships/hyperlink" Target="https://www.oag.com/hubfs/Flourish/S%20Korea.jpg" TargetMode="External"/><Relationship Id="rId1649" Type="http://schemas.openxmlformats.org/officeDocument/2006/relationships/hyperlink" Target="https://www.oag.com/hubfs/Flourish/2-1.png" TargetMode="External"/><Relationship Id="rId819" Type="http://schemas.openxmlformats.org/officeDocument/2006/relationships/hyperlink" Target="https://www.oag.com/hubfs/Flourish/China.png" TargetMode="External"/><Relationship Id="rId818" Type="http://schemas.openxmlformats.org/officeDocument/2006/relationships/hyperlink" Target="https://www.oag.com/hubfs/Flourish/United%20States.png" TargetMode="External"/><Relationship Id="rId817" Type="http://schemas.openxmlformats.org/officeDocument/2006/relationships/hyperlink" Target="https://www.oag.com/hubfs/Flourish/United%20States.png" TargetMode="External"/><Relationship Id="rId816" Type="http://schemas.openxmlformats.org/officeDocument/2006/relationships/hyperlink" Target="https://www.oag.com/hubfs/Flourish/United%20States.png" TargetMode="External"/><Relationship Id="rId811" Type="http://schemas.openxmlformats.org/officeDocument/2006/relationships/hyperlink" Target="https://www.oag.com/hubfs/Flourish/United%20States.png" TargetMode="External"/><Relationship Id="rId810" Type="http://schemas.openxmlformats.org/officeDocument/2006/relationships/hyperlink" Target="https://www.oag.com/hubfs/Flourish/Japan.png" TargetMode="External"/><Relationship Id="rId815" Type="http://schemas.openxmlformats.org/officeDocument/2006/relationships/hyperlink" Target="https://www.oag.com/hubfs/Flourish/United%20States.png" TargetMode="External"/><Relationship Id="rId814" Type="http://schemas.openxmlformats.org/officeDocument/2006/relationships/hyperlink" Target="https://www.oag.com/hubfs/Flourish/United%20States.png" TargetMode="External"/><Relationship Id="rId813" Type="http://schemas.openxmlformats.org/officeDocument/2006/relationships/hyperlink" Target="https://www.oag.com/hubfs/Flourish/United%20States.png" TargetMode="External"/><Relationship Id="rId812" Type="http://schemas.openxmlformats.org/officeDocument/2006/relationships/hyperlink" Target="https://www.oag.com/hubfs/Flourish/6.png" TargetMode="External"/><Relationship Id="rId2970" Type="http://schemas.openxmlformats.org/officeDocument/2006/relationships/hyperlink" Target="https://www.oag.com/hubfs/Flourish/United%20States.png" TargetMode="External"/><Relationship Id="rId1640" Type="http://schemas.openxmlformats.org/officeDocument/2006/relationships/hyperlink" Target="https://www.oag.com/hubfs/Flourish/China.png" TargetMode="External"/><Relationship Id="rId2971" Type="http://schemas.openxmlformats.org/officeDocument/2006/relationships/hyperlink" Target="https://www.oag.com/hubfs/Flourish/China.png" TargetMode="External"/><Relationship Id="rId1641" Type="http://schemas.openxmlformats.org/officeDocument/2006/relationships/hyperlink" Target="https://www.oag.com/hubfs/Flourish/United%20States.png" TargetMode="External"/><Relationship Id="rId2972" Type="http://schemas.openxmlformats.org/officeDocument/2006/relationships/hyperlink" Target="https://www.oag.com/hubfs/Flourish/China.png" TargetMode="External"/><Relationship Id="rId1675" Type="http://schemas.openxmlformats.org/officeDocument/2006/relationships/hyperlink" Target="https://www.oag.com/hubfs/Flourish/United%20States.png" TargetMode="External"/><Relationship Id="rId1676" Type="http://schemas.openxmlformats.org/officeDocument/2006/relationships/hyperlink" Target="https://www.oag.com/hubfs/Flourish/United%20States.png" TargetMode="External"/><Relationship Id="rId1677" Type="http://schemas.openxmlformats.org/officeDocument/2006/relationships/hyperlink" Target="https://www.oag.com/hubfs/Flourish/United%20States.png" TargetMode="External"/><Relationship Id="rId1678" Type="http://schemas.openxmlformats.org/officeDocument/2006/relationships/hyperlink" Target="https://www.oag.com/hubfs/Flourish/India.png" TargetMode="External"/><Relationship Id="rId1679" Type="http://schemas.openxmlformats.org/officeDocument/2006/relationships/hyperlink" Target="https://www.oag.com/hubfs/Flourish/3-1.png" TargetMode="External"/><Relationship Id="rId849" Type="http://schemas.openxmlformats.org/officeDocument/2006/relationships/hyperlink" Target="https://www.oag.com/hubfs/Flourish/United%20States.png" TargetMode="External"/><Relationship Id="rId844" Type="http://schemas.openxmlformats.org/officeDocument/2006/relationships/hyperlink" Target="https://www.oag.com/hubfs/Flourish/China.png" TargetMode="External"/><Relationship Id="rId843" Type="http://schemas.openxmlformats.org/officeDocument/2006/relationships/hyperlink" Target="https://www.oag.com/hubfs/Flourish/United%20States.png" TargetMode="External"/><Relationship Id="rId842" Type="http://schemas.openxmlformats.org/officeDocument/2006/relationships/hyperlink" Target="https://www.oag.com/hubfs/Flourish/United%20States.png" TargetMode="External"/><Relationship Id="rId841" Type="http://schemas.openxmlformats.org/officeDocument/2006/relationships/hyperlink" Target="https://www.oag.com/hubfs/Flourish/3-1.png" TargetMode="External"/><Relationship Id="rId848" Type="http://schemas.openxmlformats.org/officeDocument/2006/relationships/hyperlink" Target="https://www.oag.com/hubfs/Flourish/United%20States.png" TargetMode="External"/><Relationship Id="rId847" Type="http://schemas.openxmlformats.org/officeDocument/2006/relationships/hyperlink" Target="https://www.oag.com/hubfs/Flourish/3-1.png" TargetMode="External"/><Relationship Id="rId846" Type="http://schemas.openxmlformats.org/officeDocument/2006/relationships/hyperlink" Target="https://www.oag.com/hubfs/Flourish/United%20States.png" TargetMode="External"/><Relationship Id="rId845" Type="http://schemas.openxmlformats.org/officeDocument/2006/relationships/hyperlink" Target="https://www.oag.com/hubfs/Flourish/6.png" TargetMode="External"/><Relationship Id="rId1670" Type="http://schemas.openxmlformats.org/officeDocument/2006/relationships/hyperlink" Target="https://www.oag.com/hubfs/Flourish/United%20States.png" TargetMode="External"/><Relationship Id="rId840" Type="http://schemas.openxmlformats.org/officeDocument/2006/relationships/hyperlink" Target="https://www.oag.com/hubfs/Flourish/United%20States.png" TargetMode="External"/><Relationship Id="rId1671" Type="http://schemas.openxmlformats.org/officeDocument/2006/relationships/hyperlink" Target="https://www.oag.com/hubfs/Flourish/Japan.png" TargetMode="External"/><Relationship Id="rId1672" Type="http://schemas.openxmlformats.org/officeDocument/2006/relationships/hyperlink" Target="https://www.oag.com/hubfs/Flourish/1-1.png" TargetMode="External"/><Relationship Id="rId1673" Type="http://schemas.openxmlformats.org/officeDocument/2006/relationships/hyperlink" Target="https://www.oag.com/hubfs/Flourish/S%20Korea.jpg" TargetMode="External"/><Relationship Id="rId1674" Type="http://schemas.openxmlformats.org/officeDocument/2006/relationships/hyperlink" Target="https://www.oag.com/hubfs/Flourish/United%20States.png" TargetMode="External"/><Relationship Id="rId1664" Type="http://schemas.openxmlformats.org/officeDocument/2006/relationships/hyperlink" Target="https://www.oag.com/hubfs/Flourish/United%20States.png" TargetMode="External"/><Relationship Id="rId2995" Type="http://schemas.openxmlformats.org/officeDocument/2006/relationships/hyperlink" Target="https://www.oag.com/hubfs/Flourish/Poland.png" TargetMode="External"/><Relationship Id="rId1665" Type="http://schemas.openxmlformats.org/officeDocument/2006/relationships/hyperlink" Target="https://www.oag.com/hubfs/Flourish/United%20States.png" TargetMode="External"/><Relationship Id="rId2996" Type="http://schemas.openxmlformats.org/officeDocument/2006/relationships/hyperlink" Target="https://www.oag.com/hubfs/Flourish/2-1.png" TargetMode="External"/><Relationship Id="rId1666" Type="http://schemas.openxmlformats.org/officeDocument/2006/relationships/hyperlink" Target="https://www.oag.com/hubfs/Flourish/United%20States.png" TargetMode="External"/><Relationship Id="rId2997" Type="http://schemas.openxmlformats.org/officeDocument/2006/relationships/hyperlink" Target="https://www.oag.com/hubfs/Flourish/United%20States.png" TargetMode="External"/><Relationship Id="rId1667" Type="http://schemas.openxmlformats.org/officeDocument/2006/relationships/hyperlink" Target="https://www.oag.com/hubfs/Flourish/United%20States.png" TargetMode="External"/><Relationship Id="rId2998" Type="http://schemas.openxmlformats.org/officeDocument/2006/relationships/hyperlink" Target="https://www.oag.com/hubfs/Flourish/United%20States.png" TargetMode="External"/><Relationship Id="rId1668" Type="http://schemas.openxmlformats.org/officeDocument/2006/relationships/hyperlink" Target="https://www.oag.com/hubfs/Flourish/United%20States.png" TargetMode="External"/><Relationship Id="rId2999" Type="http://schemas.openxmlformats.org/officeDocument/2006/relationships/hyperlink" Target="https://www.oag.com/hubfs/Flourish/United%20States.png" TargetMode="External"/><Relationship Id="rId1669" Type="http://schemas.openxmlformats.org/officeDocument/2006/relationships/hyperlink" Target="https://www.oag.com/hubfs/Flourish/United%20States.png" TargetMode="External"/><Relationship Id="rId839" Type="http://schemas.openxmlformats.org/officeDocument/2006/relationships/hyperlink" Target="https://www.oag.com/hubfs/Flourish/United%20States.png" TargetMode="External"/><Relationship Id="rId838" Type="http://schemas.openxmlformats.org/officeDocument/2006/relationships/hyperlink" Target="https://www.oag.com/hubfs/Flourish/UAE.jpg" TargetMode="External"/><Relationship Id="rId833" Type="http://schemas.openxmlformats.org/officeDocument/2006/relationships/hyperlink" Target="https://www.oag.com/hubfs/Flourish/India.png" TargetMode="External"/><Relationship Id="rId832" Type="http://schemas.openxmlformats.org/officeDocument/2006/relationships/hyperlink" Target="https://www.oag.com/hubfs/Flourish/United%20States.png" TargetMode="External"/><Relationship Id="rId831" Type="http://schemas.openxmlformats.org/officeDocument/2006/relationships/hyperlink" Target="https://www.oag.com/hubfs/Flourish/United%20States.png" TargetMode="External"/><Relationship Id="rId830" Type="http://schemas.openxmlformats.org/officeDocument/2006/relationships/hyperlink" Target="https://www.oag.com/hubfs/Flourish/United%20States.png" TargetMode="External"/><Relationship Id="rId837" Type="http://schemas.openxmlformats.org/officeDocument/2006/relationships/hyperlink" Target="https://www.oag.com/hubfs/Flourish/United%20States.png" TargetMode="External"/><Relationship Id="rId836" Type="http://schemas.openxmlformats.org/officeDocument/2006/relationships/hyperlink" Target="https://www.oag.com/hubfs/Flourish/3-1.png" TargetMode="External"/><Relationship Id="rId835" Type="http://schemas.openxmlformats.org/officeDocument/2006/relationships/hyperlink" Target="https://www.oag.com/hubfs/Flourish/United%20States.png" TargetMode="External"/><Relationship Id="rId834" Type="http://schemas.openxmlformats.org/officeDocument/2006/relationships/hyperlink" Target="https://www.oag.com/hubfs/Flourish/United%20States.png" TargetMode="External"/><Relationship Id="rId2990" Type="http://schemas.openxmlformats.org/officeDocument/2006/relationships/hyperlink" Target="https://www.oag.com/hubfs/Flourish/4.png" TargetMode="External"/><Relationship Id="rId1660" Type="http://schemas.openxmlformats.org/officeDocument/2006/relationships/hyperlink" Target="https://www.oag.com/hubfs/Flourish/United%20States.png" TargetMode="External"/><Relationship Id="rId2991" Type="http://schemas.openxmlformats.org/officeDocument/2006/relationships/hyperlink" Target="https://www.oag.com/hubfs/Flourish/United%20States.png" TargetMode="External"/><Relationship Id="rId1661" Type="http://schemas.openxmlformats.org/officeDocument/2006/relationships/hyperlink" Target="https://www.oag.com/hubfs/Flourish/United%20States.png" TargetMode="External"/><Relationship Id="rId2992" Type="http://schemas.openxmlformats.org/officeDocument/2006/relationships/hyperlink" Target="https://www.oag.com/hubfs/Flourish/United%20States.png" TargetMode="External"/><Relationship Id="rId1662" Type="http://schemas.openxmlformats.org/officeDocument/2006/relationships/hyperlink" Target="https://www.oag.com/hubfs/Flourish/China.png" TargetMode="External"/><Relationship Id="rId2993" Type="http://schemas.openxmlformats.org/officeDocument/2006/relationships/hyperlink" Target="https://www.oag.com/hubfs/Flourish/United%20States.png" TargetMode="External"/><Relationship Id="rId1663" Type="http://schemas.openxmlformats.org/officeDocument/2006/relationships/hyperlink" Target="https://www.oag.com/hubfs/Flourish/China.png" TargetMode="External"/><Relationship Id="rId2994" Type="http://schemas.openxmlformats.org/officeDocument/2006/relationships/hyperlink" Target="https://www.oag.com/hubfs/Flourish/United%20States.png" TargetMode="External"/><Relationship Id="rId2148" Type="http://schemas.openxmlformats.org/officeDocument/2006/relationships/hyperlink" Target="https://www.oag.com/hubfs/Flourish/Japan.png" TargetMode="External"/><Relationship Id="rId2149" Type="http://schemas.openxmlformats.org/officeDocument/2006/relationships/hyperlink" Target="https://www.oag.com/hubfs/Flourish/United%20States.png" TargetMode="External"/><Relationship Id="rId2140" Type="http://schemas.openxmlformats.org/officeDocument/2006/relationships/hyperlink" Target="https://www.oag.com/hubfs/Flourish/United%20States.png" TargetMode="External"/><Relationship Id="rId2141" Type="http://schemas.openxmlformats.org/officeDocument/2006/relationships/hyperlink" Target="https://www.oag.com/hubfs/Flourish/United%20States.png" TargetMode="External"/><Relationship Id="rId2142" Type="http://schemas.openxmlformats.org/officeDocument/2006/relationships/hyperlink" Target="https://www.oag.com/hubfs/Flourish/United%20States.png" TargetMode="External"/><Relationship Id="rId2143" Type="http://schemas.openxmlformats.org/officeDocument/2006/relationships/hyperlink" Target="https://www.oag.com/hubfs/Flourish/United%20States.png" TargetMode="External"/><Relationship Id="rId2144" Type="http://schemas.openxmlformats.org/officeDocument/2006/relationships/hyperlink" Target="https://www.oag.com/hubfs/Flourish/3-1.png" TargetMode="External"/><Relationship Id="rId2145" Type="http://schemas.openxmlformats.org/officeDocument/2006/relationships/hyperlink" Target="https://www.oag.com/hubfs/Flourish/United%20States.png" TargetMode="External"/><Relationship Id="rId2146" Type="http://schemas.openxmlformats.org/officeDocument/2006/relationships/hyperlink" Target="https://www.oag.com/hubfs/Flourish/United%20States.png" TargetMode="External"/><Relationship Id="rId2147" Type="http://schemas.openxmlformats.org/officeDocument/2006/relationships/hyperlink" Target="https://www.oag.com/hubfs/Flourish/2-1.png" TargetMode="External"/><Relationship Id="rId2137" Type="http://schemas.openxmlformats.org/officeDocument/2006/relationships/hyperlink" Target="https://www.oag.com/hubfs/Flourish/7.png" TargetMode="External"/><Relationship Id="rId2138" Type="http://schemas.openxmlformats.org/officeDocument/2006/relationships/hyperlink" Target="https://www.oag.com/hubfs/Flourish/United%20States.png" TargetMode="External"/><Relationship Id="rId2139" Type="http://schemas.openxmlformats.org/officeDocument/2006/relationships/hyperlink" Target="https://www.oag.com/hubfs/Flourish/United%20States.png" TargetMode="External"/><Relationship Id="rId2130" Type="http://schemas.openxmlformats.org/officeDocument/2006/relationships/hyperlink" Target="https://www.oag.com/hubfs/Flourish/United%20States.png" TargetMode="External"/><Relationship Id="rId2131" Type="http://schemas.openxmlformats.org/officeDocument/2006/relationships/hyperlink" Target="https://www.oag.com/hubfs/Flourish/United%20States.png" TargetMode="External"/><Relationship Id="rId2132" Type="http://schemas.openxmlformats.org/officeDocument/2006/relationships/hyperlink" Target="https://www.oag.com/hubfs/Flourish/S%20Korea.jpg" TargetMode="External"/><Relationship Id="rId2133" Type="http://schemas.openxmlformats.org/officeDocument/2006/relationships/hyperlink" Target="https://www.oag.com/hubfs/Flourish/3-1.png" TargetMode="External"/><Relationship Id="rId2134" Type="http://schemas.openxmlformats.org/officeDocument/2006/relationships/hyperlink" Target="https://www.oag.com/hubfs/Flourish/United%20States.png" TargetMode="External"/><Relationship Id="rId2135" Type="http://schemas.openxmlformats.org/officeDocument/2006/relationships/hyperlink" Target="https://www.oag.com/hubfs/Flourish/United%20States.png" TargetMode="External"/><Relationship Id="rId2136" Type="http://schemas.openxmlformats.org/officeDocument/2006/relationships/hyperlink" Target="https://www.oag.com/hubfs/Flourish/United%20States.png" TargetMode="External"/><Relationship Id="rId2160" Type="http://schemas.openxmlformats.org/officeDocument/2006/relationships/hyperlink" Target="https://www.oag.com/hubfs/Flourish/United%20States.png" TargetMode="External"/><Relationship Id="rId2161" Type="http://schemas.openxmlformats.org/officeDocument/2006/relationships/hyperlink" Target="https://www.oag.com/hubfs/Flourish/United%20States.png" TargetMode="External"/><Relationship Id="rId2162" Type="http://schemas.openxmlformats.org/officeDocument/2006/relationships/hyperlink" Target="https://www.oag.com/hubfs/Flourish/United%20States.png" TargetMode="External"/><Relationship Id="rId2163" Type="http://schemas.openxmlformats.org/officeDocument/2006/relationships/hyperlink" Target="https://www.oag.com/hubfs/Flourish/Mexico.png" TargetMode="External"/><Relationship Id="rId2164" Type="http://schemas.openxmlformats.org/officeDocument/2006/relationships/hyperlink" Target="https://www.oag.com/hubfs/Flourish/Mexico.png" TargetMode="External"/><Relationship Id="rId2165" Type="http://schemas.openxmlformats.org/officeDocument/2006/relationships/hyperlink" Target="https://www.oag.com/hubfs/Flourish/8.png" TargetMode="External"/><Relationship Id="rId2166" Type="http://schemas.openxmlformats.org/officeDocument/2006/relationships/hyperlink" Target="https://www.oag.com/hubfs/Flourish/United%20States.png" TargetMode="External"/><Relationship Id="rId2167" Type="http://schemas.openxmlformats.org/officeDocument/2006/relationships/hyperlink" Target="https://www.oag.com/hubfs/Flourish/United%20States.png" TargetMode="External"/><Relationship Id="rId2168" Type="http://schemas.openxmlformats.org/officeDocument/2006/relationships/hyperlink" Target="https://www.oag.com/hubfs/Flourish/United%20States.png" TargetMode="External"/><Relationship Id="rId2169" Type="http://schemas.openxmlformats.org/officeDocument/2006/relationships/hyperlink" Target="https://www.oag.com/hubfs/Flourish/United%20States.png" TargetMode="External"/><Relationship Id="rId2159" Type="http://schemas.openxmlformats.org/officeDocument/2006/relationships/hyperlink" Target="https://www.oag.com/hubfs/Flourish/United%20States.png" TargetMode="External"/><Relationship Id="rId2150" Type="http://schemas.openxmlformats.org/officeDocument/2006/relationships/hyperlink" Target="https://www.oag.com/hubfs/Flourish/United%20States.png" TargetMode="External"/><Relationship Id="rId2151" Type="http://schemas.openxmlformats.org/officeDocument/2006/relationships/hyperlink" Target="https://www.oag.com/hubfs/Flourish/United%20States.png" TargetMode="External"/><Relationship Id="rId2152" Type="http://schemas.openxmlformats.org/officeDocument/2006/relationships/hyperlink" Target="https://www.oag.com/hubfs/Flourish/United%20States.png" TargetMode="External"/><Relationship Id="rId2153" Type="http://schemas.openxmlformats.org/officeDocument/2006/relationships/hyperlink" Target="https://www.oag.com/hubfs/Flourish/7.png" TargetMode="External"/><Relationship Id="rId2154" Type="http://schemas.openxmlformats.org/officeDocument/2006/relationships/hyperlink" Target="https://www.oag.com/hubfs/Flourish/United%20States.png" TargetMode="External"/><Relationship Id="rId2155" Type="http://schemas.openxmlformats.org/officeDocument/2006/relationships/hyperlink" Target="https://www.oag.com/hubfs/Flourish/4.png" TargetMode="External"/><Relationship Id="rId2156" Type="http://schemas.openxmlformats.org/officeDocument/2006/relationships/hyperlink" Target="https://www.oag.com/hubfs/Flourish/United%20States.png" TargetMode="External"/><Relationship Id="rId2157" Type="http://schemas.openxmlformats.org/officeDocument/2006/relationships/hyperlink" Target="https://www.oag.com/hubfs/Flourish/United%20States.png" TargetMode="External"/><Relationship Id="rId2158" Type="http://schemas.openxmlformats.org/officeDocument/2006/relationships/hyperlink" Target="https://www.oag.com/hubfs/Flourish/United%20States.png" TargetMode="External"/><Relationship Id="rId2104" Type="http://schemas.openxmlformats.org/officeDocument/2006/relationships/hyperlink" Target="https://www.oag.com/hubfs/Flourish/United%20States.png" TargetMode="External"/><Relationship Id="rId2105" Type="http://schemas.openxmlformats.org/officeDocument/2006/relationships/hyperlink" Target="https://www.oag.com/hubfs/Flourish/United%20States.png" TargetMode="External"/><Relationship Id="rId2106" Type="http://schemas.openxmlformats.org/officeDocument/2006/relationships/hyperlink" Target="https://www.oag.com/hubfs/Flourish/United%20States.png" TargetMode="External"/><Relationship Id="rId2107" Type="http://schemas.openxmlformats.org/officeDocument/2006/relationships/hyperlink" Target="https://www.oag.com/hubfs/Flourish/United%20States.png" TargetMode="External"/><Relationship Id="rId2108" Type="http://schemas.openxmlformats.org/officeDocument/2006/relationships/hyperlink" Target="https://www.oag.com/hubfs/Flourish/United%20States.png" TargetMode="External"/><Relationship Id="rId2109" Type="http://schemas.openxmlformats.org/officeDocument/2006/relationships/hyperlink" Target="https://www.oag.com/hubfs/Flourish/Mexico.png" TargetMode="External"/><Relationship Id="rId2100" Type="http://schemas.openxmlformats.org/officeDocument/2006/relationships/hyperlink" Target="https://www.oag.com/hubfs/Flourish/United%20States.png" TargetMode="External"/><Relationship Id="rId2101" Type="http://schemas.openxmlformats.org/officeDocument/2006/relationships/hyperlink" Target="https://www.oag.com/hubfs/Flourish/United%20States.png" TargetMode="External"/><Relationship Id="rId2102" Type="http://schemas.openxmlformats.org/officeDocument/2006/relationships/hyperlink" Target="https://www.oag.com/hubfs/Flourish/United%20States.png" TargetMode="External"/><Relationship Id="rId2103" Type="http://schemas.openxmlformats.org/officeDocument/2006/relationships/hyperlink" Target="https://www.oag.com/hubfs/Flourish/United%20States.png" TargetMode="External"/><Relationship Id="rId899" Type="http://schemas.openxmlformats.org/officeDocument/2006/relationships/hyperlink" Target="https://www.oag.com/hubfs/Flourish/5.png" TargetMode="External"/><Relationship Id="rId898" Type="http://schemas.openxmlformats.org/officeDocument/2006/relationships/hyperlink" Target="https://www.oag.com/hubfs/Flourish/Thailand.png" TargetMode="External"/><Relationship Id="rId897" Type="http://schemas.openxmlformats.org/officeDocument/2006/relationships/hyperlink" Target="https://www.oag.com/hubfs/Flourish/China.png" TargetMode="External"/><Relationship Id="rId896" Type="http://schemas.openxmlformats.org/officeDocument/2006/relationships/hyperlink" Target="https://www.oag.com/hubfs/Flourish/United%20States.png" TargetMode="External"/><Relationship Id="rId891" Type="http://schemas.openxmlformats.org/officeDocument/2006/relationships/hyperlink" Target="https://www.oag.com/hubfs/Flourish/China.png" TargetMode="External"/><Relationship Id="rId890" Type="http://schemas.openxmlformats.org/officeDocument/2006/relationships/hyperlink" Target="https://www.oag.com/hubfs/Flourish/United%20States.png" TargetMode="External"/><Relationship Id="rId895" Type="http://schemas.openxmlformats.org/officeDocument/2006/relationships/hyperlink" Target="https://www.oag.com/hubfs/Flourish/2-1.png" TargetMode="External"/><Relationship Id="rId894" Type="http://schemas.openxmlformats.org/officeDocument/2006/relationships/hyperlink" Target="https://www.oag.com/hubfs/Flourish/United%20States.png" TargetMode="External"/><Relationship Id="rId893" Type="http://schemas.openxmlformats.org/officeDocument/2006/relationships/hyperlink" Target="https://www.oag.com/hubfs/Flourish/United%20States.png" TargetMode="External"/><Relationship Id="rId892" Type="http://schemas.openxmlformats.org/officeDocument/2006/relationships/hyperlink" Target="https://www.oag.com/hubfs/Flourish/United%20States.png" TargetMode="External"/><Relationship Id="rId2126" Type="http://schemas.openxmlformats.org/officeDocument/2006/relationships/hyperlink" Target="https://www.oag.com/hubfs/Flourish/United%20States.png" TargetMode="External"/><Relationship Id="rId2127" Type="http://schemas.openxmlformats.org/officeDocument/2006/relationships/hyperlink" Target="https://www.oag.com/hubfs/Flourish/United%20States.png" TargetMode="External"/><Relationship Id="rId2128" Type="http://schemas.openxmlformats.org/officeDocument/2006/relationships/hyperlink" Target="https://www.oag.com/hubfs/Flourish/United%20States.png" TargetMode="External"/><Relationship Id="rId2129" Type="http://schemas.openxmlformats.org/officeDocument/2006/relationships/hyperlink" Target="https://www.oag.com/hubfs/Flourish/United%20States.png" TargetMode="External"/><Relationship Id="rId2120" Type="http://schemas.openxmlformats.org/officeDocument/2006/relationships/hyperlink" Target="https://www.oag.com/hubfs/Flourish/United%20States.png" TargetMode="External"/><Relationship Id="rId2121" Type="http://schemas.openxmlformats.org/officeDocument/2006/relationships/hyperlink" Target="https://www.oag.com/hubfs/Flourish/Japan.png" TargetMode="External"/><Relationship Id="rId2122" Type="http://schemas.openxmlformats.org/officeDocument/2006/relationships/hyperlink" Target="https://www.oag.com/hubfs/Flourish/United%20States.png" TargetMode="External"/><Relationship Id="rId2123" Type="http://schemas.openxmlformats.org/officeDocument/2006/relationships/hyperlink" Target="https://www.oag.com/hubfs/Flourish/United%20States.png" TargetMode="External"/><Relationship Id="rId2124" Type="http://schemas.openxmlformats.org/officeDocument/2006/relationships/hyperlink" Target="https://www.oag.com/hubfs/Flourish/United%20States.png" TargetMode="External"/><Relationship Id="rId2125" Type="http://schemas.openxmlformats.org/officeDocument/2006/relationships/hyperlink" Target="https://www.oag.com/hubfs/Flourish/Japan.png" TargetMode="External"/><Relationship Id="rId2115" Type="http://schemas.openxmlformats.org/officeDocument/2006/relationships/hyperlink" Target="https://www.oag.com/hubfs/Flourish/United%20States.png" TargetMode="External"/><Relationship Id="rId2116" Type="http://schemas.openxmlformats.org/officeDocument/2006/relationships/hyperlink" Target="https://www.oag.com/hubfs/Flourish/Japan.png" TargetMode="External"/><Relationship Id="rId2117" Type="http://schemas.openxmlformats.org/officeDocument/2006/relationships/hyperlink" Target="https://www.oag.com/hubfs/Flourish/Japan.png" TargetMode="External"/><Relationship Id="rId2118" Type="http://schemas.openxmlformats.org/officeDocument/2006/relationships/hyperlink" Target="https://www.oag.com/hubfs/Flourish/2-1.png" TargetMode="External"/><Relationship Id="rId2119" Type="http://schemas.openxmlformats.org/officeDocument/2006/relationships/hyperlink" Target="https://www.oag.com/hubfs/Flourish/United%20States.png" TargetMode="External"/><Relationship Id="rId2110" Type="http://schemas.openxmlformats.org/officeDocument/2006/relationships/hyperlink" Target="https://www.oag.com/hubfs/Flourish/1-1.png" TargetMode="External"/><Relationship Id="rId2111" Type="http://schemas.openxmlformats.org/officeDocument/2006/relationships/hyperlink" Target="https://www.oag.com/hubfs/Flourish/United%20States.png" TargetMode="External"/><Relationship Id="rId2112" Type="http://schemas.openxmlformats.org/officeDocument/2006/relationships/hyperlink" Target="https://www.oag.com/hubfs/Flourish/United%20States.png" TargetMode="External"/><Relationship Id="rId2113" Type="http://schemas.openxmlformats.org/officeDocument/2006/relationships/hyperlink" Target="https://www.oag.com/hubfs/Flourish/United%20States.png" TargetMode="External"/><Relationship Id="rId2114" Type="http://schemas.openxmlformats.org/officeDocument/2006/relationships/hyperlink" Target="https://www.oag.com/hubfs/Flourish/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5.63"/>
    <col customWidth="1" min="3" max="3" width="14.38"/>
    <col customWidth="1" min="4" max="7" width="8.63"/>
    <col customWidth="1" min="8" max="8" width="6.38"/>
    <col customWidth="1" min="9" max="9" width="8.63"/>
    <col customWidth="1" min="10" max="10" width="114.75"/>
    <col customWidth="1" min="11" max="26" width="8.63"/>
  </cols>
  <sheetData>
    <row r="1">
      <c r="A1" s="1"/>
      <c r="B1" s="2" t="s">
        <v>0</v>
      </c>
      <c r="C1" s="2" t="s">
        <v>1</v>
      </c>
      <c r="D1" s="3" t="s">
        <v>2</v>
      </c>
      <c r="I1" s="4"/>
      <c r="J1" s="5" t="s">
        <v>3</v>
      </c>
    </row>
    <row r="2">
      <c r="A2" s="6" t="s">
        <v>4</v>
      </c>
      <c r="B2" s="7">
        <v>5094557.0</v>
      </c>
      <c r="C2" s="7">
        <v>5596502.0</v>
      </c>
      <c r="D2" s="8">
        <f t="shared" ref="D2:D3" si="1">C2/B2-1</f>
        <v>0.09852574031</v>
      </c>
      <c r="G2" s="6"/>
      <c r="I2" s="9"/>
      <c r="J2" s="4"/>
      <c r="K2" s="4"/>
    </row>
    <row r="3">
      <c r="A3" s="6" t="s">
        <v>5</v>
      </c>
      <c r="B3" s="7">
        <v>1.7608762E7</v>
      </c>
      <c r="C3" s="7">
        <v>1.8293222E7</v>
      </c>
      <c r="D3" s="8">
        <f t="shared" si="1"/>
        <v>0.03887042144</v>
      </c>
      <c r="G3" s="6"/>
      <c r="H3" s="10"/>
      <c r="I3" s="9"/>
      <c r="J3" s="5" t="s">
        <v>6</v>
      </c>
    </row>
    <row r="4">
      <c r="B4" s="11"/>
      <c r="C4" s="11"/>
      <c r="D4" s="12"/>
      <c r="I4" s="4"/>
      <c r="J4" s="4"/>
      <c r="K4" s="4"/>
    </row>
    <row r="5">
      <c r="I5" s="4"/>
      <c r="J5" s="1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J1:K1"/>
    <mergeCell ref="G2:H2"/>
    <mergeCell ref="J3:K3"/>
    <mergeCell ref="J5:K5"/>
  </mergeCells>
  <hyperlinks>
    <hyperlink r:id="rId1" ref="J1"/>
    <hyperlink r:id="rId2" ref="J3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8.25"/>
    <col customWidth="1" min="3" max="3" width="15.75"/>
    <col customWidth="1" min="4" max="5" width="8.63"/>
    <col customWidth="1" min="6" max="6" width="16.63"/>
    <col customWidth="1" min="7" max="26" width="8.63"/>
  </cols>
  <sheetData>
    <row r="1">
      <c r="A1" s="14" t="s">
        <v>8</v>
      </c>
      <c r="B1" s="14" t="s">
        <v>0</v>
      </c>
      <c r="C1" s="14" t="s">
        <v>1</v>
      </c>
      <c r="D1" s="14" t="s">
        <v>2</v>
      </c>
    </row>
    <row r="2">
      <c r="A2" s="6" t="s">
        <v>9</v>
      </c>
      <c r="B2" s="7">
        <v>1.8100252E7</v>
      </c>
      <c r="C2" s="7">
        <v>1.8908797E7</v>
      </c>
      <c r="D2" s="8">
        <f t="shared" ref="D2:D3" si="1">C2/B2-1</f>
        <v>0.04467037255</v>
      </c>
      <c r="F2" s="10"/>
      <c r="G2" s="15">
        <v>45717.0</v>
      </c>
      <c r="H2" s="15">
        <v>46082.0</v>
      </c>
    </row>
    <row r="3">
      <c r="A3" s="6" t="s">
        <v>10</v>
      </c>
      <c r="B3" s="7">
        <v>4603067.0</v>
      </c>
      <c r="C3" s="7">
        <v>4980927.0</v>
      </c>
      <c r="D3" s="8">
        <f t="shared" si="1"/>
        <v>0.08208874648</v>
      </c>
      <c r="F3" s="6" t="s">
        <v>11</v>
      </c>
      <c r="G3" s="16">
        <v>0.8</v>
      </c>
      <c r="H3" s="16">
        <v>0.79</v>
      </c>
    </row>
    <row r="4">
      <c r="B4" s="11"/>
      <c r="C4" s="11"/>
      <c r="D4" s="17"/>
      <c r="F4" s="6" t="s">
        <v>12</v>
      </c>
      <c r="G4" s="16">
        <v>0.2</v>
      </c>
      <c r="H4" s="16">
        <v>0.21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3" width="16.75"/>
    <col customWidth="1" min="4" max="26" width="8.63"/>
  </cols>
  <sheetData>
    <row r="1">
      <c r="A1" s="18" t="s">
        <v>13</v>
      </c>
    </row>
    <row r="3">
      <c r="B3" s="14" t="s">
        <v>0</v>
      </c>
      <c r="C3" s="14" t="s">
        <v>1</v>
      </c>
      <c r="D3" s="14" t="s">
        <v>14</v>
      </c>
    </row>
    <row r="4">
      <c r="A4" s="19" t="s">
        <v>15</v>
      </c>
      <c r="B4" s="7">
        <v>2845233.0</v>
      </c>
      <c r="C4" s="7">
        <v>2923963.0</v>
      </c>
      <c r="D4" s="8">
        <f t="shared" ref="D4:D13" si="1">C4/B4-1</f>
        <v>0.02767084453</v>
      </c>
      <c r="E4" s="11"/>
    </row>
    <row r="5">
      <c r="A5" s="19" t="s">
        <v>16</v>
      </c>
      <c r="B5" s="7">
        <v>2283180.0</v>
      </c>
      <c r="C5" s="7">
        <v>2482766.0</v>
      </c>
      <c r="D5" s="8">
        <f t="shared" si="1"/>
        <v>0.08741579727</v>
      </c>
      <c r="E5" s="11"/>
    </row>
    <row r="6">
      <c r="A6" s="19" t="s">
        <v>17</v>
      </c>
      <c r="B6" s="7">
        <v>1857238.0</v>
      </c>
      <c r="C6" s="7">
        <v>2045198.0</v>
      </c>
      <c r="D6" s="8">
        <f t="shared" si="1"/>
        <v>0.101204046</v>
      </c>
      <c r="E6" s="11"/>
    </row>
    <row r="7">
      <c r="A7" s="19" t="s">
        <v>18</v>
      </c>
      <c r="B7" s="7">
        <v>1284363.0</v>
      </c>
      <c r="C7" s="7">
        <v>1339768.0</v>
      </c>
      <c r="D7" s="8">
        <f t="shared" si="1"/>
        <v>0.04313811594</v>
      </c>
      <c r="E7" s="11"/>
    </row>
    <row r="8">
      <c r="A8" s="19" t="s">
        <v>19</v>
      </c>
      <c r="B8" s="7">
        <v>887565.0</v>
      </c>
      <c r="C8" s="7">
        <v>1102209.0</v>
      </c>
      <c r="D8" s="8">
        <f t="shared" si="1"/>
        <v>0.2418346825</v>
      </c>
      <c r="E8" s="11"/>
    </row>
    <row r="9">
      <c r="A9" s="19" t="s">
        <v>20</v>
      </c>
      <c r="B9" s="7">
        <v>885216.0</v>
      </c>
      <c r="C9" s="7">
        <v>964952.0</v>
      </c>
      <c r="D9" s="8">
        <f t="shared" si="1"/>
        <v>0.09007519069</v>
      </c>
      <c r="E9" s="11"/>
    </row>
    <row r="10">
      <c r="A10" s="19" t="s">
        <v>21</v>
      </c>
      <c r="B10" s="7">
        <v>800402.0</v>
      </c>
      <c r="C10" s="7">
        <v>826473.0</v>
      </c>
      <c r="D10" s="8">
        <f t="shared" si="1"/>
        <v>0.03257238238</v>
      </c>
      <c r="E10" s="11"/>
    </row>
    <row r="11">
      <c r="A11" s="19" t="s">
        <v>22</v>
      </c>
      <c r="B11" s="7">
        <v>596698.0</v>
      </c>
      <c r="C11" s="7">
        <v>583473.0</v>
      </c>
      <c r="D11" s="8">
        <f t="shared" si="1"/>
        <v>-0.02216364057</v>
      </c>
      <c r="E11" s="11"/>
    </row>
    <row r="12">
      <c r="A12" s="19" t="s">
        <v>23</v>
      </c>
      <c r="B12" s="7">
        <v>490363.0</v>
      </c>
      <c r="C12" s="7">
        <v>541634.0</v>
      </c>
      <c r="D12" s="8">
        <f t="shared" si="1"/>
        <v>0.1045572362</v>
      </c>
      <c r="E12" s="11"/>
    </row>
    <row r="13">
      <c r="A13" s="19" t="s">
        <v>24</v>
      </c>
      <c r="B13" s="7">
        <v>266084.0</v>
      </c>
      <c r="C13" s="7">
        <v>270364.0</v>
      </c>
      <c r="D13" s="8">
        <f t="shared" si="1"/>
        <v>0.01608514604</v>
      </c>
      <c r="E1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4" width="16.88"/>
    <col customWidth="1" min="5" max="5" width="15.0"/>
    <col customWidth="1" min="6" max="6" width="47.5"/>
    <col hidden="1" min="7" max="7" width="12.63"/>
  </cols>
  <sheetData>
    <row r="1">
      <c r="A1" s="14" t="s">
        <v>25</v>
      </c>
      <c r="B1" s="14" t="s">
        <v>26</v>
      </c>
      <c r="C1" s="18" t="str">
        <f>IFERROR(__xludf.DUMMYFUNCTION("QUERY('Top 10 Countries'!B3)"),"This Month 2025")</f>
        <v>This Month 2025</v>
      </c>
      <c r="D1" s="18" t="str">
        <f>IFERROR(__xludf.DUMMYFUNCTION("QUERY('Top 10 Countries'!C3)"),"This Month 2026")</f>
        <v>This Month 2026</v>
      </c>
      <c r="E1" s="18" t="str">
        <f>IFERROR(__xludf.DUMMYFUNCTION("QUERY('Top 10 Countries'!D3)"),"Variance %")</f>
        <v>Variance %</v>
      </c>
      <c r="F1" s="14" t="s">
        <v>27</v>
      </c>
      <c r="G1" s="14" t="s">
        <v>28</v>
      </c>
      <c r="H1" s="14" t="s">
        <v>29</v>
      </c>
    </row>
    <row r="2">
      <c r="A2" s="18" t="str">
        <f>IFERROR(__xludf.DUMMYFUNCTION("QUERY('Top 10 Countries'!A4)"),"Egypt")</f>
        <v>Egypt</v>
      </c>
      <c r="B2" s="14">
        <v>0.0</v>
      </c>
      <c r="C2" s="20">
        <f>IFERROR(__xludf.DUMMYFUNCTION("QUERY('Top 10 Countries'!B4)"),2845233.0)</f>
        <v>2845233</v>
      </c>
      <c r="D2" s="20">
        <f>IFERROR(__xludf.DUMMYFUNCTION("QUERY('Top 10 Countries'!C4)"),2923963.0)</f>
        <v>2923963</v>
      </c>
      <c r="E2" s="21">
        <f>IFERROR(__xludf.DUMMYFUNCTION("QUERY('Top 10 Countries'!D4)"),0.02767084453188895)</f>
        <v>0.02767084453</v>
      </c>
      <c r="F2" s="22" t="str">
        <f>VLOOKUP(A2, RefSheet!J:K, 2, FALSE)</f>
        <v>https://www.oag.com/hubfs/Flourish/Egypt.png</v>
      </c>
      <c r="G2" s="14" t="str">
        <f t="shared" ref="G2:G11" si="1">CONCAT("&lt;img src=",F2)</f>
        <v>&lt;img src=https://www.oag.com/hubfs/Flourish/Egypt.png</v>
      </c>
      <c r="H2" s="18" t="str">
        <f t="shared" ref="H2:H11" si="2">CONCAT(G2, " width=30 height=30&gt;")</f>
        <v>&lt;img src=https://www.oag.com/hubfs/Flourish/Egypt.png width=30 height=30&gt;</v>
      </c>
    </row>
    <row r="3">
      <c r="A3" s="18" t="str">
        <f>IFERROR(__xludf.DUMMYFUNCTION("QUERY('Top 10 Countries'!A5)"),"South Africa")</f>
        <v>South Africa</v>
      </c>
      <c r="B3" s="14">
        <v>0.0</v>
      </c>
      <c r="C3" s="20">
        <f>IFERROR(__xludf.DUMMYFUNCTION("QUERY('Top 10 Countries'!B5)"),2283180.0)</f>
        <v>2283180</v>
      </c>
      <c r="D3" s="20">
        <f>IFERROR(__xludf.DUMMYFUNCTION("QUERY('Top 10 Countries'!C5)"),2482766.0)</f>
        <v>2482766</v>
      </c>
      <c r="E3" s="21">
        <f>IFERROR(__xludf.DUMMYFUNCTION("QUERY('Top 10 Countries'!D5)"),0.08741579726521786)</f>
        <v>0.08741579727</v>
      </c>
      <c r="F3" s="22" t="str">
        <f>VLOOKUP(A3, RefSheet!J:K, 2, FALSE)</f>
        <v>https://www.oag.com/hubfs/Flourish/South%20Africa.png</v>
      </c>
      <c r="G3" s="14" t="str">
        <f t="shared" si="1"/>
        <v>&lt;img src=https://www.oag.com/hubfs/Flourish/South%20Africa.png</v>
      </c>
      <c r="H3" s="18" t="str">
        <f t="shared" si="2"/>
        <v>&lt;img src=https://www.oag.com/hubfs/Flourish/South%20Africa.png width=30 height=30&gt;</v>
      </c>
    </row>
    <row r="4">
      <c r="A4" s="18" t="str">
        <f>IFERROR(__xludf.DUMMYFUNCTION("QUERY('Top 10 Countries'!A6)"),"Morocco")</f>
        <v>Morocco</v>
      </c>
      <c r="B4" s="14">
        <v>0.0</v>
      </c>
      <c r="C4" s="20">
        <f>IFERROR(__xludf.DUMMYFUNCTION("QUERY('Top 10 Countries'!B6)"),1857238.0)</f>
        <v>1857238</v>
      </c>
      <c r="D4" s="20">
        <f>IFERROR(__xludf.DUMMYFUNCTION("QUERY('Top 10 Countries'!C6)"),2045198.0)</f>
        <v>2045198</v>
      </c>
      <c r="E4" s="21">
        <f>IFERROR(__xludf.DUMMYFUNCTION("QUERY('Top 10 Countries'!D6)"),0.10120404600810451)</f>
        <v>0.101204046</v>
      </c>
      <c r="F4" s="22" t="str">
        <f>VLOOKUP(A4, RefSheet!J:K, 2, FALSE)</f>
        <v>https://www.oag.com/hubfs/Flourish/Morocco.png</v>
      </c>
      <c r="G4" s="14" t="str">
        <f t="shared" si="1"/>
        <v>&lt;img src=https://www.oag.com/hubfs/Flourish/Morocco.png</v>
      </c>
      <c r="H4" s="18" t="str">
        <f t="shared" si="2"/>
        <v>&lt;img src=https://www.oag.com/hubfs/Flourish/Morocco.png width=30 height=30&gt;</v>
      </c>
    </row>
    <row r="5">
      <c r="A5" s="18" t="str">
        <f>IFERROR(__xludf.DUMMYFUNCTION("QUERY('Top 10 Countries'!A7)"),"Ethiopia")</f>
        <v>Ethiopia</v>
      </c>
      <c r="B5" s="14">
        <v>0.0</v>
      </c>
      <c r="C5" s="20">
        <f>IFERROR(__xludf.DUMMYFUNCTION("QUERY('Top 10 Countries'!B7)"),1284363.0)</f>
        <v>1284363</v>
      </c>
      <c r="D5" s="20">
        <f>IFERROR(__xludf.DUMMYFUNCTION("QUERY('Top 10 Countries'!C7)"),1339768.0)</f>
        <v>1339768</v>
      </c>
      <c r="E5" s="21">
        <f>IFERROR(__xludf.DUMMYFUNCTION("QUERY('Top 10 Countries'!D7)"),0.043138115937628285)</f>
        <v>0.04313811594</v>
      </c>
      <c r="F5" s="22" t="str">
        <f>VLOOKUP(A5, RefSheet!J:K, 2, FALSE)</f>
        <v>https://www.oag.com/hubfs/Flourish/Ethiopia.png</v>
      </c>
      <c r="G5" s="14" t="str">
        <f t="shared" si="1"/>
        <v>&lt;img src=https://www.oag.com/hubfs/Flourish/Ethiopia.png</v>
      </c>
      <c r="H5" s="18" t="str">
        <f t="shared" si="2"/>
        <v>&lt;img src=https://www.oag.com/hubfs/Flourish/Ethiopia.png width=30 height=30&gt;</v>
      </c>
    </row>
    <row r="6">
      <c r="A6" s="18" t="str">
        <f>IFERROR(__xludf.DUMMYFUNCTION("QUERY('Top 10 Countries'!A8)"),"Nigeria")</f>
        <v>Nigeria</v>
      </c>
      <c r="B6" s="14">
        <v>0.0</v>
      </c>
      <c r="C6" s="20">
        <f>IFERROR(__xludf.DUMMYFUNCTION("QUERY('Top 10 Countries'!B8)"),887565.0)</f>
        <v>887565</v>
      </c>
      <c r="D6" s="20">
        <f>IFERROR(__xludf.DUMMYFUNCTION("QUERY('Top 10 Countries'!C8)"),1102209.0)</f>
        <v>1102209</v>
      </c>
      <c r="E6" s="21">
        <f>IFERROR(__xludf.DUMMYFUNCTION("QUERY('Top 10 Countries'!D8)"),0.2418346825302935)</f>
        <v>0.2418346825</v>
      </c>
      <c r="F6" s="22" t="str">
        <f>VLOOKUP(A6, RefSheet!J:K, 2, FALSE)</f>
        <v>https://www.oag.com/hubfs/Flourish/Nigeria.png</v>
      </c>
      <c r="G6" s="14" t="str">
        <f t="shared" si="1"/>
        <v>&lt;img src=https://www.oag.com/hubfs/Flourish/Nigeria.png</v>
      </c>
      <c r="H6" s="18" t="str">
        <f t="shared" si="2"/>
        <v>&lt;img src=https://www.oag.com/hubfs/Flourish/Nigeria.png width=30 height=30&gt;</v>
      </c>
    </row>
    <row r="7">
      <c r="A7" s="18" t="str">
        <f>IFERROR(__xludf.DUMMYFUNCTION("QUERY('Top 10 Countries'!A9)"),"Algeria")</f>
        <v>Algeria</v>
      </c>
      <c r="B7" s="14">
        <v>0.0</v>
      </c>
      <c r="C7" s="20">
        <f>IFERROR(__xludf.DUMMYFUNCTION("QUERY('Top 10 Countries'!B9)"),885216.0)</f>
        <v>885216</v>
      </c>
      <c r="D7" s="20">
        <f>IFERROR(__xludf.DUMMYFUNCTION("QUERY('Top 10 Countries'!C9)"),964952.0)</f>
        <v>964952</v>
      </c>
      <c r="E7" s="21">
        <f>IFERROR(__xludf.DUMMYFUNCTION("QUERY('Top 10 Countries'!D9)"),0.09007519068792247)</f>
        <v>0.09007519069</v>
      </c>
      <c r="F7" s="22" t="str">
        <f>VLOOKUP(A7, RefSheet!J:K, 2, FALSE)</f>
        <v>https://www.oag.com/hubfs/Flourish/Algeria.png</v>
      </c>
      <c r="G7" s="14" t="str">
        <f t="shared" si="1"/>
        <v>&lt;img src=https://www.oag.com/hubfs/Flourish/Algeria.png</v>
      </c>
      <c r="H7" s="18" t="str">
        <f t="shared" si="2"/>
        <v>&lt;img src=https://www.oag.com/hubfs/Flourish/Algeria.png width=30 height=30&gt;</v>
      </c>
    </row>
    <row r="8">
      <c r="A8" s="18" t="str">
        <f>IFERROR(__xludf.DUMMYFUNCTION("QUERY('Top 10 Countries'!A10)"),"Kenya")</f>
        <v>Kenya</v>
      </c>
      <c r="B8" s="14">
        <v>0.0</v>
      </c>
      <c r="C8" s="20">
        <f>IFERROR(__xludf.DUMMYFUNCTION("QUERY('Top 10 Countries'!B10)"),800402.0)</f>
        <v>800402</v>
      </c>
      <c r="D8" s="20">
        <f>IFERROR(__xludf.DUMMYFUNCTION("QUERY('Top 10 Countries'!C10)"),826473.0)</f>
        <v>826473</v>
      </c>
      <c r="E8" s="21">
        <f>IFERROR(__xludf.DUMMYFUNCTION("QUERY('Top 10 Countries'!D10)"),0.0325723823778552)</f>
        <v>0.03257238238</v>
      </c>
      <c r="F8" s="22" t="str">
        <f>VLOOKUP(A8, RefSheet!J:K, 2, FALSE)</f>
        <v>https://www.oag.com/hubfs/Flourish/Kenya.png</v>
      </c>
      <c r="G8" s="14" t="str">
        <f t="shared" si="1"/>
        <v>&lt;img src=https://www.oag.com/hubfs/Flourish/Kenya.png</v>
      </c>
      <c r="H8" s="18" t="str">
        <f t="shared" si="2"/>
        <v>&lt;img src=https://www.oag.com/hubfs/Flourish/Kenya.png width=30 height=30&gt;</v>
      </c>
    </row>
    <row r="9">
      <c r="A9" s="18" t="str">
        <f>IFERROR(__xludf.DUMMYFUNCTION("QUERY('Top 10 Countries'!A11)"),"Tunisia")</f>
        <v>Tunisia</v>
      </c>
      <c r="B9" s="14">
        <v>0.0</v>
      </c>
      <c r="C9" s="20">
        <f>IFERROR(__xludf.DUMMYFUNCTION("QUERY('Top 10 Countries'!B11)"),596698.0)</f>
        <v>596698</v>
      </c>
      <c r="D9" s="20">
        <f>IFERROR(__xludf.DUMMYFUNCTION("QUERY('Top 10 Countries'!C11)"),583473.0)</f>
        <v>583473</v>
      </c>
      <c r="E9" s="21">
        <f>IFERROR(__xludf.DUMMYFUNCTION("QUERY('Top 10 Countries'!D11)"),-0.022163640568595877)</f>
        <v>-0.02216364057</v>
      </c>
      <c r="F9" s="22" t="str">
        <f>VLOOKUP(A9, RefSheet!J:K, 2, FALSE)</f>
        <v>https://www.oag.com/hubfs/Flourish/Tunisia.png</v>
      </c>
      <c r="G9" s="14" t="str">
        <f t="shared" si="1"/>
        <v>&lt;img src=https://www.oag.com/hubfs/Flourish/Tunisia.png</v>
      </c>
      <c r="H9" s="18" t="str">
        <f t="shared" si="2"/>
        <v>&lt;img src=https://www.oag.com/hubfs/Flourish/Tunisia.png width=30 height=30&gt;</v>
      </c>
    </row>
    <row r="10">
      <c r="A10" s="18" t="str">
        <f>IFERROR(__xludf.DUMMYFUNCTION("QUERY('Top 10 Countries'!A12)"),"Tanzania United Republic of")</f>
        <v>Tanzania United Republic of</v>
      </c>
      <c r="B10" s="14">
        <v>0.0</v>
      </c>
      <c r="C10" s="20">
        <f>IFERROR(__xludf.DUMMYFUNCTION("QUERY('Top 10 Countries'!B12)"),490363.0)</f>
        <v>490363</v>
      </c>
      <c r="D10" s="20">
        <f>IFERROR(__xludf.DUMMYFUNCTION("QUERY('Top 10 Countries'!C12)"),541634.0)</f>
        <v>541634</v>
      </c>
      <c r="E10" s="21">
        <f>IFERROR(__xludf.DUMMYFUNCTION("QUERY('Top 10 Countries'!D12)"),0.1045572361699394)</f>
        <v>0.1045572362</v>
      </c>
      <c r="F10" s="22" t="str">
        <f>VLOOKUP(A10, RefSheet!J:K, 2, FALSE)</f>
        <v>https://www.oag.com/hubfs/Flourish/Tanzania.png</v>
      </c>
      <c r="G10" s="14" t="str">
        <f t="shared" si="1"/>
        <v>&lt;img src=https://www.oag.com/hubfs/Flourish/Tanzania.png</v>
      </c>
      <c r="H10" s="18" t="str">
        <f t="shared" si="2"/>
        <v>&lt;img src=https://www.oag.com/hubfs/Flourish/Tanzania.png width=30 height=30&gt;</v>
      </c>
    </row>
    <row r="11">
      <c r="A11" s="18" t="str">
        <f>IFERROR(__xludf.DUMMYFUNCTION("QUERY('Top 10 Countries'!A13)"),"Ghana")</f>
        <v>Ghana</v>
      </c>
      <c r="B11" s="14">
        <v>0.0</v>
      </c>
      <c r="C11" s="20">
        <f>IFERROR(__xludf.DUMMYFUNCTION("QUERY('Top 10 Countries'!B13)"),266084.0)</f>
        <v>266084</v>
      </c>
      <c r="D11" s="20">
        <f>IFERROR(__xludf.DUMMYFUNCTION("QUERY('Top 10 Countries'!C13)"),270364.0)</f>
        <v>270364</v>
      </c>
      <c r="E11" s="21">
        <f>IFERROR(__xludf.DUMMYFUNCTION("QUERY('Top 10 Countries'!D13)"),0.01608514604410627)</f>
        <v>0.01608514604</v>
      </c>
      <c r="F11" s="22" t="str">
        <f>VLOOKUP(A11, RefSheet!J:K, 2, FALSE)</f>
        <v>https://www.oag.com/hubfs/Flourish/Ghana.png</v>
      </c>
      <c r="G11" s="14" t="str">
        <f t="shared" si="1"/>
        <v>&lt;img src=https://www.oag.com/hubfs/Flourish/Ghana.png</v>
      </c>
      <c r="H11" s="18" t="str">
        <f t="shared" si="2"/>
        <v>&lt;img src=https://www.oag.com/hubfs/Flourish/Ghana.png width=30 height=30&gt;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88"/>
    <col customWidth="1" min="3" max="3" width="22.63"/>
    <col customWidth="1" min="4" max="4" width="26.63"/>
    <col customWidth="1" min="5" max="27" width="8.63"/>
  </cols>
  <sheetData>
    <row r="1">
      <c r="A1" s="14" t="s">
        <v>30</v>
      </c>
      <c r="B1" s="14" t="s">
        <v>25</v>
      </c>
      <c r="C1" s="14" t="s">
        <v>0</v>
      </c>
      <c r="D1" s="14" t="s">
        <v>1</v>
      </c>
      <c r="E1" s="14" t="s">
        <v>14</v>
      </c>
      <c r="G1" s="23"/>
    </row>
    <row r="2">
      <c r="A2" s="14">
        <v>1.0</v>
      </c>
      <c r="B2" s="19" t="s">
        <v>16</v>
      </c>
      <c r="C2" s="7">
        <v>1615412.0</v>
      </c>
      <c r="D2" s="7">
        <v>1756249.0</v>
      </c>
      <c r="E2" s="8">
        <f t="shared" ref="E2:E11" si="1">D2/C2-1</f>
        <v>0.08718333156</v>
      </c>
      <c r="F2" s="24">
        <f t="shared" ref="F2:F11" si="2">D2-C2</f>
        <v>140837</v>
      </c>
    </row>
    <row r="3">
      <c r="A3" s="14">
        <v>2.0</v>
      </c>
      <c r="B3" s="19" t="s">
        <v>19</v>
      </c>
      <c r="C3" s="7">
        <v>638798.0</v>
      </c>
      <c r="D3" s="7">
        <v>823273.0</v>
      </c>
      <c r="E3" s="8">
        <f t="shared" si="1"/>
        <v>0.288784561</v>
      </c>
      <c r="F3" s="24">
        <f t="shared" si="2"/>
        <v>184475</v>
      </c>
    </row>
    <row r="4">
      <c r="A4" s="14">
        <v>3.0</v>
      </c>
      <c r="B4" s="19" t="s">
        <v>21</v>
      </c>
      <c r="C4" s="7">
        <v>397167.0</v>
      </c>
      <c r="D4" s="7">
        <v>440300.0</v>
      </c>
      <c r="E4" s="8">
        <f t="shared" si="1"/>
        <v>0.1086016713</v>
      </c>
      <c r="F4" s="24">
        <f t="shared" si="2"/>
        <v>43133</v>
      </c>
    </row>
    <row r="5">
      <c r="A5" s="14">
        <v>4.0</v>
      </c>
      <c r="B5" s="19" t="s">
        <v>20</v>
      </c>
      <c r="C5" s="7">
        <v>308601.0</v>
      </c>
      <c r="D5" s="7">
        <v>403656.0</v>
      </c>
      <c r="E5" s="8">
        <f t="shared" si="1"/>
        <v>0.3080190926</v>
      </c>
      <c r="F5" s="24">
        <f t="shared" si="2"/>
        <v>95055</v>
      </c>
    </row>
    <row r="6">
      <c r="A6" s="14">
        <v>5.0</v>
      </c>
      <c r="B6" s="19" t="s">
        <v>18</v>
      </c>
      <c r="C6" s="7">
        <v>399951.0</v>
      </c>
      <c r="D6" s="7">
        <v>395336.0</v>
      </c>
      <c r="E6" s="8">
        <f t="shared" si="1"/>
        <v>-0.01153891352</v>
      </c>
      <c r="F6" s="24">
        <f t="shared" si="2"/>
        <v>-4615</v>
      </c>
    </row>
    <row r="7">
      <c r="A7" s="14">
        <v>6.0</v>
      </c>
      <c r="B7" s="19" t="s">
        <v>15</v>
      </c>
      <c r="C7" s="7">
        <v>371219.0</v>
      </c>
      <c r="D7" s="7">
        <v>358760.0</v>
      </c>
      <c r="E7" s="8">
        <f t="shared" si="1"/>
        <v>-0.03356239848</v>
      </c>
      <c r="F7" s="24">
        <f t="shared" si="2"/>
        <v>-12459</v>
      </c>
    </row>
    <row r="8">
      <c r="A8" s="14">
        <v>7.0</v>
      </c>
      <c r="B8" s="19" t="s">
        <v>23</v>
      </c>
      <c r="C8" s="7">
        <v>309727.0</v>
      </c>
      <c r="D8" s="7">
        <v>342714.0</v>
      </c>
      <c r="E8" s="8">
        <f t="shared" si="1"/>
        <v>0.1065034692</v>
      </c>
      <c r="F8" s="24">
        <f t="shared" si="2"/>
        <v>32987</v>
      </c>
    </row>
    <row r="9">
      <c r="A9" s="14">
        <v>8.0</v>
      </c>
      <c r="B9" s="19" t="s">
        <v>17</v>
      </c>
      <c r="C9" s="7">
        <v>248294.0</v>
      </c>
      <c r="D9" s="7">
        <v>260636.0</v>
      </c>
      <c r="E9" s="8">
        <f t="shared" si="1"/>
        <v>0.04970720195</v>
      </c>
      <c r="F9" s="24">
        <f t="shared" si="2"/>
        <v>12342</v>
      </c>
    </row>
    <row r="10">
      <c r="A10" s="14">
        <v>9.0</v>
      </c>
      <c r="B10" s="19" t="s">
        <v>31</v>
      </c>
      <c r="C10" s="7">
        <v>99240.0</v>
      </c>
      <c r="D10" s="7">
        <v>93921.0</v>
      </c>
      <c r="E10" s="8">
        <f t="shared" si="1"/>
        <v>-0.05359733978</v>
      </c>
      <c r="F10" s="24">
        <f t="shared" si="2"/>
        <v>-5319</v>
      </c>
    </row>
    <row r="11">
      <c r="A11" s="14">
        <v>10.0</v>
      </c>
      <c r="B11" s="19" t="s">
        <v>32</v>
      </c>
      <c r="C11" s="7">
        <v>46284.0</v>
      </c>
      <c r="D11" s="7">
        <v>91289.0</v>
      </c>
      <c r="E11" s="8">
        <f t="shared" si="1"/>
        <v>0.9723662605</v>
      </c>
      <c r="F11" s="24">
        <f t="shared" si="2"/>
        <v>45005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4.63"/>
    <col customWidth="1" min="6" max="6" width="14.88"/>
    <col customWidth="1" min="7" max="28" width="8.63"/>
  </cols>
  <sheetData>
    <row r="1">
      <c r="A1" s="14" t="s">
        <v>30</v>
      </c>
      <c r="B1" s="18" t="s">
        <v>33</v>
      </c>
      <c r="C1" s="14" t="s">
        <v>34</v>
      </c>
      <c r="D1" s="18" t="s">
        <v>25</v>
      </c>
      <c r="E1" s="14" t="s">
        <v>0</v>
      </c>
      <c r="F1" s="14" t="s">
        <v>1</v>
      </c>
      <c r="G1" s="18" t="s">
        <v>35</v>
      </c>
      <c r="H1" s="23" t="s">
        <v>36</v>
      </c>
      <c r="I1" s="23" t="s">
        <v>37</v>
      </c>
    </row>
    <row r="2">
      <c r="A2" s="14">
        <v>1.0</v>
      </c>
      <c r="B2" s="25" t="s">
        <v>38</v>
      </c>
      <c r="C2" s="25" t="s">
        <v>15</v>
      </c>
      <c r="D2" s="25" t="s">
        <v>39</v>
      </c>
      <c r="E2" s="7">
        <v>1604870.0</v>
      </c>
      <c r="F2" s="7">
        <v>1615021.0</v>
      </c>
      <c r="G2" s="8">
        <f t="shared" ref="G2:G11" si="1">F2/E2-1</f>
        <v>0.006325122907</v>
      </c>
      <c r="H2" s="18">
        <f>VLOOKUP(B2, RefSheet!A:K, 3, FALSE)</f>
        <v>30.12190056</v>
      </c>
      <c r="I2" s="18">
        <f>VLOOKUP(B2, RefSheet!A:K, 4, FALSE)</f>
        <v>31.40559959</v>
      </c>
    </row>
    <row r="3">
      <c r="A3" s="14">
        <v>2.0</v>
      </c>
      <c r="B3" s="25" t="s">
        <v>40</v>
      </c>
      <c r="C3" s="25" t="s">
        <v>16</v>
      </c>
      <c r="D3" s="25" t="s">
        <v>41</v>
      </c>
      <c r="E3" s="7">
        <v>1075203.0</v>
      </c>
      <c r="F3" s="7">
        <v>1170470.0</v>
      </c>
      <c r="G3" s="8">
        <f t="shared" si="1"/>
        <v>0.08860373343</v>
      </c>
      <c r="H3" s="18">
        <f>VLOOKUP(B3, RefSheet!A:K, 3, FALSE)</f>
        <v>-26.1392</v>
      </c>
      <c r="I3" s="18">
        <f>VLOOKUP(B3, RefSheet!A:K, 4, FALSE)</f>
        <v>28.246</v>
      </c>
    </row>
    <row r="4">
      <c r="A4" s="14">
        <v>3.0</v>
      </c>
      <c r="B4" s="25" t="s">
        <v>42</v>
      </c>
      <c r="C4" s="25" t="s">
        <v>18</v>
      </c>
      <c r="D4" s="25" t="s">
        <v>43</v>
      </c>
      <c r="E4" s="7">
        <v>1076585.0</v>
      </c>
      <c r="F4" s="7">
        <v>1134848.0</v>
      </c>
      <c r="G4" s="8">
        <f t="shared" si="1"/>
        <v>0.05411834644</v>
      </c>
      <c r="H4" s="18">
        <f>VLOOKUP(B4, RefSheet!A:K, 3, FALSE)</f>
        <v>8.977890015</v>
      </c>
      <c r="I4" s="18">
        <f>VLOOKUP(B4, RefSheet!A:K, 4, FALSE)</f>
        <v>38.79930115</v>
      </c>
    </row>
    <row r="5">
      <c r="A5" s="14">
        <v>4.0</v>
      </c>
      <c r="B5" s="25" t="s">
        <v>44</v>
      </c>
      <c r="C5" s="25" t="s">
        <v>17</v>
      </c>
      <c r="D5" s="25" t="s">
        <v>45</v>
      </c>
      <c r="E5" s="7">
        <v>600375.0</v>
      </c>
      <c r="F5" s="7">
        <v>667644.0</v>
      </c>
      <c r="G5" s="8">
        <f t="shared" si="1"/>
        <v>0.1120449719</v>
      </c>
      <c r="H5" s="18">
        <f>VLOOKUP(B5, RefSheet!A:K, 3, FALSE)</f>
        <v>33.36750031</v>
      </c>
      <c r="I5" s="18">
        <f>VLOOKUP(B5, RefSheet!A:K, 4, FALSE)</f>
        <v>-7.589970112</v>
      </c>
    </row>
    <row r="6">
      <c r="A6" s="14">
        <v>5.0</v>
      </c>
      <c r="B6" s="25" t="s">
        <v>46</v>
      </c>
      <c r="C6" s="25" t="s">
        <v>16</v>
      </c>
      <c r="D6" s="25" t="s">
        <v>47</v>
      </c>
      <c r="E6" s="7">
        <v>570654.0</v>
      </c>
      <c r="F6" s="7">
        <v>605805.0</v>
      </c>
      <c r="G6" s="8">
        <f t="shared" si="1"/>
        <v>0.06159774574</v>
      </c>
      <c r="H6" s="18">
        <f>VLOOKUP(B6, RefSheet!A:K, 3, FALSE)</f>
        <v>-33.96480179</v>
      </c>
      <c r="I6" s="18">
        <f>VLOOKUP(B6, RefSheet!A:K, 4, FALSE)</f>
        <v>18.60169983</v>
      </c>
    </row>
    <row r="7">
      <c r="A7" s="14">
        <v>6.0</v>
      </c>
      <c r="B7" s="25" t="s">
        <v>48</v>
      </c>
      <c r="C7" s="25" t="s">
        <v>17</v>
      </c>
      <c r="D7" s="25" t="s">
        <v>49</v>
      </c>
      <c r="E7" s="7">
        <v>516922.0</v>
      </c>
      <c r="F7" s="7">
        <v>571026.0</v>
      </c>
      <c r="G7" s="8">
        <f t="shared" si="1"/>
        <v>0.1046656942</v>
      </c>
      <c r="H7" s="18">
        <f>VLOOKUP(B7, RefSheet!A:K, 3, FALSE)</f>
        <v>31.60689926</v>
      </c>
      <c r="I7" s="18">
        <f>VLOOKUP(B7, RefSheet!A:K, 4, FALSE)</f>
        <v>-8.036299706</v>
      </c>
    </row>
    <row r="8">
      <c r="A8" s="14">
        <v>7.0</v>
      </c>
      <c r="B8" s="25" t="s">
        <v>50</v>
      </c>
      <c r="C8" s="25" t="s">
        <v>20</v>
      </c>
      <c r="D8" s="25" t="s">
        <v>51</v>
      </c>
      <c r="E8" s="7">
        <v>494075.0</v>
      </c>
      <c r="F8" s="7">
        <v>518260.0</v>
      </c>
      <c r="G8" s="8">
        <f t="shared" si="1"/>
        <v>0.04895005819</v>
      </c>
      <c r="H8" s="18">
        <f>VLOOKUP(B8, RefSheet!A:K, 3, FALSE)</f>
        <v>36.69100189</v>
      </c>
      <c r="I8" s="18">
        <f>VLOOKUP(B8, RefSheet!A:K, 4, FALSE)</f>
        <v>3.215409994</v>
      </c>
    </row>
    <row r="9">
      <c r="A9" s="14">
        <v>8.0</v>
      </c>
      <c r="B9" s="25" t="s">
        <v>52</v>
      </c>
      <c r="C9" s="25" t="s">
        <v>15</v>
      </c>
      <c r="D9" s="25" t="s">
        <v>53</v>
      </c>
      <c r="E9" s="7">
        <v>470444.0</v>
      </c>
      <c r="F9" s="7">
        <v>513998.0</v>
      </c>
      <c r="G9" s="8">
        <f t="shared" si="1"/>
        <v>0.09258062596</v>
      </c>
      <c r="H9" s="18">
        <f>VLOOKUP(B9, RefSheet!A:K, 3, FALSE)</f>
        <v>27.17830086</v>
      </c>
      <c r="I9" s="18">
        <f>VLOOKUP(B9, RefSheet!A:K, 4, FALSE)</f>
        <v>33.79940033</v>
      </c>
    </row>
    <row r="10">
      <c r="A10" s="14">
        <v>9.0</v>
      </c>
      <c r="B10" s="25" t="s">
        <v>54</v>
      </c>
      <c r="C10" s="25" t="s">
        <v>21</v>
      </c>
      <c r="D10" s="25" t="s">
        <v>55</v>
      </c>
      <c r="E10" s="7">
        <v>457273.0</v>
      </c>
      <c r="F10" s="7">
        <v>455403.0</v>
      </c>
      <c r="G10" s="8">
        <f t="shared" si="1"/>
        <v>-0.004089460782</v>
      </c>
      <c r="H10" s="18">
        <f>VLOOKUP(B10, RefSheet!A:K, 3, FALSE)</f>
        <v>-1.319239974</v>
      </c>
      <c r="I10" s="18">
        <f>VLOOKUP(B10, RefSheet!A:K, 4, FALSE)</f>
        <v>36.92779922</v>
      </c>
    </row>
    <row r="11">
      <c r="A11" s="14">
        <v>10.0</v>
      </c>
      <c r="B11" s="25" t="s">
        <v>56</v>
      </c>
      <c r="C11" s="25" t="s">
        <v>19</v>
      </c>
      <c r="D11" s="25" t="s">
        <v>57</v>
      </c>
      <c r="E11" s="7">
        <v>377930.0</v>
      </c>
      <c r="F11" s="7">
        <v>445714.0</v>
      </c>
      <c r="G11" s="8">
        <f t="shared" si="1"/>
        <v>0.1793559654</v>
      </c>
      <c r="H11" s="18">
        <f>VLOOKUP(B11, RefSheet!A:K, 3, FALSE)</f>
        <v>6.577370167</v>
      </c>
      <c r="I11" s="18">
        <f>VLOOKUP(B11, RefSheet!A:K, 4, FALSE)</f>
        <v>3.321160078</v>
      </c>
    </row>
    <row r="12">
      <c r="B12" s="25"/>
      <c r="C12" s="25"/>
      <c r="E12" s="26"/>
      <c r="F12" s="26"/>
      <c r="H12" s="11"/>
    </row>
    <row r="13">
      <c r="H1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16.88"/>
    <col customWidth="1" min="3" max="3" width="13.88"/>
    <col customWidth="1" min="4" max="4" width="8.63"/>
    <col customWidth="1" min="5" max="5" width="15.0"/>
    <col customWidth="1" min="6" max="26" width="8.63"/>
  </cols>
  <sheetData>
    <row r="1">
      <c r="A1" s="18" t="s">
        <v>58</v>
      </c>
      <c r="B1" s="27" t="s">
        <v>0</v>
      </c>
      <c r="C1" s="27" t="s">
        <v>1</v>
      </c>
      <c r="D1" s="27" t="s">
        <v>14</v>
      </c>
    </row>
    <row r="2">
      <c r="A2" s="25" t="s">
        <v>59</v>
      </c>
      <c r="B2" s="7">
        <v>6413324.0</v>
      </c>
      <c r="C2" s="7">
        <v>6668107.0</v>
      </c>
      <c r="D2" s="8">
        <f t="shared" ref="D2:D6" si="1">C2/B2-1</f>
        <v>0.03972713682</v>
      </c>
      <c r="E2" s="24">
        <f t="shared" ref="E2:E6" si="2">C2-B2</f>
        <v>254783</v>
      </c>
    </row>
    <row r="3">
      <c r="A3" s="25" t="s">
        <v>60</v>
      </c>
      <c r="B3" s="7">
        <v>3531004.0</v>
      </c>
      <c r="C3" s="7">
        <v>3658191.0</v>
      </c>
      <c r="D3" s="8">
        <f t="shared" si="1"/>
        <v>0.03602006681</v>
      </c>
      <c r="E3" s="24">
        <f t="shared" si="2"/>
        <v>127187</v>
      </c>
    </row>
    <row r="4">
      <c r="A4" s="25" t="s">
        <v>61</v>
      </c>
      <c r="B4" s="7">
        <v>2748259.0</v>
      </c>
      <c r="C4" s="7">
        <v>3063007.0</v>
      </c>
      <c r="D4" s="8">
        <f t="shared" si="1"/>
        <v>0.1145263238</v>
      </c>
      <c r="E4" s="24">
        <f t="shared" si="2"/>
        <v>314748</v>
      </c>
    </row>
    <row r="5">
      <c r="A5" s="25" t="s">
        <v>62</v>
      </c>
      <c r="B5" s="7">
        <v>3000856.0</v>
      </c>
      <c r="C5" s="7">
        <v>3254792.0</v>
      </c>
      <c r="D5" s="8">
        <f t="shared" si="1"/>
        <v>0.08462118809</v>
      </c>
      <c r="E5" s="24">
        <f t="shared" si="2"/>
        <v>253936</v>
      </c>
    </row>
    <row r="6">
      <c r="A6" s="25" t="s">
        <v>63</v>
      </c>
      <c r="B6" s="7">
        <v>7009876.0</v>
      </c>
      <c r="C6" s="7">
        <v>7245627.0</v>
      </c>
      <c r="D6" s="8">
        <f t="shared" si="1"/>
        <v>0.03363126537</v>
      </c>
      <c r="E6" s="24">
        <f t="shared" si="2"/>
        <v>235751</v>
      </c>
    </row>
    <row r="10">
      <c r="B10" s="11"/>
      <c r="C10" s="11"/>
      <c r="D10" s="17"/>
    </row>
    <row r="11">
      <c r="B11" s="11"/>
      <c r="C11" s="11"/>
      <c r="D11" s="17"/>
    </row>
    <row r="18">
      <c r="E1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0.13"/>
    <col customWidth="1" min="3" max="3" width="18.13"/>
    <col customWidth="1" min="4" max="6" width="8.63"/>
    <col customWidth="1" min="7" max="7" width="17.5"/>
    <col customWidth="1" min="8" max="25" width="8.63"/>
  </cols>
  <sheetData>
    <row r="1">
      <c r="A1" s="14" t="s">
        <v>64</v>
      </c>
      <c r="B1" s="27" t="s">
        <v>0</v>
      </c>
      <c r="C1" s="27" t="s">
        <v>1</v>
      </c>
      <c r="D1" s="27" t="s">
        <v>14</v>
      </c>
      <c r="G1" s="23" t="s">
        <v>65</v>
      </c>
    </row>
    <row r="2">
      <c r="A2" s="25" t="s">
        <v>66</v>
      </c>
      <c r="B2" s="28">
        <v>3636465.0</v>
      </c>
      <c r="C2" s="28">
        <v>3822798.0</v>
      </c>
      <c r="D2" s="8">
        <f t="shared" ref="D2:D6" si="1">C2/B2-1</f>
        <v>0.05124014668</v>
      </c>
      <c r="E2" s="28"/>
      <c r="G2" s="29">
        <f>SUM(C2:C7)</f>
        <v>18293222</v>
      </c>
    </row>
    <row r="3">
      <c r="A3" s="25" t="s">
        <v>67</v>
      </c>
      <c r="B3" s="28">
        <v>8855896.0</v>
      </c>
      <c r="C3" s="28">
        <v>9573307.0</v>
      </c>
      <c r="D3" s="8">
        <f t="shared" si="1"/>
        <v>0.08100942016</v>
      </c>
      <c r="E3" s="28"/>
    </row>
    <row r="4">
      <c r="A4" s="25" t="s">
        <v>68</v>
      </c>
      <c r="B4" s="28">
        <v>4136542.0</v>
      </c>
      <c r="C4" s="28">
        <v>3852313.0</v>
      </c>
      <c r="D4" s="8">
        <f t="shared" si="1"/>
        <v>-0.06871174039</v>
      </c>
      <c r="E4" s="28"/>
    </row>
    <row r="5">
      <c r="A5" s="25" t="s">
        <v>69</v>
      </c>
      <c r="B5" s="28">
        <v>602212.0</v>
      </c>
      <c r="C5" s="28">
        <v>649008.0</v>
      </c>
      <c r="D5" s="8">
        <f t="shared" si="1"/>
        <v>0.07770685406</v>
      </c>
      <c r="E5" s="28"/>
    </row>
    <row r="6">
      <c r="A6" s="25" t="s">
        <v>70</v>
      </c>
      <c r="B6" s="28">
        <v>377647.0</v>
      </c>
      <c r="C6" s="28">
        <v>395796.0</v>
      </c>
      <c r="D6" s="8">
        <f t="shared" si="1"/>
        <v>0.04805810717</v>
      </c>
      <c r="E6" s="28"/>
    </row>
    <row r="7">
      <c r="A7" s="25"/>
      <c r="B7" s="28"/>
      <c r="C7" s="28"/>
      <c r="D7" s="30"/>
      <c r="E7" s="28"/>
    </row>
    <row r="8">
      <c r="B8" s="11"/>
      <c r="C8" s="11"/>
      <c r="D8" s="1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75"/>
    <col customWidth="1" min="2" max="2" width="21.88"/>
    <col customWidth="1" min="3" max="3" width="16.75"/>
    <col customWidth="1" min="4" max="4" width="15.75"/>
    <col customWidth="1" min="5" max="5" width="8.63"/>
    <col customWidth="1" min="6" max="6" width="22.25"/>
    <col customWidth="1" min="8" max="27" width="8.63"/>
  </cols>
  <sheetData>
    <row r="1">
      <c r="A1" s="14"/>
      <c r="B1" s="14" t="s">
        <v>71</v>
      </c>
      <c r="C1" s="14" t="s">
        <v>0</v>
      </c>
      <c r="D1" s="14" t="s">
        <v>1</v>
      </c>
      <c r="E1" s="14" t="s">
        <v>72</v>
      </c>
    </row>
    <row r="2">
      <c r="A2" s="20" t="str">
        <f>VLOOKUP(B2, RefSheet!P:X, 7, FALSE)</f>
        <v>&lt;img src=https://www.oag.com/hubfs/Flourish/Airlines/Ethiopian.jpg&gt;</v>
      </c>
      <c r="B2" s="19" t="s">
        <v>73</v>
      </c>
      <c r="C2" s="7">
        <v>1845374.0</v>
      </c>
      <c r="D2" s="7">
        <v>1972120.0</v>
      </c>
      <c r="E2" s="8">
        <f t="shared" ref="E2:E11" si="1">D2/C2-1</f>
        <v>0.06868309622</v>
      </c>
      <c r="F2" s="31"/>
    </row>
    <row r="3">
      <c r="A3" s="20" t="str">
        <f>VLOOKUP(B3, RefSheet!P:X, 7, FALSE)</f>
        <v>&lt;img src=https://www.oag.com/hubfs/Flourish/Airlines/SafAir.jpg&gt;</v>
      </c>
      <c r="B3" s="19" t="s">
        <v>74</v>
      </c>
      <c r="C3" s="7">
        <v>1012926.0</v>
      </c>
      <c r="D3" s="7">
        <v>1079595.0</v>
      </c>
      <c r="E3" s="8">
        <f t="shared" si="1"/>
        <v>0.06581823351</v>
      </c>
      <c r="F3" s="31"/>
    </row>
    <row r="4">
      <c r="A4" s="20" t="str">
        <f>VLOOKUP(B4, RefSheet!P:X, 7, FALSE)</f>
        <v>&lt;img src=https://www.oag.com/hubfs/Flourish/Airlines/egypt%20air.jpg&gt;</v>
      </c>
      <c r="B4" s="19" t="s">
        <v>75</v>
      </c>
      <c r="C4" s="7">
        <v>841282.0</v>
      </c>
      <c r="D4" s="7">
        <v>813141.0</v>
      </c>
      <c r="E4" s="8">
        <f t="shared" si="1"/>
        <v>-0.03345013919</v>
      </c>
      <c r="F4" s="31"/>
    </row>
    <row r="5">
      <c r="A5" s="20" t="str">
        <f>VLOOKUP(B5, RefSheet!P:X, 7, FALSE)</f>
        <v>&lt;img src=https://www.oag.com/hubfs/Flourish/Airlines/Royal%20Air%20Maroc.jpg&gt;</v>
      </c>
      <c r="B5" s="19" t="s">
        <v>76</v>
      </c>
      <c r="C5" s="7">
        <v>628396.0</v>
      </c>
      <c r="D5" s="7">
        <v>730269.0</v>
      </c>
      <c r="E5" s="8">
        <f t="shared" si="1"/>
        <v>0.1621159269</v>
      </c>
      <c r="F5" s="31"/>
    </row>
    <row r="6">
      <c r="A6" s="20" t="str">
        <f>VLOOKUP(B6, RefSheet!P:X, 7, FALSE)</f>
        <v>&lt;img src=https://www.oag.com/hubfs/Flourish/Airlines/Air%20Algerie.jpg&gt;</v>
      </c>
      <c r="B6" s="19" t="s">
        <v>77</v>
      </c>
      <c r="C6" s="7">
        <v>610968.0</v>
      </c>
      <c r="D6" s="7">
        <v>694904.0</v>
      </c>
      <c r="E6" s="8">
        <f t="shared" si="1"/>
        <v>0.1373819905</v>
      </c>
      <c r="F6" s="31"/>
    </row>
    <row r="7">
      <c r="A7" s="20" t="str">
        <f>VLOOKUP(B7, RefSheet!P:X, 7, FALSE)</f>
        <v>&lt;img src=https://www.oag.com/hubfs/Flourish/Airlines/Airlink.jpg&gt;</v>
      </c>
      <c r="B7" s="19" t="s">
        <v>78</v>
      </c>
      <c r="C7" s="7">
        <v>493059.0</v>
      </c>
      <c r="D7" s="7">
        <v>554660.0</v>
      </c>
      <c r="E7" s="8">
        <f t="shared" si="1"/>
        <v>0.1249363666</v>
      </c>
      <c r="F7" s="31"/>
    </row>
    <row r="8">
      <c r="A8" s="20" t="str">
        <f>VLOOKUP(B8, RefSheet!P:X, 7, FALSE)</f>
        <v>&lt;img src=https://www.oag.com/hubfs/Flourish/Airlines/RyanAir.jpg&gt;</v>
      </c>
      <c r="B8" s="19" t="s">
        <v>79</v>
      </c>
      <c r="C8" s="7">
        <v>455177.0</v>
      </c>
      <c r="D8" s="7">
        <v>500720.0</v>
      </c>
      <c r="E8" s="8">
        <f t="shared" si="1"/>
        <v>0.1000555828</v>
      </c>
      <c r="F8" s="31"/>
    </row>
    <row r="9">
      <c r="A9" s="20" t="str">
        <f>VLOOKUP(B9, RefSheet!P:X, 7, FALSE)</f>
        <v>&lt;img src=https://www.oag.com/hubfs/Flourish/Airlines/South%20African%20airways.png&gt;</v>
      </c>
      <c r="B9" s="19" t="s">
        <v>80</v>
      </c>
      <c r="C9" s="7">
        <v>315047.0</v>
      </c>
      <c r="D9" s="7">
        <v>393070.0</v>
      </c>
      <c r="E9" s="8">
        <f t="shared" si="1"/>
        <v>0.2476551118</v>
      </c>
      <c r="F9" s="31"/>
    </row>
    <row r="10">
      <c r="A10" s="20" t="str">
        <f>VLOOKUP(B10, RefSheet!P:X, 7, FALSE)</f>
        <v>&lt;img src=https://www.oag.com/hubfs/Flourish/Airlines/Turkish%20Airlines.png&gt;</v>
      </c>
      <c r="B10" s="19" t="s">
        <v>81</v>
      </c>
      <c r="C10" s="7">
        <v>314218.0</v>
      </c>
      <c r="D10" s="7">
        <v>354684.0</v>
      </c>
      <c r="E10" s="8">
        <f t="shared" si="1"/>
        <v>0.1287832015</v>
      </c>
      <c r="F10" s="31"/>
    </row>
    <row r="11">
      <c r="A11" s="20" t="str">
        <f>VLOOKUP(B11, RefSheet!P:X, 7, FALSE)</f>
        <v>&lt;img src=https://www.oag.com/hubfs/Flourish/Airlines/easyjet300x150.png&gt;</v>
      </c>
      <c r="B11" s="19" t="s">
        <v>82</v>
      </c>
      <c r="C11" s="7">
        <v>285255.0</v>
      </c>
      <c r="D11" s="7">
        <v>349943.0</v>
      </c>
      <c r="E11" s="8">
        <f t="shared" si="1"/>
        <v>0.2267725369</v>
      </c>
      <c r="F11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2" t="s">
        <v>83</v>
      </c>
      <c r="B1" s="32" t="s">
        <v>84</v>
      </c>
      <c r="C1" s="32" t="s">
        <v>85</v>
      </c>
      <c r="D1" s="32" t="s">
        <v>86</v>
      </c>
      <c r="E1" s="32" t="s">
        <v>87</v>
      </c>
      <c r="F1" s="32" t="s">
        <v>88</v>
      </c>
      <c r="G1" s="32" t="s">
        <v>89</v>
      </c>
      <c r="H1" s="33"/>
      <c r="I1" s="33"/>
      <c r="J1" s="32" t="s">
        <v>90</v>
      </c>
      <c r="K1" s="34" t="s">
        <v>91</v>
      </c>
      <c r="L1" s="33"/>
      <c r="M1" s="33"/>
      <c r="P1" s="14" t="s">
        <v>71</v>
      </c>
      <c r="Q1" s="14" t="s">
        <v>92</v>
      </c>
    </row>
    <row r="2">
      <c r="A2" s="33"/>
      <c r="B2" s="32" t="s">
        <v>93</v>
      </c>
      <c r="C2" s="35">
        <v>44.2303009</v>
      </c>
      <c r="D2" s="35">
        <v>-64.85610199</v>
      </c>
      <c r="E2" s="32" t="s">
        <v>94</v>
      </c>
      <c r="F2" s="32" t="s">
        <v>95</v>
      </c>
      <c r="G2" s="36" t="e">
        <v>#N/A</v>
      </c>
      <c r="H2" s="33"/>
      <c r="I2" s="33"/>
      <c r="J2" s="32" t="s">
        <v>96</v>
      </c>
      <c r="K2" s="34" t="s">
        <v>97</v>
      </c>
      <c r="L2" s="33"/>
      <c r="M2" s="33"/>
      <c r="P2" s="18" t="s">
        <v>98</v>
      </c>
      <c r="Q2" s="37" t="s">
        <v>99</v>
      </c>
      <c r="U2" s="18" t="str">
        <f t="shared" ref="U2:U34" si="1">CONCAT("&lt;img src=",Q2)</f>
        <v>&lt;img src=https://www.oag.com/hubfs/Flourish/Airlines/LATAM.png</v>
      </c>
      <c r="V2" s="18" t="str">
        <f t="shared" ref="V2:V33" si="2">CONCAT(U2,"&gt;")</f>
        <v>&lt;img src=https://www.oag.com/hubfs/Flourish/Airlines/LATAM.png&gt;</v>
      </c>
    </row>
    <row r="3">
      <c r="A3" s="32" t="s">
        <v>100</v>
      </c>
      <c r="B3" s="32" t="s">
        <v>101</v>
      </c>
      <c r="C3" s="35">
        <v>48.74610138</v>
      </c>
      <c r="D3" s="35">
        <v>-69.09719849</v>
      </c>
      <c r="E3" s="32" t="s">
        <v>94</v>
      </c>
      <c r="F3" s="32" t="s">
        <v>102</v>
      </c>
      <c r="G3" s="36" t="e">
        <v>#N/A</v>
      </c>
      <c r="H3" s="33"/>
      <c r="I3" s="33"/>
      <c r="J3" s="32" t="s">
        <v>103</v>
      </c>
      <c r="K3" s="34" t="s">
        <v>104</v>
      </c>
      <c r="L3" s="33"/>
      <c r="M3" s="33"/>
      <c r="P3" s="18" t="s">
        <v>105</v>
      </c>
      <c r="Q3" s="37" t="s">
        <v>106</v>
      </c>
      <c r="U3" s="18" t="str">
        <f t="shared" si="1"/>
        <v>&lt;img src=https://www.oag.com/hubfs/Flourish/Airlines/Avianca.png</v>
      </c>
      <c r="V3" s="18" t="str">
        <f t="shared" si="2"/>
        <v>&lt;img src=https://www.oag.com/hubfs/Flourish/Airlines/Avianca.png&gt;</v>
      </c>
    </row>
    <row r="4">
      <c r="A4" s="32" t="s">
        <v>100</v>
      </c>
      <c r="B4" s="32" t="s">
        <v>107</v>
      </c>
      <c r="C4" s="35">
        <v>49.21609879</v>
      </c>
      <c r="D4" s="35">
        <v>-122.7099991</v>
      </c>
      <c r="E4" s="32" t="s">
        <v>94</v>
      </c>
      <c r="F4" s="32" t="s">
        <v>108</v>
      </c>
      <c r="G4" s="36" t="e">
        <v>#N/A</v>
      </c>
      <c r="H4" s="33"/>
      <c r="I4" s="33"/>
      <c r="J4" s="32" t="s">
        <v>109</v>
      </c>
      <c r="K4" s="34" t="s">
        <v>110</v>
      </c>
      <c r="L4" s="33"/>
      <c r="M4" s="33"/>
      <c r="P4" s="18" t="s">
        <v>111</v>
      </c>
      <c r="Q4" s="37" t="s">
        <v>112</v>
      </c>
      <c r="U4" s="18" t="str">
        <f t="shared" si="1"/>
        <v>&lt;img src=https://www.oag.com/hubfs/Flourish/Airlines/Azul.png</v>
      </c>
      <c r="V4" s="18" t="str">
        <f t="shared" si="2"/>
        <v>&lt;img src=https://www.oag.com/hubfs/Flourish/Airlines/Azul.png&gt;</v>
      </c>
    </row>
    <row r="5">
      <c r="A5" s="32" t="s">
        <v>100</v>
      </c>
      <c r="B5" s="32" t="s">
        <v>113</v>
      </c>
      <c r="C5" s="35">
        <v>36.50360107</v>
      </c>
      <c r="D5" s="35">
        <v>2.814169884</v>
      </c>
      <c r="E5" s="32" t="s">
        <v>20</v>
      </c>
      <c r="F5" s="32" t="s">
        <v>114</v>
      </c>
      <c r="G5" s="36" t="e">
        <v>#N/A</v>
      </c>
      <c r="H5" s="33"/>
      <c r="I5" s="33"/>
      <c r="J5" s="32" t="s">
        <v>115</v>
      </c>
      <c r="K5" s="34" t="s">
        <v>116</v>
      </c>
      <c r="L5" s="33"/>
      <c r="M5" s="33"/>
      <c r="P5" s="14" t="s">
        <v>117</v>
      </c>
      <c r="Q5" s="37" t="s">
        <v>118</v>
      </c>
      <c r="U5" s="18" t="str">
        <f t="shared" si="1"/>
        <v>&lt;img src=https://www.oag.com/hubfs/Flourish/Airlines/GOL.png</v>
      </c>
      <c r="V5" s="18" t="str">
        <f t="shared" si="2"/>
        <v>&lt;img src=https://www.oag.com/hubfs/Flourish/Airlines/GOL.png&gt;</v>
      </c>
    </row>
    <row r="6">
      <c r="A6" s="32" t="s">
        <v>100</v>
      </c>
      <c r="B6" s="32" t="s">
        <v>119</v>
      </c>
      <c r="C6" s="35">
        <v>35.33250046</v>
      </c>
      <c r="D6" s="35">
        <v>4.206389904</v>
      </c>
      <c r="E6" s="32" t="s">
        <v>20</v>
      </c>
      <c r="F6" s="32" t="s">
        <v>120</v>
      </c>
      <c r="G6" s="36" t="e">
        <v>#N/A</v>
      </c>
      <c r="H6" s="33"/>
      <c r="I6" s="33"/>
      <c r="J6" s="32" t="s">
        <v>121</v>
      </c>
      <c r="K6" s="34" t="s">
        <v>122</v>
      </c>
      <c r="L6" s="33"/>
      <c r="M6" s="33"/>
      <c r="P6" s="18" t="s">
        <v>123</v>
      </c>
      <c r="Q6" s="37" t="s">
        <v>124</v>
      </c>
      <c r="U6" s="18" t="str">
        <f t="shared" si="1"/>
        <v>&lt;img src=https://www.oag.com/hubfs/Flourish/Airlines/VivaAerobus.png</v>
      </c>
      <c r="V6" s="18" t="str">
        <f t="shared" si="2"/>
        <v>&lt;img src=https://www.oag.com/hubfs/Flourish/Airlines/VivaAerobus.png&gt;</v>
      </c>
    </row>
    <row r="7">
      <c r="A7" s="32" t="s">
        <v>100</v>
      </c>
      <c r="B7" s="32" t="s">
        <v>125</v>
      </c>
      <c r="C7" s="35">
        <v>26.71010017</v>
      </c>
      <c r="D7" s="35">
        <v>0.285647005</v>
      </c>
      <c r="E7" s="32" t="s">
        <v>20</v>
      </c>
      <c r="F7" s="32" t="s">
        <v>126</v>
      </c>
      <c r="G7" s="36" t="e">
        <v>#N/A</v>
      </c>
      <c r="H7" s="33"/>
      <c r="I7" s="33"/>
      <c r="J7" s="32" t="s">
        <v>127</v>
      </c>
      <c r="K7" s="34" t="s">
        <v>128</v>
      </c>
      <c r="L7" s="33"/>
      <c r="M7" s="33"/>
      <c r="P7" s="18" t="s">
        <v>129</v>
      </c>
      <c r="Q7" s="37" t="s">
        <v>130</v>
      </c>
      <c r="U7" s="18" t="str">
        <f t="shared" si="1"/>
        <v>&lt;img src=https://www.oag.com/hubfs/Flourish/Airlines/Volaris.png</v>
      </c>
      <c r="V7" s="18" t="str">
        <f t="shared" si="2"/>
        <v>&lt;img src=https://www.oag.com/hubfs/Flourish/Airlines/Volaris.png&gt;</v>
      </c>
    </row>
    <row r="8">
      <c r="A8" s="32" t="s">
        <v>100</v>
      </c>
      <c r="B8" s="32" t="s">
        <v>131</v>
      </c>
      <c r="C8" s="35">
        <v>35.52539825</v>
      </c>
      <c r="D8" s="35">
        <v>2.878710032</v>
      </c>
      <c r="E8" s="32" t="s">
        <v>20</v>
      </c>
      <c r="F8" s="32" t="s">
        <v>132</v>
      </c>
      <c r="G8" s="36" t="e">
        <v>#N/A</v>
      </c>
      <c r="H8" s="33"/>
      <c r="I8" s="33"/>
      <c r="J8" s="32" t="s">
        <v>133</v>
      </c>
      <c r="K8" s="34" t="s">
        <v>134</v>
      </c>
      <c r="L8" s="33"/>
      <c r="M8" s="33"/>
      <c r="P8" s="18" t="s">
        <v>135</v>
      </c>
      <c r="Q8" s="37" t="s">
        <v>136</v>
      </c>
      <c r="U8" s="18" t="str">
        <f t="shared" si="1"/>
        <v>&lt;img src=https://www.oag.com/hubfs/Flourish/Airlines/Aeromexico.png</v>
      </c>
      <c r="V8" s="18" t="str">
        <f t="shared" si="2"/>
        <v>&lt;img src=https://www.oag.com/hubfs/Flourish/Airlines/Aeromexico.png&gt;</v>
      </c>
    </row>
    <row r="9">
      <c r="A9" s="32" t="s">
        <v>100</v>
      </c>
      <c r="B9" s="32" t="s">
        <v>137</v>
      </c>
      <c r="C9" s="35">
        <v>33.53590012</v>
      </c>
      <c r="D9" s="35">
        <v>-0.242353007</v>
      </c>
      <c r="E9" s="32" t="s">
        <v>20</v>
      </c>
      <c r="F9" s="32" t="s">
        <v>138</v>
      </c>
      <c r="G9" s="36" t="e">
        <v>#N/A</v>
      </c>
      <c r="H9" s="33"/>
      <c r="I9" s="33"/>
      <c r="J9" s="32" t="s">
        <v>139</v>
      </c>
      <c r="K9" s="34" t="s">
        <v>140</v>
      </c>
      <c r="L9" s="33"/>
      <c r="M9" s="33"/>
      <c r="P9" s="18" t="s">
        <v>141</v>
      </c>
      <c r="Q9" s="37" t="s">
        <v>142</v>
      </c>
      <c r="U9" s="18" t="str">
        <f t="shared" si="1"/>
        <v>&lt;img src=https://www.oag.com/hubfs/Flourish/Airlines/Copa.png</v>
      </c>
      <c r="V9" s="18" t="str">
        <f t="shared" si="2"/>
        <v>&lt;img src=https://www.oag.com/hubfs/Flourish/Airlines/Copa.png&gt;</v>
      </c>
    </row>
    <row r="10">
      <c r="A10" s="32" t="s">
        <v>100</v>
      </c>
      <c r="B10" s="32" t="s">
        <v>143</v>
      </c>
      <c r="C10" s="35">
        <v>35.75220108</v>
      </c>
      <c r="D10" s="35">
        <v>0.626272023</v>
      </c>
      <c r="E10" s="32" t="s">
        <v>20</v>
      </c>
      <c r="F10" s="32" t="s">
        <v>144</v>
      </c>
      <c r="G10" s="36" t="e">
        <v>#N/A</v>
      </c>
      <c r="H10" s="33"/>
      <c r="I10" s="33"/>
      <c r="J10" s="32" t="s">
        <v>145</v>
      </c>
      <c r="K10" s="34" t="s">
        <v>146</v>
      </c>
      <c r="L10" s="33"/>
      <c r="M10" s="33"/>
      <c r="P10" s="14" t="s">
        <v>147</v>
      </c>
      <c r="Q10" s="37" t="s">
        <v>148</v>
      </c>
      <c r="U10" s="18" t="str">
        <f t="shared" si="1"/>
        <v>&lt;img src=https://www.oag.com/hubfs/Flourish/Airlines/Aerolineas%20Argentinas.png</v>
      </c>
      <c r="V10" s="18" t="str">
        <f t="shared" si="2"/>
        <v>&lt;img src=https://www.oag.com/hubfs/Flourish/Airlines/Aerolineas%20Argentinas.png&gt;</v>
      </c>
    </row>
    <row r="11">
      <c r="A11" s="32" t="s">
        <v>100</v>
      </c>
      <c r="B11" s="32" t="s">
        <v>149</v>
      </c>
      <c r="C11" s="35">
        <v>35.73540115</v>
      </c>
      <c r="D11" s="35">
        <v>-0.805388987</v>
      </c>
      <c r="E11" s="32" t="s">
        <v>20</v>
      </c>
      <c r="F11" s="32" t="s">
        <v>150</v>
      </c>
      <c r="G11" s="36" t="e">
        <v>#N/A</v>
      </c>
      <c r="H11" s="33"/>
      <c r="I11" s="33"/>
      <c r="J11" s="32" t="s">
        <v>151</v>
      </c>
      <c r="K11" s="34" t="s">
        <v>152</v>
      </c>
      <c r="L11" s="33"/>
      <c r="M11" s="33"/>
      <c r="P11" s="18" t="s">
        <v>153</v>
      </c>
      <c r="Q11" s="37" t="s">
        <v>154</v>
      </c>
      <c r="U11" s="18" t="str">
        <f t="shared" si="1"/>
        <v>&lt;img src=https://www.oag.com/hubfs/Flourish/Airlines/American%20Airlines.png</v>
      </c>
      <c r="V11" s="18" t="str">
        <f t="shared" si="2"/>
        <v>&lt;img src=https://www.oag.com/hubfs/Flourish/Airlines/American%20Airlines.png&gt;</v>
      </c>
    </row>
    <row r="12">
      <c r="A12" s="32" t="s">
        <v>100</v>
      </c>
      <c r="B12" s="32" t="s">
        <v>155</v>
      </c>
      <c r="C12" s="35">
        <v>35.17179871</v>
      </c>
      <c r="D12" s="35">
        <v>-0.593275011</v>
      </c>
      <c r="E12" s="32" t="s">
        <v>20</v>
      </c>
      <c r="F12" s="32" t="s">
        <v>156</v>
      </c>
      <c r="G12" s="36" t="e">
        <v>#N/A</v>
      </c>
      <c r="H12" s="33"/>
      <c r="I12" s="33"/>
      <c r="J12" s="32" t="s">
        <v>157</v>
      </c>
      <c r="K12" s="34" t="s">
        <v>158</v>
      </c>
      <c r="L12" s="33"/>
      <c r="M12" s="33"/>
      <c r="P12" s="38" t="s">
        <v>159</v>
      </c>
      <c r="Q12" s="37" t="s">
        <v>160</v>
      </c>
      <c r="U12" s="18" t="str">
        <f t="shared" si="1"/>
        <v>&lt;img src=https://www.oag.com/hubfs/Flourish/Airlines/Jetsmart.png</v>
      </c>
      <c r="V12" s="18" t="str">
        <f t="shared" si="2"/>
        <v>&lt;img src=https://www.oag.com/hubfs/Flourish/Airlines/Jetsmart.png&gt;</v>
      </c>
    </row>
    <row r="13">
      <c r="A13" s="32" t="s">
        <v>100</v>
      </c>
      <c r="B13" s="32" t="s">
        <v>161</v>
      </c>
      <c r="C13" s="35">
        <v>10.08269978</v>
      </c>
      <c r="D13" s="35">
        <v>-2.507689953</v>
      </c>
      <c r="E13" s="32" t="s">
        <v>24</v>
      </c>
      <c r="F13" s="32" t="s">
        <v>162</v>
      </c>
      <c r="G13" s="36" t="e">
        <v>#N/A</v>
      </c>
      <c r="H13" s="33"/>
      <c r="I13" s="33"/>
      <c r="J13" s="32" t="s">
        <v>163</v>
      </c>
      <c r="K13" s="34" t="s">
        <v>164</v>
      </c>
      <c r="L13" s="33"/>
      <c r="M13" s="33"/>
      <c r="P13" s="25" t="s">
        <v>165</v>
      </c>
      <c r="Q13" s="37" t="s">
        <v>166</v>
      </c>
      <c r="U13" s="18" t="str">
        <f t="shared" si="1"/>
        <v>&lt;img src=https://www.oag.com/hubfs/Flourish/Airlines/Ryanair.png</v>
      </c>
      <c r="V13" s="18" t="str">
        <f t="shared" si="2"/>
        <v>&lt;img src=https://www.oag.com/hubfs/Flourish/Airlines/Ryanair.png&gt;</v>
      </c>
    </row>
    <row r="14">
      <c r="A14" s="32" t="s">
        <v>100</v>
      </c>
      <c r="B14" s="32" t="s">
        <v>167</v>
      </c>
      <c r="C14" s="35">
        <v>18.96870041</v>
      </c>
      <c r="D14" s="35">
        <v>12.86870003</v>
      </c>
      <c r="E14" s="32" t="s">
        <v>168</v>
      </c>
      <c r="F14" s="32" t="s">
        <v>169</v>
      </c>
      <c r="G14" s="36" t="e">
        <v>#N/A</v>
      </c>
      <c r="H14" s="33"/>
      <c r="I14" s="33"/>
      <c r="J14" s="32" t="s">
        <v>170</v>
      </c>
      <c r="K14" s="39" t="s">
        <v>171</v>
      </c>
      <c r="L14" s="33"/>
      <c r="M14" s="33"/>
      <c r="P14" s="25" t="s">
        <v>82</v>
      </c>
      <c r="Q14" s="40" t="s">
        <v>172</v>
      </c>
      <c r="U14" s="18" t="str">
        <f t="shared" si="1"/>
        <v>&lt;img src=https://www.oag.com/hubfs/Flourish/Airlines/easyjet300x150.png</v>
      </c>
      <c r="V14" s="18" t="str">
        <f t="shared" si="2"/>
        <v>&lt;img src=https://www.oag.com/hubfs/Flourish/Airlines/easyjet300x150.png&gt;</v>
      </c>
    </row>
    <row r="15">
      <c r="A15" s="32" t="s">
        <v>100</v>
      </c>
      <c r="B15" s="32" t="s">
        <v>173</v>
      </c>
      <c r="C15" s="35">
        <v>13.37290001</v>
      </c>
      <c r="D15" s="35">
        <v>12.6267004</v>
      </c>
      <c r="E15" s="32" t="s">
        <v>168</v>
      </c>
      <c r="F15" s="32" t="s">
        <v>174</v>
      </c>
      <c r="G15" s="36" t="e">
        <v>#N/A</v>
      </c>
      <c r="H15" s="33"/>
      <c r="I15" s="33"/>
      <c r="J15" s="32" t="s">
        <v>175</v>
      </c>
      <c r="K15" s="39" t="s">
        <v>176</v>
      </c>
      <c r="L15" s="33"/>
      <c r="M15" s="33"/>
      <c r="P15" s="25" t="s">
        <v>81</v>
      </c>
      <c r="Q15" s="37" t="s">
        <v>177</v>
      </c>
      <c r="U15" s="18" t="str">
        <f t="shared" si="1"/>
        <v>&lt;img src=https://www.oag.com/hubfs/Flourish/Airlines/Turkish%20Airlines.png</v>
      </c>
      <c r="V15" s="18" t="str">
        <f t="shared" si="2"/>
        <v>&lt;img src=https://www.oag.com/hubfs/Flourish/Airlines/Turkish%20Airlines.png&gt;</v>
      </c>
    </row>
    <row r="16">
      <c r="A16" s="32" t="s">
        <v>100</v>
      </c>
      <c r="B16" s="32" t="s">
        <v>178</v>
      </c>
      <c r="C16" s="35">
        <v>37.24539948</v>
      </c>
      <c r="D16" s="35">
        <v>9.791449547</v>
      </c>
      <c r="E16" s="32" t="s">
        <v>22</v>
      </c>
      <c r="F16" s="32" t="s">
        <v>179</v>
      </c>
      <c r="G16" s="36" t="e">
        <v>#N/A</v>
      </c>
      <c r="H16" s="33"/>
      <c r="I16" s="33"/>
      <c r="J16" s="32" t="s">
        <v>180</v>
      </c>
      <c r="K16" s="39" t="s">
        <v>181</v>
      </c>
      <c r="L16" s="33"/>
      <c r="M16" s="33"/>
      <c r="P16" s="25" t="s">
        <v>182</v>
      </c>
      <c r="Q16" s="37" t="s">
        <v>183</v>
      </c>
      <c r="U16" s="18" t="str">
        <f t="shared" si="1"/>
        <v>&lt;img src=https://www.oag.com/hubfs/Flourish/Airlines/Lufthansa.png</v>
      </c>
      <c r="V16" s="18" t="str">
        <f t="shared" si="2"/>
        <v>&lt;img src=https://www.oag.com/hubfs/Flourish/Airlines/Lufthansa.png&gt;</v>
      </c>
    </row>
    <row r="17">
      <c r="A17" s="32" t="s">
        <v>100</v>
      </c>
      <c r="B17" s="32" t="s">
        <v>184</v>
      </c>
      <c r="C17" s="35">
        <v>32.30619812</v>
      </c>
      <c r="D17" s="35">
        <v>10.38210011</v>
      </c>
      <c r="E17" s="32" t="s">
        <v>22</v>
      </c>
      <c r="F17" s="32" t="s">
        <v>185</v>
      </c>
      <c r="G17" s="36" t="e">
        <v>#N/A</v>
      </c>
      <c r="H17" s="33"/>
      <c r="I17" s="33"/>
      <c r="J17" s="32" t="s">
        <v>186</v>
      </c>
      <c r="K17" s="39" t="s">
        <v>187</v>
      </c>
      <c r="L17" s="33"/>
      <c r="M17" s="33"/>
      <c r="P17" s="25" t="s">
        <v>188</v>
      </c>
      <c r="Q17" s="37" t="s">
        <v>189</v>
      </c>
      <c r="U17" s="18" t="str">
        <f t="shared" si="1"/>
        <v>&lt;img src=https://www.oag.com/hubfs/Flourish/Airlines/Wizz%20Air.png</v>
      </c>
      <c r="V17" s="18" t="str">
        <f t="shared" si="2"/>
        <v>&lt;img src=https://www.oag.com/hubfs/Flourish/Airlines/Wizz%20Air.png&gt;</v>
      </c>
    </row>
    <row r="18">
      <c r="A18" s="32" t="s">
        <v>100</v>
      </c>
      <c r="B18" s="32" t="s">
        <v>190</v>
      </c>
      <c r="C18" s="35">
        <v>36.72129822</v>
      </c>
      <c r="D18" s="35">
        <v>9.943149567</v>
      </c>
      <c r="E18" s="32" t="s">
        <v>22</v>
      </c>
      <c r="F18" s="32" t="s">
        <v>191</v>
      </c>
      <c r="G18" s="36" t="e">
        <v>#N/A</v>
      </c>
      <c r="H18" s="33"/>
      <c r="I18" s="33"/>
      <c r="J18" s="32" t="s">
        <v>192</v>
      </c>
      <c r="K18" s="39" t="s">
        <v>193</v>
      </c>
      <c r="L18" s="33"/>
      <c r="M18" s="33"/>
      <c r="P18" s="25" t="s">
        <v>194</v>
      </c>
      <c r="Q18" s="37" t="s">
        <v>195</v>
      </c>
      <c r="U18" s="18" t="str">
        <f t="shared" si="1"/>
        <v>&lt;img src=https://www.oag.com/hubfs/Flourish/Airlines/BA.png</v>
      </c>
      <c r="V18" s="18" t="str">
        <f t="shared" si="2"/>
        <v>&lt;img src=https://www.oag.com/hubfs/Flourish/Airlines/BA.png&gt;</v>
      </c>
    </row>
    <row r="19">
      <c r="A19" s="32" t="s">
        <v>100</v>
      </c>
      <c r="B19" s="32" t="s">
        <v>196</v>
      </c>
      <c r="C19" s="35">
        <v>50.75859833</v>
      </c>
      <c r="D19" s="35">
        <v>4.768330097</v>
      </c>
      <c r="E19" s="32" t="s">
        <v>197</v>
      </c>
      <c r="F19" s="32" t="s">
        <v>198</v>
      </c>
      <c r="G19" s="36" t="e">
        <v>#N/A</v>
      </c>
      <c r="H19" s="33"/>
      <c r="I19" s="33"/>
      <c r="J19" s="32" t="s">
        <v>199</v>
      </c>
      <c r="K19" s="39" t="s">
        <v>200</v>
      </c>
      <c r="L19" s="33"/>
      <c r="M19" s="33"/>
      <c r="P19" s="25" t="s">
        <v>201</v>
      </c>
      <c r="Q19" s="37" t="s">
        <v>202</v>
      </c>
      <c r="U19" s="18" t="str">
        <f t="shared" si="1"/>
        <v>&lt;img src=https://www.oag.com/hubfs/Flourish/Airlines/Vueling.png</v>
      </c>
      <c r="V19" s="18" t="str">
        <f t="shared" si="2"/>
        <v>&lt;img src=https://www.oag.com/hubfs/Flourish/Airlines/Vueling.png&gt;</v>
      </c>
    </row>
    <row r="20">
      <c r="A20" s="32" t="s">
        <v>100</v>
      </c>
      <c r="B20" s="32" t="s">
        <v>203</v>
      </c>
      <c r="C20" s="35">
        <v>51.168301</v>
      </c>
      <c r="D20" s="35">
        <v>5.47</v>
      </c>
      <c r="E20" s="32" t="s">
        <v>197</v>
      </c>
      <c r="F20" s="32" t="s">
        <v>204</v>
      </c>
      <c r="G20" s="36" t="e">
        <v>#N/A</v>
      </c>
      <c r="H20" s="33"/>
      <c r="I20" s="33"/>
      <c r="J20" s="32" t="s">
        <v>205</v>
      </c>
      <c r="K20" s="39" t="s">
        <v>206</v>
      </c>
      <c r="L20" s="33"/>
      <c r="M20" s="33"/>
      <c r="P20" s="25" t="s">
        <v>207</v>
      </c>
      <c r="Q20" s="37" t="s">
        <v>208</v>
      </c>
      <c r="U20" s="18" t="str">
        <f t="shared" si="1"/>
        <v>&lt;img src=https://www.oag.com/hubfs/Flourish/Airlines/Air%20France.png</v>
      </c>
      <c r="V20" s="18" t="str">
        <f t="shared" si="2"/>
        <v>&lt;img src=https://www.oag.com/hubfs/Flourish/Airlines/Air%20France.png&gt;</v>
      </c>
    </row>
    <row r="21">
      <c r="A21" s="32" t="s">
        <v>100</v>
      </c>
      <c r="B21" s="32" t="s">
        <v>209</v>
      </c>
      <c r="C21" s="35">
        <v>49.89170074</v>
      </c>
      <c r="D21" s="35">
        <v>5.223889828</v>
      </c>
      <c r="E21" s="32" t="s">
        <v>197</v>
      </c>
      <c r="F21" s="32" t="s">
        <v>210</v>
      </c>
      <c r="G21" s="36" t="e">
        <v>#N/A</v>
      </c>
      <c r="H21" s="33"/>
      <c r="I21" s="33"/>
      <c r="J21" s="32" t="s">
        <v>211</v>
      </c>
      <c r="K21" s="39" t="s">
        <v>212</v>
      </c>
      <c r="L21" s="33"/>
      <c r="M21" s="33"/>
      <c r="P21" s="25" t="s">
        <v>213</v>
      </c>
      <c r="Q21" s="37" t="s">
        <v>214</v>
      </c>
      <c r="U21" s="18" t="str">
        <f t="shared" si="1"/>
        <v>&lt;img src=https://www.oag.com/hubfs/Flourish/Airlines/Pegasus.png</v>
      </c>
      <c r="V21" s="18" t="str">
        <f t="shared" si="2"/>
        <v>&lt;img src=https://www.oag.com/hubfs/Flourish/Airlines/Pegasus.png&gt;</v>
      </c>
    </row>
    <row r="22">
      <c r="A22" s="32" t="s">
        <v>100</v>
      </c>
      <c r="B22" s="32" t="s">
        <v>215</v>
      </c>
      <c r="C22" s="35">
        <v>50.57580185</v>
      </c>
      <c r="D22" s="35">
        <v>3.83100009</v>
      </c>
      <c r="E22" s="32" t="s">
        <v>197</v>
      </c>
      <c r="F22" s="32" t="s">
        <v>216</v>
      </c>
      <c r="G22" s="36" t="e">
        <v>#N/A</v>
      </c>
      <c r="H22" s="33"/>
      <c r="I22" s="33"/>
      <c r="J22" s="32" t="s">
        <v>217</v>
      </c>
      <c r="K22" s="39" t="s">
        <v>218</v>
      </c>
      <c r="L22" s="33"/>
      <c r="M22" s="33"/>
      <c r="P22" s="25" t="s">
        <v>219</v>
      </c>
      <c r="Q22" s="37" t="s">
        <v>220</v>
      </c>
      <c r="U22" s="18" t="str">
        <f t="shared" si="1"/>
        <v>&lt;img src=https://www.oag.com/hubfs/Flourish/Airlines/SAS.png</v>
      </c>
      <c r="V22" s="18" t="str">
        <f t="shared" si="2"/>
        <v>&lt;img src=https://www.oag.com/hubfs/Flourish/Airlines/SAS.png&gt;</v>
      </c>
    </row>
    <row r="23">
      <c r="A23" s="32" t="s">
        <v>100</v>
      </c>
      <c r="B23" s="32" t="s">
        <v>221</v>
      </c>
      <c r="C23" s="35">
        <v>51.09030151</v>
      </c>
      <c r="D23" s="35">
        <v>2.652780056</v>
      </c>
      <c r="E23" s="32" t="s">
        <v>197</v>
      </c>
      <c r="F23" s="32" t="s">
        <v>222</v>
      </c>
      <c r="G23" s="36" t="e">
        <v>#N/A</v>
      </c>
      <c r="H23" s="33"/>
      <c r="I23" s="33"/>
      <c r="J23" s="41" t="s">
        <v>223</v>
      </c>
      <c r="K23" s="32" t="s">
        <v>224</v>
      </c>
      <c r="L23" s="33"/>
      <c r="M23" s="33"/>
      <c r="P23" s="42" t="s">
        <v>73</v>
      </c>
      <c r="Q23" s="37" t="s">
        <v>225</v>
      </c>
      <c r="U23" s="18" t="str">
        <f t="shared" si="1"/>
        <v>&lt;img src=https://www.oag.com/hubfs/Flourish/Airlines/Ethiopian.jpg</v>
      </c>
      <c r="V23" s="18" t="str">
        <f t="shared" si="2"/>
        <v>&lt;img src=https://www.oag.com/hubfs/Flourish/Airlines/Ethiopian.jpg&gt;</v>
      </c>
    </row>
    <row r="24">
      <c r="A24" s="32" t="s">
        <v>100</v>
      </c>
      <c r="B24" s="32" t="s">
        <v>226</v>
      </c>
      <c r="C24" s="35">
        <v>50.24330139</v>
      </c>
      <c r="D24" s="35">
        <v>4.645830154</v>
      </c>
      <c r="E24" s="32" t="s">
        <v>197</v>
      </c>
      <c r="F24" s="32" t="s">
        <v>227</v>
      </c>
      <c r="G24" s="36" t="e">
        <v>#N/A</v>
      </c>
      <c r="H24" s="33"/>
      <c r="I24" s="33"/>
      <c r="J24" s="41" t="s">
        <v>228</v>
      </c>
      <c r="K24" s="32" t="s">
        <v>229</v>
      </c>
      <c r="L24" s="33"/>
      <c r="M24" s="33"/>
      <c r="P24" s="42" t="s">
        <v>74</v>
      </c>
      <c r="Q24" s="37" t="s">
        <v>230</v>
      </c>
      <c r="U24" s="18" t="str">
        <f t="shared" si="1"/>
        <v>&lt;img src=https://www.oag.com/hubfs/Flourish/Airlines/SafAir.jpg</v>
      </c>
      <c r="V24" s="18" t="str">
        <f t="shared" si="2"/>
        <v>&lt;img src=https://www.oag.com/hubfs/Flourish/Airlines/SafAir.jpg&gt;</v>
      </c>
    </row>
    <row r="25">
      <c r="A25" s="32" t="s">
        <v>100</v>
      </c>
      <c r="B25" s="32" t="s">
        <v>231</v>
      </c>
      <c r="C25" s="35">
        <v>50.94749832</v>
      </c>
      <c r="D25" s="35">
        <v>5.590559959</v>
      </c>
      <c r="E25" s="32" t="s">
        <v>197</v>
      </c>
      <c r="F25" s="32" t="s">
        <v>232</v>
      </c>
      <c r="G25" s="36" t="e">
        <v>#N/A</v>
      </c>
      <c r="H25" s="33"/>
      <c r="I25" s="33"/>
      <c r="J25" s="41" t="s">
        <v>233</v>
      </c>
      <c r="K25" s="32" t="s">
        <v>234</v>
      </c>
      <c r="L25" s="33"/>
      <c r="M25" s="33"/>
      <c r="P25" s="42" t="s">
        <v>75</v>
      </c>
      <c r="Q25" s="37" t="s">
        <v>235</v>
      </c>
      <c r="U25" s="18" t="str">
        <f t="shared" si="1"/>
        <v>&lt;img src=https://www.oag.com/hubfs/Flourish/Airlines/egypt%20air.jpg</v>
      </c>
      <c r="V25" s="18" t="str">
        <f t="shared" si="2"/>
        <v>&lt;img src=https://www.oag.com/hubfs/Flourish/Airlines/egypt%20air.jpg&gt;</v>
      </c>
    </row>
    <row r="26">
      <c r="A26" s="32" t="s">
        <v>100</v>
      </c>
      <c r="B26" s="32" t="s">
        <v>236</v>
      </c>
      <c r="C26" s="35">
        <v>50.79190063</v>
      </c>
      <c r="D26" s="35">
        <v>5.20167017</v>
      </c>
      <c r="E26" s="32" t="s">
        <v>197</v>
      </c>
      <c r="F26" s="32" t="s">
        <v>237</v>
      </c>
      <c r="G26" s="36" t="e">
        <v>#N/A</v>
      </c>
      <c r="H26" s="33"/>
      <c r="I26" s="33"/>
      <c r="J26" s="41" t="s">
        <v>238</v>
      </c>
      <c r="K26" s="32" t="s">
        <v>239</v>
      </c>
      <c r="L26" s="33"/>
      <c r="M26" s="33"/>
      <c r="P26" s="42" t="s">
        <v>76</v>
      </c>
      <c r="Q26" s="37" t="s">
        <v>240</v>
      </c>
      <c r="U26" s="18" t="str">
        <f t="shared" si="1"/>
        <v>&lt;img src=https://www.oag.com/hubfs/Flourish/Airlines/Royal%20Air%20Maroc.jpg</v>
      </c>
      <c r="V26" s="18" t="str">
        <f t="shared" si="2"/>
        <v>&lt;img src=https://www.oag.com/hubfs/Flourish/Airlines/Royal%20Air%20Maroc.jpg&gt;</v>
      </c>
    </row>
    <row r="27">
      <c r="A27" s="32" t="s">
        <v>100</v>
      </c>
      <c r="B27" s="32" t="s">
        <v>241</v>
      </c>
      <c r="C27" s="35">
        <v>50.03440094</v>
      </c>
      <c r="D27" s="35">
        <v>5.440810204</v>
      </c>
      <c r="E27" s="32" t="s">
        <v>197</v>
      </c>
      <c r="F27" s="32" t="s">
        <v>242</v>
      </c>
      <c r="G27" s="36" t="e">
        <v>#N/A</v>
      </c>
      <c r="H27" s="33"/>
      <c r="I27" s="33"/>
      <c r="J27" s="41" t="s">
        <v>243</v>
      </c>
      <c r="K27" s="32" t="s">
        <v>244</v>
      </c>
      <c r="L27" s="33"/>
      <c r="M27" s="33"/>
      <c r="P27" s="42" t="s">
        <v>77</v>
      </c>
      <c r="Q27" s="37" t="s">
        <v>245</v>
      </c>
      <c r="U27" s="18" t="str">
        <f t="shared" si="1"/>
        <v>&lt;img src=https://www.oag.com/hubfs/Flourish/Airlines/Air%20Algerie.jpg</v>
      </c>
      <c r="V27" s="18" t="str">
        <f t="shared" si="2"/>
        <v>&lt;img src=https://www.oag.com/hubfs/Flourish/Airlines/Air%20Algerie.jpg&gt;</v>
      </c>
    </row>
    <row r="28">
      <c r="A28" s="32" t="s">
        <v>100</v>
      </c>
      <c r="B28" s="32" t="s">
        <v>246</v>
      </c>
      <c r="C28" s="35">
        <v>51.14419937</v>
      </c>
      <c r="D28" s="35">
        <v>3.47555995</v>
      </c>
      <c r="E28" s="32" t="s">
        <v>197</v>
      </c>
      <c r="F28" s="32" t="s">
        <v>247</v>
      </c>
      <c r="G28" s="36" t="e">
        <v>#N/A</v>
      </c>
      <c r="H28" s="33"/>
      <c r="I28" s="33"/>
      <c r="J28" s="41" t="s">
        <v>248</v>
      </c>
      <c r="K28" s="32" t="s">
        <v>249</v>
      </c>
      <c r="L28" s="33"/>
      <c r="M28" s="33"/>
      <c r="P28" s="42" t="s">
        <v>78</v>
      </c>
      <c r="Q28" s="37" t="s">
        <v>250</v>
      </c>
      <c r="U28" s="18" t="str">
        <f t="shared" si="1"/>
        <v>&lt;img src=https://www.oag.com/hubfs/Flourish/Airlines/Airlink.jpg</v>
      </c>
      <c r="V28" s="18" t="str">
        <f t="shared" si="2"/>
        <v>&lt;img src=https://www.oag.com/hubfs/Flourish/Airlines/Airlink.jpg&gt;</v>
      </c>
    </row>
    <row r="29">
      <c r="A29" s="32" t="s">
        <v>100</v>
      </c>
      <c r="B29" s="32" t="s">
        <v>251</v>
      </c>
      <c r="C29" s="35">
        <v>51.39479828</v>
      </c>
      <c r="D29" s="35">
        <v>4.960189819</v>
      </c>
      <c r="E29" s="32" t="s">
        <v>197</v>
      </c>
      <c r="F29" s="32" t="s">
        <v>252</v>
      </c>
      <c r="G29" s="36" t="e">
        <v>#N/A</v>
      </c>
      <c r="H29" s="33"/>
      <c r="I29" s="33"/>
      <c r="J29" s="41" t="s">
        <v>253</v>
      </c>
      <c r="K29" s="32" t="s">
        <v>254</v>
      </c>
      <c r="L29" s="33"/>
      <c r="M29" s="33"/>
      <c r="P29" s="42" t="s">
        <v>255</v>
      </c>
      <c r="Q29" s="37" t="s">
        <v>256</v>
      </c>
      <c r="U29" s="18" t="str">
        <f t="shared" si="1"/>
        <v>&lt;img src=https://www.oag.com/hubfs/Flourish/Airlines/Kenya%20Airways.jpg</v>
      </c>
      <c r="V29" s="18" t="str">
        <f t="shared" si="2"/>
        <v>&lt;img src=https://www.oag.com/hubfs/Flourish/Airlines/Kenya%20Airways.jpg&gt;</v>
      </c>
    </row>
    <row r="30">
      <c r="A30" s="32" t="s">
        <v>100</v>
      </c>
      <c r="B30" s="32" t="s">
        <v>257</v>
      </c>
      <c r="C30" s="35">
        <v>51.264702</v>
      </c>
      <c r="D30" s="35">
        <v>4.75333</v>
      </c>
      <c r="E30" s="32" t="s">
        <v>197</v>
      </c>
      <c r="F30" s="32" t="s">
        <v>258</v>
      </c>
      <c r="G30" s="36" t="e">
        <v>#N/A</v>
      </c>
      <c r="H30" s="33"/>
      <c r="I30" s="33"/>
      <c r="J30" s="41" t="s">
        <v>259</v>
      </c>
      <c r="K30" s="32" t="s">
        <v>260</v>
      </c>
      <c r="L30" s="33"/>
      <c r="M30" s="33"/>
      <c r="P30" s="42" t="s">
        <v>79</v>
      </c>
      <c r="Q30" s="37" t="s">
        <v>261</v>
      </c>
      <c r="U30" s="18" t="str">
        <f t="shared" si="1"/>
        <v>&lt;img src=https://www.oag.com/hubfs/Flourish/Airlines/RyanAir.jpg</v>
      </c>
      <c r="V30" s="18" t="str">
        <f t="shared" si="2"/>
        <v>&lt;img src=https://www.oag.com/hubfs/Flourish/Airlines/RyanAir.jpg&gt;</v>
      </c>
    </row>
    <row r="31">
      <c r="A31" s="32" t="s">
        <v>100</v>
      </c>
      <c r="B31" s="32" t="s">
        <v>262</v>
      </c>
      <c r="C31" s="35">
        <v>51.19361115</v>
      </c>
      <c r="D31" s="35">
        <v>14.51972198</v>
      </c>
      <c r="E31" s="32" t="s">
        <v>109</v>
      </c>
      <c r="F31" s="32" t="s">
        <v>263</v>
      </c>
      <c r="G31" s="39" t="s">
        <v>110</v>
      </c>
      <c r="H31" s="33"/>
      <c r="I31" s="33"/>
      <c r="J31" s="43" t="s">
        <v>264</v>
      </c>
      <c r="K31" s="44" t="s">
        <v>265</v>
      </c>
      <c r="L31" s="33"/>
      <c r="M31" s="33"/>
      <c r="P31" s="42" t="s">
        <v>266</v>
      </c>
      <c r="Q31" s="37" t="s">
        <v>267</v>
      </c>
      <c r="U31" s="18" t="str">
        <f t="shared" si="1"/>
        <v>&lt;img src=https://www.oag.com/hubfs/Flourish/Airlines/Emirates.jpg</v>
      </c>
      <c r="V31" s="18" t="str">
        <f t="shared" si="2"/>
        <v>&lt;img src=https://www.oag.com/hubfs/Flourish/Airlines/Emirates.jpg&gt;</v>
      </c>
    </row>
    <row r="32">
      <c r="A32" s="32" t="s">
        <v>100</v>
      </c>
      <c r="B32" s="32" t="s">
        <v>268</v>
      </c>
      <c r="C32" s="35">
        <v>51.83169354</v>
      </c>
      <c r="D32" s="35">
        <v>12.19096184</v>
      </c>
      <c r="E32" s="32" t="s">
        <v>109</v>
      </c>
      <c r="F32" s="32" t="s">
        <v>269</v>
      </c>
      <c r="G32" s="39" t="s">
        <v>110</v>
      </c>
      <c r="H32" s="33"/>
      <c r="I32" s="33"/>
      <c r="J32" s="43" t="s">
        <v>270</v>
      </c>
      <c r="K32" s="45" t="s">
        <v>271</v>
      </c>
      <c r="L32" s="33"/>
      <c r="M32" s="33"/>
      <c r="P32" s="14" t="s">
        <v>272</v>
      </c>
      <c r="Q32" s="46" t="s">
        <v>273</v>
      </c>
      <c r="U32" s="18" t="str">
        <f t="shared" si="1"/>
        <v>&lt;img src=https://www.oag.com/hubfs/Flourish/Air%20Peace.jpg</v>
      </c>
      <c r="V32" s="18" t="str">
        <f t="shared" si="2"/>
        <v>&lt;img src=https://www.oag.com/hubfs/Flourish/Air%20Peace.jpg&gt;</v>
      </c>
    </row>
    <row r="33">
      <c r="A33" s="32" t="s">
        <v>100</v>
      </c>
      <c r="B33" s="32" t="s">
        <v>274</v>
      </c>
      <c r="C33" s="35">
        <v>52.195856</v>
      </c>
      <c r="D33" s="35">
        <v>14.58753</v>
      </c>
      <c r="E33" s="32" t="s">
        <v>109</v>
      </c>
      <c r="F33" s="32" t="s">
        <v>275</v>
      </c>
      <c r="G33" s="39" t="s">
        <v>110</v>
      </c>
      <c r="H33" s="33"/>
      <c r="I33" s="33"/>
      <c r="J33" s="43" t="s">
        <v>63</v>
      </c>
      <c r="K33" s="45" t="s">
        <v>276</v>
      </c>
      <c r="L33" s="33"/>
      <c r="M33" s="33"/>
      <c r="P33" s="14" t="s">
        <v>80</v>
      </c>
      <c r="Q33" s="37" t="s">
        <v>277</v>
      </c>
      <c r="U33" s="18" t="str">
        <f t="shared" si="1"/>
        <v>&lt;img src=https://www.oag.com/hubfs/Flourish/Airlines/South%20African%20airways.png</v>
      </c>
      <c r="V33" s="18" t="str">
        <f t="shared" si="2"/>
        <v>&lt;img src=https://www.oag.com/hubfs/Flourish/Airlines/South%20African%20airways.png&gt;</v>
      </c>
    </row>
    <row r="34">
      <c r="A34" s="32" t="s">
        <v>100</v>
      </c>
      <c r="B34" s="32" t="s">
        <v>278</v>
      </c>
      <c r="C34" s="35">
        <v>51.30805588</v>
      </c>
      <c r="D34" s="35">
        <v>13.5555563</v>
      </c>
      <c r="E34" s="32" t="s">
        <v>109</v>
      </c>
      <c r="F34" s="32" t="s">
        <v>279</v>
      </c>
      <c r="G34" s="39" t="s">
        <v>110</v>
      </c>
      <c r="H34" s="33"/>
      <c r="I34" s="33"/>
      <c r="J34" s="43" t="s">
        <v>280</v>
      </c>
      <c r="K34" s="45" t="s">
        <v>281</v>
      </c>
      <c r="L34" s="33"/>
      <c r="M34" s="33"/>
      <c r="U34" s="18" t="str">
        <f t="shared" si="1"/>
        <v>&lt;img src=</v>
      </c>
    </row>
    <row r="35">
      <c r="A35" s="32" t="s">
        <v>100</v>
      </c>
      <c r="B35" s="32" t="s">
        <v>282</v>
      </c>
      <c r="C35" s="35">
        <v>51.3630556</v>
      </c>
      <c r="D35" s="35">
        <v>11.9408333</v>
      </c>
      <c r="E35" s="32" t="s">
        <v>109</v>
      </c>
      <c r="F35" s="32" t="s">
        <v>283</v>
      </c>
      <c r="G35" s="39" t="s">
        <v>110</v>
      </c>
      <c r="H35" s="33"/>
      <c r="I35" s="33"/>
      <c r="J35" s="43" t="s">
        <v>284</v>
      </c>
      <c r="K35" s="45" t="s">
        <v>285</v>
      </c>
      <c r="L35" s="33"/>
      <c r="M35" s="33"/>
    </row>
    <row r="36">
      <c r="A36" s="32" t="s">
        <v>100</v>
      </c>
      <c r="B36" s="32" t="s">
        <v>286</v>
      </c>
      <c r="C36" s="35">
        <v>51.552223</v>
      </c>
      <c r="D36" s="35">
        <v>12.053889</v>
      </c>
      <c r="E36" s="32" t="s">
        <v>109</v>
      </c>
      <c r="F36" s="32" t="s">
        <v>287</v>
      </c>
      <c r="G36" s="39" t="s">
        <v>110</v>
      </c>
      <c r="H36" s="33"/>
      <c r="I36" s="33"/>
      <c r="J36" s="47" t="s">
        <v>288</v>
      </c>
      <c r="K36" s="48" t="s">
        <v>289</v>
      </c>
      <c r="L36" s="33"/>
      <c r="M36" s="33"/>
    </row>
    <row r="37">
      <c r="A37" s="32" t="s">
        <v>100</v>
      </c>
      <c r="B37" s="32" t="s">
        <v>290</v>
      </c>
      <c r="C37" s="35">
        <v>51.29360962</v>
      </c>
      <c r="D37" s="35">
        <v>13.35611057</v>
      </c>
      <c r="E37" s="32" t="s">
        <v>109</v>
      </c>
      <c r="F37" s="32" t="s">
        <v>291</v>
      </c>
      <c r="G37" s="39" t="s">
        <v>110</v>
      </c>
      <c r="H37" s="33"/>
      <c r="I37" s="33"/>
      <c r="J37" s="47" t="s">
        <v>292</v>
      </c>
      <c r="K37" s="48" t="s">
        <v>293</v>
      </c>
      <c r="L37" s="33"/>
      <c r="M37" s="33"/>
    </row>
    <row r="38">
      <c r="A38" s="32" t="s">
        <v>100</v>
      </c>
      <c r="B38" s="32" t="s">
        <v>294</v>
      </c>
      <c r="C38" s="35">
        <v>53.30638886</v>
      </c>
      <c r="D38" s="35">
        <v>12.75222206</v>
      </c>
      <c r="E38" s="32" t="s">
        <v>109</v>
      </c>
      <c r="F38" s="32" t="s">
        <v>295</v>
      </c>
      <c r="G38" s="39" t="s">
        <v>110</v>
      </c>
      <c r="H38" s="33"/>
      <c r="I38" s="33"/>
      <c r="J38" s="47" t="s">
        <v>296</v>
      </c>
      <c r="K38" s="48" t="s">
        <v>297</v>
      </c>
      <c r="L38" s="33"/>
      <c r="M38" s="33"/>
    </row>
    <row r="39">
      <c r="A39" s="32" t="s">
        <v>100</v>
      </c>
      <c r="B39" s="32" t="s">
        <v>298</v>
      </c>
      <c r="C39" s="35">
        <v>52.58055496</v>
      </c>
      <c r="D39" s="35">
        <v>13.91666698</v>
      </c>
      <c r="E39" s="32" t="s">
        <v>109</v>
      </c>
      <c r="F39" s="32" t="s">
        <v>299</v>
      </c>
      <c r="G39" s="39" t="s">
        <v>110</v>
      </c>
      <c r="H39" s="33"/>
      <c r="I39" s="33"/>
      <c r="J39" s="47" t="s">
        <v>300</v>
      </c>
      <c r="K39" s="48" t="s">
        <v>301</v>
      </c>
      <c r="L39" s="33"/>
      <c r="M39" s="33"/>
    </row>
    <row r="40">
      <c r="A40" s="32" t="s">
        <v>100</v>
      </c>
      <c r="B40" s="32" t="s">
        <v>302</v>
      </c>
      <c r="C40" s="35">
        <v>52.20360947</v>
      </c>
      <c r="D40" s="35">
        <v>13.15638924</v>
      </c>
      <c r="E40" s="32" t="s">
        <v>109</v>
      </c>
      <c r="F40" s="32" t="s">
        <v>303</v>
      </c>
      <c r="G40" s="39" t="s">
        <v>110</v>
      </c>
      <c r="H40" s="33"/>
      <c r="I40" s="33"/>
      <c r="J40" s="47" t="s">
        <v>186</v>
      </c>
      <c r="K40" s="48" t="s">
        <v>304</v>
      </c>
      <c r="L40" s="33"/>
      <c r="M40" s="33"/>
    </row>
    <row r="41">
      <c r="A41" s="32" t="s">
        <v>100</v>
      </c>
      <c r="B41" s="32" t="s">
        <v>305</v>
      </c>
      <c r="C41" s="35">
        <v>50.91527939</v>
      </c>
      <c r="D41" s="35">
        <v>11.71444416</v>
      </c>
      <c r="E41" s="32" t="s">
        <v>109</v>
      </c>
      <c r="F41" s="32" t="s">
        <v>306</v>
      </c>
      <c r="G41" s="39" t="s">
        <v>110</v>
      </c>
      <c r="H41" s="33"/>
      <c r="I41" s="33"/>
      <c r="J41" s="47" t="s">
        <v>307</v>
      </c>
      <c r="K41" s="48" t="s">
        <v>308</v>
      </c>
      <c r="L41" s="33"/>
      <c r="M41" s="33"/>
    </row>
    <row r="42">
      <c r="A42" s="32" t="s">
        <v>100</v>
      </c>
      <c r="B42" s="32" t="s">
        <v>309</v>
      </c>
      <c r="C42" s="35">
        <v>52.91888809</v>
      </c>
      <c r="D42" s="35">
        <v>12.42527771</v>
      </c>
      <c r="E42" s="32" t="s">
        <v>109</v>
      </c>
      <c r="F42" s="32" t="s">
        <v>310</v>
      </c>
      <c r="G42" s="39" t="s">
        <v>110</v>
      </c>
      <c r="H42" s="33"/>
      <c r="I42" s="33"/>
      <c r="J42" s="47" t="s">
        <v>311</v>
      </c>
      <c r="K42" s="48" t="s">
        <v>312</v>
      </c>
      <c r="L42" s="33"/>
      <c r="M42" s="33"/>
    </row>
    <row r="43">
      <c r="A43" s="32" t="s">
        <v>100</v>
      </c>
      <c r="B43" s="32" t="s">
        <v>313</v>
      </c>
      <c r="C43" s="35">
        <v>52.073612</v>
      </c>
      <c r="D43" s="35">
        <v>11.626389</v>
      </c>
      <c r="E43" s="32" t="s">
        <v>109</v>
      </c>
      <c r="F43" s="32" t="s">
        <v>314</v>
      </c>
      <c r="G43" s="39" t="s">
        <v>110</v>
      </c>
      <c r="H43" s="33"/>
      <c r="I43" s="33"/>
      <c r="J43" s="47" t="s">
        <v>315</v>
      </c>
      <c r="K43" s="48" t="s">
        <v>316</v>
      </c>
      <c r="L43" s="33"/>
      <c r="M43" s="33"/>
    </row>
    <row r="44">
      <c r="A44" s="32" t="s">
        <v>100</v>
      </c>
      <c r="B44" s="32" t="s">
        <v>317</v>
      </c>
      <c r="C44" s="35">
        <v>51.36333466</v>
      </c>
      <c r="D44" s="35">
        <v>14.94999981</v>
      </c>
      <c r="E44" s="32" t="s">
        <v>109</v>
      </c>
      <c r="F44" s="32" t="s">
        <v>318</v>
      </c>
      <c r="G44" s="39" t="s">
        <v>110</v>
      </c>
      <c r="H44" s="33"/>
      <c r="I44" s="33"/>
      <c r="J44" s="47" t="s">
        <v>319</v>
      </c>
      <c r="K44" s="48" t="s">
        <v>320</v>
      </c>
      <c r="L44" s="33"/>
      <c r="M44" s="33"/>
    </row>
    <row r="45">
      <c r="A45" s="32" t="s">
        <v>100</v>
      </c>
      <c r="B45" s="32" t="s">
        <v>321</v>
      </c>
      <c r="C45" s="35">
        <v>53.83277893</v>
      </c>
      <c r="D45" s="35">
        <v>13.66861057</v>
      </c>
      <c r="E45" s="32" t="s">
        <v>109</v>
      </c>
      <c r="F45" s="32" t="s">
        <v>322</v>
      </c>
      <c r="G45" s="39" t="s">
        <v>110</v>
      </c>
      <c r="H45" s="33"/>
      <c r="I45" s="33"/>
      <c r="J45" s="47" t="s">
        <v>323</v>
      </c>
      <c r="K45" s="48" t="s">
        <v>324</v>
      </c>
      <c r="L45" s="33"/>
      <c r="M45" s="33"/>
    </row>
    <row r="46">
      <c r="A46" s="32" t="s">
        <v>100</v>
      </c>
      <c r="B46" s="32" t="s">
        <v>325</v>
      </c>
      <c r="C46" s="35">
        <v>51.889442</v>
      </c>
      <c r="D46" s="35">
        <v>14.531944</v>
      </c>
      <c r="E46" s="32" t="s">
        <v>109</v>
      </c>
      <c r="F46" s="32" t="s">
        <v>326</v>
      </c>
      <c r="G46" s="39" t="s">
        <v>110</v>
      </c>
      <c r="H46" s="33"/>
      <c r="I46" s="33"/>
      <c r="J46" s="47" t="s">
        <v>327</v>
      </c>
      <c r="K46" s="48" t="s">
        <v>328</v>
      </c>
      <c r="L46" s="33"/>
      <c r="M46" s="33"/>
    </row>
    <row r="47">
      <c r="A47" s="32" t="s">
        <v>100</v>
      </c>
      <c r="B47" s="32" t="s">
        <v>329</v>
      </c>
      <c r="C47" s="35">
        <v>51.29694366</v>
      </c>
      <c r="D47" s="35">
        <v>14.12749958</v>
      </c>
      <c r="E47" s="32" t="s">
        <v>109</v>
      </c>
      <c r="F47" s="32" t="s">
        <v>330</v>
      </c>
      <c r="G47" s="39" t="s">
        <v>110</v>
      </c>
      <c r="H47" s="33"/>
      <c r="I47" s="33"/>
      <c r="J47" s="47" t="s">
        <v>331</v>
      </c>
      <c r="K47" s="48" t="s">
        <v>332</v>
      </c>
      <c r="L47" s="33"/>
      <c r="M47" s="33"/>
    </row>
    <row r="48">
      <c r="A48" s="32" t="s">
        <v>100</v>
      </c>
      <c r="B48" s="32" t="s">
        <v>333</v>
      </c>
      <c r="C48" s="35">
        <v>51.03499985</v>
      </c>
      <c r="D48" s="35">
        <v>8.680832863</v>
      </c>
      <c r="E48" s="32" t="s">
        <v>109</v>
      </c>
      <c r="F48" s="32" t="s">
        <v>334</v>
      </c>
      <c r="G48" s="39" t="s">
        <v>110</v>
      </c>
      <c r="H48" s="33"/>
      <c r="I48" s="33"/>
      <c r="J48" s="47" t="s">
        <v>335</v>
      </c>
      <c r="K48" s="48" t="s">
        <v>336</v>
      </c>
      <c r="L48" s="33"/>
      <c r="M48" s="33"/>
    </row>
    <row r="49">
      <c r="A49" s="32" t="s">
        <v>100</v>
      </c>
      <c r="B49" s="32" t="s">
        <v>337</v>
      </c>
      <c r="C49" s="35">
        <v>49.606945</v>
      </c>
      <c r="D49" s="35">
        <v>8.368333</v>
      </c>
      <c r="E49" s="32" t="s">
        <v>109</v>
      </c>
      <c r="F49" s="32" t="s">
        <v>338</v>
      </c>
      <c r="G49" s="39" t="s">
        <v>110</v>
      </c>
      <c r="H49" s="33"/>
      <c r="I49" s="33"/>
      <c r="J49" s="47" t="s">
        <v>339</v>
      </c>
      <c r="K49" s="48" t="s">
        <v>340</v>
      </c>
      <c r="L49" s="33"/>
      <c r="M49" s="33"/>
    </row>
    <row r="50">
      <c r="A50" s="32" t="s">
        <v>100</v>
      </c>
      <c r="B50" s="32" t="s">
        <v>341</v>
      </c>
      <c r="C50" s="35">
        <v>49.967499</v>
      </c>
      <c r="D50" s="35">
        <v>8.147222</v>
      </c>
      <c r="E50" s="32" t="s">
        <v>109</v>
      </c>
      <c r="F50" s="32" t="s">
        <v>342</v>
      </c>
      <c r="G50" s="39" t="s">
        <v>110</v>
      </c>
      <c r="H50" s="33"/>
      <c r="I50" s="33"/>
      <c r="J50" s="47" t="s">
        <v>343</v>
      </c>
      <c r="K50" s="48" t="s">
        <v>344</v>
      </c>
      <c r="L50" s="33"/>
      <c r="M50" s="33"/>
    </row>
    <row r="51">
      <c r="A51" s="32" t="s">
        <v>100</v>
      </c>
      <c r="B51" s="32" t="s">
        <v>345</v>
      </c>
      <c r="C51" s="35">
        <v>50.991604</v>
      </c>
      <c r="D51" s="35">
        <v>10.47973</v>
      </c>
      <c r="E51" s="32" t="s">
        <v>109</v>
      </c>
      <c r="F51" s="32" t="s">
        <v>346</v>
      </c>
      <c r="G51" s="39" t="s">
        <v>110</v>
      </c>
      <c r="H51" s="33"/>
      <c r="I51" s="33"/>
      <c r="J51" s="47" t="s">
        <v>347</v>
      </c>
      <c r="K51" s="48" t="s">
        <v>348</v>
      </c>
      <c r="L51" s="33"/>
      <c r="M51" s="33"/>
    </row>
    <row r="52">
      <c r="A52" s="32" t="s">
        <v>100</v>
      </c>
      <c r="B52" s="32" t="s">
        <v>349</v>
      </c>
      <c r="C52" s="35">
        <v>50.70769882</v>
      </c>
      <c r="D52" s="35">
        <v>8.082969666</v>
      </c>
      <c r="E52" s="32" t="s">
        <v>109</v>
      </c>
      <c r="F52" s="32" t="s">
        <v>350</v>
      </c>
      <c r="G52" s="39" t="s">
        <v>110</v>
      </c>
      <c r="H52" s="33"/>
      <c r="I52" s="33"/>
      <c r="J52" s="25" t="s">
        <v>16</v>
      </c>
      <c r="K52" s="48" t="s">
        <v>351</v>
      </c>
      <c r="L52" s="33"/>
      <c r="M52" s="33"/>
    </row>
    <row r="53">
      <c r="A53" s="32" t="s">
        <v>100</v>
      </c>
      <c r="B53" s="32" t="s">
        <v>352</v>
      </c>
      <c r="C53" s="35">
        <v>50.40555573</v>
      </c>
      <c r="D53" s="35">
        <v>6.528889179</v>
      </c>
      <c r="E53" s="32" t="s">
        <v>109</v>
      </c>
      <c r="F53" s="32" t="s">
        <v>353</v>
      </c>
      <c r="G53" s="39" t="s">
        <v>110</v>
      </c>
      <c r="H53" s="33"/>
      <c r="I53" s="33"/>
      <c r="J53" s="25" t="s">
        <v>19</v>
      </c>
      <c r="K53" s="48" t="s">
        <v>354</v>
      </c>
      <c r="L53" s="33"/>
      <c r="M53" s="33"/>
    </row>
    <row r="54">
      <c r="A54" s="32" t="s">
        <v>100</v>
      </c>
      <c r="B54" s="32" t="s">
        <v>355</v>
      </c>
      <c r="C54" s="35">
        <v>51.09999847</v>
      </c>
      <c r="D54" s="35">
        <v>7.599999905</v>
      </c>
      <c r="E54" s="32" t="s">
        <v>109</v>
      </c>
      <c r="F54" s="32" t="s">
        <v>356</v>
      </c>
      <c r="G54" s="39" t="s">
        <v>110</v>
      </c>
      <c r="H54" s="33"/>
      <c r="I54" s="33"/>
      <c r="J54" s="25" t="s">
        <v>18</v>
      </c>
      <c r="K54" s="48" t="s">
        <v>357</v>
      </c>
      <c r="L54" s="33"/>
      <c r="M54" s="33"/>
    </row>
    <row r="55">
      <c r="A55" s="32" t="s">
        <v>100</v>
      </c>
      <c r="B55" s="32" t="s">
        <v>358</v>
      </c>
      <c r="C55" s="35">
        <v>51.96472168</v>
      </c>
      <c r="D55" s="35">
        <v>8.544444084</v>
      </c>
      <c r="E55" s="32" t="s">
        <v>109</v>
      </c>
      <c r="F55" s="32" t="s">
        <v>359</v>
      </c>
      <c r="G55" s="39" t="s">
        <v>110</v>
      </c>
      <c r="H55" s="33"/>
      <c r="I55" s="33"/>
      <c r="J55" s="25" t="s">
        <v>21</v>
      </c>
      <c r="K55" s="48" t="s">
        <v>360</v>
      </c>
      <c r="L55" s="33"/>
      <c r="M55" s="33"/>
    </row>
    <row r="56">
      <c r="A56" s="32" t="s">
        <v>100</v>
      </c>
      <c r="B56" s="32" t="s">
        <v>361</v>
      </c>
      <c r="C56" s="35">
        <v>51.99583435</v>
      </c>
      <c r="D56" s="35">
        <v>6.840556145</v>
      </c>
      <c r="E56" s="32" t="s">
        <v>109</v>
      </c>
      <c r="F56" s="32" t="s">
        <v>362</v>
      </c>
      <c r="G56" s="39" t="s">
        <v>110</v>
      </c>
      <c r="H56" s="33"/>
      <c r="I56" s="33"/>
      <c r="J56" s="25" t="s">
        <v>23</v>
      </c>
      <c r="K56" s="48" t="s">
        <v>363</v>
      </c>
      <c r="L56" s="33"/>
      <c r="M56" s="33"/>
    </row>
    <row r="57">
      <c r="A57" s="32" t="s">
        <v>100</v>
      </c>
      <c r="B57" s="32" t="s">
        <v>364</v>
      </c>
      <c r="C57" s="35">
        <v>48.11111069</v>
      </c>
      <c r="D57" s="35">
        <v>9.762778282</v>
      </c>
      <c r="E57" s="32" t="s">
        <v>109</v>
      </c>
      <c r="F57" s="32" t="s">
        <v>365</v>
      </c>
      <c r="G57" s="39" t="s">
        <v>110</v>
      </c>
      <c r="H57" s="33"/>
      <c r="I57" s="33"/>
      <c r="J57" s="25" t="s">
        <v>20</v>
      </c>
      <c r="K57" s="48" t="s">
        <v>366</v>
      </c>
      <c r="L57" s="33"/>
      <c r="M57" s="33"/>
    </row>
    <row r="58">
      <c r="A58" s="32" t="s">
        <v>100</v>
      </c>
      <c r="B58" s="32" t="s">
        <v>367</v>
      </c>
      <c r="C58" s="35">
        <v>48.39611053</v>
      </c>
      <c r="D58" s="35">
        <v>12.72361088</v>
      </c>
      <c r="E58" s="32" t="s">
        <v>109</v>
      </c>
      <c r="F58" s="32" t="s">
        <v>368</v>
      </c>
      <c r="G58" s="39" t="s">
        <v>110</v>
      </c>
      <c r="H58" s="33"/>
      <c r="I58" s="33"/>
      <c r="J58" s="25" t="s">
        <v>15</v>
      </c>
      <c r="K58" s="48" t="s">
        <v>369</v>
      </c>
      <c r="L58" s="33"/>
      <c r="M58" s="33"/>
    </row>
    <row r="59">
      <c r="A59" s="32" t="s">
        <v>100</v>
      </c>
      <c r="B59" s="32" t="s">
        <v>370</v>
      </c>
      <c r="C59" s="35">
        <v>48.10694504</v>
      </c>
      <c r="D59" s="35">
        <v>10.52499962</v>
      </c>
      <c r="E59" s="32" t="s">
        <v>109</v>
      </c>
      <c r="F59" s="32" t="s">
        <v>371</v>
      </c>
      <c r="G59" s="39" t="s">
        <v>110</v>
      </c>
      <c r="H59" s="33"/>
      <c r="I59" s="33"/>
      <c r="J59" s="25" t="s">
        <v>17</v>
      </c>
      <c r="K59" s="48" t="s">
        <v>372</v>
      </c>
      <c r="L59" s="33"/>
      <c r="M59" s="33"/>
    </row>
    <row r="60">
      <c r="A60" s="32" t="s">
        <v>100</v>
      </c>
      <c r="B60" s="32" t="s">
        <v>373</v>
      </c>
      <c r="C60" s="35">
        <v>48.63499832</v>
      </c>
      <c r="D60" s="35">
        <v>13.19555569</v>
      </c>
      <c r="E60" s="32" t="s">
        <v>109</v>
      </c>
      <c r="F60" s="32" t="s">
        <v>374</v>
      </c>
      <c r="G60" s="39" t="s">
        <v>110</v>
      </c>
      <c r="H60" s="33"/>
      <c r="I60" s="33"/>
      <c r="J60" s="25" t="s">
        <v>31</v>
      </c>
      <c r="K60" s="48" t="s">
        <v>375</v>
      </c>
      <c r="L60" s="33"/>
      <c r="M60" s="33"/>
    </row>
    <row r="61">
      <c r="A61" s="32" t="s">
        <v>100</v>
      </c>
      <c r="B61" s="32" t="s">
        <v>376</v>
      </c>
      <c r="C61" s="35">
        <v>47.85889053</v>
      </c>
      <c r="D61" s="35">
        <v>10.01416683</v>
      </c>
      <c r="E61" s="32" t="s">
        <v>109</v>
      </c>
      <c r="F61" s="32" t="s">
        <v>377</v>
      </c>
      <c r="G61" s="39" t="s">
        <v>110</v>
      </c>
      <c r="H61" s="33"/>
      <c r="I61" s="33"/>
      <c r="J61" s="25" t="s">
        <v>24</v>
      </c>
      <c r="K61" s="48" t="s">
        <v>378</v>
      </c>
      <c r="L61" s="33"/>
      <c r="M61" s="33"/>
    </row>
    <row r="62">
      <c r="A62" s="32" t="s">
        <v>100</v>
      </c>
      <c r="B62" s="32" t="s">
        <v>379</v>
      </c>
      <c r="C62" s="35">
        <v>48.77777863</v>
      </c>
      <c r="D62" s="35">
        <v>10.26472187</v>
      </c>
      <c r="E62" s="32" t="s">
        <v>109</v>
      </c>
      <c r="F62" s="32" t="s">
        <v>380</v>
      </c>
      <c r="G62" s="39" t="s">
        <v>110</v>
      </c>
      <c r="H62" s="33"/>
      <c r="I62" s="33"/>
      <c r="J62" s="47" t="s">
        <v>22</v>
      </c>
      <c r="K62" s="48" t="s">
        <v>381</v>
      </c>
      <c r="L62" s="33"/>
      <c r="M62" s="33"/>
    </row>
    <row r="63">
      <c r="A63" s="32" t="s">
        <v>100</v>
      </c>
      <c r="B63" s="32" t="s">
        <v>382</v>
      </c>
      <c r="C63" s="35">
        <v>49.79416656</v>
      </c>
      <c r="D63" s="35">
        <v>11.13361073</v>
      </c>
      <c r="E63" s="32" t="s">
        <v>109</v>
      </c>
      <c r="F63" s="32" t="s">
        <v>383</v>
      </c>
      <c r="G63" s="39" t="s">
        <v>110</v>
      </c>
      <c r="H63" s="33"/>
      <c r="I63" s="33"/>
      <c r="J63" s="47" t="s">
        <v>384</v>
      </c>
      <c r="K63" s="48" t="s">
        <v>385</v>
      </c>
      <c r="L63" s="33"/>
      <c r="M63" s="33"/>
    </row>
    <row r="64">
      <c r="A64" s="32" t="s">
        <v>100</v>
      </c>
      <c r="B64" s="32" t="s">
        <v>386</v>
      </c>
      <c r="C64" s="35">
        <v>50.01805496</v>
      </c>
      <c r="D64" s="35">
        <v>10.52944374</v>
      </c>
      <c r="E64" s="32" t="s">
        <v>109</v>
      </c>
      <c r="F64" s="32" t="s">
        <v>387</v>
      </c>
      <c r="G64" s="39" t="s">
        <v>110</v>
      </c>
      <c r="H64" s="33"/>
      <c r="I64" s="33"/>
      <c r="J64" s="47" t="s">
        <v>388</v>
      </c>
      <c r="K64" s="49" t="s">
        <v>389</v>
      </c>
      <c r="L64" s="33"/>
      <c r="M64" s="33"/>
    </row>
    <row r="65">
      <c r="A65" s="32" t="s">
        <v>100</v>
      </c>
      <c r="B65" s="32" t="s">
        <v>390</v>
      </c>
      <c r="C65" s="35">
        <v>48.02277756</v>
      </c>
      <c r="D65" s="35">
        <v>7.832499981</v>
      </c>
      <c r="E65" s="32" t="s">
        <v>109</v>
      </c>
      <c r="F65" s="32" t="s">
        <v>391</v>
      </c>
      <c r="G65" s="39" t="s">
        <v>110</v>
      </c>
      <c r="H65" s="33"/>
      <c r="I65" s="33"/>
      <c r="J65" s="33"/>
      <c r="K65" s="33"/>
      <c r="L65" s="33"/>
      <c r="M65" s="33"/>
    </row>
    <row r="66">
      <c r="A66" s="32" t="s">
        <v>100</v>
      </c>
      <c r="B66" s="32" t="s">
        <v>392</v>
      </c>
      <c r="C66" s="35">
        <v>48.05389023</v>
      </c>
      <c r="D66" s="35">
        <v>9.372777939</v>
      </c>
      <c r="E66" s="32" t="s">
        <v>109</v>
      </c>
      <c r="F66" s="32" t="s">
        <v>393</v>
      </c>
      <c r="G66" s="39" t="s">
        <v>110</v>
      </c>
      <c r="H66" s="33"/>
      <c r="I66" s="33"/>
      <c r="J66" s="33"/>
      <c r="K66" s="33"/>
      <c r="L66" s="33"/>
      <c r="M66" s="33"/>
    </row>
    <row r="67">
      <c r="A67" s="32" t="s">
        <v>100</v>
      </c>
      <c r="B67" s="32" t="s">
        <v>394</v>
      </c>
      <c r="C67" s="35">
        <v>49.11833191</v>
      </c>
      <c r="D67" s="35">
        <v>9.783888817</v>
      </c>
      <c r="E67" s="32" t="s">
        <v>109</v>
      </c>
      <c r="F67" s="32" t="s">
        <v>395</v>
      </c>
      <c r="G67" s="39" t="s">
        <v>110</v>
      </c>
      <c r="H67" s="33"/>
      <c r="I67" s="33"/>
      <c r="J67" s="33"/>
      <c r="K67" s="33"/>
      <c r="L67" s="33"/>
      <c r="M67" s="33"/>
    </row>
    <row r="68">
      <c r="A68" s="32" t="s">
        <v>100</v>
      </c>
      <c r="B68" s="32" t="s">
        <v>396</v>
      </c>
      <c r="C68" s="35">
        <v>51.607498</v>
      </c>
      <c r="D68" s="35">
        <v>13.743611</v>
      </c>
      <c r="E68" s="32" t="s">
        <v>109</v>
      </c>
      <c r="F68" s="32" t="s">
        <v>397</v>
      </c>
      <c r="G68" s="39" t="s">
        <v>110</v>
      </c>
      <c r="H68" s="33"/>
      <c r="I68" s="33"/>
      <c r="J68" s="33"/>
      <c r="K68" s="33"/>
      <c r="L68" s="33"/>
      <c r="M68" s="33"/>
    </row>
    <row r="69">
      <c r="A69" s="32" t="s">
        <v>100</v>
      </c>
      <c r="B69" s="32" t="s">
        <v>398</v>
      </c>
      <c r="C69" s="35">
        <v>52.18138885</v>
      </c>
      <c r="D69" s="35">
        <v>9.946389198</v>
      </c>
      <c r="E69" s="32" t="s">
        <v>109</v>
      </c>
      <c r="F69" s="32" t="s">
        <v>399</v>
      </c>
      <c r="G69" s="39" t="s">
        <v>110</v>
      </c>
      <c r="H69" s="33"/>
      <c r="I69" s="33"/>
      <c r="J69" s="33"/>
      <c r="K69" s="33"/>
      <c r="L69" s="33"/>
      <c r="M69" s="33"/>
    </row>
    <row r="70">
      <c r="A70" s="32" t="s">
        <v>100</v>
      </c>
      <c r="B70" s="32" t="s">
        <v>400</v>
      </c>
      <c r="C70" s="35">
        <v>53.27194214</v>
      </c>
      <c r="D70" s="35">
        <v>7.44166708</v>
      </c>
      <c r="E70" s="32" t="s">
        <v>109</v>
      </c>
      <c r="F70" s="32" t="s">
        <v>401</v>
      </c>
      <c r="G70" s="39" t="s">
        <v>110</v>
      </c>
      <c r="H70" s="33"/>
      <c r="I70" s="33"/>
      <c r="J70" s="33"/>
      <c r="K70" s="33"/>
      <c r="L70" s="33"/>
      <c r="M70" s="33"/>
    </row>
    <row r="71">
      <c r="A71" s="32" t="s">
        <v>100</v>
      </c>
      <c r="B71" s="32" t="s">
        <v>402</v>
      </c>
      <c r="C71" s="35">
        <v>54.22000122</v>
      </c>
      <c r="D71" s="35">
        <v>9.599444389</v>
      </c>
      <c r="E71" s="32" t="s">
        <v>109</v>
      </c>
      <c r="F71" s="32" t="s">
        <v>403</v>
      </c>
      <c r="G71" s="39" t="s">
        <v>110</v>
      </c>
      <c r="H71" s="33"/>
      <c r="I71" s="33"/>
      <c r="J71" s="33"/>
      <c r="K71" s="33"/>
      <c r="L71" s="33"/>
      <c r="M71" s="33"/>
    </row>
    <row r="72">
      <c r="A72" s="32" t="s">
        <v>100</v>
      </c>
      <c r="B72" s="32" t="s">
        <v>404</v>
      </c>
      <c r="C72" s="35">
        <v>59.26029968</v>
      </c>
      <c r="D72" s="35">
        <v>24.20849991</v>
      </c>
      <c r="E72" s="32" t="s">
        <v>405</v>
      </c>
      <c r="F72" s="32" t="s">
        <v>406</v>
      </c>
      <c r="G72" s="36" t="e">
        <v>#N/A</v>
      </c>
      <c r="H72" s="33"/>
      <c r="I72" s="33"/>
      <c r="J72" s="33"/>
      <c r="K72" s="33"/>
      <c r="L72" s="33"/>
      <c r="M72" s="33"/>
    </row>
    <row r="73">
      <c r="A73" s="32" t="s">
        <v>100</v>
      </c>
      <c r="B73" s="32" t="s">
        <v>407</v>
      </c>
      <c r="C73" s="35">
        <v>61.11610031</v>
      </c>
      <c r="D73" s="35">
        <v>22.20140076</v>
      </c>
      <c r="E73" s="32" t="s">
        <v>408</v>
      </c>
      <c r="F73" s="32" t="s">
        <v>409</v>
      </c>
      <c r="G73" s="36" t="e">
        <v>#N/A</v>
      </c>
      <c r="H73" s="33"/>
      <c r="I73" s="33"/>
      <c r="J73" s="33"/>
      <c r="K73" s="33"/>
      <c r="L73" s="33"/>
      <c r="M73" s="33"/>
    </row>
    <row r="74">
      <c r="A74" s="32" t="s">
        <v>100</v>
      </c>
      <c r="B74" s="32" t="s">
        <v>410</v>
      </c>
      <c r="C74" s="35">
        <v>61.68970108</v>
      </c>
      <c r="D74" s="35">
        <v>23.07369995</v>
      </c>
      <c r="E74" s="32" t="s">
        <v>408</v>
      </c>
      <c r="F74" s="32" t="s">
        <v>411</v>
      </c>
      <c r="G74" s="36" t="e">
        <v>#N/A</v>
      </c>
      <c r="H74" s="33"/>
      <c r="I74" s="33"/>
      <c r="J74" s="33"/>
      <c r="K74" s="33"/>
      <c r="L74" s="33"/>
      <c r="M74" s="33"/>
    </row>
    <row r="75">
      <c r="A75" s="32" t="s">
        <v>100</v>
      </c>
      <c r="B75" s="32" t="s">
        <v>412</v>
      </c>
      <c r="C75" s="35">
        <v>59.84889984</v>
      </c>
      <c r="D75" s="35">
        <v>23.08359909</v>
      </c>
      <c r="E75" s="32" t="s">
        <v>408</v>
      </c>
      <c r="F75" s="32" t="s">
        <v>413</v>
      </c>
      <c r="G75" s="36" t="e">
        <v>#N/A</v>
      </c>
      <c r="H75" s="33"/>
      <c r="I75" s="33"/>
      <c r="J75" s="33"/>
      <c r="K75" s="33"/>
      <c r="L75" s="33"/>
      <c r="M75" s="33"/>
    </row>
    <row r="76">
      <c r="A76" s="32" t="s">
        <v>100</v>
      </c>
      <c r="B76" s="32" t="s">
        <v>414</v>
      </c>
      <c r="C76" s="35">
        <v>60.46250153</v>
      </c>
      <c r="D76" s="35">
        <v>23.65250015</v>
      </c>
      <c r="E76" s="32" t="s">
        <v>408</v>
      </c>
      <c r="F76" s="32" t="s">
        <v>415</v>
      </c>
      <c r="G76" s="36" t="e">
        <v>#N/A</v>
      </c>
      <c r="H76" s="33"/>
      <c r="I76" s="33"/>
      <c r="J76" s="33"/>
      <c r="K76" s="33"/>
      <c r="L76" s="33"/>
      <c r="M76" s="33"/>
    </row>
    <row r="77">
      <c r="A77" s="32" t="s">
        <v>100</v>
      </c>
      <c r="B77" s="32" t="s">
        <v>416</v>
      </c>
      <c r="C77" s="35">
        <v>61.24919891</v>
      </c>
      <c r="D77" s="35">
        <v>28.90369987</v>
      </c>
      <c r="E77" s="32" t="s">
        <v>408</v>
      </c>
      <c r="F77" s="32" t="s">
        <v>417</v>
      </c>
      <c r="G77" s="36" t="e">
        <v>#N/A</v>
      </c>
      <c r="H77" s="33"/>
      <c r="I77" s="33"/>
      <c r="J77" s="33"/>
      <c r="K77" s="33"/>
      <c r="L77" s="33"/>
      <c r="M77" s="33"/>
    </row>
    <row r="78">
      <c r="A78" s="32" t="s">
        <v>100</v>
      </c>
      <c r="B78" s="32" t="s">
        <v>418</v>
      </c>
      <c r="C78" s="35">
        <v>62.1661</v>
      </c>
      <c r="D78" s="35">
        <v>30.073601</v>
      </c>
      <c r="E78" s="32" t="s">
        <v>408</v>
      </c>
      <c r="F78" s="32" t="s">
        <v>419</v>
      </c>
      <c r="G78" s="36" t="e">
        <v>#N/A</v>
      </c>
      <c r="H78" s="33"/>
      <c r="I78" s="33"/>
      <c r="J78" s="33"/>
      <c r="K78" s="33"/>
      <c r="L78" s="33"/>
      <c r="M78" s="33"/>
    </row>
    <row r="79">
      <c r="A79" s="32" t="s">
        <v>100</v>
      </c>
      <c r="B79" s="32" t="s">
        <v>420</v>
      </c>
      <c r="C79" s="35">
        <v>62.46250153</v>
      </c>
      <c r="D79" s="35">
        <v>22.39310074</v>
      </c>
      <c r="E79" s="32" t="s">
        <v>408</v>
      </c>
      <c r="F79" s="32" t="s">
        <v>421</v>
      </c>
      <c r="G79" s="36" t="e">
        <v>#N/A</v>
      </c>
      <c r="H79" s="33"/>
      <c r="I79" s="33"/>
      <c r="J79" s="33"/>
      <c r="K79" s="33"/>
      <c r="L79" s="33"/>
      <c r="M79" s="33"/>
    </row>
    <row r="80">
      <c r="A80" s="32" t="s">
        <v>100</v>
      </c>
      <c r="B80" s="32" t="s">
        <v>422</v>
      </c>
      <c r="C80" s="35">
        <v>66.712898</v>
      </c>
      <c r="D80" s="35">
        <v>27.156799</v>
      </c>
      <c r="E80" s="32" t="s">
        <v>408</v>
      </c>
      <c r="F80" s="32" t="s">
        <v>423</v>
      </c>
      <c r="G80" s="36" t="e">
        <v>#N/A</v>
      </c>
      <c r="H80" s="33"/>
      <c r="I80" s="33"/>
      <c r="J80" s="33"/>
      <c r="K80" s="33"/>
      <c r="L80" s="33"/>
      <c r="M80" s="33"/>
    </row>
    <row r="81">
      <c r="A81" s="32" t="s">
        <v>100</v>
      </c>
      <c r="B81" s="32" t="s">
        <v>424</v>
      </c>
      <c r="C81" s="35">
        <v>61.144199</v>
      </c>
      <c r="D81" s="35">
        <v>25.693501</v>
      </c>
      <c r="E81" s="32" t="s">
        <v>408</v>
      </c>
      <c r="F81" s="32" t="s">
        <v>425</v>
      </c>
      <c r="G81" s="36" t="e">
        <v>#N/A</v>
      </c>
      <c r="H81" s="33"/>
      <c r="I81" s="33"/>
      <c r="J81" s="33"/>
      <c r="K81" s="33"/>
      <c r="L81" s="33"/>
      <c r="M81" s="33"/>
    </row>
    <row r="82">
      <c r="A82" s="32" t="s">
        <v>100</v>
      </c>
      <c r="B82" s="32" t="s">
        <v>426</v>
      </c>
      <c r="C82" s="35">
        <v>62.94670105</v>
      </c>
      <c r="D82" s="35">
        <v>23.51889992</v>
      </c>
      <c r="E82" s="32" t="s">
        <v>408</v>
      </c>
      <c r="F82" s="32" t="s">
        <v>427</v>
      </c>
      <c r="G82" s="36" t="e">
        <v>#N/A</v>
      </c>
      <c r="H82" s="33"/>
      <c r="I82" s="33"/>
      <c r="J82" s="33"/>
      <c r="K82" s="33"/>
      <c r="L82" s="33"/>
      <c r="M82" s="33"/>
    </row>
    <row r="83">
      <c r="A83" s="32" t="s">
        <v>100</v>
      </c>
      <c r="B83" s="32" t="s">
        <v>428</v>
      </c>
      <c r="C83" s="35">
        <v>60.33390045</v>
      </c>
      <c r="D83" s="35">
        <v>24.29640007</v>
      </c>
      <c r="E83" s="32" t="s">
        <v>408</v>
      </c>
      <c r="F83" s="32" t="s">
        <v>429</v>
      </c>
      <c r="G83" s="36" t="e">
        <v>#N/A</v>
      </c>
      <c r="H83" s="33"/>
      <c r="I83" s="33"/>
      <c r="J83" s="33"/>
      <c r="K83" s="33"/>
      <c r="L83" s="33"/>
      <c r="M83" s="33"/>
    </row>
    <row r="84">
      <c r="A84" s="32" t="s">
        <v>100</v>
      </c>
      <c r="B84" s="32" t="s">
        <v>430</v>
      </c>
      <c r="C84" s="35">
        <v>61.24560165</v>
      </c>
      <c r="D84" s="35">
        <v>22.19339943</v>
      </c>
      <c r="E84" s="32" t="s">
        <v>408</v>
      </c>
      <c r="F84" s="32" t="s">
        <v>431</v>
      </c>
      <c r="G84" s="36" t="e">
        <v>#N/A</v>
      </c>
      <c r="H84" s="33"/>
      <c r="I84" s="33"/>
      <c r="J84" s="33"/>
      <c r="K84" s="33"/>
      <c r="L84" s="33"/>
      <c r="M84" s="33"/>
    </row>
    <row r="85">
      <c r="A85" s="32" t="s">
        <v>100</v>
      </c>
      <c r="B85" s="32" t="s">
        <v>432</v>
      </c>
      <c r="C85" s="35">
        <v>65.40219879</v>
      </c>
      <c r="D85" s="35">
        <v>26.94689941</v>
      </c>
      <c r="E85" s="32" t="s">
        <v>408</v>
      </c>
      <c r="F85" s="32" t="s">
        <v>433</v>
      </c>
      <c r="G85" s="36" t="e">
        <v>#N/A</v>
      </c>
      <c r="H85" s="33"/>
      <c r="I85" s="33"/>
      <c r="J85" s="33"/>
      <c r="K85" s="33"/>
      <c r="L85" s="33"/>
      <c r="M85" s="33"/>
    </row>
    <row r="86">
      <c r="A86" s="32" t="s">
        <v>100</v>
      </c>
      <c r="B86" s="32" t="s">
        <v>434</v>
      </c>
      <c r="C86" s="35">
        <v>63.73189926</v>
      </c>
      <c r="D86" s="35">
        <v>25.92630005</v>
      </c>
      <c r="E86" s="32" t="s">
        <v>408</v>
      </c>
      <c r="F86" s="32" t="s">
        <v>435</v>
      </c>
      <c r="G86" s="36" t="e">
        <v>#N/A</v>
      </c>
      <c r="H86" s="33"/>
      <c r="I86" s="33"/>
      <c r="J86" s="33"/>
      <c r="K86" s="33"/>
      <c r="L86" s="33"/>
      <c r="M86" s="33"/>
    </row>
    <row r="87">
      <c r="A87" s="32" t="s">
        <v>100</v>
      </c>
      <c r="B87" s="32" t="s">
        <v>436</v>
      </c>
      <c r="C87" s="35">
        <v>64.68810272</v>
      </c>
      <c r="D87" s="35">
        <v>24.69580078</v>
      </c>
      <c r="E87" s="32" t="s">
        <v>408</v>
      </c>
      <c r="F87" s="32" t="s">
        <v>437</v>
      </c>
      <c r="G87" s="36" t="e">
        <v>#N/A</v>
      </c>
      <c r="H87" s="33"/>
      <c r="I87" s="33"/>
      <c r="J87" s="33"/>
      <c r="K87" s="33"/>
      <c r="L87" s="33"/>
      <c r="M87" s="33"/>
    </row>
    <row r="88">
      <c r="A88" s="32" t="s">
        <v>100</v>
      </c>
      <c r="B88" s="32" t="s">
        <v>438</v>
      </c>
      <c r="C88" s="35">
        <v>62.06549835</v>
      </c>
      <c r="D88" s="35">
        <v>28.35650063</v>
      </c>
      <c r="E88" s="32" t="s">
        <v>408</v>
      </c>
      <c r="F88" s="32" t="s">
        <v>439</v>
      </c>
      <c r="G88" s="36" t="e">
        <v>#N/A</v>
      </c>
      <c r="H88" s="33"/>
      <c r="I88" s="33"/>
      <c r="J88" s="33"/>
      <c r="K88" s="33"/>
      <c r="L88" s="33"/>
      <c r="M88" s="33"/>
    </row>
    <row r="89">
      <c r="A89" s="32" t="s">
        <v>100</v>
      </c>
      <c r="B89" s="32" t="s">
        <v>440</v>
      </c>
      <c r="C89" s="35">
        <v>60.74470139</v>
      </c>
      <c r="D89" s="35">
        <v>24.10779953</v>
      </c>
      <c r="E89" s="32" t="s">
        <v>408</v>
      </c>
      <c r="F89" s="32" t="s">
        <v>441</v>
      </c>
      <c r="G89" s="36" t="e">
        <v>#N/A</v>
      </c>
      <c r="H89" s="33"/>
      <c r="I89" s="33"/>
      <c r="J89" s="33"/>
      <c r="K89" s="33"/>
      <c r="L89" s="33"/>
      <c r="M89" s="33"/>
    </row>
    <row r="90">
      <c r="A90" s="32" t="s">
        <v>100</v>
      </c>
      <c r="B90" s="32" t="s">
        <v>442</v>
      </c>
      <c r="C90" s="35">
        <v>61.06240082</v>
      </c>
      <c r="D90" s="35">
        <v>26.7989006</v>
      </c>
      <c r="E90" s="32" t="s">
        <v>408</v>
      </c>
      <c r="F90" s="32" t="s">
        <v>443</v>
      </c>
      <c r="G90" s="36" t="e">
        <v>#N/A</v>
      </c>
      <c r="H90" s="33"/>
      <c r="I90" s="33"/>
      <c r="J90" s="33"/>
      <c r="K90" s="33"/>
      <c r="L90" s="33"/>
      <c r="M90" s="33"/>
    </row>
    <row r="91">
      <c r="A91" s="32" t="s">
        <v>100</v>
      </c>
      <c r="B91" s="32" t="s">
        <v>444</v>
      </c>
      <c r="C91" s="35">
        <v>61.7733</v>
      </c>
      <c r="D91" s="35">
        <v>24.027</v>
      </c>
      <c r="E91" s="32" t="s">
        <v>408</v>
      </c>
      <c r="F91" s="32" t="s">
        <v>445</v>
      </c>
      <c r="G91" s="36" t="e">
        <v>#N/A</v>
      </c>
      <c r="H91" s="33"/>
      <c r="I91" s="33"/>
      <c r="J91" s="33"/>
      <c r="K91" s="33"/>
      <c r="L91" s="33"/>
      <c r="M91" s="33"/>
    </row>
    <row r="92">
      <c r="A92" s="32" t="s">
        <v>100</v>
      </c>
      <c r="B92" s="32" t="s">
        <v>446</v>
      </c>
      <c r="C92" s="35">
        <v>64.0547222</v>
      </c>
      <c r="D92" s="35">
        <v>24.7252778</v>
      </c>
      <c r="E92" s="32" t="s">
        <v>408</v>
      </c>
      <c r="F92" s="32" t="s">
        <v>447</v>
      </c>
      <c r="G92" s="36" t="e">
        <v>#N/A</v>
      </c>
      <c r="H92" s="33"/>
      <c r="I92" s="33"/>
      <c r="J92" s="33"/>
      <c r="K92" s="33"/>
      <c r="L92" s="33"/>
      <c r="M92" s="33"/>
    </row>
    <row r="93">
      <c r="A93" s="32" t="s">
        <v>100</v>
      </c>
      <c r="B93" s="32" t="s">
        <v>448</v>
      </c>
      <c r="C93" s="35">
        <v>52.60779953</v>
      </c>
      <c r="D93" s="35">
        <v>-1.031939983</v>
      </c>
      <c r="E93" s="32" t="s">
        <v>90</v>
      </c>
      <c r="F93" s="32" t="s">
        <v>449</v>
      </c>
      <c r="G93" s="39" t="s">
        <v>91</v>
      </c>
      <c r="H93" s="33"/>
      <c r="I93" s="33"/>
      <c r="J93" s="33"/>
      <c r="K93" s="33"/>
      <c r="L93" s="33"/>
      <c r="M93" s="33"/>
    </row>
    <row r="94">
      <c r="A94" s="32" t="s">
        <v>100</v>
      </c>
      <c r="B94" s="32" t="s">
        <v>450</v>
      </c>
      <c r="C94" s="35">
        <v>52.51750183</v>
      </c>
      <c r="D94" s="35">
        <v>-2.259439945</v>
      </c>
      <c r="E94" s="32" t="s">
        <v>90</v>
      </c>
      <c r="F94" s="32" t="s">
        <v>451</v>
      </c>
      <c r="G94" s="39" t="s">
        <v>91</v>
      </c>
      <c r="H94" s="33"/>
      <c r="I94" s="33"/>
      <c r="J94" s="33"/>
      <c r="K94" s="33"/>
      <c r="L94" s="33"/>
      <c r="M94" s="33"/>
    </row>
    <row r="95">
      <c r="A95" s="32" t="s">
        <v>100</v>
      </c>
      <c r="B95" s="32" t="s">
        <v>452</v>
      </c>
      <c r="C95" s="35">
        <v>51.668095</v>
      </c>
      <c r="D95" s="35">
        <v>-2.05694</v>
      </c>
      <c r="E95" s="32" t="s">
        <v>90</v>
      </c>
      <c r="F95" s="32" t="s">
        <v>453</v>
      </c>
      <c r="G95" s="39" t="s">
        <v>91</v>
      </c>
      <c r="H95" s="33"/>
      <c r="I95" s="33"/>
      <c r="J95" s="33"/>
      <c r="K95" s="33"/>
      <c r="L95" s="33"/>
      <c r="M95" s="33"/>
    </row>
    <row r="96">
      <c r="A96" s="32" t="s">
        <v>100</v>
      </c>
      <c r="B96" s="32" t="s">
        <v>454</v>
      </c>
      <c r="C96" s="35">
        <v>52.04079819</v>
      </c>
      <c r="D96" s="35">
        <v>-1.095559955</v>
      </c>
      <c r="E96" s="32" t="s">
        <v>90</v>
      </c>
      <c r="F96" s="32" t="s">
        <v>455</v>
      </c>
      <c r="G96" s="39" t="s">
        <v>91</v>
      </c>
      <c r="H96" s="33"/>
      <c r="I96" s="33"/>
      <c r="J96" s="33"/>
      <c r="K96" s="33"/>
      <c r="L96" s="33"/>
      <c r="M96" s="33"/>
    </row>
    <row r="97">
      <c r="A97" s="32" t="s">
        <v>100</v>
      </c>
      <c r="B97" s="32" t="s">
        <v>456</v>
      </c>
      <c r="C97" s="35">
        <v>52.19219971</v>
      </c>
      <c r="D97" s="35">
        <v>-1.614439964</v>
      </c>
      <c r="E97" s="32" t="s">
        <v>90</v>
      </c>
      <c r="F97" s="32" t="s">
        <v>457</v>
      </c>
      <c r="G97" s="39" t="s">
        <v>91</v>
      </c>
      <c r="H97" s="33"/>
      <c r="I97" s="33"/>
      <c r="J97" s="33"/>
      <c r="K97" s="33"/>
      <c r="L97" s="33"/>
      <c r="M97" s="33"/>
    </row>
    <row r="98">
      <c r="A98" s="32" t="s">
        <v>100</v>
      </c>
      <c r="B98" s="32" t="s">
        <v>458</v>
      </c>
      <c r="C98" s="35">
        <v>53.3381</v>
      </c>
      <c r="D98" s="35">
        <v>-2.14889</v>
      </c>
      <c r="E98" s="32" t="s">
        <v>90</v>
      </c>
      <c r="F98" s="32" t="s">
        <v>459</v>
      </c>
      <c r="G98" s="39" t="s">
        <v>91</v>
      </c>
      <c r="H98" s="33"/>
      <c r="I98" s="33"/>
      <c r="J98" s="33"/>
      <c r="K98" s="33"/>
      <c r="L98" s="33"/>
      <c r="M98" s="33"/>
    </row>
    <row r="99">
      <c r="A99" s="32" t="s">
        <v>100</v>
      </c>
      <c r="B99" s="32" t="s">
        <v>460</v>
      </c>
      <c r="C99" s="35">
        <v>51.08720016</v>
      </c>
      <c r="D99" s="35">
        <v>-4.15034008</v>
      </c>
      <c r="E99" s="32" t="s">
        <v>90</v>
      </c>
      <c r="F99" s="32" t="s">
        <v>461</v>
      </c>
      <c r="G99" s="39" t="s">
        <v>91</v>
      </c>
      <c r="H99" s="33"/>
      <c r="I99" s="33"/>
      <c r="J99" s="33"/>
      <c r="K99" s="33"/>
      <c r="L99" s="33"/>
      <c r="M99" s="33"/>
    </row>
    <row r="100">
      <c r="A100" s="32" t="s">
        <v>100</v>
      </c>
      <c r="B100" s="32" t="s">
        <v>462</v>
      </c>
      <c r="C100" s="35">
        <v>51.15219879</v>
      </c>
      <c r="D100" s="35">
        <v>-1.747410059</v>
      </c>
      <c r="E100" s="32" t="s">
        <v>90</v>
      </c>
      <c r="F100" s="32" t="s">
        <v>463</v>
      </c>
      <c r="G100" s="39" t="s">
        <v>91</v>
      </c>
      <c r="H100" s="33"/>
      <c r="I100" s="33"/>
      <c r="J100" s="33"/>
      <c r="K100" s="33"/>
      <c r="L100" s="33"/>
      <c r="M100" s="33"/>
    </row>
    <row r="101">
      <c r="A101" s="32" t="s">
        <v>100</v>
      </c>
      <c r="B101" s="32" t="s">
        <v>464</v>
      </c>
      <c r="C101" s="35">
        <v>50.08610153</v>
      </c>
      <c r="D101" s="35">
        <v>-5.255710125</v>
      </c>
      <c r="E101" s="32" t="s">
        <v>90</v>
      </c>
      <c r="F101" s="32" t="s">
        <v>465</v>
      </c>
      <c r="G101" s="39" t="s">
        <v>91</v>
      </c>
      <c r="H101" s="33"/>
      <c r="I101" s="33"/>
      <c r="J101" s="33"/>
      <c r="K101" s="33"/>
      <c r="L101" s="33"/>
      <c r="M101" s="33"/>
    </row>
    <row r="102">
      <c r="A102" s="32" t="s">
        <v>100</v>
      </c>
      <c r="B102" s="32" t="s">
        <v>466</v>
      </c>
      <c r="C102" s="35">
        <v>51.40480042</v>
      </c>
      <c r="D102" s="35">
        <v>-3.435750008</v>
      </c>
      <c r="E102" s="32" t="s">
        <v>90</v>
      </c>
      <c r="F102" s="32" t="s">
        <v>467</v>
      </c>
      <c r="G102" s="39" t="s">
        <v>91</v>
      </c>
      <c r="H102" s="33"/>
      <c r="I102" s="33"/>
      <c r="J102" s="33"/>
      <c r="K102" s="33"/>
      <c r="L102" s="33"/>
      <c r="M102" s="33"/>
    </row>
    <row r="103">
      <c r="A103" s="32" t="s">
        <v>100</v>
      </c>
      <c r="B103" s="32" t="s">
        <v>468</v>
      </c>
      <c r="C103" s="35">
        <v>51.83309937</v>
      </c>
      <c r="D103" s="35">
        <v>-4.961110115</v>
      </c>
      <c r="E103" s="32" t="s">
        <v>90</v>
      </c>
      <c r="F103" s="32" t="s">
        <v>469</v>
      </c>
      <c r="G103" s="39" t="s">
        <v>91</v>
      </c>
      <c r="H103" s="33"/>
      <c r="I103" s="33"/>
      <c r="J103" s="33"/>
      <c r="K103" s="33"/>
      <c r="L103" s="33"/>
      <c r="M103" s="33"/>
    </row>
    <row r="104">
      <c r="A104" s="32" t="s">
        <v>100</v>
      </c>
      <c r="B104" s="32" t="s">
        <v>470</v>
      </c>
      <c r="C104" s="35">
        <v>51.67610168</v>
      </c>
      <c r="D104" s="35">
        <v>-1.080829978</v>
      </c>
      <c r="E104" s="32" t="s">
        <v>90</v>
      </c>
      <c r="F104" s="32" t="s">
        <v>471</v>
      </c>
      <c r="G104" s="39" t="s">
        <v>91</v>
      </c>
      <c r="H104" s="33"/>
      <c r="I104" s="33"/>
      <c r="J104" s="33"/>
      <c r="K104" s="33"/>
      <c r="L104" s="33"/>
      <c r="M104" s="33"/>
    </row>
    <row r="105">
      <c r="A105" s="32" t="s">
        <v>100</v>
      </c>
      <c r="B105" s="32" t="s">
        <v>472</v>
      </c>
      <c r="C105" s="35">
        <v>53.7197</v>
      </c>
      <c r="D105" s="35">
        <v>-0.566333</v>
      </c>
      <c r="E105" s="32" t="s">
        <v>90</v>
      </c>
      <c r="F105" s="32" t="s">
        <v>473</v>
      </c>
      <c r="G105" s="39" t="s">
        <v>91</v>
      </c>
      <c r="H105" s="33"/>
      <c r="I105" s="33"/>
      <c r="J105" s="33"/>
      <c r="K105" s="33"/>
      <c r="L105" s="33"/>
      <c r="M105" s="33"/>
    </row>
    <row r="106">
      <c r="A106" s="32" t="s">
        <v>100</v>
      </c>
      <c r="B106" s="32" t="s">
        <v>474</v>
      </c>
      <c r="C106" s="35">
        <v>53.2806015</v>
      </c>
      <c r="D106" s="35">
        <v>-0.951389015</v>
      </c>
      <c r="E106" s="32" t="s">
        <v>90</v>
      </c>
      <c r="F106" s="32" t="s">
        <v>475</v>
      </c>
      <c r="G106" s="39" t="s">
        <v>91</v>
      </c>
      <c r="H106" s="33"/>
      <c r="I106" s="33"/>
      <c r="J106" s="33"/>
      <c r="K106" s="33"/>
      <c r="L106" s="33"/>
      <c r="M106" s="33"/>
    </row>
    <row r="107">
      <c r="A107" s="32" t="s">
        <v>100</v>
      </c>
      <c r="B107" s="32" t="s">
        <v>476</v>
      </c>
      <c r="C107" s="35">
        <v>53.74509811</v>
      </c>
      <c r="D107" s="35">
        <v>-2.883059978</v>
      </c>
      <c r="E107" s="32" t="s">
        <v>90</v>
      </c>
      <c r="F107" s="32" t="s">
        <v>477</v>
      </c>
      <c r="G107" s="39" t="s">
        <v>91</v>
      </c>
      <c r="H107" s="33"/>
      <c r="I107" s="33"/>
      <c r="J107" s="33"/>
      <c r="K107" s="33"/>
      <c r="L107" s="33"/>
      <c r="M107" s="33"/>
    </row>
    <row r="108">
      <c r="A108" s="32" t="s">
        <v>100</v>
      </c>
      <c r="B108" s="32" t="s">
        <v>478</v>
      </c>
      <c r="C108" s="35">
        <v>52.81169891</v>
      </c>
      <c r="D108" s="35">
        <v>-4.123579979</v>
      </c>
      <c r="E108" s="32" t="s">
        <v>90</v>
      </c>
      <c r="F108" s="32" t="s">
        <v>479</v>
      </c>
      <c r="G108" s="39" t="s">
        <v>91</v>
      </c>
      <c r="H108" s="33"/>
      <c r="I108" s="33"/>
      <c r="J108" s="33"/>
      <c r="K108" s="33"/>
      <c r="L108" s="33"/>
      <c r="M108" s="33"/>
    </row>
    <row r="109">
      <c r="A109" s="32" t="s">
        <v>100</v>
      </c>
      <c r="B109" s="32" t="s">
        <v>480</v>
      </c>
      <c r="C109" s="35">
        <v>52.87120056</v>
      </c>
      <c r="D109" s="35">
        <v>-2.533560038</v>
      </c>
      <c r="E109" s="32" t="s">
        <v>90</v>
      </c>
      <c r="F109" s="32" t="s">
        <v>481</v>
      </c>
      <c r="G109" s="39" t="s">
        <v>91</v>
      </c>
      <c r="H109" s="33"/>
      <c r="I109" s="33"/>
      <c r="J109" s="33"/>
      <c r="K109" s="33"/>
      <c r="L109" s="33"/>
      <c r="M109" s="33"/>
    </row>
    <row r="110">
      <c r="A110" s="32" t="s">
        <v>100</v>
      </c>
      <c r="B110" s="32" t="s">
        <v>482</v>
      </c>
      <c r="C110" s="35">
        <v>52.7981987</v>
      </c>
      <c r="D110" s="35">
        <v>-2.668040037</v>
      </c>
      <c r="E110" s="32" t="s">
        <v>90</v>
      </c>
      <c r="F110" s="32" t="s">
        <v>483</v>
      </c>
      <c r="G110" s="39" t="s">
        <v>91</v>
      </c>
      <c r="H110" s="33"/>
      <c r="I110" s="33"/>
      <c r="J110" s="33"/>
      <c r="K110" s="33"/>
      <c r="L110" s="33"/>
      <c r="M110" s="33"/>
    </row>
    <row r="111">
      <c r="A111" s="32" t="s">
        <v>100</v>
      </c>
      <c r="B111" s="32" t="s">
        <v>484</v>
      </c>
      <c r="C111" s="35">
        <v>53.58160019</v>
      </c>
      <c r="D111" s="35">
        <v>-3.055520058</v>
      </c>
      <c r="E111" s="32" t="s">
        <v>90</v>
      </c>
      <c r="F111" s="32" t="s">
        <v>485</v>
      </c>
      <c r="G111" s="39" t="s">
        <v>91</v>
      </c>
      <c r="H111" s="33"/>
      <c r="I111" s="33"/>
      <c r="J111" s="33"/>
      <c r="K111" s="33"/>
      <c r="L111" s="33"/>
      <c r="M111" s="33"/>
    </row>
    <row r="112">
      <c r="A112" s="32" t="s">
        <v>100</v>
      </c>
      <c r="B112" s="32" t="s">
        <v>486</v>
      </c>
      <c r="C112" s="35">
        <v>52.4681015</v>
      </c>
      <c r="D112" s="35">
        <v>-0.251111001</v>
      </c>
      <c r="E112" s="32" t="s">
        <v>90</v>
      </c>
      <c r="F112" s="32" t="s">
        <v>487</v>
      </c>
      <c r="G112" s="39" t="s">
        <v>91</v>
      </c>
      <c r="H112" s="33"/>
      <c r="I112" s="33"/>
      <c r="J112" s="33"/>
      <c r="K112" s="33"/>
      <c r="L112" s="33"/>
      <c r="M112" s="33"/>
    </row>
    <row r="113">
      <c r="A113" s="32" t="s">
        <v>100</v>
      </c>
      <c r="B113" s="32" t="s">
        <v>488</v>
      </c>
      <c r="C113" s="35">
        <v>51.72169876</v>
      </c>
      <c r="D113" s="35">
        <v>0.154166996</v>
      </c>
      <c r="E113" s="32" t="s">
        <v>90</v>
      </c>
      <c r="F113" s="32" t="s">
        <v>489</v>
      </c>
      <c r="G113" s="39" t="s">
        <v>91</v>
      </c>
      <c r="H113" s="33"/>
      <c r="I113" s="33"/>
      <c r="J113" s="33"/>
      <c r="K113" s="33"/>
      <c r="L113" s="33"/>
      <c r="M113" s="33"/>
    </row>
    <row r="114">
      <c r="A114" s="32" t="s">
        <v>100</v>
      </c>
      <c r="B114" s="32" t="s">
        <v>490</v>
      </c>
      <c r="C114" s="35">
        <v>53.394299</v>
      </c>
      <c r="D114" s="35">
        <v>-1.38849</v>
      </c>
      <c r="E114" s="32" t="s">
        <v>90</v>
      </c>
      <c r="F114" s="32" t="s">
        <v>491</v>
      </c>
      <c r="G114" s="39" t="s">
        <v>91</v>
      </c>
      <c r="H114" s="33"/>
      <c r="I114" s="33"/>
      <c r="J114" s="33"/>
      <c r="K114" s="33"/>
      <c r="L114" s="33"/>
      <c r="M114" s="33"/>
    </row>
    <row r="115">
      <c r="A115" s="32" t="s">
        <v>100</v>
      </c>
      <c r="B115" s="32" t="s">
        <v>492</v>
      </c>
      <c r="C115" s="35">
        <v>52.07220078</v>
      </c>
      <c r="D115" s="35">
        <v>-0.616666973</v>
      </c>
      <c r="E115" s="32" t="s">
        <v>90</v>
      </c>
      <c r="F115" s="32" t="s">
        <v>493</v>
      </c>
      <c r="G115" s="39" t="s">
        <v>91</v>
      </c>
      <c r="H115" s="33"/>
      <c r="I115" s="33"/>
      <c r="J115" s="33"/>
      <c r="K115" s="33"/>
      <c r="L115" s="33"/>
      <c r="M115" s="33"/>
    </row>
    <row r="116">
      <c r="A116" s="32" t="s">
        <v>100</v>
      </c>
      <c r="B116" s="32" t="s">
        <v>494</v>
      </c>
      <c r="C116" s="35">
        <v>51.61640167</v>
      </c>
      <c r="D116" s="35">
        <v>-1.095829964</v>
      </c>
      <c r="E116" s="32" t="s">
        <v>90</v>
      </c>
      <c r="F116" s="32" t="s">
        <v>495</v>
      </c>
      <c r="G116" s="39" t="s">
        <v>91</v>
      </c>
      <c r="H116" s="33"/>
      <c r="I116" s="33"/>
      <c r="J116" s="33"/>
      <c r="K116" s="33"/>
      <c r="L116" s="33"/>
      <c r="M116" s="33"/>
    </row>
    <row r="117">
      <c r="A117" s="32" t="s">
        <v>100</v>
      </c>
      <c r="B117" s="32" t="s">
        <v>496</v>
      </c>
      <c r="C117" s="35">
        <v>52.40930176</v>
      </c>
      <c r="D117" s="35">
        <v>0.56099999</v>
      </c>
      <c r="E117" s="32" t="s">
        <v>90</v>
      </c>
      <c r="F117" s="32" t="s">
        <v>497</v>
      </c>
      <c r="G117" s="39" t="s">
        <v>91</v>
      </c>
      <c r="H117" s="33"/>
      <c r="I117" s="33"/>
      <c r="J117" s="33"/>
      <c r="K117" s="33"/>
      <c r="L117" s="33"/>
      <c r="M117" s="33"/>
    </row>
    <row r="118">
      <c r="A118" s="32" t="s">
        <v>100</v>
      </c>
      <c r="B118" s="32" t="s">
        <v>498</v>
      </c>
      <c r="C118" s="35">
        <v>52.12730026</v>
      </c>
      <c r="D118" s="35">
        <v>0.956264019</v>
      </c>
      <c r="E118" s="32" t="s">
        <v>90</v>
      </c>
      <c r="F118" s="32" t="s">
        <v>499</v>
      </c>
      <c r="G118" s="39" t="s">
        <v>91</v>
      </c>
      <c r="H118" s="33"/>
      <c r="I118" s="33"/>
      <c r="J118" s="33"/>
      <c r="K118" s="33"/>
      <c r="L118" s="33"/>
      <c r="M118" s="33"/>
    </row>
    <row r="119">
      <c r="A119" s="32" t="s">
        <v>100</v>
      </c>
      <c r="B119" s="32" t="s">
        <v>500</v>
      </c>
      <c r="C119" s="35">
        <v>52.35720062</v>
      </c>
      <c r="D119" s="35">
        <v>-0.107832998</v>
      </c>
      <c r="E119" s="32" t="s">
        <v>90</v>
      </c>
      <c r="F119" s="32" t="s">
        <v>501</v>
      </c>
      <c r="G119" s="39" t="s">
        <v>91</v>
      </c>
      <c r="H119" s="33"/>
      <c r="I119" s="33"/>
      <c r="J119" s="33"/>
      <c r="K119" s="33"/>
      <c r="L119" s="33"/>
      <c r="M119" s="33"/>
    </row>
    <row r="120">
      <c r="A120" s="32" t="s">
        <v>100</v>
      </c>
      <c r="B120" s="32" t="s">
        <v>502</v>
      </c>
      <c r="C120" s="35">
        <v>52.639999</v>
      </c>
      <c r="D120" s="35">
        <v>-2.30558</v>
      </c>
      <c r="E120" s="32" t="s">
        <v>90</v>
      </c>
      <c r="F120" s="32" t="s">
        <v>503</v>
      </c>
      <c r="G120" s="39" t="s">
        <v>91</v>
      </c>
      <c r="H120" s="33"/>
      <c r="I120" s="33"/>
      <c r="J120" s="33"/>
      <c r="K120" s="33"/>
      <c r="L120" s="33"/>
      <c r="M120" s="33"/>
    </row>
    <row r="121">
      <c r="A121" s="32" t="s">
        <v>100</v>
      </c>
      <c r="B121" s="32" t="s">
        <v>504</v>
      </c>
      <c r="C121" s="35">
        <v>54.1371994</v>
      </c>
      <c r="D121" s="35">
        <v>-1.420250058</v>
      </c>
      <c r="E121" s="32" t="s">
        <v>90</v>
      </c>
      <c r="F121" s="32" t="s">
        <v>505</v>
      </c>
      <c r="G121" s="39" t="s">
        <v>91</v>
      </c>
      <c r="H121" s="33"/>
      <c r="I121" s="33"/>
      <c r="J121" s="33"/>
      <c r="K121" s="33"/>
      <c r="L121" s="33"/>
      <c r="M121" s="33"/>
    </row>
    <row r="122">
      <c r="A122" s="32" t="s">
        <v>100</v>
      </c>
      <c r="B122" s="32" t="s">
        <v>506</v>
      </c>
      <c r="C122" s="35">
        <v>54.2924</v>
      </c>
      <c r="D122" s="35">
        <v>-1.5354</v>
      </c>
      <c r="E122" s="32" t="s">
        <v>90</v>
      </c>
      <c r="F122" s="32" t="s">
        <v>507</v>
      </c>
      <c r="G122" s="39" t="s">
        <v>91</v>
      </c>
      <c r="H122" s="33"/>
      <c r="I122" s="33"/>
      <c r="J122" s="33"/>
      <c r="K122" s="33"/>
      <c r="L122" s="33"/>
      <c r="M122" s="33"/>
    </row>
    <row r="123">
      <c r="A123" s="32" t="s">
        <v>100</v>
      </c>
      <c r="B123" s="32" t="s">
        <v>508</v>
      </c>
      <c r="C123" s="35">
        <v>53.834301</v>
      </c>
      <c r="D123" s="35">
        <v>-1.1955</v>
      </c>
      <c r="E123" s="32" t="s">
        <v>90</v>
      </c>
      <c r="F123" s="32" t="s">
        <v>509</v>
      </c>
      <c r="G123" s="39" t="s">
        <v>91</v>
      </c>
      <c r="H123" s="33"/>
      <c r="I123" s="33"/>
      <c r="J123" s="33"/>
      <c r="K123" s="33"/>
      <c r="L123" s="33"/>
      <c r="M123" s="33"/>
    </row>
    <row r="124">
      <c r="A124" s="32" t="s">
        <v>100</v>
      </c>
      <c r="B124" s="32" t="s">
        <v>510</v>
      </c>
      <c r="C124" s="35">
        <v>52.735699</v>
      </c>
      <c r="D124" s="35">
        <v>-0.648769</v>
      </c>
      <c r="E124" s="32" t="s">
        <v>90</v>
      </c>
      <c r="F124" s="32" t="s">
        <v>511</v>
      </c>
      <c r="G124" s="39" t="s">
        <v>91</v>
      </c>
      <c r="H124" s="33"/>
      <c r="I124" s="33"/>
      <c r="J124" s="33"/>
      <c r="K124" s="33"/>
      <c r="L124" s="33"/>
      <c r="M124" s="33"/>
    </row>
    <row r="125">
      <c r="A125" s="32" t="s">
        <v>100</v>
      </c>
      <c r="B125" s="32" t="s">
        <v>512</v>
      </c>
      <c r="C125" s="35">
        <v>53.30780029</v>
      </c>
      <c r="D125" s="35">
        <v>-0.550832987</v>
      </c>
      <c r="E125" s="32" t="s">
        <v>90</v>
      </c>
      <c r="F125" s="32" t="s">
        <v>513</v>
      </c>
      <c r="G125" s="39" t="s">
        <v>91</v>
      </c>
      <c r="H125" s="33"/>
      <c r="I125" s="33"/>
      <c r="J125" s="33"/>
      <c r="K125" s="33"/>
      <c r="L125" s="33"/>
      <c r="M125" s="33"/>
    </row>
    <row r="126">
      <c r="A126" s="32" t="s">
        <v>100</v>
      </c>
      <c r="B126" s="32" t="s">
        <v>514</v>
      </c>
      <c r="C126" s="35">
        <v>52.61259842</v>
      </c>
      <c r="D126" s="35">
        <v>-0.476453006</v>
      </c>
      <c r="E126" s="32" t="s">
        <v>90</v>
      </c>
      <c r="F126" s="32" t="s">
        <v>515</v>
      </c>
      <c r="G126" s="39" t="s">
        <v>91</v>
      </c>
      <c r="H126" s="33"/>
      <c r="I126" s="33"/>
      <c r="J126" s="33"/>
      <c r="K126" s="33"/>
      <c r="L126" s="33"/>
      <c r="M126" s="33"/>
    </row>
    <row r="127">
      <c r="A127" s="32" t="s">
        <v>100</v>
      </c>
      <c r="B127" s="32" t="s">
        <v>516</v>
      </c>
      <c r="C127" s="35">
        <v>54.20550156</v>
      </c>
      <c r="D127" s="35">
        <v>-1.382089973</v>
      </c>
      <c r="E127" s="32" t="s">
        <v>90</v>
      </c>
      <c r="F127" s="32" t="s">
        <v>517</v>
      </c>
      <c r="G127" s="39" t="s">
        <v>91</v>
      </c>
      <c r="H127" s="33"/>
      <c r="I127" s="33"/>
      <c r="J127" s="33"/>
      <c r="K127" s="33"/>
      <c r="L127" s="33"/>
      <c r="M127" s="33"/>
    </row>
    <row r="128">
      <c r="A128" s="32" t="s">
        <v>100</v>
      </c>
      <c r="B128" s="32" t="s">
        <v>518</v>
      </c>
      <c r="C128" s="35">
        <v>53.03030014</v>
      </c>
      <c r="D128" s="35">
        <v>-0.483242005</v>
      </c>
      <c r="E128" s="32" t="s">
        <v>90</v>
      </c>
      <c r="F128" s="32" t="s">
        <v>519</v>
      </c>
      <c r="G128" s="39" t="s">
        <v>91</v>
      </c>
      <c r="H128" s="33"/>
      <c r="I128" s="33"/>
      <c r="J128" s="33"/>
      <c r="K128" s="33"/>
      <c r="L128" s="33"/>
      <c r="M128" s="33"/>
    </row>
    <row r="129">
      <c r="A129" s="32" t="s">
        <v>100</v>
      </c>
      <c r="B129" s="32" t="s">
        <v>520</v>
      </c>
      <c r="C129" s="35">
        <v>52.96220016</v>
      </c>
      <c r="D129" s="35">
        <v>-0.561625004</v>
      </c>
      <c r="E129" s="32" t="s">
        <v>90</v>
      </c>
      <c r="F129" s="32" t="s">
        <v>521</v>
      </c>
      <c r="G129" s="39" t="s">
        <v>91</v>
      </c>
      <c r="H129" s="33"/>
      <c r="I129" s="33"/>
      <c r="J129" s="33"/>
      <c r="K129" s="33"/>
      <c r="L129" s="33"/>
      <c r="M129" s="33"/>
    </row>
    <row r="130">
      <c r="A130" s="32" t="s">
        <v>100</v>
      </c>
      <c r="B130" s="32" t="s">
        <v>522</v>
      </c>
      <c r="C130" s="35">
        <v>51.25529861</v>
      </c>
      <c r="D130" s="35">
        <v>5.601389885</v>
      </c>
      <c r="E130" s="32" t="s">
        <v>127</v>
      </c>
      <c r="F130" s="32" t="s">
        <v>523</v>
      </c>
      <c r="G130" s="39" t="s">
        <v>128</v>
      </c>
      <c r="H130" s="33"/>
      <c r="I130" s="33"/>
      <c r="J130" s="33"/>
      <c r="K130" s="33"/>
      <c r="L130" s="33"/>
      <c r="M130" s="33"/>
    </row>
    <row r="131">
      <c r="A131" s="32" t="s">
        <v>100</v>
      </c>
      <c r="B131" s="32" t="s">
        <v>524</v>
      </c>
      <c r="C131" s="35">
        <v>52.0606</v>
      </c>
      <c r="D131" s="35">
        <v>5.87306</v>
      </c>
      <c r="E131" s="32" t="s">
        <v>127</v>
      </c>
      <c r="F131" s="32" t="s">
        <v>525</v>
      </c>
      <c r="G131" s="39" t="s">
        <v>128</v>
      </c>
      <c r="H131" s="33"/>
      <c r="I131" s="33"/>
      <c r="J131" s="33"/>
      <c r="K131" s="33"/>
      <c r="L131" s="33"/>
      <c r="M131" s="33"/>
    </row>
    <row r="132">
      <c r="A132" s="32" t="s">
        <v>100</v>
      </c>
      <c r="B132" s="32" t="s">
        <v>526</v>
      </c>
      <c r="C132" s="35">
        <v>53.11920166</v>
      </c>
      <c r="D132" s="35">
        <v>6.129720211</v>
      </c>
      <c r="E132" s="32" t="s">
        <v>127</v>
      </c>
      <c r="F132" s="32" t="s">
        <v>527</v>
      </c>
      <c r="G132" s="39" t="s">
        <v>128</v>
      </c>
      <c r="H132" s="33"/>
      <c r="I132" s="33"/>
      <c r="J132" s="33"/>
      <c r="K132" s="33"/>
      <c r="L132" s="33"/>
      <c r="M132" s="33"/>
    </row>
    <row r="133">
      <c r="A133" s="32" t="s">
        <v>100</v>
      </c>
      <c r="B133" s="32" t="s">
        <v>528</v>
      </c>
      <c r="C133" s="35">
        <v>51.56740189</v>
      </c>
      <c r="D133" s="35">
        <v>4.931829929</v>
      </c>
      <c r="E133" s="32" t="s">
        <v>127</v>
      </c>
      <c r="F133" s="32" t="s">
        <v>529</v>
      </c>
      <c r="G133" s="39" t="s">
        <v>128</v>
      </c>
      <c r="H133" s="33"/>
      <c r="I133" s="33"/>
      <c r="J133" s="33"/>
      <c r="K133" s="33"/>
      <c r="L133" s="33"/>
      <c r="M133" s="33"/>
    </row>
    <row r="134">
      <c r="A134" s="32" t="s">
        <v>100</v>
      </c>
      <c r="B134" s="32" t="s">
        <v>530</v>
      </c>
      <c r="C134" s="35">
        <v>53.30170059</v>
      </c>
      <c r="D134" s="35">
        <v>-6.451330185</v>
      </c>
      <c r="E134" s="32" t="s">
        <v>199</v>
      </c>
      <c r="F134" s="32" t="s">
        <v>531</v>
      </c>
      <c r="G134" s="39" t="s">
        <v>200</v>
      </c>
      <c r="H134" s="33"/>
      <c r="I134" s="33"/>
      <c r="J134" s="33"/>
      <c r="K134" s="33"/>
      <c r="L134" s="33"/>
      <c r="M134" s="33"/>
    </row>
    <row r="135">
      <c r="A135" s="32" t="s">
        <v>100</v>
      </c>
      <c r="B135" s="32" t="s">
        <v>532</v>
      </c>
      <c r="C135" s="35">
        <v>55.94139862</v>
      </c>
      <c r="D135" s="35">
        <v>12.38220024</v>
      </c>
      <c r="E135" s="32" t="s">
        <v>533</v>
      </c>
      <c r="F135" s="32" t="s">
        <v>534</v>
      </c>
      <c r="G135" s="36" t="e">
        <v>#N/A</v>
      </c>
      <c r="H135" s="33"/>
      <c r="I135" s="33"/>
      <c r="J135" s="33"/>
      <c r="K135" s="33"/>
      <c r="L135" s="33"/>
      <c r="M135" s="33"/>
    </row>
    <row r="136">
      <c r="A136" s="32" t="s">
        <v>100</v>
      </c>
      <c r="B136" s="32" t="s">
        <v>535</v>
      </c>
      <c r="C136" s="35">
        <v>57.27719879</v>
      </c>
      <c r="D136" s="35">
        <v>11.00010014</v>
      </c>
      <c r="E136" s="32" t="s">
        <v>533</v>
      </c>
      <c r="F136" s="32" t="s">
        <v>536</v>
      </c>
      <c r="G136" s="36" t="e">
        <v>#N/A</v>
      </c>
      <c r="H136" s="33"/>
      <c r="I136" s="33"/>
      <c r="J136" s="33"/>
      <c r="K136" s="33"/>
      <c r="L136" s="33"/>
      <c r="M136" s="33"/>
    </row>
    <row r="137">
      <c r="A137" s="32" t="s">
        <v>100</v>
      </c>
      <c r="B137" s="32" t="s">
        <v>537</v>
      </c>
      <c r="C137" s="35">
        <v>54.699299</v>
      </c>
      <c r="D137" s="35">
        <v>11.4401</v>
      </c>
      <c r="E137" s="32" t="s">
        <v>533</v>
      </c>
      <c r="F137" s="32" t="s">
        <v>538</v>
      </c>
      <c r="G137" s="36" t="e">
        <v>#N/A</v>
      </c>
      <c r="H137" s="33"/>
      <c r="I137" s="33"/>
      <c r="J137" s="33"/>
      <c r="K137" s="33"/>
      <c r="L137" s="33"/>
      <c r="M137" s="33"/>
    </row>
    <row r="138">
      <c r="A138" s="32" t="s">
        <v>100</v>
      </c>
      <c r="B138" s="32" t="s">
        <v>539</v>
      </c>
      <c r="C138" s="35">
        <v>54.87030029</v>
      </c>
      <c r="D138" s="35">
        <v>9.279009819</v>
      </c>
      <c r="E138" s="32" t="s">
        <v>533</v>
      </c>
      <c r="F138" s="32" t="s">
        <v>540</v>
      </c>
      <c r="G138" s="36" t="e">
        <v>#N/A</v>
      </c>
      <c r="H138" s="33"/>
      <c r="I138" s="33"/>
      <c r="J138" s="33"/>
      <c r="K138" s="33"/>
      <c r="L138" s="33"/>
      <c r="M138" s="33"/>
    </row>
    <row r="139">
      <c r="A139" s="32" t="s">
        <v>100</v>
      </c>
      <c r="B139" s="32" t="s">
        <v>541</v>
      </c>
      <c r="C139" s="35">
        <v>56.55020142</v>
      </c>
      <c r="D139" s="35">
        <v>9.172980309</v>
      </c>
      <c r="E139" s="32" t="s">
        <v>533</v>
      </c>
      <c r="F139" s="32" t="s">
        <v>542</v>
      </c>
      <c r="G139" s="36" t="e">
        <v>#N/A</v>
      </c>
      <c r="H139" s="33"/>
      <c r="I139" s="33"/>
      <c r="J139" s="33"/>
      <c r="K139" s="33"/>
      <c r="L139" s="33"/>
      <c r="M139" s="33"/>
    </row>
    <row r="140">
      <c r="A140" s="32" t="s">
        <v>100</v>
      </c>
      <c r="B140" s="32" t="s">
        <v>543</v>
      </c>
      <c r="C140" s="35">
        <v>55.43629837</v>
      </c>
      <c r="D140" s="35">
        <v>9.330920219</v>
      </c>
      <c r="E140" s="32" t="s">
        <v>533</v>
      </c>
      <c r="F140" s="32" t="s">
        <v>544</v>
      </c>
      <c r="G140" s="36" t="e">
        <v>#N/A</v>
      </c>
      <c r="H140" s="33"/>
      <c r="I140" s="33"/>
      <c r="J140" s="33"/>
      <c r="K140" s="33"/>
      <c r="L140" s="33"/>
      <c r="M140" s="33"/>
    </row>
    <row r="141">
      <c r="A141" s="32" t="s">
        <v>100</v>
      </c>
      <c r="B141" s="32" t="s">
        <v>545</v>
      </c>
      <c r="C141" s="35">
        <v>56.846901</v>
      </c>
      <c r="D141" s="35">
        <v>9.45861</v>
      </c>
      <c r="E141" s="32" t="s">
        <v>533</v>
      </c>
      <c r="F141" s="32" t="s">
        <v>546</v>
      </c>
      <c r="G141" s="36" t="e">
        <v>#N/A</v>
      </c>
      <c r="H141" s="33"/>
      <c r="I141" s="33"/>
      <c r="J141" s="33"/>
      <c r="K141" s="33"/>
      <c r="L141" s="33"/>
      <c r="M141" s="33"/>
    </row>
    <row r="142">
      <c r="A142" s="32" t="s">
        <v>100</v>
      </c>
      <c r="B142" s="32" t="s">
        <v>547</v>
      </c>
      <c r="C142" s="35">
        <v>60.63890076</v>
      </c>
      <c r="D142" s="35">
        <v>6.50150013</v>
      </c>
      <c r="E142" s="32" t="s">
        <v>343</v>
      </c>
      <c r="F142" s="32" t="s">
        <v>548</v>
      </c>
      <c r="G142" s="36" t="e">
        <v>#N/A</v>
      </c>
      <c r="H142" s="33"/>
      <c r="I142" s="33"/>
      <c r="J142" s="33"/>
      <c r="K142" s="33"/>
      <c r="L142" s="33"/>
      <c r="M142" s="33"/>
    </row>
    <row r="143">
      <c r="A143" s="32" t="s">
        <v>100</v>
      </c>
      <c r="B143" s="32" t="s">
        <v>549</v>
      </c>
      <c r="C143" s="35">
        <v>60.41730118</v>
      </c>
      <c r="D143" s="35">
        <v>8.518349648</v>
      </c>
      <c r="E143" s="32" t="s">
        <v>343</v>
      </c>
      <c r="F143" s="32" t="s">
        <v>550</v>
      </c>
      <c r="G143" s="36" t="e">
        <v>#N/A</v>
      </c>
      <c r="H143" s="33"/>
      <c r="I143" s="33"/>
      <c r="J143" s="33"/>
      <c r="K143" s="33"/>
      <c r="L143" s="33"/>
      <c r="M143" s="33"/>
    </row>
    <row r="144">
      <c r="A144" s="32" t="s">
        <v>100</v>
      </c>
      <c r="B144" s="32" t="s">
        <v>551</v>
      </c>
      <c r="C144" s="35">
        <v>59.96929932</v>
      </c>
      <c r="D144" s="35">
        <v>11.03610039</v>
      </c>
      <c r="E144" s="32" t="s">
        <v>343</v>
      </c>
      <c r="F144" s="32" t="s">
        <v>552</v>
      </c>
      <c r="G144" s="36" t="e">
        <v>#N/A</v>
      </c>
      <c r="H144" s="33"/>
      <c r="I144" s="33"/>
      <c r="J144" s="33"/>
      <c r="K144" s="33"/>
      <c r="L144" s="33"/>
      <c r="M144" s="33"/>
    </row>
    <row r="145">
      <c r="A145" s="32" t="s">
        <v>100</v>
      </c>
      <c r="B145" s="32" t="s">
        <v>553</v>
      </c>
      <c r="C145" s="35">
        <v>52.26850128</v>
      </c>
      <c r="D145" s="35">
        <v>20.9109993</v>
      </c>
      <c r="E145" s="32" t="s">
        <v>192</v>
      </c>
      <c r="F145" s="32" t="s">
        <v>554</v>
      </c>
      <c r="G145" s="39" t="s">
        <v>193</v>
      </c>
      <c r="H145" s="33"/>
      <c r="I145" s="33"/>
      <c r="J145" s="33"/>
      <c r="K145" s="33"/>
      <c r="L145" s="33"/>
      <c r="M145" s="33"/>
    </row>
    <row r="146">
      <c r="A146" s="32" t="s">
        <v>100</v>
      </c>
      <c r="B146" s="32" t="s">
        <v>555</v>
      </c>
      <c r="C146" s="35">
        <v>50.23809814</v>
      </c>
      <c r="D146" s="35">
        <v>19.03420067</v>
      </c>
      <c r="E146" s="32" t="s">
        <v>192</v>
      </c>
      <c r="F146" s="32" t="s">
        <v>556</v>
      </c>
      <c r="G146" s="39" t="s">
        <v>193</v>
      </c>
      <c r="H146" s="33"/>
      <c r="I146" s="33"/>
      <c r="J146" s="33"/>
      <c r="K146" s="33"/>
      <c r="L146" s="33"/>
      <c r="M146" s="33"/>
    </row>
    <row r="147">
      <c r="A147" s="32" t="s">
        <v>100</v>
      </c>
      <c r="B147" s="32" t="s">
        <v>557</v>
      </c>
      <c r="C147" s="35">
        <v>50.32229996</v>
      </c>
      <c r="D147" s="35">
        <v>21.46209908</v>
      </c>
      <c r="E147" s="32" t="s">
        <v>192</v>
      </c>
      <c r="F147" s="32" t="s">
        <v>558</v>
      </c>
      <c r="G147" s="39" t="s">
        <v>193</v>
      </c>
      <c r="H147" s="33"/>
      <c r="I147" s="33"/>
      <c r="J147" s="33"/>
      <c r="K147" s="33"/>
      <c r="L147" s="33"/>
      <c r="M147" s="33"/>
    </row>
    <row r="148">
      <c r="A148" s="32" t="s">
        <v>100</v>
      </c>
      <c r="B148" s="32" t="s">
        <v>559</v>
      </c>
      <c r="C148" s="35">
        <v>53.79059982</v>
      </c>
      <c r="D148" s="35">
        <v>15.82629967</v>
      </c>
      <c r="E148" s="32" t="s">
        <v>192</v>
      </c>
      <c r="F148" s="32" t="s">
        <v>560</v>
      </c>
      <c r="G148" s="39" t="s">
        <v>193</v>
      </c>
      <c r="H148" s="33"/>
      <c r="I148" s="33"/>
      <c r="J148" s="33"/>
      <c r="K148" s="33"/>
      <c r="L148" s="33"/>
      <c r="M148" s="33"/>
    </row>
    <row r="149">
      <c r="A149" s="32" t="s">
        <v>100</v>
      </c>
      <c r="B149" s="32" t="s">
        <v>561</v>
      </c>
      <c r="C149" s="35">
        <v>58.40230179</v>
      </c>
      <c r="D149" s="35">
        <v>15.52569962</v>
      </c>
      <c r="E149" s="32" t="s">
        <v>347</v>
      </c>
      <c r="F149" s="32" t="s">
        <v>562</v>
      </c>
      <c r="G149" s="36" t="e">
        <v>#N/A</v>
      </c>
      <c r="H149" s="33"/>
      <c r="I149" s="33"/>
      <c r="J149" s="33"/>
      <c r="K149" s="33"/>
      <c r="L149" s="33"/>
      <c r="M149" s="33"/>
    </row>
    <row r="150">
      <c r="A150" s="32" t="s">
        <v>100</v>
      </c>
      <c r="B150" s="32" t="s">
        <v>563</v>
      </c>
      <c r="C150" s="35">
        <v>58.61090088</v>
      </c>
      <c r="D150" s="35">
        <v>16.10359955</v>
      </c>
      <c r="E150" s="32" t="s">
        <v>347</v>
      </c>
      <c r="F150" s="32" t="s">
        <v>564</v>
      </c>
      <c r="G150" s="36" t="e">
        <v>#N/A</v>
      </c>
      <c r="H150" s="33"/>
      <c r="I150" s="33"/>
      <c r="J150" s="33"/>
      <c r="K150" s="33"/>
      <c r="L150" s="33"/>
      <c r="M150" s="33"/>
    </row>
    <row r="151">
      <c r="A151" s="32" t="s">
        <v>100</v>
      </c>
      <c r="B151" s="32" t="s">
        <v>565</v>
      </c>
      <c r="C151" s="35">
        <v>59.89730072</v>
      </c>
      <c r="D151" s="35">
        <v>17.58860016</v>
      </c>
      <c r="E151" s="32" t="s">
        <v>347</v>
      </c>
      <c r="F151" s="32" t="s">
        <v>566</v>
      </c>
      <c r="G151" s="36" t="e">
        <v>#N/A</v>
      </c>
      <c r="H151" s="33"/>
      <c r="I151" s="33"/>
      <c r="J151" s="33"/>
      <c r="K151" s="33"/>
      <c r="L151" s="33"/>
      <c r="M151" s="33"/>
    </row>
    <row r="152">
      <c r="A152" s="32" t="s">
        <v>100</v>
      </c>
      <c r="B152" s="32" t="s">
        <v>567</v>
      </c>
      <c r="C152" s="35">
        <v>58.49810028</v>
      </c>
      <c r="D152" s="35">
        <v>13.05319977</v>
      </c>
      <c r="E152" s="32" t="s">
        <v>347</v>
      </c>
      <c r="F152" s="32" t="s">
        <v>568</v>
      </c>
      <c r="G152" s="36" t="e">
        <v>#N/A</v>
      </c>
      <c r="H152" s="33"/>
      <c r="I152" s="33"/>
      <c r="J152" s="33"/>
      <c r="K152" s="33"/>
      <c r="L152" s="33"/>
      <c r="M152" s="33"/>
    </row>
    <row r="153">
      <c r="A153" s="32" t="s">
        <v>100</v>
      </c>
      <c r="B153" s="32" t="s">
        <v>569</v>
      </c>
      <c r="C153" s="35">
        <v>58.1697998</v>
      </c>
      <c r="D153" s="35">
        <v>13.58780003</v>
      </c>
      <c r="E153" s="32" t="s">
        <v>347</v>
      </c>
      <c r="F153" s="32" t="s">
        <v>570</v>
      </c>
      <c r="G153" s="36" t="e">
        <v>#N/A</v>
      </c>
      <c r="H153" s="33"/>
      <c r="I153" s="33"/>
      <c r="J153" s="33"/>
      <c r="K153" s="33"/>
      <c r="L153" s="33"/>
      <c r="M153" s="33"/>
    </row>
    <row r="154">
      <c r="A154" s="32" t="s">
        <v>100</v>
      </c>
      <c r="B154" s="32" t="s">
        <v>571</v>
      </c>
      <c r="C154" s="35">
        <v>58.51380157</v>
      </c>
      <c r="D154" s="35">
        <v>14.50710011</v>
      </c>
      <c r="E154" s="32" t="s">
        <v>347</v>
      </c>
      <c r="F154" s="32" t="s">
        <v>572</v>
      </c>
      <c r="G154" s="36" t="e">
        <v>#N/A</v>
      </c>
      <c r="H154" s="33"/>
      <c r="I154" s="33"/>
      <c r="J154" s="33"/>
      <c r="K154" s="33"/>
      <c r="L154" s="33"/>
      <c r="M154" s="33"/>
    </row>
    <row r="155">
      <c r="A155" s="32" t="s">
        <v>100</v>
      </c>
      <c r="B155" s="32" t="s">
        <v>573</v>
      </c>
      <c r="C155" s="35">
        <v>58.42639923</v>
      </c>
      <c r="D155" s="35">
        <v>12.71440029</v>
      </c>
      <c r="E155" s="32" t="s">
        <v>347</v>
      </c>
      <c r="F155" s="32" t="s">
        <v>574</v>
      </c>
      <c r="G155" s="36" t="e">
        <v>#N/A</v>
      </c>
      <c r="H155" s="33"/>
      <c r="I155" s="33"/>
      <c r="J155" s="33"/>
      <c r="K155" s="33"/>
      <c r="L155" s="33"/>
      <c r="M155" s="33"/>
    </row>
    <row r="156">
      <c r="A156" s="32" t="s">
        <v>100</v>
      </c>
      <c r="B156" s="32" t="s">
        <v>575</v>
      </c>
      <c r="C156" s="35">
        <v>59.41447436</v>
      </c>
      <c r="D156" s="35">
        <v>17.8821373</v>
      </c>
      <c r="E156" s="32" t="s">
        <v>347</v>
      </c>
      <c r="F156" s="32" t="s">
        <v>576</v>
      </c>
      <c r="G156" s="36" t="e">
        <v>#N/A</v>
      </c>
      <c r="H156" s="33"/>
      <c r="I156" s="33"/>
      <c r="J156" s="33"/>
      <c r="K156" s="33"/>
      <c r="L156" s="33"/>
      <c r="M156" s="33"/>
    </row>
    <row r="157">
      <c r="A157" s="32" t="s">
        <v>100</v>
      </c>
      <c r="B157" s="32" t="s">
        <v>577</v>
      </c>
      <c r="C157" s="35">
        <v>59.67589951</v>
      </c>
      <c r="D157" s="35">
        <v>12.63939953</v>
      </c>
      <c r="E157" s="32" t="s">
        <v>347</v>
      </c>
      <c r="F157" s="32" t="s">
        <v>578</v>
      </c>
      <c r="G157" s="36" t="e">
        <v>#N/A</v>
      </c>
      <c r="H157" s="33"/>
      <c r="I157" s="33"/>
      <c r="J157" s="33"/>
      <c r="K157" s="33"/>
      <c r="L157" s="33"/>
      <c r="M157" s="33"/>
    </row>
    <row r="158">
      <c r="A158" s="32" t="s">
        <v>100</v>
      </c>
      <c r="B158" s="32" t="s">
        <v>579</v>
      </c>
      <c r="C158" s="35">
        <v>56.610802</v>
      </c>
      <c r="D158" s="35">
        <v>15.6048</v>
      </c>
      <c r="E158" s="32" t="s">
        <v>347</v>
      </c>
      <c r="F158" s="32" t="s">
        <v>580</v>
      </c>
      <c r="G158" s="36" t="e">
        <v>#N/A</v>
      </c>
      <c r="H158" s="33"/>
      <c r="I158" s="33"/>
      <c r="J158" s="33"/>
      <c r="K158" s="33"/>
      <c r="L158" s="33"/>
      <c r="M158" s="33"/>
    </row>
    <row r="159">
      <c r="A159" s="32" t="s">
        <v>100</v>
      </c>
      <c r="B159" s="32" t="s">
        <v>581</v>
      </c>
      <c r="C159" s="35">
        <v>56.95029831</v>
      </c>
      <c r="D159" s="35">
        <v>13.92169952</v>
      </c>
      <c r="E159" s="32" t="s">
        <v>347</v>
      </c>
      <c r="F159" s="32" t="s">
        <v>582</v>
      </c>
      <c r="G159" s="36" t="e">
        <v>#N/A</v>
      </c>
      <c r="H159" s="33"/>
      <c r="I159" s="33"/>
      <c r="J159" s="33"/>
      <c r="K159" s="33"/>
      <c r="L159" s="33"/>
      <c r="M159" s="33"/>
    </row>
    <row r="160">
      <c r="A160" s="32" t="s">
        <v>100</v>
      </c>
      <c r="B160" s="32" t="s">
        <v>583</v>
      </c>
      <c r="C160" s="35">
        <v>57.2641983</v>
      </c>
      <c r="D160" s="35">
        <v>13.59939957</v>
      </c>
      <c r="E160" s="32" t="s">
        <v>347</v>
      </c>
      <c r="F160" s="32" t="s">
        <v>584</v>
      </c>
      <c r="G160" s="36" t="e">
        <v>#N/A</v>
      </c>
      <c r="H160" s="33"/>
      <c r="I160" s="33"/>
      <c r="J160" s="33"/>
      <c r="K160" s="33"/>
      <c r="L160" s="33"/>
      <c r="M160" s="33"/>
    </row>
    <row r="161">
      <c r="A161" s="32" t="s">
        <v>100</v>
      </c>
      <c r="B161" s="32" t="s">
        <v>585</v>
      </c>
      <c r="C161" s="35">
        <v>57.29219818</v>
      </c>
      <c r="D161" s="35">
        <v>14.13720036</v>
      </c>
      <c r="E161" s="32" t="s">
        <v>347</v>
      </c>
      <c r="F161" s="32" t="s">
        <v>586</v>
      </c>
      <c r="G161" s="36" t="e">
        <v>#N/A</v>
      </c>
      <c r="H161" s="33"/>
      <c r="I161" s="33"/>
      <c r="J161" s="33"/>
      <c r="K161" s="33"/>
      <c r="L161" s="33"/>
      <c r="M161" s="33"/>
    </row>
    <row r="162">
      <c r="A162" s="32" t="s">
        <v>100</v>
      </c>
      <c r="B162" s="32" t="s">
        <v>587</v>
      </c>
      <c r="C162" s="35">
        <v>63.73830032</v>
      </c>
      <c r="D162" s="35">
        <v>15.45829964</v>
      </c>
      <c r="E162" s="32" t="s">
        <v>347</v>
      </c>
      <c r="F162" s="32" t="s">
        <v>588</v>
      </c>
      <c r="G162" s="36" t="e">
        <v>#N/A</v>
      </c>
      <c r="H162" s="33"/>
      <c r="I162" s="33"/>
      <c r="J162" s="33"/>
      <c r="K162" s="33"/>
      <c r="L162" s="33"/>
      <c r="M162" s="33"/>
    </row>
    <row r="163">
      <c r="A163" s="32" t="s">
        <v>100</v>
      </c>
      <c r="B163" s="32" t="s">
        <v>589</v>
      </c>
      <c r="C163" s="35">
        <v>62.40890121</v>
      </c>
      <c r="D163" s="35">
        <v>13.74720001</v>
      </c>
      <c r="E163" s="32" t="s">
        <v>347</v>
      </c>
      <c r="F163" s="32" t="s">
        <v>590</v>
      </c>
      <c r="G163" s="36" t="e">
        <v>#N/A</v>
      </c>
      <c r="H163" s="33"/>
      <c r="I163" s="33"/>
      <c r="J163" s="33"/>
      <c r="K163" s="33"/>
      <c r="L163" s="33"/>
      <c r="M163" s="33"/>
    </row>
    <row r="164">
      <c r="A164" s="32" t="s">
        <v>100</v>
      </c>
      <c r="B164" s="32" t="s">
        <v>591</v>
      </c>
      <c r="C164" s="35">
        <v>66.49620056</v>
      </c>
      <c r="D164" s="35">
        <v>20.14719963</v>
      </c>
      <c r="E164" s="32" t="s">
        <v>347</v>
      </c>
      <c r="F164" s="32" t="s">
        <v>592</v>
      </c>
      <c r="G164" s="36" t="e">
        <v>#N/A</v>
      </c>
      <c r="H164" s="33"/>
      <c r="I164" s="33"/>
      <c r="J164" s="33"/>
      <c r="K164" s="33"/>
      <c r="L164" s="33"/>
      <c r="M164" s="33"/>
    </row>
    <row r="165">
      <c r="A165" s="32" t="s">
        <v>100</v>
      </c>
      <c r="B165" s="32" t="s">
        <v>593</v>
      </c>
      <c r="C165" s="35">
        <v>63.12860107</v>
      </c>
      <c r="D165" s="35">
        <v>14.80280018</v>
      </c>
      <c r="E165" s="32" t="s">
        <v>347</v>
      </c>
      <c r="F165" s="32" t="s">
        <v>594</v>
      </c>
      <c r="G165" s="36" t="e">
        <v>#N/A</v>
      </c>
      <c r="H165" s="33"/>
      <c r="I165" s="33"/>
      <c r="J165" s="33"/>
      <c r="K165" s="33"/>
      <c r="L165" s="33"/>
      <c r="M165" s="33"/>
    </row>
    <row r="166">
      <c r="A166" s="32" t="s">
        <v>100</v>
      </c>
      <c r="B166" s="32" t="s">
        <v>595</v>
      </c>
      <c r="C166" s="35">
        <v>65.39830017</v>
      </c>
      <c r="D166" s="35">
        <v>21.26079941</v>
      </c>
      <c r="E166" s="32" t="s">
        <v>347</v>
      </c>
      <c r="F166" s="32" t="s">
        <v>596</v>
      </c>
      <c r="G166" s="36" t="e">
        <v>#N/A</v>
      </c>
      <c r="H166" s="33"/>
      <c r="I166" s="33"/>
      <c r="J166" s="33"/>
      <c r="K166" s="33"/>
      <c r="L166" s="33"/>
      <c r="M166" s="33"/>
    </row>
    <row r="167">
      <c r="A167" s="32" t="s">
        <v>100</v>
      </c>
      <c r="B167" s="32" t="s">
        <v>597</v>
      </c>
      <c r="C167" s="35">
        <v>61.18999863</v>
      </c>
      <c r="D167" s="35">
        <v>14.71259975</v>
      </c>
      <c r="E167" s="32" t="s">
        <v>347</v>
      </c>
      <c r="F167" s="32" t="s">
        <v>598</v>
      </c>
      <c r="G167" s="36" t="e">
        <v>#N/A</v>
      </c>
      <c r="H167" s="33"/>
      <c r="I167" s="33"/>
      <c r="J167" s="33"/>
      <c r="K167" s="33"/>
      <c r="L167" s="33"/>
      <c r="M167" s="33"/>
    </row>
    <row r="168">
      <c r="A168" s="32" t="s">
        <v>100</v>
      </c>
      <c r="B168" s="32" t="s">
        <v>599</v>
      </c>
      <c r="C168" s="35">
        <v>62.4814</v>
      </c>
      <c r="D168" s="35">
        <v>17.002899</v>
      </c>
      <c r="E168" s="32" t="s">
        <v>347</v>
      </c>
      <c r="F168" s="32" t="s">
        <v>600</v>
      </c>
      <c r="G168" s="36" t="e">
        <v>#N/A</v>
      </c>
      <c r="H168" s="33"/>
      <c r="I168" s="33"/>
      <c r="J168" s="33"/>
      <c r="K168" s="33"/>
      <c r="L168" s="33"/>
      <c r="M168" s="33"/>
    </row>
    <row r="169">
      <c r="A169" s="32" t="s">
        <v>100</v>
      </c>
      <c r="B169" s="32" t="s">
        <v>601</v>
      </c>
      <c r="C169" s="35">
        <v>65.87529755</v>
      </c>
      <c r="D169" s="35">
        <v>20.14990044</v>
      </c>
      <c r="E169" s="32" t="s">
        <v>347</v>
      </c>
      <c r="F169" s="32" t="s">
        <v>602</v>
      </c>
      <c r="G169" s="36" t="e">
        <v>#N/A</v>
      </c>
      <c r="H169" s="33"/>
      <c r="I169" s="33"/>
      <c r="J169" s="33"/>
      <c r="K169" s="33"/>
      <c r="L169" s="33"/>
      <c r="M169" s="33"/>
    </row>
    <row r="170">
      <c r="A170" s="32" t="s">
        <v>100</v>
      </c>
      <c r="B170" s="32" t="s">
        <v>603</v>
      </c>
      <c r="C170" s="35">
        <v>59.38660049</v>
      </c>
      <c r="D170" s="35">
        <v>15.92409992</v>
      </c>
      <c r="E170" s="32" t="s">
        <v>347</v>
      </c>
      <c r="F170" s="32" t="s">
        <v>604</v>
      </c>
      <c r="G170" s="36" t="e">
        <v>#N/A</v>
      </c>
      <c r="H170" s="33"/>
      <c r="I170" s="33"/>
      <c r="J170" s="33"/>
      <c r="K170" s="33"/>
      <c r="L170" s="33"/>
      <c r="M170" s="33"/>
    </row>
    <row r="171">
      <c r="A171" s="32" t="s">
        <v>100</v>
      </c>
      <c r="B171" s="32" t="s">
        <v>605</v>
      </c>
      <c r="C171" s="35">
        <v>59.35110092</v>
      </c>
      <c r="D171" s="35">
        <v>16.70840073</v>
      </c>
      <c r="E171" s="32" t="s">
        <v>347</v>
      </c>
      <c r="F171" s="32" t="s">
        <v>606</v>
      </c>
      <c r="G171" s="36" t="e">
        <v>#N/A</v>
      </c>
      <c r="H171" s="33"/>
      <c r="I171" s="33"/>
      <c r="J171" s="33"/>
      <c r="K171" s="33"/>
      <c r="L171" s="33"/>
      <c r="M171" s="33"/>
    </row>
    <row r="172">
      <c r="A172" s="32" t="s">
        <v>100</v>
      </c>
      <c r="B172" s="32" t="s">
        <v>607</v>
      </c>
      <c r="C172" s="35">
        <v>67.76480103</v>
      </c>
      <c r="D172" s="35">
        <v>20.25720024</v>
      </c>
      <c r="E172" s="32" t="s">
        <v>347</v>
      </c>
      <c r="F172" s="32" t="s">
        <v>608</v>
      </c>
      <c r="G172" s="36" t="e">
        <v>#N/A</v>
      </c>
      <c r="H172" s="33"/>
      <c r="I172" s="33"/>
      <c r="J172" s="33"/>
      <c r="K172" s="33"/>
      <c r="L172" s="33"/>
      <c r="M172" s="33"/>
    </row>
    <row r="173">
      <c r="A173" s="32" t="s">
        <v>100</v>
      </c>
      <c r="B173" s="32" t="s">
        <v>609</v>
      </c>
      <c r="C173" s="35">
        <v>52.2785</v>
      </c>
      <c r="D173" s="35">
        <v>9.08217</v>
      </c>
      <c r="E173" s="32" t="s">
        <v>109</v>
      </c>
      <c r="F173" s="32" t="s">
        <v>610</v>
      </c>
      <c r="G173" s="39" t="s">
        <v>110</v>
      </c>
      <c r="H173" s="33"/>
      <c r="I173" s="33"/>
      <c r="J173" s="33"/>
      <c r="K173" s="33"/>
      <c r="L173" s="33"/>
      <c r="M173" s="33"/>
    </row>
    <row r="174">
      <c r="A174" s="32" t="s">
        <v>100</v>
      </c>
      <c r="B174" s="32" t="s">
        <v>611</v>
      </c>
      <c r="C174" s="35">
        <v>52.291199</v>
      </c>
      <c r="D174" s="35">
        <v>7.387</v>
      </c>
      <c r="E174" s="32" t="s">
        <v>109</v>
      </c>
      <c r="F174" s="32" t="s">
        <v>612</v>
      </c>
      <c r="G174" s="39" t="s">
        <v>110</v>
      </c>
      <c r="H174" s="33"/>
      <c r="I174" s="33"/>
      <c r="J174" s="33"/>
      <c r="K174" s="33"/>
      <c r="L174" s="33"/>
      <c r="M174" s="33"/>
    </row>
    <row r="175">
      <c r="A175" s="32" t="s">
        <v>100</v>
      </c>
      <c r="B175" s="32" t="s">
        <v>613</v>
      </c>
      <c r="C175" s="35">
        <v>51.1146</v>
      </c>
      <c r="D175" s="35">
        <v>9.286</v>
      </c>
      <c r="E175" s="32" t="s">
        <v>109</v>
      </c>
      <c r="F175" s="32" t="s">
        <v>614</v>
      </c>
      <c r="G175" s="39" t="s">
        <v>110</v>
      </c>
      <c r="H175" s="33"/>
      <c r="I175" s="33"/>
      <c r="J175" s="33"/>
      <c r="K175" s="33"/>
      <c r="L175" s="33"/>
      <c r="M175" s="33"/>
    </row>
    <row r="176">
      <c r="A176" s="32" t="s">
        <v>100</v>
      </c>
      <c r="B176" s="32" t="s">
        <v>615</v>
      </c>
      <c r="C176" s="35">
        <v>48.220299</v>
      </c>
      <c r="D176" s="35">
        <v>9.91002</v>
      </c>
      <c r="E176" s="32" t="s">
        <v>109</v>
      </c>
      <c r="F176" s="32" t="s">
        <v>616</v>
      </c>
      <c r="G176" s="39" t="s">
        <v>110</v>
      </c>
      <c r="H176" s="33"/>
      <c r="I176" s="33"/>
      <c r="J176" s="33"/>
      <c r="K176" s="33"/>
      <c r="L176" s="33"/>
      <c r="M176" s="33"/>
    </row>
    <row r="177">
      <c r="A177" s="32" t="s">
        <v>100</v>
      </c>
      <c r="B177" s="32" t="s">
        <v>617</v>
      </c>
      <c r="C177" s="35">
        <v>50.36600113</v>
      </c>
      <c r="D177" s="35">
        <v>7.315330029</v>
      </c>
      <c r="E177" s="32" t="s">
        <v>109</v>
      </c>
      <c r="F177" s="32" t="s">
        <v>618</v>
      </c>
      <c r="G177" s="39" t="s">
        <v>110</v>
      </c>
      <c r="H177" s="33"/>
      <c r="I177" s="33"/>
      <c r="J177" s="33"/>
      <c r="K177" s="33"/>
      <c r="L177" s="33"/>
      <c r="M177" s="33"/>
    </row>
    <row r="178">
      <c r="A178" s="32" t="s">
        <v>100</v>
      </c>
      <c r="B178" s="32" t="s">
        <v>619</v>
      </c>
      <c r="C178" s="35">
        <v>49.391945</v>
      </c>
      <c r="D178" s="35">
        <v>9.958889</v>
      </c>
      <c r="E178" s="32" t="s">
        <v>109</v>
      </c>
      <c r="F178" s="32" t="s">
        <v>620</v>
      </c>
      <c r="G178" s="39" t="s">
        <v>110</v>
      </c>
      <c r="H178" s="33"/>
      <c r="I178" s="33"/>
      <c r="J178" s="33"/>
      <c r="K178" s="33"/>
      <c r="L178" s="33"/>
      <c r="M178" s="33"/>
    </row>
    <row r="179">
      <c r="A179" s="32" t="s">
        <v>100</v>
      </c>
      <c r="B179" s="32" t="s">
        <v>621</v>
      </c>
      <c r="C179" s="35">
        <v>49.21749878</v>
      </c>
      <c r="D179" s="35">
        <v>11.1001997</v>
      </c>
      <c r="E179" s="32" t="s">
        <v>109</v>
      </c>
      <c r="F179" s="32" t="s">
        <v>622</v>
      </c>
      <c r="G179" s="39" t="s">
        <v>110</v>
      </c>
      <c r="H179" s="33"/>
      <c r="I179" s="33"/>
      <c r="J179" s="33"/>
      <c r="K179" s="33"/>
      <c r="L179" s="33"/>
      <c r="M179" s="33"/>
    </row>
    <row r="180">
      <c r="A180" s="32" t="s">
        <v>100</v>
      </c>
      <c r="B180" s="32" t="s">
        <v>623</v>
      </c>
      <c r="C180" s="35">
        <v>52.919399</v>
      </c>
      <c r="D180" s="35">
        <v>10.185827</v>
      </c>
      <c r="E180" s="32" t="s">
        <v>109</v>
      </c>
      <c r="F180" s="32" t="s">
        <v>624</v>
      </c>
      <c r="G180" s="39" t="s">
        <v>110</v>
      </c>
      <c r="H180" s="33"/>
      <c r="I180" s="33"/>
      <c r="J180" s="33"/>
      <c r="K180" s="33"/>
      <c r="L180" s="33"/>
      <c r="M180" s="33"/>
    </row>
    <row r="181">
      <c r="A181" s="32" t="s">
        <v>100</v>
      </c>
      <c r="B181" s="32" t="s">
        <v>625</v>
      </c>
      <c r="C181" s="35">
        <v>49.69869995</v>
      </c>
      <c r="D181" s="35">
        <v>11.94019985</v>
      </c>
      <c r="E181" s="32" t="s">
        <v>109</v>
      </c>
      <c r="F181" s="32" t="s">
        <v>626</v>
      </c>
      <c r="G181" s="39" t="s">
        <v>110</v>
      </c>
      <c r="H181" s="33"/>
      <c r="I181" s="33"/>
      <c r="J181" s="33"/>
      <c r="K181" s="33"/>
      <c r="L181" s="33"/>
      <c r="M181" s="33"/>
    </row>
    <row r="182">
      <c r="A182" s="32" t="s">
        <v>100</v>
      </c>
      <c r="B182" s="32" t="s">
        <v>627</v>
      </c>
      <c r="C182" s="35">
        <v>49.2181015</v>
      </c>
      <c r="D182" s="35">
        <v>11.83609962</v>
      </c>
      <c r="E182" s="32" t="s">
        <v>109</v>
      </c>
      <c r="F182" s="32" t="s">
        <v>628</v>
      </c>
      <c r="G182" s="39" t="s">
        <v>110</v>
      </c>
      <c r="H182" s="33"/>
      <c r="I182" s="33"/>
      <c r="J182" s="33"/>
      <c r="K182" s="33"/>
      <c r="L182" s="33"/>
      <c r="M182" s="33"/>
    </row>
    <row r="183">
      <c r="A183" s="32" t="s">
        <v>100</v>
      </c>
      <c r="B183" s="32" t="s">
        <v>629</v>
      </c>
      <c r="C183" s="35">
        <v>49.74309921</v>
      </c>
      <c r="D183" s="35">
        <v>10.20059967</v>
      </c>
      <c r="E183" s="32" t="s">
        <v>109</v>
      </c>
      <c r="F183" s="32" t="s">
        <v>630</v>
      </c>
      <c r="G183" s="39" t="s">
        <v>110</v>
      </c>
      <c r="H183" s="33"/>
      <c r="I183" s="33"/>
      <c r="J183" s="33"/>
      <c r="K183" s="33"/>
      <c r="L183" s="33"/>
      <c r="M183" s="33"/>
    </row>
    <row r="184">
      <c r="A184" s="32" t="s">
        <v>100</v>
      </c>
      <c r="B184" s="32" t="s">
        <v>631</v>
      </c>
      <c r="C184" s="35">
        <v>53.7677002</v>
      </c>
      <c r="D184" s="35">
        <v>8.658499718</v>
      </c>
      <c r="E184" s="32" t="s">
        <v>109</v>
      </c>
      <c r="F184" s="32" t="s">
        <v>632</v>
      </c>
      <c r="G184" s="39" t="s">
        <v>110</v>
      </c>
      <c r="H184" s="33"/>
      <c r="I184" s="33"/>
      <c r="J184" s="33"/>
      <c r="K184" s="33"/>
      <c r="L184" s="33"/>
      <c r="M184" s="33"/>
    </row>
    <row r="185">
      <c r="A185" s="32" t="s">
        <v>100</v>
      </c>
      <c r="B185" s="32" t="s">
        <v>633</v>
      </c>
      <c r="C185" s="35">
        <v>52.585556</v>
      </c>
      <c r="D185" s="35">
        <v>8.342222</v>
      </c>
      <c r="E185" s="32" t="s">
        <v>109</v>
      </c>
      <c r="F185" s="32" t="s">
        <v>634</v>
      </c>
      <c r="G185" s="39" t="s">
        <v>110</v>
      </c>
      <c r="H185" s="33"/>
      <c r="I185" s="33"/>
      <c r="J185" s="33"/>
      <c r="K185" s="33"/>
      <c r="L185" s="33"/>
      <c r="M185" s="33"/>
    </row>
    <row r="186">
      <c r="A186" s="32" t="s">
        <v>100</v>
      </c>
      <c r="B186" s="32" t="s">
        <v>635</v>
      </c>
      <c r="C186" s="35">
        <v>54.31219864</v>
      </c>
      <c r="D186" s="35">
        <v>9.538169861</v>
      </c>
      <c r="E186" s="32" t="s">
        <v>109</v>
      </c>
      <c r="F186" s="32" t="s">
        <v>636</v>
      </c>
      <c r="G186" s="39" t="s">
        <v>110</v>
      </c>
      <c r="H186" s="33"/>
      <c r="I186" s="33"/>
      <c r="J186" s="33"/>
      <c r="K186" s="33"/>
      <c r="L186" s="33"/>
      <c r="M186" s="33"/>
    </row>
    <row r="187">
      <c r="A187" s="32" t="s">
        <v>100</v>
      </c>
      <c r="B187" s="32" t="s">
        <v>637</v>
      </c>
      <c r="C187" s="35">
        <v>53.533501</v>
      </c>
      <c r="D187" s="35">
        <v>7.88867</v>
      </c>
      <c r="E187" s="32" t="s">
        <v>109</v>
      </c>
      <c r="F187" s="32" t="s">
        <v>638</v>
      </c>
      <c r="G187" s="39" t="s">
        <v>110</v>
      </c>
      <c r="H187" s="33"/>
      <c r="I187" s="33"/>
      <c r="J187" s="33"/>
      <c r="K187" s="33"/>
      <c r="L187" s="33"/>
      <c r="M187" s="33"/>
    </row>
    <row r="188">
      <c r="A188" s="32" t="s">
        <v>100</v>
      </c>
      <c r="B188" s="32" t="s">
        <v>639</v>
      </c>
      <c r="C188" s="35">
        <v>50.8312</v>
      </c>
      <c r="D188" s="35">
        <v>6.65817</v>
      </c>
      <c r="E188" s="32" t="s">
        <v>109</v>
      </c>
      <c r="F188" s="32" t="s">
        <v>640</v>
      </c>
      <c r="G188" s="39" t="s">
        <v>110</v>
      </c>
      <c r="H188" s="33"/>
      <c r="I188" s="33"/>
      <c r="J188" s="33"/>
      <c r="K188" s="33"/>
      <c r="L188" s="33"/>
      <c r="M188" s="33"/>
    </row>
    <row r="189">
      <c r="A189" s="32" t="s">
        <v>100</v>
      </c>
      <c r="B189" s="32" t="s">
        <v>641</v>
      </c>
      <c r="C189" s="35">
        <v>54.459301</v>
      </c>
      <c r="D189" s="35">
        <v>9.51633</v>
      </c>
      <c r="E189" s="32" t="s">
        <v>109</v>
      </c>
      <c r="F189" s="32" t="s">
        <v>642</v>
      </c>
      <c r="G189" s="39" t="s">
        <v>110</v>
      </c>
      <c r="H189" s="33"/>
      <c r="I189" s="33"/>
      <c r="J189" s="33"/>
      <c r="K189" s="33"/>
      <c r="L189" s="33"/>
      <c r="M189" s="33"/>
    </row>
    <row r="190">
      <c r="A190" s="32" t="s">
        <v>100</v>
      </c>
      <c r="B190" s="32" t="s">
        <v>643</v>
      </c>
      <c r="C190" s="35">
        <v>53.54779816</v>
      </c>
      <c r="D190" s="35">
        <v>7.667329788</v>
      </c>
      <c r="E190" s="32" t="s">
        <v>109</v>
      </c>
      <c r="F190" s="32" t="s">
        <v>644</v>
      </c>
      <c r="G190" s="39" t="s">
        <v>110</v>
      </c>
      <c r="H190" s="33"/>
      <c r="I190" s="33"/>
      <c r="J190" s="33"/>
      <c r="K190" s="33"/>
      <c r="L190" s="33"/>
      <c r="M190" s="33"/>
    </row>
    <row r="191">
      <c r="A191" s="32" t="s">
        <v>100</v>
      </c>
      <c r="B191" s="32" t="s">
        <v>645</v>
      </c>
      <c r="C191" s="35">
        <v>52.457298</v>
      </c>
      <c r="D191" s="35">
        <v>9.42717</v>
      </c>
      <c r="E191" s="32" t="s">
        <v>109</v>
      </c>
      <c r="F191" s="32" t="s">
        <v>646</v>
      </c>
      <c r="G191" s="39" t="s">
        <v>110</v>
      </c>
      <c r="H191" s="33"/>
      <c r="I191" s="33"/>
      <c r="J191" s="33"/>
      <c r="K191" s="33"/>
      <c r="L191" s="33"/>
      <c r="M191" s="33"/>
    </row>
    <row r="192">
      <c r="A192" s="32" t="s">
        <v>100</v>
      </c>
      <c r="B192" s="32" t="s">
        <v>647</v>
      </c>
      <c r="C192" s="35">
        <v>49.63359833</v>
      </c>
      <c r="D192" s="35">
        <v>11.76720047</v>
      </c>
      <c r="E192" s="32" t="s">
        <v>109</v>
      </c>
      <c r="F192" s="32" t="s">
        <v>648</v>
      </c>
      <c r="G192" s="39" t="s">
        <v>110</v>
      </c>
      <c r="H192" s="33"/>
      <c r="I192" s="33"/>
      <c r="J192" s="33"/>
      <c r="K192" s="33"/>
      <c r="L192" s="33"/>
      <c r="M192" s="33"/>
    </row>
    <row r="193">
      <c r="A193" s="32" t="s">
        <v>100</v>
      </c>
      <c r="B193" s="32" t="s">
        <v>649</v>
      </c>
      <c r="C193" s="35">
        <v>49.56359863</v>
      </c>
      <c r="D193" s="35">
        <v>8.46339035</v>
      </c>
      <c r="E193" s="32" t="s">
        <v>109</v>
      </c>
      <c r="F193" s="32" t="s">
        <v>650</v>
      </c>
      <c r="G193" s="39" t="s">
        <v>110</v>
      </c>
      <c r="H193" s="33"/>
      <c r="I193" s="33"/>
      <c r="J193" s="33"/>
      <c r="K193" s="33"/>
      <c r="L193" s="33"/>
      <c r="M193" s="33"/>
    </row>
    <row r="194">
      <c r="A194" s="32" t="s">
        <v>100</v>
      </c>
      <c r="B194" s="32" t="s">
        <v>651</v>
      </c>
      <c r="C194" s="35">
        <v>50.04980087</v>
      </c>
      <c r="D194" s="35">
        <v>8.325400352</v>
      </c>
      <c r="E194" s="32" t="s">
        <v>109</v>
      </c>
      <c r="F194" s="32" t="s">
        <v>652</v>
      </c>
      <c r="G194" s="39" t="s">
        <v>110</v>
      </c>
      <c r="H194" s="33"/>
      <c r="I194" s="33"/>
      <c r="J194" s="33"/>
      <c r="K194" s="33"/>
      <c r="L194" s="33"/>
      <c r="M194" s="33"/>
    </row>
    <row r="195">
      <c r="A195" s="32" t="s">
        <v>100</v>
      </c>
      <c r="B195" s="32" t="s">
        <v>653</v>
      </c>
      <c r="C195" s="35">
        <v>48.070599</v>
      </c>
      <c r="D195" s="35">
        <v>10.906</v>
      </c>
      <c r="E195" s="32" t="s">
        <v>109</v>
      </c>
      <c r="F195" s="32" t="s">
        <v>654</v>
      </c>
      <c r="G195" s="39" t="s">
        <v>110</v>
      </c>
      <c r="H195" s="33"/>
      <c r="I195" s="33"/>
      <c r="J195" s="33"/>
      <c r="K195" s="33"/>
      <c r="L195" s="33"/>
      <c r="M195" s="33"/>
    </row>
    <row r="196">
      <c r="A196" s="32" t="s">
        <v>100</v>
      </c>
      <c r="B196" s="32" t="s">
        <v>655</v>
      </c>
      <c r="C196" s="35">
        <v>50.17380142</v>
      </c>
      <c r="D196" s="35">
        <v>7.063330173</v>
      </c>
      <c r="E196" s="32" t="s">
        <v>109</v>
      </c>
      <c r="F196" s="32" t="s">
        <v>656</v>
      </c>
      <c r="G196" s="39" t="s">
        <v>110</v>
      </c>
      <c r="H196" s="33"/>
      <c r="I196" s="33"/>
      <c r="J196" s="33"/>
      <c r="K196" s="33"/>
      <c r="L196" s="33"/>
      <c r="M196" s="33"/>
    </row>
    <row r="197">
      <c r="A197" s="32" t="s">
        <v>100</v>
      </c>
      <c r="B197" s="32" t="s">
        <v>657</v>
      </c>
      <c r="C197" s="35">
        <v>48.32229996</v>
      </c>
      <c r="D197" s="35">
        <v>11.94869995</v>
      </c>
      <c r="E197" s="32" t="s">
        <v>109</v>
      </c>
      <c r="F197" s="32" t="s">
        <v>658</v>
      </c>
      <c r="G197" s="39" t="s">
        <v>110</v>
      </c>
      <c r="H197" s="33"/>
      <c r="I197" s="33"/>
      <c r="J197" s="33"/>
      <c r="K197" s="33"/>
      <c r="L197" s="33"/>
      <c r="M197" s="33"/>
    </row>
    <row r="198">
      <c r="A198" s="32" t="s">
        <v>100</v>
      </c>
      <c r="B198" s="32" t="s">
        <v>659</v>
      </c>
      <c r="C198" s="35">
        <v>51.767799</v>
      </c>
      <c r="D198" s="35">
        <v>13.1677</v>
      </c>
      <c r="E198" s="32" t="s">
        <v>109</v>
      </c>
      <c r="F198" s="32" t="s">
        <v>660</v>
      </c>
      <c r="G198" s="39" t="s">
        <v>110</v>
      </c>
      <c r="H198" s="33"/>
      <c r="I198" s="33"/>
      <c r="J198" s="33"/>
      <c r="K198" s="33"/>
      <c r="L198" s="33"/>
      <c r="M198" s="33"/>
    </row>
    <row r="199">
      <c r="A199" s="32" t="s">
        <v>100</v>
      </c>
      <c r="B199" s="32" t="s">
        <v>661</v>
      </c>
      <c r="C199" s="35">
        <v>48.1855011</v>
      </c>
      <c r="D199" s="35">
        <v>10.86120033</v>
      </c>
      <c r="E199" s="32" t="s">
        <v>109</v>
      </c>
      <c r="F199" s="32" t="s">
        <v>662</v>
      </c>
      <c r="G199" s="39" t="s">
        <v>110</v>
      </c>
      <c r="H199" s="33"/>
      <c r="I199" s="33"/>
      <c r="J199" s="33"/>
      <c r="K199" s="33"/>
      <c r="L199" s="33"/>
      <c r="M199" s="33"/>
    </row>
    <row r="200">
      <c r="A200" s="32" t="s">
        <v>100</v>
      </c>
      <c r="B200" s="32" t="s">
        <v>663</v>
      </c>
      <c r="C200" s="35">
        <v>48.710999</v>
      </c>
      <c r="D200" s="35">
        <v>11.2115</v>
      </c>
      <c r="E200" s="32" t="s">
        <v>109</v>
      </c>
      <c r="F200" s="32" t="s">
        <v>664</v>
      </c>
      <c r="G200" s="39" t="s">
        <v>110</v>
      </c>
      <c r="H200" s="33"/>
      <c r="I200" s="33"/>
      <c r="J200" s="33"/>
      <c r="K200" s="33"/>
      <c r="L200" s="33"/>
      <c r="M200" s="33"/>
    </row>
    <row r="201">
      <c r="A201" s="32" t="s">
        <v>100</v>
      </c>
      <c r="B201" s="32" t="s">
        <v>665</v>
      </c>
      <c r="C201" s="35">
        <v>-26.23859978</v>
      </c>
      <c r="D201" s="35">
        <v>28.30179977</v>
      </c>
      <c r="E201" s="32" t="s">
        <v>16</v>
      </c>
      <c r="F201" s="32" t="s">
        <v>666</v>
      </c>
      <c r="G201" s="36" t="e">
        <v>#N/A</v>
      </c>
      <c r="H201" s="33"/>
      <c r="I201" s="33"/>
      <c r="J201" s="33"/>
      <c r="K201" s="33"/>
      <c r="L201" s="33"/>
      <c r="M201" s="33"/>
    </row>
    <row r="202">
      <c r="A202" s="32" t="s">
        <v>100</v>
      </c>
      <c r="B202" s="32" t="s">
        <v>667</v>
      </c>
      <c r="C202" s="35">
        <v>-28.24839973</v>
      </c>
      <c r="D202" s="35">
        <v>28.33609962</v>
      </c>
      <c r="E202" s="32" t="s">
        <v>16</v>
      </c>
      <c r="F202" s="32" t="s">
        <v>668</v>
      </c>
      <c r="G202" s="36" t="e">
        <v>#N/A</v>
      </c>
      <c r="H202" s="33"/>
      <c r="I202" s="33"/>
      <c r="J202" s="33"/>
      <c r="K202" s="33"/>
      <c r="L202" s="33"/>
      <c r="M202" s="33"/>
    </row>
    <row r="203">
      <c r="A203" s="32" t="s">
        <v>100</v>
      </c>
      <c r="B203" s="32" t="s">
        <v>669</v>
      </c>
      <c r="C203" s="35">
        <v>-27.36680031</v>
      </c>
      <c r="D203" s="35">
        <v>26.62919998</v>
      </c>
      <c r="E203" s="32" t="s">
        <v>16</v>
      </c>
      <c r="F203" s="32" t="s">
        <v>670</v>
      </c>
      <c r="G203" s="36" t="e">
        <v>#N/A</v>
      </c>
      <c r="H203" s="33"/>
      <c r="I203" s="33"/>
      <c r="J203" s="33"/>
      <c r="K203" s="33"/>
      <c r="L203" s="33"/>
      <c r="M203" s="33"/>
    </row>
    <row r="204">
      <c r="A204" s="32" t="s">
        <v>100</v>
      </c>
      <c r="B204" s="32" t="s">
        <v>671</v>
      </c>
      <c r="C204" s="35">
        <v>-31.50029945</v>
      </c>
      <c r="D204" s="35">
        <v>19.72590065</v>
      </c>
      <c r="E204" s="32" t="s">
        <v>16</v>
      </c>
      <c r="F204" s="32" t="s">
        <v>672</v>
      </c>
      <c r="G204" s="36" t="e">
        <v>#N/A</v>
      </c>
      <c r="H204" s="33"/>
      <c r="I204" s="33"/>
      <c r="J204" s="33"/>
      <c r="K204" s="33"/>
      <c r="L204" s="33"/>
      <c r="M204" s="33"/>
    </row>
    <row r="205">
      <c r="A205" s="32" t="s">
        <v>100</v>
      </c>
      <c r="B205" s="32" t="s">
        <v>673</v>
      </c>
      <c r="C205" s="35">
        <v>-26.49559975</v>
      </c>
      <c r="D205" s="35">
        <v>29.97979927</v>
      </c>
      <c r="E205" s="32" t="s">
        <v>16</v>
      </c>
      <c r="F205" s="32" t="s">
        <v>674</v>
      </c>
      <c r="G205" s="36" t="e">
        <v>#N/A</v>
      </c>
      <c r="H205" s="33"/>
      <c r="I205" s="33"/>
      <c r="J205" s="33"/>
      <c r="K205" s="33"/>
      <c r="L205" s="33"/>
      <c r="M205" s="33"/>
    </row>
    <row r="206">
      <c r="A206" s="32" t="s">
        <v>100</v>
      </c>
      <c r="B206" s="32" t="s">
        <v>675</v>
      </c>
      <c r="C206" s="35">
        <v>-28.82309914</v>
      </c>
      <c r="D206" s="35">
        <v>27.90889931</v>
      </c>
      <c r="E206" s="32" t="s">
        <v>16</v>
      </c>
      <c r="F206" s="32" t="s">
        <v>676</v>
      </c>
      <c r="G206" s="36" t="e">
        <v>#N/A</v>
      </c>
      <c r="H206" s="33"/>
      <c r="I206" s="33"/>
      <c r="J206" s="33"/>
      <c r="K206" s="33"/>
      <c r="L206" s="33"/>
      <c r="M206" s="33"/>
    </row>
    <row r="207">
      <c r="A207" s="32" t="s">
        <v>100</v>
      </c>
      <c r="B207" s="32" t="s">
        <v>677</v>
      </c>
      <c r="C207" s="35">
        <v>-32.1935997</v>
      </c>
      <c r="D207" s="35">
        <v>24.54140091</v>
      </c>
      <c r="E207" s="32" t="s">
        <v>16</v>
      </c>
      <c r="F207" s="32" t="s">
        <v>678</v>
      </c>
      <c r="G207" s="36" t="e">
        <v>#N/A</v>
      </c>
      <c r="H207" s="33"/>
      <c r="I207" s="33"/>
      <c r="J207" s="33"/>
      <c r="K207" s="33"/>
      <c r="L207" s="33"/>
      <c r="M207" s="33"/>
    </row>
    <row r="208">
      <c r="A208" s="32" t="s">
        <v>100</v>
      </c>
      <c r="B208" s="32" t="s">
        <v>679</v>
      </c>
      <c r="C208" s="35">
        <v>-33.28469849</v>
      </c>
      <c r="D208" s="35">
        <v>26.49810028</v>
      </c>
      <c r="E208" s="32" t="s">
        <v>16</v>
      </c>
      <c r="F208" s="32" t="s">
        <v>680</v>
      </c>
      <c r="G208" s="36" t="e">
        <v>#N/A</v>
      </c>
      <c r="H208" s="33"/>
      <c r="I208" s="33"/>
      <c r="J208" s="33"/>
      <c r="K208" s="33"/>
      <c r="L208" s="33"/>
      <c r="M208" s="33"/>
    </row>
    <row r="209">
      <c r="A209" s="32" t="s">
        <v>100</v>
      </c>
      <c r="B209" s="32" t="s">
        <v>681</v>
      </c>
      <c r="C209" s="35">
        <v>-29.12199974</v>
      </c>
      <c r="D209" s="35">
        <v>30.58670044</v>
      </c>
      <c r="E209" s="32" t="s">
        <v>16</v>
      </c>
      <c r="F209" s="32" t="s">
        <v>682</v>
      </c>
      <c r="G209" s="36" t="e">
        <v>#N/A</v>
      </c>
      <c r="H209" s="33"/>
      <c r="I209" s="33"/>
      <c r="J209" s="33"/>
      <c r="K209" s="33"/>
      <c r="L209" s="33"/>
      <c r="M209" s="33"/>
    </row>
    <row r="210">
      <c r="A210" s="32" t="s">
        <v>100</v>
      </c>
      <c r="B210" s="32" t="s">
        <v>683</v>
      </c>
      <c r="C210" s="35">
        <v>-28.07869911</v>
      </c>
      <c r="D210" s="35">
        <v>26.86120033</v>
      </c>
      <c r="E210" s="32" t="s">
        <v>16</v>
      </c>
      <c r="F210" s="32" t="s">
        <v>684</v>
      </c>
      <c r="G210" s="36" t="e">
        <v>#N/A</v>
      </c>
      <c r="H210" s="33"/>
      <c r="I210" s="33"/>
      <c r="J210" s="33"/>
      <c r="K210" s="33"/>
      <c r="L210" s="33"/>
      <c r="M210" s="33"/>
    </row>
    <row r="211">
      <c r="A211" s="32" t="s">
        <v>100</v>
      </c>
      <c r="B211" s="32" t="s">
        <v>685</v>
      </c>
      <c r="C211" s="35">
        <v>-28.23509979</v>
      </c>
      <c r="D211" s="35">
        <v>29.10619926</v>
      </c>
      <c r="E211" s="32" t="s">
        <v>16</v>
      </c>
      <c r="F211" s="32" t="s">
        <v>686</v>
      </c>
      <c r="G211" s="36" t="e">
        <v>#N/A</v>
      </c>
      <c r="H211" s="33"/>
      <c r="I211" s="33"/>
      <c r="J211" s="33"/>
      <c r="K211" s="33"/>
      <c r="L211" s="33"/>
      <c r="M211" s="33"/>
    </row>
    <row r="212">
      <c r="A212" s="32" t="s">
        <v>100</v>
      </c>
      <c r="B212" s="32" t="s">
        <v>687</v>
      </c>
      <c r="C212" s="35">
        <v>-30.56220055</v>
      </c>
      <c r="D212" s="35">
        <v>25.52829933</v>
      </c>
      <c r="E212" s="32" t="s">
        <v>16</v>
      </c>
      <c r="F212" s="32" t="s">
        <v>688</v>
      </c>
      <c r="G212" s="36" t="e">
        <v>#N/A</v>
      </c>
      <c r="H212" s="33"/>
      <c r="I212" s="33"/>
      <c r="J212" s="33"/>
      <c r="K212" s="33"/>
      <c r="L212" s="33"/>
      <c r="M212" s="33"/>
    </row>
    <row r="213">
      <c r="A213" s="32" t="s">
        <v>100</v>
      </c>
      <c r="B213" s="32" t="s">
        <v>689</v>
      </c>
      <c r="C213" s="35">
        <v>-26.87109947</v>
      </c>
      <c r="D213" s="35">
        <v>26.71800041</v>
      </c>
      <c r="E213" s="32" t="s">
        <v>16</v>
      </c>
      <c r="F213" s="32" t="s">
        <v>690</v>
      </c>
      <c r="G213" s="36" t="e">
        <v>#N/A</v>
      </c>
      <c r="H213" s="33"/>
      <c r="I213" s="33"/>
      <c r="J213" s="33"/>
      <c r="K213" s="33"/>
      <c r="L213" s="33"/>
      <c r="M213" s="33"/>
    </row>
    <row r="214">
      <c r="A214" s="32" t="s">
        <v>100</v>
      </c>
      <c r="B214" s="32" t="s">
        <v>691</v>
      </c>
      <c r="C214" s="35">
        <v>-26.08082592</v>
      </c>
      <c r="D214" s="35">
        <v>27.72591496</v>
      </c>
      <c r="E214" s="32" t="s">
        <v>16</v>
      </c>
      <c r="F214" s="32" t="s">
        <v>692</v>
      </c>
      <c r="G214" s="36" t="e">
        <v>#N/A</v>
      </c>
      <c r="H214" s="33"/>
      <c r="I214" s="33"/>
      <c r="J214" s="33"/>
      <c r="K214" s="33"/>
      <c r="L214" s="33"/>
      <c r="M214" s="33"/>
    </row>
    <row r="215">
      <c r="A215" s="32" t="s">
        <v>100</v>
      </c>
      <c r="B215" s="32" t="s">
        <v>693</v>
      </c>
      <c r="C215" s="35">
        <v>-27.66060066</v>
      </c>
      <c r="D215" s="35">
        <v>27.31579971</v>
      </c>
      <c r="E215" s="32" t="s">
        <v>16</v>
      </c>
      <c r="F215" s="32" t="s">
        <v>694</v>
      </c>
      <c r="G215" s="36" t="e">
        <v>#N/A</v>
      </c>
      <c r="H215" s="33"/>
      <c r="I215" s="33"/>
      <c r="J215" s="33"/>
      <c r="K215" s="33"/>
      <c r="L215" s="33"/>
      <c r="M215" s="33"/>
    </row>
    <row r="216">
      <c r="A216" s="32" t="s">
        <v>100</v>
      </c>
      <c r="B216" s="32" t="s">
        <v>695</v>
      </c>
      <c r="C216" s="35">
        <v>-26.17569923</v>
      </c>
      <c r="D216" s="35">
        <v>26.18460083</v>
      </c>
      <c r="E216" s="32" t="s">
        <v>16</v>
      </c>
      <c r="F216" s="32" t="s">
        <v>696</v>
      </c>
      <c r="G216" s="36" t="e">
        <v>#N/A</v>
      </c>
      <c r="H216" s="33"/>
      <c r="I216" s="33"/>
      <c r="J216" s="33"/>
      <c r="K216" s="33"/>
      <c r="L216" s="33"/>
      <c r="M216" s="33"/>
    </row>
    <row r="217">
      <c r="A217" s="32" t="s">
        <v>100</v>
      </c>
      <c r="B217" s="32" t="s">
        <v>697</v>
      </c>
      <c r="C217" s="35">
        <v>-23.15990067</v>
      </c>
      <c r="D217" s="35">
        <v>29.69650078</v>
      </c>
      <c r="E217" s="32" t="s">
        <v>16</v>
      </c>
      <c r="F217" s="32" t="s">
        <v>698</v>
      </c>
      <c r="G217" s="36" t="e">
        <v>#N/A</v>
      </c>
      <c r="H217" s="33"/>
      <c r="I217" s="33"/>
      <c r="J217" s="33"/>
      <c r="K217" s="33"/>
      <c r="L217" s="33"/>
      <c r="M217" s="33"/>
    </row>
    <row r="218">
      <c r="A218" s="32" t="s">
        <v>100</v>
      </c>
      <c r="B218" s="32" t="s">
        <v>699</v>
      </c>
      <c r="C218" s="35">
        <v>-32.96889877</v>
      </c>
      <c r="D218" s="35">
        <v>18.1602993</v>
      </c>
      <c r="E218" s="32" t="s">
        <v>16</v>
      </c>
      <c r="F218" s="32" t="s">
        <v>700</v>
      </c>
      <c r="G218" s="36" t="e">
        <v>#N/A</v>
      </c>
      <c r="H218" s="33"/>
      <c r="I218" s="33"/>
      <c r="J218" s="33"/>
      <c r="K218" s="33"/>
      <c r="L218" s="33"/>
      <c r="M218" s="33"/>
    </row>
    <row r="219">
      <c r="A219" s="32" t="s">
        <v>100</v>
      </c>
      <c r="B219" s="32" t="s">
        <v>701</v>
      </c>
      <c r="C219" s="35">
        <v>-25.68479919</v>
      </c>
      <c r="D219" s="35">
        <v>29.44020081</v>
      </c>
      <c r="E219" s="32" t="s">
        <v>16</v>
      </c>
      <c r="F219" s="32" t="s">
        <v>702</v>
      </c>
      <c r="G219" s="36" t="e">
        <v>#N/A</v>
      </c>
      <c r="H219" s="33"/>
      <c r="I219" s="33"/>
      <c r="J219" s="33"/>
      <c r="K219" s="33"/>
      <c r="L219" s="33"/>
      <c r="M219" s="33"/>
    </row>
    <row r="220">
      <c r="A220" s="32" t="s">
        <v>100</v>
      </c>
      <c r="B220" s="32" t="s">
        <v>703</v>
      </c>
      <c r="C220" s="35">
        <v>-24.9890995</v>
      </c>
      <c r="D220" s="35">
        <v>29.28310013</v>
      </c>
      <c r="E220" s="32" t="s">
        <v>16</v>
      </c>
      <c r="F220" s="32" t="s">
        <v>704</v>
      </c>
      <c r="G220" s="36" t="e">
        <v>#N/A</v>
      </c>
      <c r="H220" s="33"/>
      <c r="I220" s="33"/>
      <c r="J220" s="33"/>
      <c r="K220" s="33"/>
      <c r="L220" s="33"/>
      <c r="M220" s="33"/>
    </row>
    <row r="221">
      <c r="A221" s="32" t="s">
        <v>100</v>
      </c>
      <c r="B221" s="32" t="s">
        <v>705</v>
      </c>
      <c r="C221" s="35">
        <v>-27.07929993</v>
      </c>
      <c r="D221" s="35">
        <v>29.7784996</v>
      </c>
      <c r="E221" s="32" t="s">
        <v>16</v>
      </c>
      <c r="F221" s="32" t="s">
        <v>706</v>
      </c>
      <c r="G221" s="36" t="e">
        <v>#N/A</v>
      </c>
      <c r="H221" s="33"/>
      <c r="I221" s="33"/>
      <c r="J221" s="33"/>
      <c r="K221" s="33"/>
      <c r="L221" s="33"/>
      <c r="M221" s="33"/>
    </row>
    <row r="222">
      <c r="A222" s="32" t="s">
        <v>100</v>
      </c>
      <c r="B222" s="32" t="s">
        <v>707</v>
      </c>
      <c r="C222" s="35">
        <v>-25.43000031</v>
      </c>
      <c r="D222" s="35">
        <v>31.57670021</v>
      </c>
      <c r="E222" s="32" t="s">
        <v>16</v>
      </c>
      <c r="F222" s="32" t="s">
        <v>708</v>
      </c>
      <c r="G222" s="36" t="e">
        <v>#N/A</v>
      </c>
      <c r="H222" s="33"/>
      <c r="I222" s="33"/>
      <c r="J222" s="33"/>
      <c r="K222" s="33"/>
      <c r="L222" s="33"/>
      <c r="M222" s="33"/>
    </row>
    <row r="223">
      <c r="A223" s="32" t="s">
        <v>100</v>
      </c>
      <c r="B223" s="32" t="s">
        <v>709</v>
      </c>
      <c r="C223" s="35">
        <v>-27.62610054</v>
      </c>
      <c r="D223" s="35">
        <v>32.04430008</v>
      </c>
      <c r="E223" s="32" t="s">
        <v>16</v>
      </c>
      <c r="F223" s="32" t="s">
        <v>710</v>
      </c>
      <c r="G223" s="36" t="e">
        <v>#N/A</v>
      </c>
      <c r="H223" s="33"/>
      <c r="I223" s="33"/>
      <c r="J223" s="33"/>
      <c r="K223" s="33"/>
      <c r="L223" s="33"/>
      <c r="M223" s="33"/>
    </row>
    <row r="224">
      <c r="A224" s="32" t="s">
        <v>100</v>
      </c>
      <c r="B224" s="32" t="s">
        <v>711</v>
      </c>
      <c r="C224" s="35">
        <v>-24.68610001</v>
      </c>
      <c r="D224" s="35">
        <v>28.43490028</v>
      </c>
      <c r="E224" s="32" t="s">
        <v>16</v>
      </c>
      <c r="F224" s="32" t="s">
        <v>712</v>
      </c>
      <c r="G224" s="36" t="e">
        <v>#N/A</v>
      </c>
      <c r="H224" s="33"/>
      <c r="I224" s="33"/>
      <c r="J224" s="33"/>
      <c r="K224" s="33"/>
      <c r="L224" s="33"/>
      <c r="M224" s="33"/>
    </row>
    <row r="225">
      <c r="A225" s="32" t="s">
        <v>100</v>
      </c>
      <c r="B225" s="32" t="s">
        <v>713</v>
      </c>
      <c r="C225" s="35">
        <v>-34.55490112</v>
      </c>
      <c r="D225" s="35">
        <v>20.2507</v>
      </c>
      <c r="E225" s="32" t="s">
        <v>16</v>
      </c>
      <c r="F225" s="32" t="s">
        <v>714</v>
      </c>
      <c r="G225" s="36" t="e">
        <v>#N/A</v>
      </c>
      <c r="H225" s="33"/>
      <c r="I225" s="33"/>
      <c r="J225" s="33"/>
      <c r="K225" s="33"/>
      <c r="L225" s="33"/>
      <c r="M225" s="33"/>
    </row>
    <row r="226">
      <c r="A226" s="32" t="s">
        <v>100</v>
      </c>
      <c r="B226" s="32" t="s">
        <v>715</v>
      </c>
      <c r="C226" s="35">
        <v>-34.08816017</v>
      </c>
      <c r="D226" s="35">
        <v>23.32872343</v>
      </c>
      <c r="E226" s="32" t="s">
        <v>16</v>
      </c>
      <c r="F226" s="32" t="s">
        <v>716</v>
      </c>
      <c r="G226" s="36" t="e">
        <v>#N/A</v>
      </c>
      <c r="H226" s="33"/>
      <c r="I226" s="33"/>
      <c r="J226" s="33"/>
      <c r="K226" s="33"/>
      <c r="L226" s="33"/>
      <c r="M226" s="33"/>
    </row>
    <row r="227">
      <c r="A227" s="32" t="s">
        <v>100</v>
      </c>
      <c r="B227" s="32" t="s">
        <v>717</v>
      </c>
      <c r="C227" s="35">
        <v>-23.92609978</v>
      </c>
      <c r="D227" s="35">
        <v>29.4843998</v>
      </c>
      <c r="E227" s="32" t="s">
        <v>16</v>
      </c>
      <c r="F227" s="32" t="s">
        <v>718</v>
      </c>
      <c r="G227" s="36" t="e">
        <v>#N/A</v>
      </c>
      <c r="H227" s="33"/>
      <c r="I227" s="33"/>
      <c r="J227" s="33"/>
      <c r="K227" s="33"/>
      <c r="L227" s="33"/>
      <c r="M227" s="33"/>
    </row>
    <row r="228">
      <c r="A228" s="32" t="s">
        <v>100</v>
      </c>
      <c r="B228" s="32" t="s">
        <v>719</v>
      </c>
      <c r="C228" s="35">
        <v>-31.60589981</v>
      </c>
      <c r="D228" s="35">
        <v>29.51980019</v>
      </c>
      <c r="E228" s="32" t="s">
        <v>16</v>
      </c>
      <c r="F228" s="32" t="s">
        <v>720</v>
      </c>
      <c r="G228" s="36" t="e">
        <v>#N/A</v>
      </c>
      <c r="H228" s="33"/>
      <c r="I228" s="33"/>
      <c r="J228" s="33"/>
      <c r="K228" s="33"/>
      <c r="L228" s="33"/>
      <c r="M228" s="33"/>
    </row>
    <row r="229">
      <c r="A229" s="32" t="s">
        <v>100</v>
      </c>
      <c r="B229" s="32" t="s">
        <v>721</v>
      </c>
      <c r="C229" s="35">
        <v>-26.67099953</v>
      </c>
      <c r="D229" s="35">
        <v>27.08189964</v>
      </c>
      <c r="E229" s="32" t="s">
        <v>16</v>
      </c>
      <c r="F229" s="32" t="s">
        <v>722</v>
      </c>
      <c r="G229" s="36" t="e">
        <v>#N/A</v>
      </c>
      <c r="H229" s="33"/>
      <c r="I229" s="33"/>
      <c r="J229" s="33"/>
      <c r="K229" s="33"/>
      <c r="L229" s="33"/>
      <c r="M229" s="33"/>
    </row>
    <row r="230">
      <c r="A230" s="32" t="s">
        <v>100</v>
      </c>
      <c r="B230" s="32" t="s">
        <v>723</v>
      </c>
      <c r="C230" s="35">
        <v>-26.88929939</v>
      </c>
      <c r="D230" s="35">
        <v>27.5034008</v>
      </c>
      <c r="E230" s="32" t="s">
        <v>16</v>
      </c>
      <c r="F230" s="32" t="s">
        <v>724</v>
      </c>
      <c r="G230" s="36" t="e">
        <v>#N/A</v>
      </c>
      <c r="H230" s="33"/>
      <c r="I230" s="33"/>
      <c r="J230" s="33"/>
      <c r="K230" s="33"/>
      <c r="L230" s="33"/>
      <c r="M230" s="33"/>
    </row>
    <row r="231">
      <c r="A231" s="32" t="s">
        <v>100</v>
      </c>
      <c r="B231" s="32" t="s">
        <v>725</v>
      </c>
      <c r="C231" s="35">
        <v>-25.64430046</v>
      </c>
      <c r="D231" s="35">
        <v>27.27109909</v>
      </c>
      <c r="E231" s="32" t="s">
        <v>16</v>
      </c>
      <c r="F231" s="32" t="s">
        <v>726</v>
      </c>
      <c r="G231" s="36" t="e">
        <v>#N/A</v>
      </c>
      <c r="H231" s="33"/>
      <c r="I231" s="33"/>
      <c r="J231" s="33"/>
      <c r="K231" s="33"/>
      <c r="L231" s="33"/>
      <c r="M231" s="33"/>
    </row>
    <row r="232">
      <c r="A232" s="32" t="s">
        <v>100</v>
      </c>
      <c r="B232" s="32" t="s">
        <v>727</v>
      </c>
      <c r="C232" s="35">
        <v>-26.52409935</v>
      </c>
      <c r="D232" s="35">
        <v>29.17009926</v>
      </c>
      <c r="E232" s="32" t="s">
        <v>16</v>
      </c>
      <c r="F232" s="32" t="s">
        <v>728</v>
      </c>
      <c r="G232" s="36" t="e">
        <v>#N/A</v>
      </c>
      <c r="H232" s="33"/>
      <c r="I232" s="33"/>
      <c r="J232" s="33"/>
      <c r="K232" s="33"/>
      <c r="L232" s="33"/>
      <c r="M232" s="33"/>
    </row>
    <row r="233">
      <c r="A233" s="32" t="s">
        <v>100</v>
      </c>
      <c r="B233" s="32" t="s">
        <v>729</v>
      </c>
      <c r="C233" s="35">
        <v>-32.96409988</v>
      </c>
      <c r="D233" s="35">
        <v>17.96929932</v>
      </c>
      <c r="E233" s="32" t="s">
        <v>16</v>
      </c>
      <c r="F233" s="32" t="s">
        <v>730</v>
      </c>
      <c r="G233" s="36" t="e">
        <v>#N/A</v>
      </c>
      <c r="H233" s="33"/>
      <c r="I233" s="33"/>
      <c r="J233" s="33"/>
      <c r="K233" s="33"/>
      <c r="L233" s="33"/>
      <c r="M233" s="33"/>
    </row>
    <row r="234">
      <c r="A234" s="32" t="s">
        <v>100</v>
      </c>
      <c r="B234" s="32" t="s">
        <v>731</v>
      </c>
      <c r="C234" s="35">
        <v>-26.24940047</v>
      </c>
      <c r="D234" s="35">
        <v>28.39827156</v>
      </c>
      <c r="E234" s="32" t="s">
        <v>16</v>
      </c>
      <c r="F234" s="32" t="s">
        <v>732</v>
      </c>
      <c r="G234" s="36" t="e">
        <v>#N/A</v>
      </c>
      <c r="H234" s="33"/>
      <c r="I234" s="33"/>
      <c r="J234" s="33"/>
      <c r="K234" s="33"/>
      <c r="L234" s="33"/>
      <c r="M234" s="33"/>
    </row>
    <row r="235">
      <c r="A235" s="32" t="s">
        <v>100</v>
      </c>
      <c r="B235" s="32" t="s">
        <v>733</v>
      </c>
      <c r="C235" s="35">
        <v>-25.80970001</v>
      </c>
      <c r="D235" s="35">
        <v>28.16460037</v>
      </c>
      <c r="E235" s="32" t="s">
        <v>16</v>
      </c>
      <c r="F235" s="32" t="s">
        <v>734</v>
      </c>
      <c r="G235" s="36" t="e">
        <v>#N/A</v>
      </c>
      <c r="H235" s="33"/>
      <c r="I235" s="33"/>
      <c r="J235" s="33"/>
      <c r="K235" s="33"/>
      <c r="L235" s="33"/>
      <c r="M235" s="33"/>
    </row>
    <row r="236">
      <c r="A236" s="32" t="s">
        <v>100</v>
      </c>
      <c r="B236" s="32" t="s">
        <v>735</v>
      </c>
      <c r="C236" s="35">
        <v>-34.0481987</v>
      </c>
      <c r="D236" s="35">
        <v>20.47459984</v>
      </c>
      <c r="E236" s="32" t="s">
        <v>16</v>
      </c>
      <c r="F236" s="32" t="s">
        <v>736</v>
      </c>
      <c r="G236" s="36" t="e">
        <v>#N/A</v>
      </c>
      <c r="H236" s="33"/>
      <c r="I236" s="33"/>
      <c r="J236" s="33"/>
      <c r="K236" s="33"/>
      <c r="L236" s="33"/>
      <c r="M236" s="33"/>
    </row>
    <row r="237">
      <c r="A237" s="32" t="s">
        <v>100</v>
      </c>
      <c r="B237" s="32" t="s">
        <v>737</v>
      </c>
      <c r="C237" s="35">
        <v>-28.26000023</v>
      </c>
      <c r="D237" s="35">
        <v>22.9932003</v>
      </c>
      <c r="E237" s="32" t="s">
        <v>16</v>
      </c>
      <c r="F237" s="32" t="s">
        <v>738</v>
      </c>
      <c r="G237" s="36" t="e">
        <v>#N/A</v>
      </c>
      <c r="H237" s="33"/>
      <c r="I237" s="33"/>
      <c r="J237" s="33"/>
      <c r="K237" s="33"/>
      <c r="L237" s="33"/>
      <c r="M237" s="33"/>
    </row>
    <row r="238">
      <c r="A238" s="32" t="s">
        <v>100</v>
      </c>
      <c r="B238" s="32" t="s">
        <v>739</v>
      </c>
      <c r="C238" s="35">
        <v>-29.03289986</v>
      </c>
      <c r="D238" s="35">
        <v>26.1576004</v>
      </c>
      <c r="E238" s="32" t="s">
        <v>16</v>
      </c>
      <c r="F238" s="32" t="s">
        <v>740</v>
      </c>
      <c r="G238" s="36" t="e">
        <v>#N/A</v>
      </c>
      <c r="H238" s="33"/>
      <c r="I238" s="33"/>
      <c r="J238" s="33"/>
      <c r="K238" s="33"/>
      <c r="L238" s="33"/>
      <c r="M238" s="33"/>
    </row>
    <row r="239">
      <c r="A239" s="32" t="s">
        <v>100</v>
      </c>
      <c r="B239" s="32" t="s">
        <v>741</v>
      </c>
      <c r="C239" s="35">
        <v>-26.77659988</v>
      </c>
      <c r="D239" s="35">
        <v>29.33880043</v>
      </c>
      <c r="E239" s="32" t="s">
        <v>16</v>
      </c>
      <c r="F239" s="32" t="s">
        <v>742</v>
      </c>
      <c r="G239" s="36" t="e">
        <v>#N/A</v>
      </c>
      <c r="H239" s="33"/>
      <c r="I239" s="33"/>
      <c r="J239" s="33"/>
      <c r="K239" s="33"/>
      <c r="L239" s="33"/>
      <c r="M239" s="33"/>
    </row>
    <row r="240">
      <c r="A240" s="32" t="s">
        <v>100</v>
      </c>
      <c r="B240" s="32" t="s">
        <v>743</v>
      </c>
      <c r="C240" s="35">
        <v>-31.64100075</v>
      </c>
      <c r="D240" s="35">
        <v>18.5447998</v>
      </c>
      <c r="E240" s="32" t="s">
        <v>16</v>
      </c>
      <c r="F240" s="32" t="s">
        <v>744</v>
      </c>
      <c r="G240" s="36" t="e">
        <v>#N/A</v>
      </c>
      <c r="H240" s="33"/>
      <c r="I240" s="33"/>
      <c r="J240" s="33"/>
      <c r="K240" s="33"/>
      <c r="L240" s="33"/>
      <c r="M240" s="33"/>
    </row>
    <row r="241">
      <c r="A241" s="32" t="s">
        <v>100</v>
      </c>
      <c r="B241" s="32" t="s">
        <v>745</v>
      </c>
      <c r="C241" s="35">
        <v>-26.56640053</v>
      </c>
      <c r="D241" s="35">
        <v>27.96080017</v>
      </c>
      <c r="E241" s="32" t="s">
        <v>16</v>
      </c>
      <c r="F241" s="32" t="s">
        <v>746</v>
      </c>
      <c r="G241" s="36" t="e">
        <v>#N/A</v>
      </c>
      <c r="H241" s="33"/>
      <c r="I241" s="33"/>
      <c r="J241" s="33"/>
      <c r="K241" s="33"/>
      <c r="L241" s="33"/>
      <c r="M241" s="33"/>
    </row>
    <row r="242">
      <c r="A242" s="32" t="s">
        <v>100</v>
      </c>
      <c r="B242" s="32" t="s">
        <v>747</v>
      </c>
      <c r="C242" s="35">
        <v>-25.83230019</v>
      </c>
      <c r="D242" s="35">
        <v>29.19199944</v>
      </c>
      <c r="E242" s="32" t="s">
        <v>16</v>
      </c>
      <c r="F242" s="32" t="s">
        <v>748</v>
      </c>
      <c r="G242" s="36" t="e">
        <v>#N/A</v>
      </c>
      <c r="H242" s="33"/>
      <c r="I242" s="33"/>
      <c r="J242" s="33"/>
      <c r="K242" s="33"/>
      <c r="L242" s="33"/>
      <c r="M242" s="33"/>
    </row>
    <row r="243">
      <c r="A243" s="32" t="s">
        <v>100</v>
      </c>
      <c r="B243" s="32" t="s">
        <v>749</v>
      </c>
      <c r="C243" s="35">
        <v>-25.82999992</v>
      </c>
      <c r="D243" s="35">
        <v>28.22249985</v>
      </c>
      <c r="E243" s="32" t="s">
        <v>16</v>
      </c>
      <c r="F243" s="32" t="s">
        <v>750</v>
      </c>
      <c r="G243" s="36" t="e">
        <v>#N/A</v>
      </c>
      <c r="H243" s="33"/>
      <c r="I243" s="33"/>
      <c r="J243" s="33"/>
      <c r="K243" s="33"/>
      <c r="L243" s="33"/>
      <c r="M243" s="33"/>
    </row>
    <row r="244">
      <c r="A244" s="32" t="s">
        <v>100</v>
      </c>
      <c r="B244" s="32" t="s">
        <v>751</v>
      </c>
      <c r="C244" s="35">
        <v>-33.90019989</v>
      </c>
      <c r="D244" s="35">
        <v>18.49830055</v>
      </c>
      <c r="E244" s="32" t="s">
        <v>16</v>
      </c>
      <c r="F244" s="32" t="s">
        <v>752</v>
      </c>
      <c r="G244" s="36" t="e">
        <v>#N/A</v>
      </c>
      <c r="H244" s="33"/>
      <c r="I244" s="33"/>
      <c r="J244" s="33"/>
      <c r="K244" s="33"/>
      <c r="L244" s="33"/>
      <c r="M244" s="33"/>
    </row>
    <row r="245">
      <c r="A245" s="32" t="s">
        <v>100</v>
      </c>
      <c r="B245" s="32" t="s">
        <v>753</v>
      </c>
      <c r="C245" s="35">
        <v>-25.59900093</v>
      </c>
      <c r="D245" s="35">
        <v>26.04229927</v>
      </c>
      <c r="E245" s="32" t="s">
        <v>16</v>
      </c>
      <c r="F245" s="32" t="s">
        <v>754</v>
      </c>
      <c r="G245" s="36" t="e">
        <v>#N/A</v>
      </c>
      <c r="H245" s="33"/>
      <c r="I245" s="33"/>
      <c r="J245" s="33"/>
      <c r="K245" s="33"/>
      <c r="L245" s="33"/>
      <c r="M245" s="33"/>
    </row>
    <row r="246">
      <c r="A246" s="32" t="s">
        <v>100</v>
      </c>
      <c r="B246" s="32" t="s">
        <v>755</v>
      </c>
      <c r="C246" s="35">
        <v>-7.31327</v>
      </c>
      <c r="D246" s="35">
        <v>72.411102</v>
      </c>
      <c r="E246" s="32" t="s">
        <v>756</v>
      </c>
      <c r="F246" s="32" t="s">
        <v>757</v>
      </c>
      <c r="G246" s="36" t="e">
        <v>#N/A</v>
      </c>
      <c r="H246" s="33"/>
      <c r="I246" s="33"/>
      <c r="J246" s="33"/>
      <c r="K246" s="33"/>
      <c r="L246" s="33"/>
      <c r="M246" s="33"/>
    </row>
    <row r="247">
      <c r="A247" s="32" t="s">
        <v>100</v>
      </c>
      <c r="B247" s="32" t="s">
        <v>758</v>
      </c>
      <c r="C247" s="35">
        <v>-12.57279968</v>
      </c>
      <c r="D247" s="35">
        <v>27.89389992</v>
      </c>
      <c r="E247" s="32" t="s">
        <v>759</v>
      </c>
      <c r="F247" s="32" t="s">
        <v>760</v>
      </c>
      <c r="G247" s="36" t="e">
        <v>#N/A</v>
      </c>
      <c r="H247" s="33"/>
      <c r="I247" s="33"/>
      <c r="J247" s="33"/>
      <c r="K247" s="33"/>
      <c r="L247" s="33"/>
      <c r="M247" s="33"/>
    </row>
    <row r="248">
      <c r="A248" s="32" t="s">
        <v>100</v>
      </c>
      <c r="B248" s="32" t="s">
        <v>761</v>
      </c>
      <c r="C248" s="35">
        <v>-15.25450039</v>
      </c>
      <c r="D248" s="35">
        <v>23.16230011</v>
      </c>
      <c r="E248" s="32" t="s">
        <v>759</v>
      </c>
      <c r="F248" s="32" t="s">
        <v>762</v>
      </c>
      <c r="G248" s="36" t="e">
        <v>#N/A</v>
      </c>
      <c r="H248" s="33"/>
      <c r="I248" s="33"/>
      <c r="J248" s="33"/>
      <c r="K248" s="33"/>
      <c r="L248" s="33"/>
      <c r="M248" s="33"/>
    </row>
    <row r="249">
      <c r="A249" s="32" t="s">
        <v>100</v>
      </c>
      <c r="B249" s="32" t="s">
        <v>763</v>
      </c>
      <c r="C249" s="35">
        <v>-12.37119961</v>
      </c>
      <c r="D249" s="35">
        <v>13.53660011</v>
      </c>
      <c r="E249" s="32" t="s">
        <v>764</v>
      </c>
      <c r="F249" s="32" t="s">
        <v>765</v>
      </c>
      <c r="G249" s="36" t="e">
        <v>#N/A</v>
      </c>
      <c r="H249" s="33"/>
      <c r="I249" s="33"/>
      <c r="J249" s="33"/>
      <c r="K249" s="33"/>
      <c r="L249" s="33"/>
      <c r="M249" s="33"/>
    </row>
    <row r="250">
      <c r="A250" s="32" t="s">
        <v>100</v>
      </c>
      <c r="B250" s="32" t="s">
        <v>766</v>
      </c>
      <c r="C250" s="35">
        <v>-15.03310013</v>
      </c>
      <c r="D250" s="35">
        <v>40.67169952</v>
      </c>
      <c r="E250" s="32" t="s">
        <v>767</v>
      </c>
      <c r="F250" s="32" t="s">
        <v>768</v>
      </c>
      <c r="G250" s="36" t="e">
        <v>#N/A</v>
      </c>
      <c r="H250" s="33"/>
      <c r="I250" s="33"/>
      <c r="J250" s="33"/>
      <c r="K250" s="33"/>
      <c r="L250" s="33"/>
      <c r="M250" s="33"/>
    </row>
    <row r="251">
      <c r="A251" s="32" t="s">
        <v>100</v>
      </c>
      <c r="B251" s="32" t="s">
        <v>769</v>
      </c>
      <c r="C251" s="35">
        <v>-11.6729002</v>
      </c>
      <c r="D251" s="35">
        <v>39.56309891</v>
      </c>
      <c r="E251" s="32" t="s">
        <v>767</v>
      </c>
      <c r="F251" s="32" t="s">
        <v>770</v>
      </c>
      <c r="G251" s="36" t="e">
        <v>#N/A</v>
      </c>
      <c r="H251" s="33"/>
      <c r="I251" s="33"/>
      <c r="J251" s="33"/>
      <c r="K251" s="33"/>
      <c r="L251" s="33"/>
      <c r="M251" s="33"/>
    </row>
    <row r="252">
      <c r="A252" s="32" t="s">
        <v>100</v>
      </c>
      <c r="B252" s="32" t="s">
        <v>771</v>
      </c>
      <c r="C252" s="35">
        <v>-13.22509956</v>
      </c>
      <c r="D252" s="35">
        <v>37.55210114</v>
      </c>
      <c r="E252" s="32" t="s">
        <v>767</v>
      </c>
      <c r="F252" s="32" t="s">
        <v>772</v>
      </c>
      <c r="G252" s="36" t="e">
        <v>#N/A</v>
      </c>
      <c r="H252" s="33"/>
      <c r="I252" s="33"/>
      <c r="J252" s="33"/>
      <c r="K252" s="33"/>
      <c r="L252" s="33"/>
      <c r="M252" s="33"/>
    </row>
    <row r="253">
      <c r="A253" s="32" t="s">
        <v>100</v>
      </c>
      <c r="B253" s="32" t="s">
        <v>773</v>
      </c>
      <c r="C253" s="35">
        <v>-15.60270023</v>
      </c>
      <c r="D253" s="35">
        <v>32.77320099</v>
      </c>
      <c r="E253" s="32" t="s">
        <v>767</v>
      </c>
      <c r="F253" s="32" t="s">
        <v>774</v>
      </c>
      <c r="G253" s="36" t="e">
        <v>#N/A</v>
      </c>
      <c r="H253" s="33"/>
      <c r="I253" s="33"/>
      <c r="J253" s="33"/>
      <c r="K253" s="33"/>
      <c r="L253" s="33"/>
      <c r="M253" s="33"/>
    </row>
    <row r="254">
      <c r="A254" s="32" t="s">
        <v>100</v>
      </c>
      <c r="B254" s="32" t="s">
        <v>775</v>
      </c>
      <c r="C254" s="35">
        <v>-14.70460033</v>
      </c>
      <c r="D254" s="35">
        <v>34.35240173</v>
      </c>
      <c r="E254" s="32" t="s">
        <v>767</v>
      </c>
      <c r="F254" s="32" t="s">
        <v>776</v>
      </c>
      <c r="G254" s="36" t="e">
        <v>#N/A</v>
      </c>
      <c r="H254" s="33"/>
      <c r="I254" s="33"/>
      <c r="J254" s="33"/>
      <c r="K254" s="33"/>
      <c r="L254" s="33"/>
      <c r="M254" s="33"/>
    </row>
    <row r="255">
      <c r="A255" s="32" t="s">
        <v>100</v>
      </c>
      <c r="B255" s="32" t="s">
        <v>777</v>
      </c>
      <c r="C255" s="35">
        <v>-7.00478</v>
      </c>
      <c r="D255" s="35">
        <v>52.7262</v>
      </c>
      <c r="E255" s="32" t="s">
        <v>778</v>
      </c>
      <c r="F255" s="32" t="s">
        <v>779</v>
      </c>
      <c r="G255" s="36" t="e">
        <v>#N/A</v>
      </c>
      <c r="H255" s="33"/>
      <c r="I255" s="33"/>
      <c r="J255" s="33"/>
      <c r="K255" s="33"/>
      <c r="L255" s="33"/>
      <c r="M255" s="33"/>
    </row>
    <row r="256">
      <c r="A256" s="32" t="s">
        <v>100</v>
      </c>
      <c r="B256" s="32" t="s">
        <v>780</v>
      </c>
      <c r="C256" s="35">
        <v>-10.1096</v>
      </c>
      <c r="D256" s="35">
        <v>51.176102</v>
      </c>
      <c r="E256" s="32" t="s">
        <v>778</v>
      </c>
      <c r="F256" s="32" t="s">
        <v>781</v>
      </c>
      <c r="G256" s="36" t="e">
        <v>#N/A</v>
      </c>
      <c r="H256" s="33"/>
      <c r="I256" s="33"/>
      <c r="J256" s="33"/>
      <c r="K256" s="33"/>
      <c r="L256" s="33"/>
      <c r="M256" s="33"/>
    </row>
    <row r="257">
      <c r="A257" s="32" t="s">
        <v>100</v>
      </c>
      <c r="B257" s="32" t="s">
        <v>782</v>
      </c>
      <c r="C257" s="35">
        <v>-7.13457</v>
      </c>
      <c r="D257" s="35">
        <v>56.278198</v>
      </c>
      <c r="E257" s="32" t="s">
        <v>778</v>
      </c>
      <c r="F257" s="32" t="s">
        <v>783</v>
      </c>
      <c r="G257" s="36" t="e">
        <v>#N/A</v>
      </c>
      <c r="H257" s="33"/>
      <c r="I257" s="33"/>
      <c r="J257" s="33"/>
      <c r="K257" s="33"/>
      <c r="L257" s="33"/>
      <c r="M257" s="33"/>
    </row>
    <row r="258">
      <c r="A258" s="32" t="s">
        <v>100</v>
      </c>
      <c r="B258" s="32" t="s">
        <v>784</v>
      </c>
      <c r="C258" s="35">
        <v>-17.75160027</v>
      </c>
      <c r="D258" s="35">
        <v>30.92469978</v>
      </c>
      <c r="E258" s="32" t="s">
        <v>785</v>
      </c>
      <c r="F258" s="32" t="s">
        <v>786</v>
      </c>
      <c r="G258" s="36" t="e">
        <v>#N/A</v>
      </c>
      <c r="H258" s="33"/>
      <c r="I258" s="33"/>
      <c r="J258" s="33"/>
      <c r="K258" s="33"/>
      <c r="L258" s="33"/>
      <c r="M258" s="33"/>
    </row>
    <row r="259">
      <c r="A259" s="32" t="s">
        <v>100</v>
      </c>
      <c r="B259" s="32" t="s">
        <v>787</v>
      </c>
      <c r="C259" s="35">
        <v>-17.43190002</v>
      </c>
      <c r="D259" s="35">
        <v>32.18450165</v>
      </c>
      <c r="E259" s="32" t="s">
        <v>785</v>
      </c>
      <c r="F259" s="32" t="s">
        <v>788</v>
      </c>
      <c r="G259" s="36" t="e">
        <v>#N/A</v>
      </c>
      <c r="H259" s="33"/>
      <c r="I259" s="33"/>
      <c r="J259" s="33"/>
      <c r="K259" s="33"/>
      <c r="L259" s="33"/>
      <c r="M259" s="33"/>
    </row>
    <row r="260">
      <c r="A260" s="32" t="s">
        <v>100</v>
      </c>
      <c r="B260" s="32" t="s">
        <v>789</v>
      </c>
      <c r="C260" s="35">
        <v>-18.99749947</v>
      </c>
      <c r="D260" s="35">
        <v>32.62720108</v>
      </c>
      <c r="E260" s="32" t="s">
        <v>785</v>
      </c>
      <c r="F260" s="32" t="s">
        <v>790</v>
      </c>
      <c r="G260" s="36" t="e">
        <v>#N/A</v>
      </c>
      <c r="H260" s="33"/>
      <c r="I260" s="33"/>
      <c r="J260" s="33"/>
      <c r="K260" s="33"/>
      <c r="L260" s="33"/>
      <c r="M260" s="33"/>
    </row>
    <row r="261">
      <c r="A261" s="32" t="s">
        <v>100</v>
      </c>
      <c r="B261" s="32" t="s">
        <v>791</v>
      </c>
      <c r="C261" s="35">
        <v>-20.28949928</v>
      </c>
      <c r="D261" s="35">
        <v>30.08819962</v>
      </c>
      <c r="E261" s="32" t="s">
        <v>785</v>
      </c>
      <c r="F261" s="32" t="s">
        <v>792</v>
      </c>
      <c r="G261" s="36" t="e">
        <v>#N/A</v>
      </c>
      <c r="H261" s="33"/>
      <c r="I261" s="33"/>
      <c r="J261" s="33"/>
      <c r="K261" s="33"/>
      <c r="L261" s="33"/>
      <c r="M261" s="33"/>
    </row>
    <row r="262">
      <c r="A262" s="32" t="s">
        <v>100</v>
      </c>
      <c r="B262" s="32" t="s">
        <v>793</v>
      </c>
      <c r="C262" s="35">
        <v>-13.0145998</v>
      </c>
      <c r="D262" s="35">
        <v>33.46860123</v>
      </c>
      <c r="E262" s="32" t="s">
        <v>794</v>
      </c>
      <c r="F262" s="32" t="s">
        <v>795</v>
      </c>
      <c r="G262" s="36" t="e">
        <v>#N/A</v>
      </c>
      <c r="H262" s="33"/>
      <c r="I262" s="33"/>
      <c r="J262" s="33"/>
      <c r="K262" s="33"/>
      <c r="L262" s="33"/>
      <c r="M262" s="33"/>
    </row>
    <row r="263">
      <c r="A263" s="32" t="s">
        <v>100</v>
      </c>
      <c r="B263" s="32" t="s">
        <v>796</v>
      </c>
      <c r="C263" s="35">
        <v>-29.30410004</v>
      </c>
      <c r="D263" s="35">
        <v>27.50349998</v>
      </c>
      <c r="E263" s="32" t="s">
        <v>797</v>
      </c>
      <c r="F263" s="32" t="s">
        <v>798</v>
      </c>
      <c r="G263" s="36" t="e">
        <v>#N/A</v>
      </c>
      <c r="H263" s="33"/>
      <c r="I263" s="33"/>
      <c r="J263" s="33"/>
      <c r="K263" s="33"/>
      <c r="L263" s="33"/>
      <c r="M263" s="33"/>
    </row>
    <row r="264">
      <c r="A264" s="32" t="s">
        <v>100</v>
      </c>
      <c r="B264" s="32" t="s">
        <v>799</v>
      </c>
      <c r="C264" s="35">
        <v>-5.918059826</v>
      </c>
      <c r="D264" s="35">
        <v>12.44769955</v>
      </c>
      <c r="E264" s="32" t="s">
        <v>800</v>
      </c>
      <c r="F264" s="32" t="s">
        <v>801</v>
      </c>
      <c r="G264" s="36" t="e">
        <v>#N/A</v>
      </c>
      <c r="H264" s="33"/>
      <c r="I264" s="33"/>
      <c r="J264" s="33"/>
      <c r="K264" s="33"/>
      <c r="L264" s="33"/>
      <c r="M264" s="33"/>
    </row>
    <row r="265">
      <c r="A265" s="32" t="s">
        <v>100</v>
      </c>
      <c r="B265" s="32" t="s">
        <v>802</v>
      </c>
      <c r="C265" s="35">
        <v>4.15763998</v>
      </c>
      <c r="D265" s="35">
        <v>21.65089989</v>
      </c>
      <c r="E265" s="32" t="s">
        <v>800</v>
      </c>
      <c r="F265" s="32" t="s">
        <v>803</v>
      </c>
      <c r="G265" s="36" t="e">
        <v>#N/A</v>
      </c>
      <c r="H265" s="33"/>
      <c r="I265" s="33"/>
      <c r="J265" s="33"/>
      <c r="K265" s="33"/>
      <c r="L265" s="33"/>
      <c r="M265" s="33"/>
    </row>
    <row r="266">
      <c r="A266" s="32" t="s">
        <v>100</v>
      </c>
      <c r="B266" s="32" t="s">
        <v>804</v>
      </c>
      <c r="C266" s="35">
        <v>2.818350077</v>
      </c>
      <c r="D266" s="35">
        <v>24.79369926</v>
      </c>
      <c r="E266" s="32" t="s">
        <v>800</v>
      </c>
      <c r="F266" s="32" t="s">
        <v>805</v>
      </c>
      <c r="G266" s="36" t="e">
        <v>#N/A</v>
      </c>
      <c r="H266" s="33"/>
      <c r="I266" s="33"/>
      <c r="J266" s="33"/>
      <c r="K266" s="33"/>
      <c r="L266" s="33"/>
      <c r="M266" s="33"/>
    </row>
    <row r="267">
      <c r="A267" s="32" t="s">
        <v>100</v>
      </c>
      <c r="B267" s="32" t="s">
        <v>806</v>
      </c>
      <c r="C267" s="35">
        <v>20.24300003</v>
      </c>
      <c r="D267" s="35">
        <v>0.977307975</v>
      </c>
      <c r="E267" s="32" t="s">
        <v>807</v>
      </c>
      <c r="F267" s="32" t="s">
        <v>808</v>
      </c>
      <c r="G267" s="36" t="e">
        <v>#N/A</v>
      </c>
      <c r="H267" s="33"/>
      <c r="I267" s="33"/>
      <c r="J267" s="33"/>
      <c r="K267" s="33"/>
      <c r="L267" s="33"/>
      <c r="M267" s="33"/>
    </row>
    <row r="268">
      <c r="A268" s="32" t="s">
        <v>100</v>
      </c>
      <c r="B268" s="32" t="s">
        <v>809</v>
      </c>
      <c r="C268" s="35">
        <v>11.28789997</v>
      </c>
      <c r="D268" s="35">
        <v>-15.18050003</v>
      </c>
      <c r="E268" s="32" t="s">
        <v>810</v>
      </c>
      <c r="F268" s="32" t="s">
        <v>811</v>
      </c>
      <c r="G268" s="36" t="e">
        <v>#N/A</v>
      </c>
      <c r="H268" s="33"/>
      <c r="I268" s="33"/>
      <c r="J268" s="33"/>
      <c r="K268" s="33"/>
      <c r="L268" s="33"/>
      <c r="M268" s="33"/>
    </row>
    <row r="269">
      <c r="A269" s="32" t="s">
        <v>100</v>
      </c>
      <c r="B269" s="32" t="s">
        <v>812</v>
      </c>
      <c r="C269" s="35">
        <v>33.50529861</v>
      </c>
      <c r="D269" s="35">
        <v>-5.152900219</v>
      </c>
      <c r="E269" s="32" t="s">
        <v>17</v>
      </c>
      <c r="F269" s="32" t="s">
        <v>813</v>
      </c>
      <c r="G269" s="36" t="e">
        <v>#N/A</v>
      </c>
      <c r="H269" s="33"/>
      <c r="I269" s="33"/>
      <c r="J269" s="33"/>
      <c r="K269" s="33"/>
      <c r="L269" s="33"/>
      <c r="M269" s="33"/>
    </row>
    <row r="270">
      <c r="A270" s="32" t="s">
        <v>100</v>
      </c>
      <c r="B270" s="32" t="s">
        <v>814</v>
      </c>
      <c r="C270" s="35">
        <v>33.65539932</v>
      </c>
      <c r="D270" s="35">
        <v>-7.221449852</v>
      </c>
      <c r="E270" s="32" t="s">
        <v>17</v>
      </c>
      <c r="F270" s="32" t="s">
        <v>815</v>
      </c>
      <c r="G270" s="36" t="e">
        <v>#N/A</v>
      </c>
      <c r="H270" s="33"/>
      <c r="I270" s="33"/>
      <c r="J270" s="33"/>
      <c r="K270" s="33"/>
      <c r="L270" s="33"/>
      <c r="M270" s="33"/>
    </row>
    <row r="271">
      <c r="A271" s="32" t="s">
        <v>100</v>
      </c>
      <c r="B271" s="32" t="s">
        <v>816</v>
      </c>
      <c r="C271" s="35">
        <v>25.23670006</v>
      </c>
      <c r="D271" s="35">
        <v>-11.58870029</v>
      </c>
      <c r="E271" s="32" t="s">
        <v>817</v>
      </c>
      <c r="F271" s="32" t="s">
        <v>818</v>
      </c>
      <c r="G271" s="36" t="e">
        <v>#N/A</v>
      </c>
      <c r="H271" s="33"/>
      <c r="I271" s="33"/>
      <c r="J271" s="33"/>
      <c r="K271" s="33"/>
      <c r="L271" s="33"/>
      <c r="M271" s="33"/>
    </row>
    <row r="272">
      <c r="A272" s="32" t="s">
        <v>100</v>
      </c>
      <c r="B272" s="32" t="s">
        <v>819</v>
      </c>
      <c r="C272" s="35">
        <v>9.003685</v>
      </c>
      <c r="D272" s="35">
        <v>38.725498</v>
      </c>
      <c r="E272" s="32" t="s">
        <v>18</v>
      </c>
      <c r="F272" s="32" t="s">
        <v>43</v>
      </c>
      <c r="G272" s="36" t="e">
        <v>#N/A</v>
      </c>
      <c r="H272" s="33"/>
      <c r="I272" s="33"/>
      <c r="J272" s="33"/>
      <c r="K272" s="33"/>
      <c r="L272" s="33"/>
      <c r="M272" s="33"/>
    </row>
    <row r="273">
      <c r="A273" s="32" t="s">
        <v>100</v>
      </c>
      <c r="B273" s="32" t="s">
        <v>820</v>
      </c>
      <c r="C273" s="35">
        <v>30.11639977</v>
      </c>
      <c r="D273" s="35">
        <v>30.91539955</v>
      </c>
      <c r="E273" s="32" t="s">
        <v>15</v>
      </c>
      <c r="F273" s="32" t="s">
        <v>821</v>
      </c>
      <c r="G273" s="36" t="e">
        <v>#N/A</v>
      </c>
      <c r="H273" s="33"/>
      <c r="I273" s="33"/>
      <c r="J273" s="33"/>
      <c r="K273" s="33"/>
      <c r="L273" s="33"/>
      <c r="M273" s="33"/>
    </row>
    <row r="274">
      <c r="A274" s="32" t="s">
        <v>100</v>
      </c>
      <c r="B274" s="32" t="s">
        <v>822</v>
      </c>
      <c r="C274" s="35">
        <v>0.271342009</v>
      </c>
      <c r="D274" s="35">
        <v>34.78730011</v>
      </c>
      <c r="E274" s="32" t="s">
        <v>21</v>
      </c>
      <c r="F274" s="32" t="s">
        <v>823</v>
      </c>
      <c r="G274" s="36" t="e">
        <v>#N/A</v>
      </c>
      <c r="H274" s="33"/>
      <c r="I274" s="33"/>
      <c r="J274" s="33"/>
      <c r="K274" s="33"/>
      <c r="L274" s="33"/>
      <c r="M274" s="33"/>
    </row>
    <row r="275">
      <c r="A275" s="32" t="s">
        <v>100</v>
      </c>
      <c r="B275" s="32" t="s">
        <v>824</v>
      </c>
      <c r="C275" s="35">
        <v>-0.787953019</v>
      </c>
      <c r="D275" s="35">
        <v>36.43349838</v>
      </c>
      <c r="E275" s="32" t="s">
        <v>21</v>
      </c>
      <c r="F275" s="32" t="s">
        <v>825</v>
      </c>
      <c r="G275" s="36" t="e">
        <v>#N/A</v>
      </c>
      <c r="H275" s="33"/>
      <c r="I275" s="33"/>
      <c r="J275" s="33"/>
      <c r="K275" s="33"/>
      <c r="L275" s="33"/>
      <c r="M275" s="33"/>
    </row>
    <row r="276">
      <c r="A276" s="32" t="s">
        <v>100</v>
      </c>
      <c r="B276" s="32" t="s">
        <v>826</v>
      </c>
      <c r="C276" s="35">
        <v>-1.277269959</v>
      </c>
      <c r="D276" s="35">
        <v>36.86230087</v>
      </c>
      <c r="E276" s="32" t="s">
        <v>21</v>
      </c>
      <c r="F276" s="32" t="s">
        <v>827</v>
      </c>
      <c r="G276" s="36" t="e">
        <v>#N/A</v>
      </c>
      <c r="H276" s="33"/>
      <c r="I276" s="33"/>
      <c r="J276" s="33"/>
      <c r="K276" s="33"/>
      <c r="L276" s="33"/>
      <c r="M276" s="33"/>
    </row>
    <row r="277">
      <c r="A277" s="32" t="s">
        <v>100</v>
      </c>
      <c r="B277" s="32" t="s">
        <v>828</v>
      </c>
      <c r="C277" s="35">
        <v>28.79540062</v>
      </c>
      <c r="D277" s="35">
        <v>22.08090019</v>
      </c>
      <c r="E277" s="32" t="s">
        <v>829</v>
      </c>
      <c r="F277" s="32" t="s">
        <v>830</v>
      </c>
      <c r="G277" s="36" t="e">
        <v>#N/A</v>
      </c>
      <c r="H277" s="33"/>
      <c r="I277" s="33"/>
      <c r="J277" s="33"/>
      <c r="K277" s="33"/>
      <c r="L277" s="33"/>
      <c r="M277" s="33"/>
    </row>
    <row r="278">
      <c r="A278" s="32" t="s">
        <v>100</v>
      </c>
      <c r="B278" s="32" t="s">
        <v>831</v>
      </c>
      <c r="C278" s="35">
        <v>28.63850021</v>
      </c>
      <c r="D278" s="35">
        <v>21.43799973</v>
      </c>
      <c r="E278" s="32" t="s">
        <v>829</v>
      </c>
      <c r="F278" s="32" t="s">
        <v>832</v>
      </c>
      <c r="G278" s="36" t="e">
        <v>#N/A</v>
      </c>
      <c r="H278" s="33"/>
      <c r="I278" s="33"/>
      <c r="J278" s="33"/>
      <c r="K278" s="33"/>
      <c r="L278" s="33"/>
      <c r="M278" s="33"/>
    </row>
    <row r="279">
      <c r="A279" s="32" t="s">
        <v>100</v>
      </c>
      <c r="B279" s="32" t="s">
        <v>833</v>
      </c>
      <c r="C279" s="35">
        <v>30.37809944</v>
      </c>
      <c r="D279" s="35">
        <v>19.57640076</v>
      </c>
      <c r="E279" s="32" t="s">
        <v>829</v>
      </c>
      <c r="F279" s="32" t="s">
        <v>834</v>
      </c>
      <c r="G279" s="36" t="e">
        <v>#N/A</v>
      </c>
      <c r="H279" s="33"/>
      <c r="I279" s="33"/>
      <c r="J279" s="33"/>
      <c r="K279" s="33"/>
      <c r="L279" s="33"/>
      <c r="M279" s="33"/>
    </row>
    <row r="280">
      <c r="A280" s="32" t="s">
        <v>100</v>
      </c>
      <c r="B280" s="32" t="s">
        <v>835</v>
      </c>
      <c r="C280" s="35">
        <v>30.5</v>
      </c>
      <c r="D280" s="35">
        <v>18.5272007</v>
      </c>
      <c r="E280" s="32" t="s">
        <v>829</v>
      </c>
      <c r="F280" s="32" t="s">
        <v>836</v>
      </c>
      <c r="G280" s="36" t="e">
        <v>#N/A</v>
      </c>
      <c r="H280" s="33"/>
      <c r="I280" s="33"/>
      <c r="J280" s="33"/>
      <c r="K280" s="33"/>
      <c r="L280" s="33"/>
      <c r="M280" s="33"/>
    </row>
    <row r="281">
      <c r="A281" s="32" t="s">
        <v>100</v>
      </c>
      <c r="B281" s="32" t="s">
        <v>837</v>
      </c>
      <c r="C281" s="35">
        <v>29.11009979</v>
      </c>
      <c r="D281" s="35">
        <v>15.96560001</v>
      </c>
      <c r="E281" s="32" t="s">
        <v>829</v>
      </c>
      <c r="F281" s="32" t="s">
        <v>838</v>
      </c>
      <c r="G281" s="36" t="e">
        <v>#N/A</v>
      </c>
      <c r="H281" s="33"/>
      <c r="I281" s="33"/>
      <c r="J281" s="33"/>
      <c r="K281" s="33"/>
      <c r="L281" s="33"/>
      <c r="M281" s="33"/>
    </row>
    <row r="282">
      <c r="A282" s="32" t="s">
        <v>100</v>
      </c>
      <c r="B282" s="32" t="s">
        <v>839</v>
      </c>
      <c r="C282" s="35">
        <v>29.47260094</v>
      </c>
      <c r="D282" s="35">
        <v>17.93490028</v>
      </c>
      <c r="E282" s="32" t="s">
        <v>829</v>
      </c>
      <c r="F282" s="32" t="s">
        <v>840</v>
      </c>
      <c r="G282" s="36" t="e">
        <v>#N/A</v>
      </c>
      <c r="H282" s="33"/>
      <c r="I282" s="33"/>
      <c r="J282" s="33"/>
      <c r="K282" s="33"/>
      <c r="L282" s="33"/>
      <c r="M282" s="33"/>
    </row>
    <row r="283">
      <c r="A283" s="32" t="s">
        <v>100</v>
      </c>
      <c r="B283" s="32" t="s">
        <v>841</v>
      </c>
      <c r="C283" s="35">
        <v>28.58989906</v>
      </c>
      <c r="D283" s="35">
        <v>17.29389954</v>
      </c>
      <c r="E283" s="32" t="s">
        <v>829</v>
      </c>
      <c r="F283" s="32" t="s">
        <v>842</v>
      </c>
      <c r="G283" s="36" t="e">
        <v>#N/A</v>
      </c>
      <c r="H283" s="33"/>
      <c r="I283" s="33"/>
      <c r="J283" s="33"/>
      <c r="K283" s="33"/>
      <c r="L283" s="33"/>
      <c r="M283" s="33"/>
    </row>
    <row r="284">
      <c r="A284" s="32" t="s">
        <v>100</v>
      </c>
      <c r="B284" s="32" t="s">
        <v>843</v>
      </c>
      <c r="C284" s="35">
        <v>11.78590012</v>
      </c>
      <c r="D284" s="35">
        <v>34.33670044</v>
      </c>
      <c r="E284" s="32" t="s">
        <v>844</v>
      </c>
      <c r="F284" s="32" t="s">
        <v>845</v>
      </c>
      <c r="G284" s="36" t="e">
        <v>#N/A</v>
      </c>
      <c r="H284" s="33"/>
      <c r="I284" s="33"/>
      <c r="J284" s="33"/>
      <c r="K284" s="33"/>
      <c r="L284" s="33"/>
      <c r="M284" s="33"/>
    </row>
    <row r="285">
      <c r="A285" s="32" t="s">
        <v>100</v>
      </c>
      <c r="B285" s="32" t="s">
        <v>846</v>
      </c>
      <c r="C285" s="35">
        <v>11.13799953</v>
      </c>
      <c r="D285" s="35">
        <v>29.7010994</v>
      </c>
      <c r="E285" s="32" t="s">
        <v>844</v>
      </c>
      <c r="F285" s="32" t="s">
        <v>847</v>
      </c>
      <c r="G285" s="36" t="e">
        <v>#N/A</v>
      </c>
      <c r="H285" s="33"/>
      <c r="I285" s="33"/>
      <c r="J285" s="33"/>
      <c r="K285" s="33"/>
      <c r="L285" s="33"/>
      <c r="M285" s="33"/>
    </row>
    <row r="286">
      <c r="A286" s="32" t="s">
        <v>100</v>
      </c>
      <c r="B286" s="32" t="s">
        <v>848</v>
      </c>
      <c r="C286" s="35">
        <v>42.3766667</v>
      </c>
      <c r="D286" s="35">
        <v>25.655</v>
      </c>
      <c r="E286" s="32" t="s">
        <v>849</v>
      </c>
      <c r="F286" s="32" t="s">
        <v>850</v>
      </c>
      <c r="G286" s="36" t="e">
        <v>#N/A</v>
      </c>
      <c r="H286" s="33"/>
      <c r="I286" s="33"/>
      <c r="J286" s="33"/>
      <c r="K286" s="33"/>
      <c r="L286" s="33"/>
      <c r="M286" s="33"/>
    </row>
    <row r="287">
      <c r="A287" s="32" t="s">
        <v>100</v>
      </c>
      <c r="B287" s="32" t="s">
        <v>851</v>
      </c>
      <c r="C287" s="35">
        <v>45.5427778</v>
      </c>
      <c r="D287" s="35">
        <v>18.6319444</v>
      </c>
      <c r="E287" s="32" t="s">
        <v>211</v>
      </c>
      <c r="F287" s="32" t="s">
        <v>852</v>
      </c>
      <c r="G287" s="39" t="s">
        <v>212</v>
      </c>
      <c r="H287" s="33"/>
      <c r="I287" s="33"/>
      <c r="J287" s="33"/>
      <c r="K287" s="33"/>
      <c r="L287" s="33"/>
      <c r="M287" s="33"/>
    </row>
    <row r="288">
      <c r="A288" s="32" t="s">
        <v>100</v>
      </c>
      <c r="B288" s="32" t="s">
        <v>853</v>
      </c>
      <c r="C288" s="35">
        <v>45.37950134</v>
      </c>
      <c r="D288" s="35">
        <v>14.50380039</v>
      </c>
      <c r="E288" s="32" t="s">
        <v>211</v>
      </c>
      <c r="F288" s="32" t="s">
        <v>854</v>
      </c>
      <c r="G288" s="39" t="s">
        <v>212</v>
      </c>
      <c r="H288" s="33"/>
      <c r="I288" s="33"/>
      <c r="J288" s="33"/>
      <c r="K288" s="33"/>
      <c r="L288" s="33"/>
      <c r="M288" s="33"/>
    </row>
    <row r="289">
      <c r="A289" s="32" t="s">
        <v>100</v>
      </c>
      <c r="B289" s="32" t="s">
        <v>855</v>
      </c>
      <c r="C289" s="35">
        <v>46.29464722</v>
      </c>
      <c r="D289" s="35">
        <v>16.38293266</v>
      </c>
      <c r="E289" s="32" t="s">
        <v>211</v>
      </c>
      <c r="F289" s="32" t="s">
        <v>856</v>
      </c>
      <c r="G289" s="39" t="s">
        <v>212</v>
      </c>
      <c r="H289" s="33"/>
      <c r="I289" s="33"/>
      <c r="J289" s="33"/>
      <c r="K289" s="33"/>
      <c r="L289" s="33"/>
      <c r="M289" s="33"/>
    </row>
    <row r="290">
      <c r="A290" s="32" t="s">
        <v>100</v>
      </c>
      <c r="B290" s="32" t="s">
        <v>857</v>
      </c>
      <c r="C290" s="35">
        <v>44.55759811</v>
      </c>
      <c r="D290" s="35">
        <v>15.77439976</v>
      </c>
      <c r="E290" s="32" t="s">
        <v>211</v>
      </c>
      <c r="F290" s="32" t="s">
        <v>858</v>
      </c>
      <c r="G290" s="39" t="s">
        <v>212</v>
      </c>
      <c r="H290" s="33"/>
      <c r="I290" s="33"/>
      <c r="J290" s="33"/>
      <c r="K290" s="33"/>
      <c r="L290" s="33"/>
      <c r="M290" s="33"/>
    </row>
    <row r="291">
      <c r="A291" s="32" t="s">
        <v>100</v>
      </c>
      <c r="B291" s="32" t="s">
        <v>859</v>
      </c>
      <c r="C291" s="35">
        <v>38.94850159</v>
      </c>
      <c r="D291" s="35">
        <v>-1.863520026</v>
      </c>
      <c r="E291" s="32" t="s">
        <v>115</v>
      </c>
      <c r="F291" s="32" t="s">
        <v>860</v>
      </c>
      <c r="G291" s="39" t="s">
        <v>116</v>
      </c>
      <c r="H291" s="33"/>
      <c r="I291" s="33"/>
      <c r="J291" s="33"/>
      <c r="K291" s="33"/>
      <c r="L291" s="33"/>
      <c r="M291" s="33"/>
    </row>
    <row r="292">
      <c r="A292" s="32" t="s">
        <v>100</v>
      </c>
      <c r="B292" s="32" t="s">
        <v>861</v>
      </c>
      <c r="C292" s="35">
        <v>37.1332016</v>
      </c>
      <c r="D292" s="35">
        <v>-3.63568997</v>
      </c>
      <c r="E292" s="32" t="s">
        <v>115</v>
      </c>
      <c r="F292" s="32" t="s">
        <v>862</v>
      </c>
      <c r="G292" s="39" t="s">
        <v>116</v>
      </c>
      <c r="H292" s="33"/>
      <c r="I292" s="33"/>
      <c r="J292" s="33"/>
      <c r="K292" s="33"/>
      <c r="L292" s="33"/>
      <c r="M292" s="33"/>
    </row>
    <row r="293">
      <c r="A293" s="32" t="s">
        <v>100</v>
      </c>
      <c r="B293" s="32" t="s">
        <v>863</v>
      </c>
      <c r="C293" s="35">
        <v>40.29410172</v>
      </c>
      <c r="D293" s="35">
        <v>-3.723829985</v>
      </c>
      <c r="E293" s="32" t="s">
        <v>115</v>
      </c>
      <c r="F293" s="32" t="s">
        <v>864</v>
      </c>
      <c r="G293" s="39" t="s">
        <v>116</v>
      </c>
      <c r="H293" s="33"/>
      <c r="I293" s="33"/>
      <c r="J293" s="33"/>
      <c r="K293" s="33"/>
      <c r="L293" s="33"/>
      <c r="M293" s="33"/>
    </row>
    <row r="294">
      <c r="A294" s="32" t="s">
        <v>100</v>
      </c>
      <c r="B294" s="32" t="s">
        <v>865</v>
      </c>
      <c r="C294" s="35">
        <v>39.9375</v>
      </c>
      <c r="D294" s="35">
        <v>-3.503329992</v>
      </c>
      <c r="E294" s="32" t="s">
        <v>115</v>
      </c>
      <c r="F294" s="32" t="s">
        <v>866</v>
      </c>
      <c r="G294" s="39" t="s">
        <v>116</v>
      </c>
      <c r="H294" s="33"/>
      <c r="I294" s="33"/>
      <c r="J294" s="33"/>
      <c r="K294" s="33"/>
      <c r="L294" s="33"/>
      <c r="M294" s="33"/>
    </row>
    <row r="295">
      <c r="A295" s="32" t="s">
        <v>100</v>
      </c>
      <c r="B295" s="32" t="s">
        <v>867</v>
      </c>
      <c r="C295" s="35">
        <v>37.951099</v>
      </c>
      <c r="D295" s="35">
        <v>-1.23032</v>
      </c>
      <c r="E295" s="32" t="s">
        <v>115</v>
      </c>
      <c r="F295" s="32" t="s">
        <v>868</v>
      </c>
      <c r="G295" s="39" t="s">
        <v>116</v>
      </c>
      <c r="H295" s="33"/>
      <c r="I295" s="33"/>
      <c r="J295" s="33"/>
      <c r="K295" s="33"/>
      <c r="L295" s="33"/>
      <c r="M295" s="33"/>
    </row>
    <row r="296">
      <c r="A296" s="32" t="s">
        <v>100</v>
      </c>
      <c r="B296" s="32" t="s">
        <v>869</v>
      </c>
      <c r="C296" s="35">
        <v>36.64519882</v>
      </c>
      <c r="D296" s="35">
        <v>-6.349460125</v>
      </c>
      <c r="E296" s="32" t="s">
        <v>115</v>
      </c>
      <c r="F296" s="32" t="s">
        <v>870</v>
      </c>
      <c r="G296" s="39" t="s">
        <v>116</v>
      </c>
      <c r="H296" s="33"/>
      <c r="I296" s="33"/>
      <c r="J296" s="33"/>
      <c r="K296" s="33"/>
      <c r="L296" s="33"/>
      <c r="M296" s="33"/>
    </row>
    <row r="297">
      <c r="A297" s="32" t="s">
        <v>100</v>
      </c>
      <c r="B297" s="32" t="s">
        <v>871</v>
      </c>
      <c r="C297" s="35">
        <v>39.59889984</v>
      </c>
      <c r="D297" s="35">
        <v>2.702780008</v>
      </c>
      <c r="E297" s="32" t="s">
        <v>115</v>
      </c>
      <c r="F297" s="32" t="s">
        <v>872</v>
      </c>
      <c r="G297" s="39" t="s">
        <v>116</v>
      </c>
      <c r="H297" s="33"/>
      <c r="I297" s="33"/>
      <c r="J297" s="33"/>
      <c r="K297" s="33"/>
      <c r="L297" s="33"/>
      <c r="M297" s="33"/>
    </row>
    <row r="298">
      <c r="A298" s="32" t="s">
        <v>100</v>
      </c>
      <c r="B298" s="32" t="s">
        <v>873</v>
      </c>
      <c r="C298" s="35">
        <v>39.86220169</v>
      </c>
      <c r="D298" s="35">
        <v>4.258329868</v>
      </c>
      <c r="E298" s="32" t="s">
        <v>115</v>
      </c>
      <c r="F298" s="32" t="s">
        <v>874</v>
      </c>
      <c r="G298" s="39" t="s">
        <v>116</v>
      </c>
      <c r="H298" s="33"/>
      <c r="I298" s="33"/>
      <c r="J298" s="33"/>
      <c r="K298" s="33"/>
      <c r="L298" s="33"/>
      <c r="M298" s="33"/>
    </row>
    <row r="299">
      <c r="A299" s="32" t="s">
        <v>100</v>
      </c>
      <c r="B299" s="32" t="s">
        <v>875</v>
      </c>
      <c r="C299" s="35">
        <v>49.8685</v>
      </c>
      <c r="D299" s="35">
        <v>3.02958</v>
      </c>
      <c r="E299" s="32" t="s">
        <v>96</v>
      </c>
      <c r="F299" s="32" t="s">
        <v>876</v>
      </c>
      <c r="G299" s="39" t="s">
        <v>97</v>
      </c>
      <c r="H299" s="33"/>
      <c r="I299" s="33"/>
      <c r="J299" s="33"/>
      <c r="K299" s="33"/>
      <c r="L299" s="33"/>
      <c r="M299" s="33"/>
    </row>
    <row r="300">
      <c r="A300" s="32" t="s">
        <v>100</v>
      </c>
      <c r="B300" s="32" t="s">
        <v>877</v>
      </c>
      <c r="C300" s="35">
        <v>48.59619904</v>
      </c>
      <c r="D300" s="35">
        <v>3.006789923</v>
      </c>
      <c r="E300" s="32" t="s">
        <v>96</v>
      </c>
      <c r="F300" s="32" t="s">
        <v>878</v>
      </c>
      <c r="G300" s="39" t="s">
        <v>97</v>
      </c>
      <c r="H300" s="33"/>
      <c r="I300" s="33"/>
      <c r="J300" s="33"/>
      <c r="K300" s="33"/>
      <c r="L300" s="33"/>
      <c r="M300" s="33"/>
    </row>
    <row r="301">
      <c r="A301" s="32" t="s">
        <v>100</v>
      </c>
      <c r="B301" s="32" t="s">
        <v>879</v>
      </c>
      <c r="C301" s="35">
        <v>48.54579926</v>
      </c>
      <c r="D301" s="35">
        <v>-0.38744399</v>
      </c>
      <c r="E301" s="32" t="s">
        <v>96</v>
      </c>
      <c r="F301" s="32" t="s">
        <v>880</v>
      </c>
      <c r="G301" s="39" t="s">
        <v>97</v>
      </c>
      <c r="H301" s="33"/>
      <c r="I301" s="33"/>
      <c r="J301" s="33"/>
      <c r="K301" s="33"/>
      <c r="L301" s="33"/>
      <c r="M301" s="33"/>
    </row>
    <row r="302">
      <c r="A302" s="32" t="s">
        <v>100</v>
      </c>
      <c r="B302" s="32" t="s">
        <v>881</v>
      </c>
      <c r="C302" s="35">
        <v>49.9715004</v>
      </c>
      <c r="D302" s="35">
        <v>2.697659969</v>
      </c>
      <c r="E302" s="32" t="s">
        <v>96</v>
      </c>
      <c r="F302" s="32" t="s">
        <v>882</v>
      </c>
      <c r="G302" s="39" t="s">
        <v>97</v>
      </c>
      <c r="H302" s="33"/>
      <c r="I302" s="33"/>
      <c r="J302" s="33"/>
      <c r="K302" s="33"/>
      <c r="L302" s="33"/>
      <c r="M302" s="33"/>
    </row>
    <row r="303">
      <c r="A303" s="32" t="s">
        <v>100</v>
      </c>
      <c r="B303" s="32" t="s">
        <v>883</v>
      </c>
      <c r="C303" s="35">
        <v>50.32580185</v>
      </c>
      <c r="D303" s="35">
        <v>3.46126008</v>
      </c>
      <c r="E303" s="32" t="s">
        <v>96</v>
      </c>
      <c r="F303" s="32" t="s">
        <v>884</v>
      </c>
      <c r="G303" s="39" t="s">
        <v>97</v>
      </c>
      <c r="H303" s="33"/>
      <c r="I303" s="33"/>
      <c r="J303" s="33"/>
      <c r="K303" s="33"/>
      <c r="L303" s="33"/>
      <c r="M303" s="33"/>
    </row>
    <row r="304">
      <c r="A304" s="32" t="s">
        <v>100</v>
      </c>
      <c r="B304" s="32" t="s">
        <v>885</v>
      </c>
      <c r="C304" s="35">
        <v>49.8730011</v>
      </c>
      <c r="D304" s="35">
        <v>2.387069941</v>
      </c>
      <c r="E304" s="32" t="s">
        <v>96</v>
      </c>
      <c r="F304" s="32" t="s">
        <v>886</v>
      </c>
      <c r="G304" s="39" t="s">
        <v>97</v>
      </c>
      <c r="H304" s="33"/>
      <c r="I304" s="33"/>
      <c r="J304" s="33"/>
      <c r="K304" s="33"/>
      <c r="L304" s="33"/>
      <c r="M304" s="33"/>
    </row>
    <row r="305">
      <c r="A305" s="32" t="s">
        <v>100</v>
      </c>
      <c r="B305" s="32" t="s">
        <v>887</v>
      </c>
      <c r="C305" s="35">
        <v>44.53329849</v>
      </c>
      <c r="D305" s="35">
        <v>-1.125</v>
      </c>
      <c r="E305" s="32" t="s">
        <v>96</v>
      </c>
      <c r="F305" s="32" t="s">
        <v>888</v>
      </c>
      <c r="G305" s="39" t="s">
        <v>97</v>
      </c>
      <c r="H305" s="33"/>
      <c r="I305" s="33"/>
      <c r="J305" s="33"/>
      <c r="K305" s="33"/>
      <c r="L305" s="33"/>
      <c r="M305" s="33"/>
    </row>
    <row r="306">
      <c r="A306" s="32" t="s">
        <v>100</v>
      </c>
      <c r="B306" s="32" t="s">
        <v>889</v>
      </c>
      <c r="C306" s="35">
        <v>43.54560089</v>
      </c>
      <c r="D306" s="35">
        <v>1.367499948</v>
      </c>
      <c r="E306" s="32" t="s">
        <v>96</v>
      </c>
      <c r="F306" s="32" t="s">
        <v>890</v>
      </c>
      <c r="G306" s="39" t="s">
        <v>97</v>
      </c>
      <c r="H306" s="33"/>
      <c r="I306" s="33"/>
      <c r="J306" s="33"/>
      <c r="K306" s="33"/>
      <c r="L306" s="33"/>
      <c r="M306" s="33"/>
    </row>
    <row r="307">
      <c r="A307" s="32" t="s">
        <v>100</v>
      </c>
      <c r="B307" s="32" t="s">
        <v>891</v>
      </c>
      <c r="C307" s="35">
        <v>43.911701</v>
      </c>
      <c r="D307" s="35">
        <v>-0.5075</v>
      </c>
      <c r="E307" s="32" t="s">
        <v>96</v>
      </c>
      <c r="F307" s="32" t="s">
        <v>892</v>
      </c>
      <c r="G307" s="39" t="s">
        <v>97</v>
      </c>
      <c r="H307" s="33"/>
      <c r="I307" s="33"/>
      <c r="J307" s="33"/>
      <c r="K307" s="33"/>
      <c r="L307" s="33"/>
      <c r="M307" s="33"/>
    </row>
    <row r="308">
      <c r="A308" s="32" t="s">
        <v>100</v>
      </c>
      <c r="B308" s="32" t="s">
        <v>893</v>
      </c>
      <c r="C308" s="35">
        <v>43.44889832</v>
      </c>
      <c r="D308" s="35">
        <v>1.263329983</v>
      </c>
      <c r="E308" s="32" t="s">
        <v>96</v>
      </c>
      <c r="F308" s="32" t="s">
        <v>894</v>
      </c>
      <c r="G308" s="39" t="s">
        <v>97</v>
      </c>
      <c r="H308" s="33"/>
      <c r="I308" s="33"/>
      <c r="J308" s="33"/>
      <c r="K308" s="33"/>
      <c r="L308" s="33"/>
      <c r="M308" s="33"/>
    </row>
    <row r="309">
      <c r="A309" s="32" t="s">
        <v>100</v>
      </c>
      <c r="B309" s="32" t="s">
        <v>895</v>
      </c>
      <c r="C309" s="35">
        <v>44.35139847</v>
      </c>
      <c r="D309" s="35">
        <v>1.475280046</v>
      </c>
      <c r="E309" s="32" t="s">
        <v>96</v>
      </c>
      <c r="F309" s="32" t="s">
        <v>896</v>
      </c>
      <c r="G309" s="39" t="s">
        <v>97</v>
      </c>
      <c r="H309" s="33"/>
      <c r="I309" s="33"/>
      <c r="J309" s="33"/>
      <c r="K309" s="33"/>
      <c r="L309" s="33"/>
      <c r="M309" s="33"/>
    </row>
    <row r="310">
      <c r="A310" s="32" t="s">
        <v>100</v>
      </c>
      <c r="B310" s="32" t="s">
        <v>897</v>
      </c>
      <c r="C310" s="35">
        <v>43.00780106</v>
      </c>
      <c r="D310" s="35">
        <v>1.10315001</v>
      </c>
      <c r="E310" s="32" t="s">
        <v>96</v>
      </c>
      <c r="F310" s="32" t="s">
        <v>898</v>
      </c>
      <c r="G310" s="39" t="s">
        <v>97</v>
      </c>
      <c r="H310" s="33"/>
      <c r="I310" s="33"/>
      <c r="J310" s="33"/>
      <c r="K310" s="33"/>
      <c r="L310" s="33"/>
      <c r="M310" s="33"/>
    </row>
    <row r="311">
      <c r="A311" s="32" t="s">
        <v>100</v>
      </c>
      <c r="B311" s="32" t="s">
        <v>899</v>
      </c>
      <c r="C311" s="35">
        <v>43.58610153</v>
      </c>
      <c r="D311" s="35">
        <v>1.499169946</v>
      </c>
      <c r="E311" s="32" t="s">
        <v>96</v>
      </c>
      <c r="F311" s="32" t="s">
        <v>890</v>
      </c>
      <c r="G311" s="39" t="s">
        <v>97</v>
      </c>
      <c r="H311" s="33"/>
      <c r="I311" s="33"/>
      <c r="J311" s="33"/>
      <c r="K311" s="33"/>
      <c r="L311" s="33"/>
      <c r="M311" s="33"/>
    </row>
    <row r="312">
      <c r="A312" s="32" t="s">
        <v>100</v>
      </c>
      <c r="B312" s="32" t="s">
        <v>900</v>
      </c>
      <c r="C312" s="35">
        <v>43.98929977</v>
      </c>
      <c r="D312" s="35">
        <v>3.183000088</v>
      </c>
      <c r="E312" s="32" t="s">
        <v>96</v>
      </c>
      <c r="F312" s="32" t="s">
        <v>901</v>
      </c>
      <c r="G312" s="39" t="s">
        <v>97</v>
      </c>
      <c r="H312" s="33"/>
      <c r="I312" s="33"/>
      <c r="J312" s="33"/>
      <c r="K312" s="33"/>
      <c r="L312" s="33"/>
      <c r="M312" s="33"/>
    </row>
    <row r="313">
      <c r="A313" s="32" t="s">
        <v>100</v>
      </c>
      <c r="B313" s="32" t="s">
        <v>902</v>
      </c>
      <c r="C313" s="35">
        <v>43.77109909</v>
      </c>
      <c r="D313" s="35">
        <v>2.010829926</v>
      </c>
      <c r="E313" s="32" t="s">
        <v>96</v>
      </c>
      <c r="F313" s="32" t="s">
        <v>903</v>
      </c>
      <c r="G313" s="39" t="s">
        <v>97</v>
      </c>
      <c r="H313" s="33"/>
      <c r="I313" s="33"/>
      <c r="J313" s="33"/>
      <c r="K313" s="33"/>
      <c r="L313" s="33"/>
      <c r="M313" s="33"/>
    </row>
    <row r="314">
      <c r="A314" s="32" t="s">
        <v>100</v>
      </c>
      <c r="B314" s="32" t="s">
        <v>904</v>
      </c>
      <c r="C314" s="35">
        <v>45.53469849</v>
      </c>
      <c r="D314" s="35">
        <v>2.423890114</v>
      </c>
      <c r="E314" s="32" t="s">
        <v>96</v>
      </c>
      <c r="F314" s="32" t="s">
        <v>905</v>
      </c>
      <c r="G314" s="39" t="s">
        <v>97</v>
      </c>
      <c r="H314" s="33"/>
      <c r="I314" s="33"/>
      <c r="J314" s="33"/>
      <c r="K314" s="33"/>
      <c r="L314" s="33"/>
      <c r="M314" s="33"/>
    </row>
    <row r="315">
      <c r="A315" s="32" t="s">
        <v>100</v>
      </c>
      <c r="B315" s="32" t="s">
        <v>906</v>
      </c>
      <c r="C315" s="35">
        <v>44.39690018</v>
      </c>
      <c r="D315" s="35">
        <v>0.758889019</v>
      </c>
      <c r="E315" s="32" t="s">
        <v>96</v>
      </c>
      <c r="F315" s="32" t="s">
        <v>907</v>
      </c>
      <c r="G315" s="39" t="s">
        <v>97</v>
      </c>
      <c r="H315" s="33"/>
      <c r="I315" s="33"/>
      <c r="J315" s="33"/>
      <c r="K315" s="33"/>
      <c r="L315" s="33"/>
      <c r="M315" s="33"/>
    </row>
    <row r="316">
      <c r="A316" s="32" t="s">
        <v>100</v>
      </c>
      <c r="B316" s="32" t="s">
        <v>908</v>
      </c>
      <c r="C316" s="35">
        <v>44.145928</v>
      </c>
      <c r="D316" s="35">
        <v>-1.16432</v>
      </c>
      <c r="E316" s="32" t="s">
        <v>96</v>
      </c>
      <c r="F316" s="32" t="s">
        <v>909</v>
      </c>
      <c r="G316" s="39" t="s">
        <v>97</v>
      </c>
      <c r="H316" s="33"/>
      <c r="I316" s="33"/>
      <c r="J316" s="33"/>
      <c r="K316" s="33"/>
      <c r="L316" s="33"/>
      <c r="M316" s="33"/>
    </row>
    <row r="317">
      <c r="A317" s="32" t="s">
        <v>100</v>
      </c>
      <c r="B317" s="32" t="s">
        <v>910</v>
      </c>
      <c r="C317" s="35">
        <v>43.70940018</v>
      </c>
      <c r="D317" s="35">
        <v>-0.245278001</v>
      </c>
      <c r="E317" s="32" t="s">
        <v>96</v>
      </c>
      <c r="F317" s="32" t="s">
        <v>911</v>
      </c>
      <c r="G317" s="39" t="s">
        <v>97</v>
      </c>
      <c r="H317" s="33"/>
      <c r="I317" s="33"/>
      <c r="J317" s="33"/>
      <c r="K317" s="33"/>
      <c r="L317" s="33"/>
      <c r="M317" s="33"/>
    </row>
    <row r="318">
      <c r="A318" s="32" t="s">
        <v>100</v>
      </c>
      <c r="B318" s="32" t="s">
        <v>912</v>
      </c>
      <c r="C318" s="35">
        <v>44.02569962</v>
      </c>
      <c r="D318" s="35">
        <v>1.378039956</v>
      </c>
      <c r="E318" s="32" t="s">
        <v>96</v>
      </c>
      <c r="F318" s="32" t="s">
        <v>913</v>
      </c>
      <c r="G318" s="39" t="s">
        <v>97</v>
      </c>
      <c r="H318" s="33"/>
      <c r="I318" s="33"/>
      <c r="J318" s="33"/>
      <c r="K318" s="33"/>
      <c r="L318" s="33"/>
      <c r="M318" s="33"/>
    </row>
    <row r="319">
      <c r="A319" s="32" t="s">
        <v>100</v>
      </c>
      <c r="B319" s="32" t="s">
        <v>914</v>
      </c>
      <c r="C319" s="35">
        <v>43.68780136</v>
      </c>
      <c r="D319" s="35">
        <v>0.601666987</v>
      </c>
      <c r="E319" s="32" t="s">
        <v>96</v>
      </c>
      <c r="F319" s="32" t="s">
        <v>915</v>
      </c>
      <c r="G319" s="39" t="s">
        <v>97</v>
      </c>
      <c r="H319" s="33"/>
      <c r="I319" s="33"/>
      <c r="J319" s="33"/>
      <c r="K319" s="33"/>
      <c r="L319" s="33"/>
      <c r="M319" s="33"/>
    </row>
    <row r="320">
      <c r="A320" s="32" t="s">
        <v>100</v>
      </c>
      <c r="B320" s="32" t="s">
        <v>916</v>
      </c>
      <c r="C320" s="35">
        <v>44.982498</v>
      </c>
      <c r="D320" s="35">
        <v>-0.134722</v>
      </c>
      <c r="E320" s="32" t="s">
        <v>96</v>
      </c>
      <c r="F320" s="32" t="s">
        <v>917</v>
      </c>
      <c r="G320" s="39" t="s">
        <v>97</v>
      </c>
      <c r="H320" s="33"/>
      <c r="I320" s="33"/>
      <c r="J320" s="33"/>
      <c r="K320" s="33"/>
      <c r="L320" s="33"/>
      <c r="M320" s="33"/>
    </row>
    <row r="321">
      <c r="A321" s="32" t="s">
        <v>100</v>
      </c>
      <c r="B321" s="32" t="s">
        <v>918</v>
      </c>
      <c r="C321" s="35">
        <v>43.09059906</v>
      </c>
      <c r="D321" s="35">
        <v>1.695829988</v>
      </c>
      <c r="E321" s="32" t="s">
        <v>96</v>
      </c>
      <c r="F321" s="32" t="s">
        <v>919</v>
      </c>
      <c r="G321" s="39" t="s">
        <v>97</v>
      </c>
      <c r="H321" s="33"/>
      <c r="I321" s="33"/>
      <c r="J321" s="33"/>
      <c r="K321" s="33"/>
      <c r="L321" s="33"/>
      <c r="M321" s="33"/>
    </row>
    <row r="322">
      <c r="A322" s="32" t="s">
        <v>100</v>
      </c>
      <c r="B322" s="32" t="s">
        <v>920</v>
      </c>
      <c r="C322" s="35">
        <v>44.49890137</v>
      </c>
      <c r="D322" s="35">
        <v>0.200514004</v>
      </c>
      <c r="E322" s="32" t="s">
        <v>96</v>
      </c>
      <c r="F322" s="32" t="s">
        <v>921</v>
      </c>
      <c r="G322" s="39" t="s">
        <v>97</v>
      </c>
      <c r="H322" s="33"/>
      <c r="I322" s="33"/>
      <c r="J322" s="33"/>
      <c r="K322" s="33"/>
      <c r="L322" s="33"/>
      <c r="M322" s="33"/>
    </row>
    <row r="323">
      <c r="A323" s="32" t="s">
        <v>100</v>
      </c>
      <c r="B323" s="32" t="s">
        <v>922</v>
      </c>
      <c r="C323" s="35">
        <v>48.05849838</v>
      </c>
      <c r="D323" s="35">
        <v>-2.921829939</v>
      </c>
      <c r="E323" s="32" t="s">
        <v>96</v>
      </c>
      <c r="F323" s="32" t="s">
        <v>923</v>
      </c>
      <c r="G323" s="39" t="s">
        <v>97</v>
      </c>
      <c r="H323" s="33"/>
      <c r="I323" s="33"/>
      <c r="J323" s="33"/>
      <c r="K323" s="33"/>
      <c r="L323" s="33"/>
      <c r="M323" s="33"/>
    </row>
    <row r="324">
      <c r="A324" s="32" t="s">
        <v>100</v>
      </c>
      <c r="B324" s="32" t="s">
        <v>924</v>
      </c>
      <c r="C324" s="35">
        <v>47.480556</v>
      </c>
      <c r="D324" s="35">
        <v>2.394167</v>
      </c>
      <c r="E324" s="32" t="s">
        <v>96</v>
      </c>
      <c r="F324" s="32" t="s">
        <v>925</v>
      </c>
      <c r="G324" s="39" t="s">
        <v>97</v>
      </c>
      <c r="H324" s="33"/>
      <c r="I324" s="33"/>
      <c r="J324" s="33"/>
      <c r="K324" s="33"/>
      <c r="L324" s="33"/>
      <c r="M324" s="33"/>
    </row>
    <row r="325">
      <c r="A325" s="32" t="s">
        <v>100</v>
      </c>
      <c r="B325" s="32" t="s">
        <v>926</v>
      </c>
      <c r="C325" s="35">
        <v>48.05250168</v>
      </c>
      <c r="D325" s="35">
        <v>-3.664720058</v>
      </c>
      <c r="E325" s="32" t="s">
        <v>96</v>
      </c>
      <c r="F325" s="32" t="s">
        <v>927</v>
      </c>
      <c r="G325" s="39" t="s">
        <v>97</v>
      </c>
      <c r="H325" s="33"/>
      <c r="I325" s="33"/>
      <c r="J325" s="33"/>
      <c r="K325" s="33"/>
      <c r="L325" s="33"/>
      <c r="M325" s="33"/>
    </row>
    <row r="326">
      <c r="A326" s="32" t="s">
        <v>100</v>
      </c>
      <c r="B326" s="32" t="s">
        <v>928</v>
      </c>
      <c r="C326" s="35">
        <v>47.40810013</v>
      </c>
      <c r="D326" s="35">
        <v>-1.17750001</v>
      </c>
      <c r="E326" s="32" t="s">
        <v>96</v>
      </c>
      <c r="F326" s="32" t="s">
        <v>929</v>
      </c>
      <c r="G326" s="39" t="s">
        <v>97</v>
      </c>
      <c r="H326" s="33"/>
      <c r="I326" s="33"/>
      <c r="J326" s="33"/>
      <c r="K326" s="33"/>
      <c r="L326" s="33"/>
      <c r="M326" s="33"/>
    </row>
    <row r="327">
      <c r="A327" s="32" t="s">
        <v>100</v>
      </c>
      <c r="B327" s="32" t="s">
        <v>930</v>
      </c>
      <c r="C327" s="35">
        <v>48.42979813</v>
      </c>
      <c r="D327" s="35">
        <v>4.482220173</v>
      </c>
      <c r="E327" s="32" t="s">
        <v>96</v>
      </c>
      <c r="F327" s="32" t="s">
        <v>931</v>
      </c>
      <c r="G327" s="39" t="s">
        <v>97</v>
      </c>
      <c r="H327" s="33"/>
      <c r="I327" s="33"/>
      <c r="J327" s="33"/>
      <c r="K327" s="33"/>
      <c r="L327" s="33"/>
      <c r="M327" s="33"/>
    </row>
    <row r="328">
      <c r="A328" s="32" t="s">
        <v>100</v>
      </c>
      <c r="B328" s="32" t="s">
        <v>932</v>
      </c>
      <c r="C328" s="35">
        <v>47.005901</v>
      </c>
      <c r="D328" s="35">
        <v>4.89342</v>
      </c>
      <c r="E328" s="32" t="s">
        <v>96</v>
      </c>
      <c r="F328" s="32" t="s">
        <v>933</v>
      </c>
      <c r="G328" s="39" t="s">
        <v>97</v>
      </c>
      <c r="H328" s="33"/>
      <c r="I328" s="33"/>
      <c r="J328" s="33"/>
      <c r="K328" s="33"/>
      <c r="L328" s="33"/>
      <c r="M328" s="33"/>
    </row>
    <row r="329">
      <c r="A329" s="32" t="s">
        <v>100</v>
      </c>
      <c r="B329" s="32" t="s">
        <v>934</v>
      </c>
      <c r="C329" s="35">
        <v>47.99219894</v>
      </c>
      <c r="D329" s="35">
        <v>3.39222002</v>
      </c>
      <c r="E329" s="32" t="s">
        <v>96</v>
      </c>
      <c r="F329" s="32" t="s">
        <v>935</v>
      </c>
      <c r="G329" s="39" t="s">
        <v>97</v>
      </c>
      <c r="H329" s="33"/>
      <c r="I329" s="33"/>
      <c r="J329" s="33"/>
      <c r="K329" s="33"/>
      <c r="L329" s="33"/>
      <c r="M329" s="33"/>
    </row>
    <row r="330">
      <c r="A330" s="32" t="s">
        <v>100</v>
      </c>
      <c r="B330" s="32" t="s">
        <v>936</v>
      </c>
      <c r="C330" s="35">
        <v>49.122398</v>
      </c>
      <c r="D330" s="35">
        <v>5.46905</v>
      </c>
      <c r="E330" s="32" t="s">
        <v>96</v>
      </c>
      <c r="F330" s="32" t="s">
        <v>937</v>
      </c>
      <c r="G330" s="39" t="s">
        <v>97</v>
      </c>
      <c r="H330" s="33"/>
      <c r="I330" s="33"/>
      <c r="J330" s="33"/>
      <c r="K330" s="33"/>
      <c r="L330" s="33"/>
      <c r="M330" s="33"/>
    </row>
    <row r="331">
      <c r="A331" s="32" t="s">
        <v>100</v>
      </c>
      <c r="B331" s="32" t="s">
        <v>938</v>
      </c>
      <c r="C331" s="35">
        <v>45.07640076</v>
      </c>
      <c r="D331" s="35">
        <v>2.993609905</v>
      </c>
      <c r="E331" s="32" t="s">
        <v>96</v>
      </c>
      <c r="F331" s="32" t="s">
        <v>939</v>
      </c>
      <c r="G331" s="39" t="s">
        <v>97</v>
      </c>
      <c r="H331" s="33"/>
      <c r="I331" s="33"/>
      <c r="J331" s="33"/>
      <c r="K331" s="33"/>
      <c r="L331" s="33"/>
      <c r="M331" s="33"/>
    </row>
    <row r="332">
      <c r="A332" s="32" t="s">
        <v>100</v>
      </c>
      <c r="B332" s="32" t="s">
        <v>940</v>
      </c>
      <c r="C332" s="35">
        <v>43.82329941</v>
      </c>
      <c r="D332" s="35">
        <v>2.745280027</v>
      </c>
      <c r="E332" s="32" t="s">
        <v>96</v>
      </c>
      <c r="F332" s="32" t="s">
        <v>941</v>
      </c>
      <c r="G332" s="39" t="s">
        <v>97</v>
      </c>
      <c r="H332" s="33"/>
      <c r="I332" s="33"/>
      <c r="J332" s="33"/>
      <c r="K332" s="33"/>
      <c r="L332" s="33"/>
      <c r="M332" s="33"/>
    </row>
    <row r="333">
      <c r="A333" s="32" t="s">
        <v>100</v>
      </c>
      <c r="B333" s="32" t="s">
        <v>942</v>
      </c>
      <c r="C333" s="35">
        <v>44.17779922</v>
      </c>
      <c r="D333" s="35">
        <v>2.515000105</v>
      </c>
      <c r="E333" s="32" t="s">
        <v>96</v>
      </c>
      <c r="F333" s="32" t="s">
        <v>943</v>
      </c>
      <c r="G333" s="39" t="s">
        <v>97</v>
      </c>
      <c r="H333" s="33"/>
      <c r="I333" s="33"/>
      <c r="J333" s="33"/>
      <c r="K333" s="33"/>
      <c r="L333" s="33"/>
      <c r="M333" s="33"/>
    </row>
    <row r="334">
      <c r="A334" s="32" t="s">
        <v>100</v>
      </c>
      <c r="B334" s="32" t="s">
        <v>944</v>
      </c>
      <c r="C334" s="35">
        <v>41.66059875</v>
      </c>
      <c r="D334" s="35">
        <v>8.889749527</v>
      </c>
      <c r="E334" s="32" t="s">
        <v>96</v>
      </c>
      <c r="F334" s="32" t="s">
        <v>945</v>
      </c>
      <c r="G334" s="39" t="s">
        <v>97</v>
      </c>
      <c r="H334" s="33"/>
      <c r="I334" s="33"/>
      <c r="J334" s="33"/>
      <c r="K334" s="33"/>
      <c r="L334" s="33"/>
      <c r="M334" s="33"/>
    </row>
    <row r="335">
      <c r="A335" s="32" t="s">
        <v>100</v>
      </c>
      <c r="B335" s="32" t="s">
        <v>946</v>
      </c>
      <c r="C335" s="35">
        <v>42.29359818</v>
      </c>
      <c r="D335" s="35">
        <v>9.193059921</v>
      </c>
      <c r="E335" s="32" t="s">
        <v>96</v>
      </c>
      <c r="F335" s="32" t="s">
        <v>947</v>
      </c>
      <c r="G335" s="39" t="s">
        <v>97</v>
      </c>
      <c r="H335" s="33"/>
      <c r="I335" s="33"/>
      <c r="J335" s="33"/>
      <c r="K335" s="33"/>
      <c r="L335" s="33"/>
      <c r="M335" s="33"/>
    </row>
    <row r="336">
      <c r="A336" s="32" t="s">
        <v>100</v>
      </c>
      <c r="B336" s="32" t="s">
        <v>948</v>
      </c>
      <c r="C336" s="35">
        <v>45.56110001</v>
      </c>
      <c r="D336" s="35">
        <v>5.975759983</v>
      </c>
      <c r="E336" s="32" t="s">
        <v>96</v>
      </c>
      <c r="F336" s="32" t="s">
        <v>949</v>
      </c>
      <c r="G336" s="39" t="s">
        <v>97</v>
      </c>
      <c r="H336" s="33"/>
      <c r="I336" s="33"/>
      <c r="J336" s="33"/>
      <c r="K336" s="33"/>
      <c r="L336" s="33"/>
      <c r="M336" s="33"/>
    </row>
    <row r="337">
      <c r="A337" s="32" t="s">
        <v>100</v>
      </c>
      <c r="B337" s="32" t="s">
        <v>950</v>
      </c>
      <c r="C337" s="35">
        <v>46.41249847</v>
      </c>
      <c r="D337" s="35">
        <v>4.013259888</v>
      </c>
      <c r="E337" s="32" t="s">
        <v>96</v>
      </c>
      <c r="F337" s="32" t="s">
        <v>951</v>
      </c>
      <c r="G337" s="39" t="s">
        <v>97</v>
      </c>
      <c r="H337" s="33"/>
      <c r="I337" s="33"/>
      <c r="J337" s="33"/>
      <c r="K337" s="33"/>
      <c r="L337" s="33"/>
      <c r="M337" s="33"/>
    </row>
    <row r="338">
      <c r="A338" s="32" t="s">
        <v>100</v>
      </c>
      <c r="B338" s="32" t="s">
        <v>952</v>
      </c>
      <c r="C338" s="35">
        <v>46.352501</v>
      </c>
      <c r="D338" s="35">
        <v>2.57049</v>
      </c>
      <c r="E338" s="32" t="s">
        <v>96</v>
      </c>
      <c r="F338" s="32" t="s">
        <v>953</v>
      </c>
      <c r="G338" s="39" t="s">
        <v>97</v>
      </c>
      <c r="H338" s="33"/>
      <c r="I338" s="33"/>
      <c r="J338" s="33"/>
      <c r="K338" s="33"/>
      <c r="L338" s="33"/>
      <c r="M338" s="33"/>
    </row>
    <row r="339">
      <c r="A339" s="32" t="s">
        <v>100</v>
      </c>
      <c r="B339" s="32" t="s">
        <v>954</v>
      </c>
      <c r="C339" s="35">
        <v>43.38470078</v>
      </c>
      <c r="D339" s="35">
        <v>6.387139797</v>
      </c>
      <c r="E339" s="32" t="s">
        <v>96</v>
      </c>
      <c r="F339" s="32" t="s">
        <v>955</v>
      </c>
      <c r="G339" s="39" t="s">
        <v>97</v>
      </c>
      <c r="H339" s="33"/>
      <c r="I339" s="33"/>
      <c r="J339" s="33"/>
      <c r="K339" s="33"/>
      <c r="L339" s="33"/>
      <c r="M339" s="33"/>
    </row>
    <row r="340">
      <c r="A340" s="32" t="s">
        <v>100</v>
      </c>
      <c r="B340" s="32" t="s">
        <v>956</v>
      </c>
      <c r="C340" s="35">
        <v>43.522701</v>
      </c>
      <c r="D340" s="35">
        <v>4.92384</v>
      </c>
      <c r="E340" s="32" t="s">
        <v>96</v>
      </c>
      <c r="F340" s="32" t="s">
        <v>957</v>
      </c>
      <c r="G340" s="39" t="s">
        <v>97</v>
      </c>
      <c r="H340" s="33"/>
      <c r="I340" s="33"/>
      <c r="J340" s="33"/>
      <c r="K340" s="33"/>
      <c r="L340" s="33"/>
      <c r="M340" s="33"/>
    </row>
    <row r="341">
      <c r="A341" s="32" t="s">
        <v>100</v>
      </c>
      <c r="B341" s="32" t="s">
        <v>958</v>
      </c>
      <c r="C341" s="35">
        <v>44.14049911</v>
      </c>
      <c r="D341" s="35">
        <v>4.8667202</v>
      </c>
      <c r="E341" s="32" t="s">
        <v>96</v>
      </c>
      <c r="F341" s="32" t="s">
        <v>959</v>
      </c>
      <c r="G341" s="39" t="s">
        <v>97</v>
      </c>
      <c r="H341" s="33"/>
      <c r="I341" s="33"/>
      <c r="J341" s="33"/>
      <c r="K341" s="33"/>
      <c r="L341" s="33"/>
      <c r="M341" s="33"/>
    </row>
    <row r="342">
      <c r="A342" s="32" t="s">
        <v>100</v>
      </c>
      <c r="B342" s="32" t="s">
        <v>960</v>
      </c>
      <c r="C342" s="35">
        <v>44.069698</v>
      </c>
      <c r="D342" s="35">
        <v>4.14212</v>
      </c>
      <c r="E342" s="32" t="s">
        <v>96</v>
      </c>
      <c r="F342" s="32" t="s">
        <v>961</v>
      </c>
      <c r="G342" s="39" t="s">
        <v>97</v>
      </c>
      <c r="H342" s="33"/>
      <c r="I342" s="33"/>
      <c r="J342" s="33"/>
      <c r="K342" s="33"/>
      <c r="L342" s="33"/>
      <c r="M342" s="33"/>
    </row>
    <row r="343">
      <c r="A343" s="32" t="s">
        <v>100</v>
      </c>
      <c r="B343" s="32" t="s">
        <v>962</v>
      </c>
      <c r="C343" s="35">
        <v>43.60639954</v>
      </c>
      <c r="D343" s="35">
        <v>5.109250069</v>
      </c>
      <c r="E343" s="32" t="s">
        <v>96</v>
      </c>
      <c r="F343" s="32" t="s">
        <v>963</v>
      </c>
      <c r="G343" s="39" t="s">
        <v>97</v>
      </c>
      <c r="H343" s="33"/>
      <c r="I343" s="33"/>
      <c r="J343" s="33"/>
      <c r="K343" s="33"/>
      <c r="L343" s="33"/>
      <c r="M343" s="33"/>
    </row>
    <row r="344">
      <c r="A344" s="32" t="s">
        <v>100</v>
      </c>
      <c r="B344" s="32" t="s">
        <v>964</v>
      </c>
      <c r="C344" s="35">
        <v>43.17580032</v>
      </c>
      <c r="D344" s="35">
        <v>2.73416996</v>
      </c>
      <c r="E344" s="32" t="s">
        <v>96</v>
      </c>
      <c r="F344" s="32" t="s">
        <v>965</v>
      </c>
      <c r="G344" s="39" t="s">
        <v>97</v>
      </c>
      <c r="H344" s="33"/>
      <c r="I344" s="33"/>
      <c r="J344" s="33"/>
      <c r="K344" s="33"/>
      <c r="L344" s="33"/>
      <c r="M344" s="33"/>
    </row>
    <row r="345">
      <c r="A345" s="32" t="s">
        <v>100</v>
      </c>
      <c r="B345" s="32" t="s">
        <v>966</v>
      </c>
      <c r="C345" s="35">
        <v>44.02980042</v>
      </c>
      <c r="D345" s="35">
        <v>5.07806015</v>
      </c>
      <c r="E345" s="32" t="s">
        <v>96</v>
      </c>
      <c r="F345" s="32" t="s">
        <v>967</v>
      </c>
      <c r="G345" s="39" t="s">
        <v>97</v>
      </c>
      <c r="H345" s="33"/>
      <c r="I345" s="33"/>
      <c r="J345" s="33"/>
      <c r="K345" s="33"/>
      <c r="L345" s="33"/>
      <c r="M345" s="33"/>
    </row>
    <row r="346">
      <c r="A346" s="32" t="s">
        <v>100</v>
      </c>
      <c r="B346" s="32" t="s">
        <v>968</v>
      </c>
      <c r="C346" s="35">
        <v>47.053299</v>
      </c>
      <c r="D346" s="35">
        <v>2.6325</v>
      </c>
      <c r="E346" s="32" t="s">
        <v>96</v>
      </c>
      <c r="F346" s="32" t="s">
        <v>969</v>
      </c>
      <c r="G346" s="39" t="s">
        <v>97</v>
      </c>
      <c r="H346" s="33"/>
      <c r="I346" s="33"/>
      <c r="J346" s="33"/>
      <c r="K346" s="33"/>
      <c r="L346" s="33"/>
      <c r="M346" s="33"/>
    </row>
    <row r="347">
      <c r="A347" s="32" t="s">
        <v>100</v>
      </c>
      <c r="B347" s="32" t="s">
        <v>970</v>
      </c>
      <c r="C347" s="35">
        <v>48.058102</v>
      </c>
      <c r="D347" s="35">
        <v>1.37662</v>
      </c>
      <c r="E347" s="32" t="s">
        <v>96</v>
      </c>
      <c r="F347" s="32" t="s">
        <v>971</v>
      </c>
      <c r="G347" s="39" t="s">
        <v>97</v>
      </c>
      <c r="H347" s="33"/>
      <c r="I347" s="33"/>
      <c r="J347" s="33"/>
      <c r="K347" s="33"/>
      <c r="L347" s="33"/>
      <c r="M347" s="33"/>
    </row>
    <row r="348">
      <c r="A348" s="32" t="s">
        <v>100</v>
      </c>
      <c r="B348" s="32" t="s">
        <v>972</v>
      </c>
      <c r="C348" s="35">
        <v>47.256802</v>
      </c>
      <c r="D348" s="35">
        <v>-0.115142</v>
      </c>
      <c r="E348" s="32" t="s">
        <v>96</v>
      </c>
      <c r="F348" s="32" t="s">
        <v>973</v>
      </c>
      <c r="G348" s="39" t="s">
        <v>97</v>
      </c>
      <c r="H348" s="33"/>
      <c r="I348" s="33"/>
      <c r="J348" s="33"/>
      <c r="K348" s="33"/>
      <c r="L348" s="33"/>
      <c r="M348" s="33"/>
    </row>
    <row r="349">
      <c r="A349" s="32" t="s">
        <v>100</v>
      </c>
      <c r="B349" s="32" t="s">
        <v>974</v>
      </c>
      <c r="C349" s="35">
        <v>49.02870178</v>
      </c>
      <c r="D349" s="35">
        <v>1.219859958</v>
      </c>
      <c r="E349" s="32" t="s">
        <v>96</v>
      </c>
      <c r="F349" s="32" t="s">
        <v>975</v>
      </c>
      <c r="G349" s="39" t="s">
        <v>97</v>
      </c>
      <c r="H349" s="33"/>
      <c r="I349" s="33"/>
      <c r="J349" s="33"/>
      <c r="K349" s="33"/>
      <c r="L349" s="33"/>
      <c r="M349" s="33"/>
    </row>
    <row r="350">
      <c r="A350" s="32" t="s">
        <v>100</v>
      </c>
      <c r="B350" s="32" t="s">
        <v>976</v>
      </c>
      <c r="C350" s="35">
        <v>50.143501</v>
      </c>
      <c r="D350" s="35">
        <v>1.831891</v>
      </c>
      <c r="E350" s="32" t="s">
        <v>96</v>
      </c>
      <c r="F350" s="32" t="s">
        <v>976</v>
      </c>
      <c r="G350" s="39" t="s">
        <v>97</v>
      </c>
      <c r="H350" s="33"/>
      <c r="I350" s="33"/>
      <c r="J350" s="33"/>
      <c r="K350" s="33"/>
      <c r="L350" s="33"/>
      <c r="M350" s="33"/>
    </row>
    <row r="351">
      <c r="A351" s="32" t="s">
        <v>100</v>
      </c>
      <c r="B351" s="32" t="s">
        <v>977</v>
      </c>
      <c r="C351" s="35">
        <v>47.8969</v>
      </c>
      <c r="D351" s="35">
        <v>2.16333</v>
      </c>
      <c r="E351" s="32" t="s">
        <v>96</v>
      </c>
      <c r="F351" s="32" t="s">
        <v>978</v>
      </c>
      <c r="G351" s="39" t="s">
        <v>97</v>
      </c>
      <c r="H351" s="33"/>
      <c r="I351" s="33"/>
      <c r="J351" s="33"/>
      <c r="K351" s="33"/>
      <c r="L351" s="33"/>
      <c r="M351" s="33"/>
    </row>
    <row r="352">
      <c r="A352" s="32" t="s">
        <v>100</v>
      </c>
      <c r="B352" s="32" t="s">
        <v>979</v>
      </c>
      <c r="C352" s="35">
        <v>48.83769989</v>
      </c>
      <c r="D352" s="35">
        <v>3.016119957</v>
      </c>
      <c r="E352" s="32" t="s">
        <v>96</v>
      </c>
      <c r="F352" s="32" t="s">
        <v>980</v>
      </c>
      <c r="G352" s="39" t="s">
        <v>97</v>
      </c>
      <c r="H352" s="33"/>
      <c r="I352" s="33"/>
      <c r="J352" s="33"/>
      <c r="K352" s="33"/>
      <c r="L352" s="33"/>
      <c r="M352" s="33"/>
    </row>
    <row r="353">
      <c r="A353" s="32" t="s">
        <v>100</v>
      </c>
      <c r="B353" s="32" t="s">
        <v>981</v>
      </c>
      <c r="C353" s="35">
        <v>48.60469818</v>
      </c>
      <c r="D353" s="35">
        <v>2.671119928</v>
      </c>
      <c r="E353" s="32" t="s">
        <v>96</v>
      </c>
      <c r="F353" s="32" t="s">
        <v>982</v>
      </c>
      <c r="G353" s="39" t="s">
        <v>97</v>
      </c>
      <c r="H353" s="33"/>
      <c r="I353" s="33"/>
      <c r="J353" s="33"/>
      <c r="K353" s="33"/>
      <c r="L353" s="33"/>
      <c r="M353" s="33"/>
    </row>
    <row r="354">
      <c r="A354" s="32" t="s">
        <v>100</v>
      </c>
      <c r="B354" s="32" t="s">
        <v>983</v>
      </c>
      <c r="C354" s="35">
        <v>48.7741667</v>
      </c>
      <c r="D354" s="35">
        <v>2.1916667</v>
      </c>
      <c r="E354" s="32" t="s">
        <v>96</v>
      </c>
      <c r="F354" s="32" t="s">
        <v>984</v>
      </c>
      <c r="G354" s="39" t="s">
        <v>97</v>
      </c>
      <c r="H354" s="33"/>
      <c r="I354" s="33"/>
      <c r="J354" s="33"/>
      <c r="K354" s="33"/>
      <c r="L354" s="33"/>
      <c r="M354" s="33"/>
    </row>
    <row r="355">
      <c r="A355" s="32" t="s">
        <v>100</v>
      </c>
      <c r="B355" s="32" t="s">
        <v>985</v>
      </c>
      <c r="C355" s="35">
        <v>49.20869827</v>
      </c>
      <c r="D355" s="35">
        <v>4.156579971</v>
      </c>
      <c r="E355" s="32" t="s">
        <v>96</v>
      </c>
      <c r="F355" s="32" t="s">
        <v>986</v>
      </c>
      <c r="G355" s="39" t="s">
        <v>97</v>
      </c>
      <c r="H355" s="33"/>
      <c r="I355" s="33"/>
      <c r="J355" s="33"/>
      <c r="K355" s="33"/>
      <c r="L355" s="33"/>
      <c r="M355" s="33"/>
    </row>
    <row r="356">
      <c r="A356" s="32" t="s">
        <v>100</v>
      </c>
      <c r="B356" s="32" t="s">
        <v>987</v>
      </c>
      <c r="C356" s="35">
        <v>48.59329987</v>
      </c>
      <c r="D356" s="35">
        <v>6.5434598919999996</v>
      </c>
      <c r="E356" s="32" t="s">
        <v>96</v>
      </c>
      <c r="F356" s="32" t="s">
        <v>988</v>
      </c>
      <c r="G356" s="39" t="s">
        <v>97</v>
      </c>
      <c r="H356" s="33"/>
      <c r="I356" s="33"/>
      <c r="J356" s="33"/>
      <c r="K356" s="33"/>
      <c r="L356" s="33"/>
      <c r="M356" s="33"/>
    </row>
    <row r="357">
      <c r="A357" s="32" t="s">
        <v>100</v>
      </c>
      <c r="B357" s="32" t="s">
        <v>989</v>
      </c>
      <c r="C357" s="35">
        <v>49.22689819</v>
      </c>
      <c r="D357" s="35">
        <v>5.67222023</v>
      </c>
      <c r="E357" s="32" t="s">
        <v>96</v>
      </c>
      <c r="F357" s="32" t="s">
        <v>990</v>
      </c>
      <c r="G357" s="39" t="s">
        <v>97</v>
      </c>
      <c r="H357" s="33"/>
      <c r="I357" s="33"/>
      <c r="J357" s="33"/>
      <c r="K357" s="33"/>
      <c r="L357" s="33"/>
      <c r="M357" s="33"/>
    </row>
    <row r="358">
      <c r="A358" s="32" t="s">
        <v>100</v>
      </c>
      <c r="B358" s="32" t="s">
        <v>991</v>
      </c>
      <c r="C358" s="35">
        <v>46.96730042</v>
      </c>
      <c r="D358" s="35">
        <v>4.260570049</v>
      </c>
      <c r="E358" s="32" t="s">
        <v>96</v>
      </c>
      <c r="F358" s="32" t="s">
        <v>992</v>
      </c>
      <c r="G358" s="39" t="s">
        <v>97</v>
      </c>
      <c r="H358" s="33"/>
      <c r="I358" s="33"/>
      <c r="J358" s="33"/>
      <c r="K358" s="33"/>
      <c r="L358" s="33"/>
      <c r="M358" s="33"/>
    </row>
    <row r="359">
      <c r="A359" s="32" t="s">
        <v>100</v>
      </c>
      <c r="B359" s="32" t="s">
        <v>993</v>
      </c>
      <c r="C359" s="35">
        <v>50.221802</v>
      </c>
      <c r="D359" s="35">
        <v>3.15424</v>
      </c>
      <c r="E359" s="32" t="s">
        <v>96</v>
      </c>
      <c r="F359" s="32" t="s">
        <v>994</v>
      </c>
      <c r="G359" s="39" t="s">
        <v>97</v>
      </c>
      <c r="H359" s="33"/>
      <c r="I359" s="33"/>
      <c r="J359" s="33"/>
      <c r="K359" s="33"/>
      <c r="L359" s="33"/>
      <c r="M359" s="33"/>
    </row>
    <row r="360">
      <c r="A360" s="32" t="s">
        <v>100</v>
      </c>
      <c r="B360" s="32" t="s">
        <v>995</v>
      </c>
      <c r="C360" s="35">
        <v>50.3105011</v>
      </c>
      <c r="D360" s="35">
        <v>4.033120155</v>
      </c>
      <c r="E360" s="32" t="s">
        <v>96</v>
      </c>
      <c r="F360" s="32" t="s">
        <v>996</v>
      </c>
      <c r="G360" s="39" t="s">
        <v>97</v>
      </c>
      <c r="H360" s="33"/>
      <c r="I360" s="33"/>
      <c r="J360" s="33"/>
      <c r="K360" s="33"/>
      <c r="L360" s="33"/>
      <c r="M360" s="33"/>
    </row>
    <row r="361">
      <c r="A361" s="32" t="s">
        <v>100</v>
      </c>
      <c r="B361" s="32" t="s">
        <v>997</v>
      </c>
      <c r="C361" s="35">
        <v>47.2066</v>
      </c>
      <c r="D361" s="35">
        <v>6.083681</v>
      </c>
      <c r="E361" s="32" t="s">
        <v>96</v>
      </c>
      <c r="F361" s="32" t="s">
        <v>998</v>
      </c>
      <c r="G361" s="39" t="s">
        <v>97</v>
      </c>
      <c r="H361" s="33"/>
      <c r="I361" s="33"/>
      <c r="J361" s="33"/>
      <c r="K361" s="33"/>
      <c r="L361" s="33"/>
      <c r="M361" s="33"/>
    </row>
    <row r="362">
      <c r="A362" s="32" t="s">
        <v>100</v>
      </c>
      <c r="B362" s="32" t="s">
        <v>999</v>
      </c>
      <c r="C362" s="35">
        <v>48.7680556</v>
      </c>
      <c r="D362" s="35">
        <v>7.205</v>
      </c>
      <c r="E362" s="32" t="s">
        <v>96</v>
      </c>
      <c r="F362" s="32" t="s">
        <v>1000</v>
      </c>
      <c r="G362" s="39" t="s">
        <v>97</v>
      </c>
      <c r="H362" s="33"/>
      <c r="I362" s="33"/>
      <c r="J362" s="33"/>
      <c r="K362" s="33"/>
      <c r="L362" s="33"/>
      <c r="M362" s="33"/>
    </row>
    <row r="363">
      <c r="A363" s="32" t="s">
        <v>100</v>
      </c>
      <c r="B363" s="32" t="s">
        <v>1001</v>
      </c>
      <c r="C363" s="35">
        <v>50.61840057</v>
      </c>
      <c r="D363" s="35">
        <v>2.642240047</v>
      </c>
      <c r="E363" s="32" t="s">
        <v>96</v>
      </c>
      <c r="F363" s="32" t="s">
        <v>1002</v>
      </c>
      <c r="G363" s="39" t="s">
        <v>97</v>
      </c>
      <c r="H363" s="33"/>
      <c r="I363" s="33"/>
      <c r="J363" s="33"/>
      <c r="K363" s="33"/>
      <c r="L363" s="33"/>
      <c r="M363" s="33"/>
    </row>
    <row r="364">
      <c r="A364" s="32" t="s">
        <v>100</v>
      </c>
      <c r="B364" s="32" t="s">
        <v>1003</v>
      </c>
      <c r="C364" s="35">
        <v>49.78390121</v>
      </c>
      <c r="D364" s="35">
        <v>4.647079945</v>
      </c>
      <c r="E364" s="32" t="s">
        <v>96</v>
      </c>
      <c r="F364" s="32" t="s">
        <v>1004</v>
      </c>
      <c r="G364" s="39" t="s">
        <v>97</v>
      </c>
      <c r="H364" s="33"/>
      <c r="I364" s="33"/>
      <c r="J364" s="33"/>
      <c r="K364" s="33"/>
      <c r="L364" s="33"/>
      <c r="M364" s="33"/>
    </row>
    <row r="365">
      <c r="A365" s="32" t="s">
        <v>100</v>
      </c>
      <c r="B365" s="32" t="s">
        <v>1005</v>
      </c>
      <c r="C365" s="35">
        <v>47.6376</v>
      </c>
      <c r="D365" s="35">
        <v>6.20392</v>
      </c>
      <c r="E365" s="32" t="s">
        <v>96</v>
      </c>
      <c r="F365" s="32" t="s">
        <v>1006</v>
      </c>
      <c r="G365" s="39" t="s">
        <v>97</v>
      </c>
      <c r="H365" s="33"/>
      <c r="I365" s="33"/>
      <c r="J365" s="33"/>
      <c r="K365" s="33"/>
      <c r="L365" s="33"/>
      <c r="M365" s="33"/>
    </row>
    <row r="366">
      <c r="A366" s="32" t="s">
        <v>100</v>
      </c>
      <c r="B366" s="32" t="s">
        <v>1007</v>
      </c>
      <c r="C366" s="35">
        <v>47.28939819</v>
      </c>
      <c r="D366" s="35">
        <v>-2.346390009</v>
      </c>
      <c r="E366" s="32" t="s">
        <v>96</v>
      </c>
      <c r="F366" s="32" t="s">
        <v>1008</v>
      </c>
      <c r="G366" s="39" t="s">
        <v>97</v>
      </c>
      <c r="H366" s="33"/>
      <c r="I366" s="33"/>
      <c r="J366" s="33"/>
      <c r="K366" s="33"/>
      <c r="L366" s="33"/>
      <c r="M366" s="33"/>
    </row>
    <row r="367">
      <c r="A367" s="32" t="s">
        <v>100</v>
      </c>
      <c r="B367" s="32" t="s">
        <v>1009</v>
      </c>
      <c r="C367" s="35">
        <v>48.53030014</v>
      </c>
      <c r="D367" s="35">
        <v>-4.151639938</v>
      </c>
      <c r="E367" s="32" t="s">
        <v>96</v>
      </c>
      <c r="F367" s="32" t="s">
        <v>1010</v>
      </c>
      <c r="G367" s="39" t="s">
        <v>97</v>
      </c>
      <c r="H367" s="33"/>
      <c r="I367" s="33"/>
      <c r="J367" s="33"/>
      <c r="K367" s="33"/>
      <c r="L367" s="33"/>
      <c r="M367" s="33"/>
    </row>
    <row r="368">
      <c r="A368" s="32" t="s">
        <v>100</v>
      </c>
      <c r="B368" s="32" t="s">
        <v>1011</v>
      </c>
      <c r="C368" s="35">
        <v>48.28170013</v>
      </c>
      <c r="D368" s="35">
        <v>-4.445020199</v>
      </c>
      <c r="E368" s="32" t="s">
        <v>96</v>
      </c>
      <c r="F368" s="32" t="s">
        <v>1012</v>
      </c>
      <c r="G368" s="39" t="s">
        <v>97</v>
      </c>
      <c r="H368" s="33"/>
      <c r="I368" s="33"/>
      <c r="J368" s="33"/>
      <c r="K368" s="33"/>
      <c r="L368" s="33"/>
      <c r="M368" s="33"/>
    </row>
    <row r="369">
      <c r="A369" s="32" t="s">
        <v>100</v>
      </c>
      <c r="B369" s="32" t="s">
        <v>1013</v>
      </c>
      <c r="C369" s="35">
        <v>47.92200089</v>
      </c>
      <c r="D369" s="35">
        <v>7.399670124</v>
      </c>
      <c r="E369" s="32" t="s">
        <v>96</v>
      </c>
      <c r="F369" s="32" t="s">
        <v>1014</v>
      </c>
      <c r="G369" s="39" t="s">
        <v>97</v>
      </c>
      <c r="H369" s="33"/>
      <c r="I369" s="33"/>
      <c r="J369" s="33"/>
      <c r="K369" s="33"/>
      <c r="L369" s="33"/>
      <c r="M369" s="33"/>
    </row>
    <row r="370">
      <c r="A370" s="32" t="s">
        <v>100</v>
      </c>
      <c r="B370" s="32" t="s">
        <v>1015</v>
      </c>
      <c r="C370" s="35">
        <v>48.79430008</v>
      </c>
      <c r="D370" s="35">
        <v>7.817609787</v>
      </c>
      <c r="E370" s="32" t="s">
        <v>96</v>
      </c>
      <c r="F370" s="32" t="s">
        <v>1016</v>
      </c>
      <c r="G370" s="39" t="s">
        <v>97</v>
      </c>
      <c r="H370" s="33"/>
      <c r="I370" s="33"/>
      <c r="J370" s="33"/>
      <c r="K370" s="33"/>
      <c r="L370" s="33"/>
      <c r="M370" s="33"/>
    </row>
    <row r="371">
      <c r="A371" s="32" t="s">
        <v>100</v>
      </c>
      <c r="B371" s="32" t="s">
        <v>1017</v>
      </c>
      <c r="C371" s="35">
        <v>48.63600159</v>
      </c>
      <c r="D371" s="35">
        <v>4.899419785</v>
      </c>
      <c r="E371" s="32" t="s">
        <v>96</v>
      </c>
      <c r="F371" s="32" t="s">
        <v>1018</v>
      </c>
      <c r="G371" s="39" t="s">
        <v>97</v>
      </c>
      <c r="H371" s="33"/>
      <c r="I371" s="33"/>
      <c r="J371" s="33"/>
      <c r="K371" s="33"/>
      <c r="L371" s="33"/>
      <c r="M371" s="33"/>
    </row>
    <row r="372">
      <c r="A372" s="32" t="s">
        <v>100</v>
      </c>
      <c r="B372" s="32" t="s">
        <v>1019</v>
      </c>
      <c r="C372" s="35">
        <v>47.487</v>
      </c>
      <c r="D372" s="35">
        <v>6.79054</v>
      </c>
      <c r="E372" s="32" t="s">
        <v>96</v>
      </c>
      <c r="F372" s="32" t="s">
        <v>1020</v>
      </c>
      <c r="G372" s="39" t="s">
        <v>97</v>
      </c>
      <c r="H372" s="33"/>
      <c r="I372" s="33"/>
      <c r="J372" s="33"/>
      <c r="K372" s="33"/>
      <c r="L372" s="33"/>
      <c r="M372" s="33"/>
    </row>
    <row r="373">
      <c r="A373" s="32" t="s">
        <v>100</v>
      </c>
      <c r="B373" s="32" t="s">
        <v>1021</v>
      </c>
      <c r="C373" s="35">
        <v>48.58309937</v>
      </c>
      <c r="D373" s="35">
        <v>5.954999924</v>
      </c>
      <c r="E373" s="32" t="s">
        <v>96</v>
      </c>
      <c r="F373" s="32" t="s">
        <v>1022</v>
      </c>
      <c r="G373" s="39" t="s">
        <v>97</v>
      </c>
      <c r="H373" s="33"/>
      <c r="I373" s="33"/>
      <c r="J373" s="33"/>
      <c r="K373" s="33"/>
      <c r="L373" s="33"/>
      <c r="M373" s="33"/>
    </row>
    <row r="374">
      <c r="A374" s="32" t="s">
        <v>100</v>
      </c>
      <c r="B374" s="32" t="s">
        <v>1023</v>
      </c>
      <c r="C374" s="35">
        <v>46.90399933</v>
      </c>
      <c r="D374" s="35">
        <v>6.327370167</v>
      </c>
      <c r="E374" s="32" t="s">
        <v>96</v>
      </c>
      <c r="F374" s="32" t="s">
        <v>1024</v>
      </c>
      <c r="G374" s="39" t="s">
        <v>97</v>
      </c>
      <c r="H374" s="33"/>
      <c r="I374" s="33"/>
      <c r="J374" s="33"/>
      <c r="K374" s="33"/>
      <c r="L374" s="33"/>
      <c r="M374" s="33"/>
    </row>
    <row r="375">
      <c r="A375" s="32" t="s">
        <v>100</v>
      </c>
      <c r="B375" s="32" t="s">
        <v>1025</v>
      </c>
      <c r="C375" s="35">
        <v>47.7830556</v>
      </c>
      <c r="D375" s="35">
        <v>6.36416667</v>
      </c>
      <c r="E375" s="32" t="s">
        <v>96</v>
      </c>
      <c r="F375" s="32" t="s">
        <v>1026</v>
      </c>
      <c r="G375" s="39" t="s">
        <v>97</v>
      </c>
      <c r="H375" s="33"/>
      <c r="I375" s="33"/>
      <c r="J375" s="33"/>
      <c r="K375" s="33"/>
      <c r="L375" s="33"/>
      <c r="M375" s="33"/>
    </row>
    <row r="376">
      <c r="A376" s="32" t="s">
        <v>100</v>
      </c>
      <c r="B376" s="32" t="s">
        <v>1027</v>
      </c>
      <c r="C376" s="35">
        <v>43.24779892</v>
      </c>
      <c r="D376" s="35">
        <v>6.126699924</v>
      </c>
      <c r="E376" s="32" t="s">
        <v>96</v>
      </c>
      <c r="F376" s="32" t="s">
        <v>1028</v>
      </c>
      <c r="G376" s="39" t="s">
        <v>97</v>
      </c>
      <c r="H376" s="33"/>
      <c r="I376" s="33"/>
      <c r="J376" s="33"/>
      <c r="K376" s="33"/>
      <c r="L376" s="33"/>
      <c r="M376" s="33"/>
    </row>
    <row r="377">
      <c r="A377" s="32" t="s">
        <v>100</v>
      </c>
      <c r="B377" s="32" t="s">
        <v>1029</v>
      </c>
      <c r="C377" s="35">
        <v>45.987301</v>
      </c>
      <c r="D377" s="35">
        <v>5.32844</v>
      </c>
      <c r="E377" s="32" t="s">
        <v>96</v>
      </c>
      <c r="F377" s="32" t="s">
        <v>1030</v>
      </c>
      <c r="G377" s="39" t="s">
        <v>97</v>
      </c>
      <c r="H377" s="33"/>
      <c r="I377" s="33"/>
      <c r="J377" s="33"/>
      <c r="K377" s="33"/>
      <c r="L377" s="33"/>
      <c r="M377" s="33"/>
    </row>
    <row r="378">
      <c r="A378" s="32" t="s">
        <v>100</v>
      </c>
      <c r="B378" s="32" t="s">
        <v>1031</v>
      </c>
      <c r="C378" s="35">
        <v>48.0862999</v>
      </c>
      <c r="D378" s="35">
        <v>5.664060116</v>
      </c>
      <c r="E378" s="32" t="s">
        <v>96</v>
      </c>
      <c r="F378" s="32" t="s">
        <v>1032</v>
      </c>
      <c r="G378" s="39" t="s">
        <v>97</v>
      </c>
      <c r="H378" s="33"/>
      <c r="I378" s="33"/>
      <c r="J378" s="33"/>
      <c r="K378" s="33"/>
      <c r="L378" s="33"/>
      <c r="M378" s="33"/>
    </row>
    <row r="379">
      <c r="A379" s="32" t="s">
        <v>100</v>
      </c>
      <c r="B379" s="32" t="s">
        <v>1033</v>
      </c>
      <c r="C379" s="35">
        <v>40.65110016</v>
      </c>
      <c r="D379" s="35">
        <v>22.48870087</v>
      </c>
      <c r="E379" s="32" t="s">
        <v>339</v>
      </c>
      <c r="F379" s="32" t="s">
        <v>1034</v>
      </c>
      <c r="G379" s="36" t="e">
        <v>#N/A</v>
      </c>
      <c r="H379" s="33"/>
      <c r="I379" s="33"/>
      <c r="J379" s="33"/>
      <c r="K379" s="33"/>
      <c r="L379" s="33"/>
      <c r="M379" s="33"/>
    </row>
    <row r="380">
      <c r="A380" s="32" t="s">
        <v>100</v>
      </c>
      <c r="B380" s="32" t="s">
        <v>1035</v>
      </c>
      <c r="C380" s="35">
        <v>38.06380081</v>
      </c>
      <c r="D380" s="35">
        <v>23.55599976</v>
      </c>
      <c r="E380" s="32" t="s">
        <v>339</v>
      </c>
      <c r="F380" s="32" t="s">
        <v>1036</v>
      </c>
      <c r="G380" s="36" t="e">
        <v>#N/A</v>
      </c>
      <c r="H380" s="33"/>
      <c r="I380" s="33"/>
      <c r="J380" s="33"/>
      <c r="K380" s="33"/>
      <c r="L380" s="33"/>
      <c r="M380" s="33"/>
    </row>
    <row r="381">
      <c r="A381" s="32" t="s">
        <v>100</v>
      </c>
      <c r="B381" s="32" t="s">
        <v>1037</v>
      </c>
      <c r="C381" s="35">
        <v>40.97280121</v>
      </c>
      <c r="D381" s="35">
        <v>24.34140015</v>
      </c>
      <c r="E381" s="32" t="s">
        <v>339</v>
      </c>
      <c r="F381" s="32" t="s">
        <v>1038</v>
      </c>
      <c r="G381" s="36" t="e">
        <v>#N/A</v>
      </c>
      <c r="H381" s="33"/>
      <c r="I381" s="33"/>
      <c r="J381" s="33"/>
      <c r="K381" s="33"/>
      <c r="L381" s="33"/>
      <c r="M381" s="33"/>
    </row>
    <row r="382">
      <c r="A382" s="32" t="s">
        <v>100</v>
      </c>
      <c r="B382" s="32" t="s">
        <v>1039</v>
      </c>
      <c r="C382" s="35">
        <v>37.98109818</v>
      </c>
      <c r="D382" s="35">
        <v>23.36540031</v>
      </c>
      <c r="E382" s="32" t="s">
        <v>339</v>
      </c>
      <c r="F382" s="32" t="s">
        <v>1040</v>
      </c>
      <c r="G382" s="36" t="e">
        <v>#N/A</v>
      </c>
      <c r="H382" s="33"/>
      <c r="I382" s="33"/>
      <c r="J382" s="33"/>
      <c r="K382" s="33"/>
      <c r="L382" s="33"/>
      <c r="M382" s="33"/>
    </row>
    <row r="383">
      <c r="A383" s="32" t="s">
        <v>100</v>
      </c>
      <c r="B383" s="32" t="s">
        <v>1041</v>
      </c>
      <c r="C383" s="35">
        <v>36.3830986</v>
      </c>
      <c r="D383" s="35">
        <v>28.10890007</v>
      </c>
      <c r="E383" s="32" t="s">
        <v>339</v>
      </c>
      <c r="F383" s="32" t="s">
        <v>1042</v>
      </c>
      <c r="G383" s="36" t="e">
        <v>#N/A</v>
      </c>
      <c r="H383" s="33"/>
      <c r="I383" s="33"/>
      <c r="J383" s="33"/>
      <c r="K383" s="33"/>
      <c r="L383" s="33"/>
      <c r="M383" s="33"/>
    </row>
    <row r="384">
      <c r="A384" s="32" t="s">
        <v>100</v>
      </c>
      <c r="B384" s="32" t="s">
        <v>1043</v>
      </c>
      <c r="C384" s="35">
        <v>36.97389984</v>
      </c>
      <c r="D384" s="35">
        <v>22.52630043</v>
      </c>
      <c r="E384" s="32" t="s">
        <v>339</v>
      </c>
      <c r="F384" s="32" t="s">
        <v>1044</v>
      </c>
      <c r="G384" s="36" t="e">
        <v>#N/A</v>
      </c>
      <c r="H384" s="33"/>
      <c r="I384" s="33"/>
      <c r="J384" s="33"/>
      <c r="K384" s="33"/>
      <c r="L384" s="33"/>
      <c r="M384" s="33"/>
    </row>
    <row r="385">
      <c r="A385" s="32" t="s">
        <v>100</v>
      </c>
      <c r="B385" s="32" t="s">
        <v>1045</v>
      </c>
      <c r="C385" s="35">
        <v>39.48</v>
      </c>
      <c r="D385" s="35">
        <v>22.7672</v>
      </c>
      <c r="E385" s="32" t="s">
        <v>339</v>
      </c>
      <c r="F385" s="32" t="s">
        <v>1046</v>
      </c>
      <c r="G385" s="36" t="e">
        <v>#N/A</v>
      </c>
      <c r="H385" s="33"/>
      <c r="I385" s="33"/>
      <c r="J385" s="33"/>
      <c r="K385" s="33"/>
      <c r="L385" s="33"/>
      <c r="M385" s="33"/>
    </row>
    <row r="386">
      <c r="A386" s="32" t="s">
        <v>100</v>
      </c>
      <c r="B386" s="32" t="s">
        <v>1047</v>
      </c>
      <c r="C386" s="35">
        <v>38.339802</v>
      </c>
      <c r="D386" s="35">
        <v>23.565001</v>
      </c>
      <c r="E386" s="32" t="s">
        <v>339</v>
      </c>
      <c r="F386" s="32" t="s">
        <v>1048</v>
      </c>
      <c r="G386" s="36" t="e">
        <v>#N/A</v>
      </c>
      <c r="H386" s="33"/>
      <c r="I386" s="33"/>
      <c r="J386" s="33"/>
      <c r="K386" s="33"/>
      <c r="L386" s="33"/>
      <c r="M386" s="33"/>
    </row>
    <row r="387">
      <c r="A387" s="32" t="s">
        <v>100</v>
      </c>
      <c r="B387" s="32" t="s">
        <v>1049</v>
      </c>
      <c r="C387" s="35">
        <v>35.19200134</v>
      </c>
      <c r="D387" s="35">
        <v>25.32699966</v>
      </c>
      <c r="E387" s="32" t="s">
        <v>339</v>
      </c>
      <c r="F387" s="32" t="s">
        <v>1050</v>
      </c>
      <c r="G387" s="36" t="e">
        <v>#N/A</v>
      </c>
      <c r="H387" s="33"/>
      <c r="I387" s="33"/>
      <c r="J387" s="33"/>
      <c r="K387" s="33"/>
      <c r="L387" s="33"/>
      <c r="M387" s="33"/>
    </row>
    <row r="388">
      <c r="A388" s="32" t="s">
        <v>100</v>
      </c>
      <c r="B388" s="32" t="s">
        <v>1051</v>
      </c>
      <c r="C388" s="35">
        <v>37.5306015</v>
      </c>
      <c r="D388" s="35">
        <v>22.40360069</v>
      </c>
      <c r="E388" s="32" t="s">
        <v>339</v>
      </c>
      <c r="F388" s="32" t="s">
        <v>1052</v>
      </c>
      <c r="G388" s="36" t="e">
        <v>#N/A</v>
      </c>
      <c r="H388" s="33"/>
      <c r="I388" s="33"/>
      <c r="J388" s="33"/>
      <c r="K388" s="33"/>
      <c r="L388" s="33"/>
      <c r="M388" s="33"/>
    </row>
    <row r="389">
      <c r="A389" s="32" t="s">
        <v>100</v>
      </c>
      <c r="B389" s="32" t="s">
        <v>1053</v>
      </c>
      <c r="C389" s="35">
        <v>38.10889816</v>
      </c>
      <c r="D389" s="35">
        <v>23.78380013</v>
      </c>
      <c r="E389" s="32" t="s">
        <v>339</v>
      </c>
      <c r="F389" s="32" t="s">
        <v>1054</v>
      </c>
      <c r="G389" s="36" t="e">
        <v>#N/A</v>
      </c>
      <c r="H389" s="33"/>
      <c r="I389" s="33"/>
      <c r="J389" s="33"/>
      <c r="K389" s="33"/>
      <c r="L389" s="33"/>
      <c r="M389" s="33"/>
    </row>
    <row r="390">
      <c r="A390" s="32" t="s">
        <v>100</v>
      </c>
      <c r="B390" s="32" t="s">
        <v>1055</v>
      </c>
      <c r="C390" s="35">
        <v>46.91749954</v>
      </c>
      <c r="D390" s="35">
        <v>19.74920082</v>
      </c>
      <c r="E390" s="32" t="s">
        <v>1056</v>
      </c>
      <c r="F390" s="32" t="s">
        <v>1057</v>
      </c>
      <c r="G390" s="36" t="e">
        <v>#N/A</v>
      </c>
      <c r="H390" s="33"/>
      <c r="I390" s="33"/>
      <c r="J390" s="33"/>
      <c r="K390" s="33"/>
      <c r="L390" s="33"/>
      <c r="M390" s="33"/>
    </row>
    <row r="391">
      <c r="A391" s="32" t="s">
        <v>100</v>
      </c>
      <c r="B391" s="32" t="s">
        <v>1058</v>
      </c>
      <c r="C391" s="35">
        <v>47.98389816</v>
      </c>
      <c r="D391" s="35">
        <v>21.6923008</v>
      </c>
      <c r="E391" s="32" t="s">
        <v>1056</v>
      </c>
      <c r="F391" s="32" t="s">
        <v>1059</v>
      </c>
      <c r="G391" s="36" t="e">
        <v>#N/A</v>
      </c>
      <c r="H391" s="33"/>
      <c r="I391" s="33"/>
      <c r="J391" s="33"/>
      <c r="K391" s="33"/>
      <c r="L391" s="33"/>
      <c r="M391" s="33"/>
    </row>
    <row r="392">
      <c r="A392" s="32" t="s">
        <v>100</v>
      </c>
      <c r="B392" s="32" t="s">
        <v>1060</v>
      </c>
      <c r="C392" s="35">
        <v>46.30390167</v>
      </c>
      <c r="D392" s="35">
        <v>18.76919937</v>
      </c>
      <c r="E392" s="32" t="s">
        <v>1056</v>
      </c>
      <c r="F392" s="32" t="s">
        <v>1061</v>
      </c>
      <c r="G392" s="36" t="e">
        <v>#N/A</v>
      </c>
      <c r="H392" s="33"/>
      <c r="I392" s="33"/>
      <c r="J392" s="33"/>
      <c r="K392" s="33"/>
      <c r="L392" s="33"/>
      <c r="M392" s="33"/>
    </row>
    <row r="393">
      <c r="A393" s="32" t="s">
        <v>100</v>
      </c>
      <c r="B393" s="32" t="s">
        <v>1062</v>
      </c>
      <c r="C393" s="35">
        <v>47.07789993</v>
      </c>
      <c r="D393" s="35">
        <v>17.96839905</v>
      </c>
      <c r="E393" s="32" t="s">
        <v>1056</v>
      </c>
      <c r="F393" s="32" t="s">
        <v>1063</v>
      </c>
      <c r="G393" s="36" t="e">
        <v>#N/A</v>
      </c>
      <c r="H393" s="33"/>
      <c r="I393" s="33"/>
      <c r="J393" s="33"/>
      <c r="K393" s="33"/>
      <c r="L393" s="33"/>
      <c r="M393" s="33"/>
    </row>
    <row r="394">
      <c r="A394" s="32" t="s">
        <v>100</v>
      </c>
      <c r="B394" s="32" t="s">
        <v>1064</v>
      </c>
      <c r="C394" s="35">
        <v>47.122897</v>
      </c>
      <c r="D394" s="35">
        <v>20.2355</v>
      </c>
      <c r="E394" s="32" t="s">
        <v>1056</v>
      </c>
      <c r="F394" s="32" t="s">
        <v>1065</v>
      </c>
      <c r="G394" s="36" t="e">
        <v>#N/A</v>
      </c>
      <c r="H394" s="33"/>
      <c r="I394" s="33"/>
      <c r="J394" s="33"/>
      <c r="K394" s="33"/>
      <c r="L394" s="33"/>
      <c r="M394" s="33"/>
    </row>
    <row r="395">
      <c r="A395" s="32" t="s">
        <v>100</v>
      </c>
      <c r="B395" s="32" t="s">
        <v>1066</v>
      </c>
      <c r="C395" s="35">
        <v>41.541401</v>
      </c>
      <c r="D395" s="35">
        <v>15.7181</v>
      </c>
      <c r="E395" s="32" t="s">
        <v>103</v>
      </c>
      <c r="F395" s="32" t="s">
        <v>1067</v>
      </c>
      <c r="G395" s="39" t="s">
        <v>104</v>
      </c>
      <c r="H395" s="33"/>
      <c r="I395" s="33"/>
      <c r="J395" s="33"/>
      <c r="K395" s="33"/>
      <c r="L395" s="33"/>
      <c r="M395" s="33"/>
    </row>
    <row r="396">
      <c r="A396" s="32" t="s">
        <v>100</v>
      </c>
      <c r="B396" s="32" t="s">
        <v>1068</v>
      </c>
      <c r="C396" s="35">
        <v>40.767799</v>
      </c>
      <c r="D396" s="35">
        <v>16.9333</v>
      </c>
      <c r="E396" s="32" t="s">
        <v>103</v>
      </c>
      <c r="F396" s="32" t="s">
        <v>1069</v>
      </c>
      <c r="G396" s="39" t="s">
        <v>104</v>
      </c>
      <c r="H396" s="33"/>
      <c r="I396" s="33"/>
      <c r="J396" s="33"/>
      <c r="K396" s="33"/>
      <c r="L396" s="33"/>
      <c r="M396" s="33"/>
    </row>
    <row r="397">
      <c r="A397" s="32" t="s">
        <v>100</v>
      </c>
      <c r="B397" s="32" t="s">
        <v>1070</v>
      </c>
      <c r="C397" s="35">
        <v>38.110802</v>
      </c>
      <c r="D397" s="35">
        <v>13.3133</v>
      </c>
      <c r="E397" s="32" t="s">
        <v>103</v>
      </c>
      <c r="F397" s="32" t="s">
        <v>1071</v>
      </c>
      <c r="G397" s="39" t="s">
        <v>104</v>
      </c>
      <c r="H397" s="33"/>
      <c r="I397" s="33"/>
      <c r="J397" s="33"/>
      <c r="K397" s="33"/>
      <c r="L397" s="33"/>
      <c r="M397" s="33"/>
    </row>
    <row r="398">
      <c r="A398" s="32" t="s">
        <v>100</v>
      </c>
      <c r="B398" s="32" t="s">
        <v>1072</v>
      </c>
      <c r="C398" s="35">
        <v>45.086399</v>
      </c>
      <c r="D398" s="35">
        <v>7.60337</v>
      </c>
      <c r="E398" s="32" t="s">
        <v>103</v>
      </c>
      <c r="F398" s="32" t="s">
        <v>1073</v>
      </c>
      <c r="G398" s="39" t="s">
        <v>104</v>
      </c>
      <c r="H398" s="33"/>
      <c r="I398" s="33"/>
      <c r="J398" s="33"/>
      <c r="K398" s="33"/>
      <c r="L398" s="33"/>
      <c r="M398" s="33"/>
    </row>
    <row r="399">
      <c r="A399" s="32" t="s">
        <v>100</v>
      </c>
      <c r="B399" s="32" t="s">
        <v>1074</v>
      </c>
      <c r="C399" s="35">
        <v>45.542198</v>
      </c>
      <c r="D399" s="35">
        <v>9.20333</v>
      </c>
      <c r="E399" s="32" t="s">
        <v>103</v>
      </c>
      <c r="F399" s="32" t="s">
        <v>1075</v>
      </c>
      <c r="G399" s="39" t="s">
        <v>104</v>
      </c>
      <c r="H399" s="33"/>
      <c r="I399" s="33"/>
      <c r="J399" s="33"/>
      <c r="K399" s="33"/>
      <c r="L399" s="33"/>
      <c r="M399" s="33"/>
    </row>
    <row r="400">
      <c r="A400" s="32" t="s">
        <v>100</v>
      </c>
      <c r="B400" s="32" t="s">
        <v>1076</v>
      </c>
      <c r="C400" s="35">
        <v>45.529598</v>
      </c>
      <c r="D400" s="35">
        <v>8.66922</v>
      </c>
      <c r="E400" s="32" t="s">
        <v>103</v>
      </c>
      <c r="F400" s="32" t="s">
        <v>1077</v>
      </c>
      <c r="G400" s="39" t="s">
        <v>104</v>
      </c>
      <c r="H400" s="33"/>
      <c r="I400" s="33"/>
      <c r="J400" s="33"/>
      <c r="K400" s="33"/>
      <c r="L400" s="33"/>
      <c r="M400" s="33"/>
    </row>
    <row r="401">
      <c r="A401" s="32" t="s">
        <v>100</v>
      </c>
      <c r="B401" s="32" t="s">
        <v>1078</v>
      </c>
      <c r="C401" s="35">
        <v>44.224201</v>
      </c>
      <c r="D401" s="35">
        <v>12.3072</v>
      </c>
      <c r="E401" s="32" t="s">
        <v>103</v>
      </c>
      <c r="F401" s="32" t="s">
        <v>1079</v>
      </c>
      <c r="G401" s="39" t="s">
        <v>104</v>
      </c>
      <c r="H401" s="33"/>
      <c r="I401" s="33"/>
      <c r="J401" s="33"/>
      <c r="K401" s="33"/>
      <c r="L401" s="33"/>
      <c r="M401" s="33"/>
    </row>
    <row r="402">
      <c r="A402" s="32" t="s">
        <v>100</v>
      </c>
      <c r="B402" s="32" t="s">
        <v>1080</v>
      </c>
      <c r="C402" s="35">
        <v>45.978699</v>
      </c>
      <c r="D402" s="35">
        <v>13.0493</v>
      </c>
      <c r="E402" s="32" t="s">
        <v>103</v>
      </c>
      <c r="F402" s="32" t="s">
        <v>1081</v>
      </c>
      <c r="G402" s="39" t="s">
        <v>104</v>
      </c>
      <c r="H402" s="33"/>
      <c r="I402" s="33"/>
      <c r="J402" s="33"/>
      <c r="K402" s="33"/>
      <c r="L402" s="33"/>
      <c r="M402" s="33"/>
    </row>
    <row r="403">
      <c r="A403" s="32" t="s">
        <v>100</v>
      </c>
      <c r="B403" s="32" t="s">
        <v>1082</v>
      </c>
      <c r="C403" s="35">
        <v>45.432201</v>
      </c>
      <c r="D403" s="35">
        <v>10.2677</v>
      </c>
      <c r="E403" s="32" t="s">
        <v>103</v>
      </c>
      <c r="F403" s="32" t="s">
        <v>1083</v>
      </c>
      <c r="G403" s="39" t="s">
        <v>104</v>
      </c>
      <c r="H403" s="33"/>
      <c r="I403" s="33"/>
      <c r="J403" s="33"/>
      <c r="K403" s="33"/>
      <c r="L403" s="33"/>
      <c r="M403" s="33"/>
    </row>
    <row r="404">
      <c r="A404" s="32" t="s">
        <v>100</v>
      </c>
      <c r="B404" s="32" t="s">
        <v>1084</v>
      </c>
      <c r="C404" s="35">
        <v>45.472</v>
      </c>
      <c r="D404" s="35">
        <v>10.9279</v>
      </c>
      <c r="E404" s="32" t="s">
        <v>103</v>
      </c>
      <c r="F404" s="32" t="s">
        <v>1085</v>
      </c>
      <c r="G404" s="39" t="s">
        <v>104</v>
      </c>
      <c r="H404" s="33"/>
      <c r="I404" s="33"/>
      <c r="J404" s="33"/>
      <c r="K404" s="33"/>
      <c r="L404" s="33"/>
      <c r="M404" s="33"/>
    </row>
    <row r="405">
      <c r="A405" s="32" t="s">
        <v>100</v>
      </c>
      <c r="B405" s="32" t="s">
        <v>1086</v>
      </c>
      <c r="C405" s="35">
        <v>45.684898</v>
      </c>
      <c r="D405" s="35">
        <v>12.0829</v>
      </c>
      <c r="E405" s="32" t="s">
        <v>103</v>
      </c>
      <c r="F405" s="32" t="s">
        <v>1087</v>
      </c>
      <c r="G405" s="39" t="s">
        <v>104</v>
      </c>
      <c r="H405" s="33"/>
      <c r="I405" s="33"/>
      <c r="J405" s="33"/>
      <c r="K405" s="33"/>
      <c r="L405" s="33"/>
      <c r="M405" s="33"/>
    </row>
    <row r="406">
      <c r="A406" s="32" t="s">
        <v>100</v>
      </c>
      <c r="B406" s="32" t="s">
        <v>1088</v>
      </c>
      <c r="C406" s="35">
        <v>41.654499</v>
      </c>
      <c r="D406" s="35">
        <v>12.4452</v>
      </c>
      <c r="E406" s="32" t="s">
        <v>103</v>
      </c>
      <c r="F406" s="32" t="s">
        <v>1089</v>
      </c>
      <c r="G406" s="39" t="s">
        <v>104</v>
      </c>
      <c r="H406" s="33"/>
      <c r="I406" s="33"/>
      <c r="J406" s="33"/>
      <c r="K406" s="33"/>
      <c r="L406" s="33"/>
      <c r="M406" s="33"/>
    </row>
    <row r="407">
      <c r="A407" s="32" t="s">
        <v>100</v>
      </c>
      <c r="B407" s="32" t="s">
        <v>1090</v>
      </c>
      <c r="C407" s="35">
        <v>41.990299</v>
      </c>
      <c r="D407" s="35">
        <v>12.7408</v>
      </c>
      <c r="E407" s="32" t="s">
        <v>103</v>
      </c>
      <c r="F407" s="32" t="s">
        <v>1091</v>
      </c>
      <c r="G407" s="39" t="s">
        <v>104</v>
      </c>
      <c r="H407" s="33"/>
      <c r="I407" s="33"/>
      <c r="J407" s="33"/>
      <c r="K407" s="33"/>
      <c r="L407" s="33"/>
      <c r="M407" s="33"/>
    </row>
    <row r="408">
      <c r="A408" s="32" t="s">
        <v>100</v>
      </c>
      <c r="B408" s="32" t="s">
        <v>1092</v>
      </c>
      <c r="C408" s="35">
        <v>41.060799</v>
      </c>
      <c r="D408" s="35">
        <v>14.0819</v>
      </c>
      <c r="E408" s="32" t="s">
        <v>103</v>
      </c>
      <c r="F408" s="32" t="s">
        <v>1093</v>
      </c>
      <c r="G408" s="39" t="s">
        <v>104</v>
      </c>
      <c r="H408" s="33"/>
      <c r="I408" s="33"/>
      <c r="J408" s="33"/>
      <c r="K408" s="33"/>
      <c r="L408" s="33"/>
      <c r="M408" s="33"/>
    </row>
    <row r="409">
      <c r="A409" s="32" t="s">
        <v>100</v>
      </c>
      <c r="B409" s="32" t="s">
        <v>1094</v>
      </c>
      <c r="C409" s="35">
        <v>41.9519</v>
      </c>
      <c r="D409" s="35">
        <v>12.4989</v>
      </c>
      <c r="E409" s="32" t="s">
        <v>103</v>
      </c>
      <c r="F409" s="32" t="s">
        <v>1095</v>
      </c>
      <c r="G409" s="39" t="s">
        <v>104</v>
      </c>
      <c r="H409" s="33"/>
      <c r="I409" s="33"/>
      <c r="J409" s="33"/>
      <c r="K409" s="33"/>
      <c r="L409" s="33"/>
      <c r="M409" s="33"/>
    </row>
    <row r="410">
      <c r="A410" s="32" t="s">
        <v>100</v>
      </c>
      <c r="B410" s="32" t="s">
        <v>1096</v>
      </c>
      <c r="C410" s="35">
        <v>42.430199</v>
      </c>
      <c r="D410" s="35">
        <v>12.0642</v>
      </c>
      <c r="E410" s="32" t="s">
        <v>103</v>
      </c>
      <c r="F410" s="32" t="s">
        <v>1097</v>
      </c>
      <c r="G410" s="39" t="s">
        <v>104</v>
      </c>
      <c r="H410" s="33"/>
      <c r="I410" s="33"/>
      <c r="J410" s="33"/>
      <c r="K410" s="33"/>
      <c r="L410" s="33"/>
      <c r="M410" s="33"/>
    </row>
    <row r="411">
      <c r="A411" s="32" t="s">
        <v>100</v>
      </c>
      <c r="B411" s="32" t="s">
        <v>1098</v>
      </c>
      <c r="C411" s="35">
        <v>45.90000153</v>
      </c>
      <c r="D411" s="35">
        <v>15.5302</v>
      </c>
      <c r="E411" s="32" t="s">
        <v>1099</v>
      </c>
      <c r="F411" s="32" t="s">
        <v>1100</v>
      </c>
      <c r="G411" s="36" t="e">
        <v>#N/A</v>
      </c>
      <c r="H411" s="33"/>
      <c r="I411" s="33"/>
      <c r="J411" s="33"/>
      <c r="K411" s="33"/>
      <c r="L411" s="33"/>
      <c r="M411" s="33"/>
    </row>
    <row r="412">
      <c r="A412" s="32" t="s">
        <v>100</v>
      </c>
      <c r="B412" s="32" t="s">
        <v>1101</v>
      </c>
      <c r="C412" s="35">
        <v>46.47200012</v>
      </c>
      <c r="D412" s="35">
        <v>15.11699963</v>
      </c>
      <c r="E412" s="32" t="s">
        <v>1099</v>
      </c>
      <c r="F412" s="32" t="s">
        <v>1102</v>
      </c>
      <c r="G412" s="36" t="e">
        <v>#N/A</v>
      </c>
      <c r="H412" s="33"/>
      <c r="I412" s="33"/>
      <c r="J412" s="33"/>
      <c r="K412" s="33"/>
      <c r="L412" s="33"/>
      <c r="M412" s="33"/>
    </row>
    <row r="413">
      <c r="A413" s="32" t="s">
        <v>100</v>
      </c>
      <c r="B413" s="32" t="s">
        <v>1103</v>
      </c>
      <c r="C413" s="35">
        <v>48.94639969</v>
      </c>
      <c r="D413" s="35">
        <v>14.42749977</v>
      </c>
      <c r="E413" s="32" t="s">
        <v>1104</v>
      </c>
      <c r="F413" s="32" t="s">
        <v>1105</v>
      </c>
      <c r="G413" s="36" t="e">
        <v>#N/A</v>
      </c>
      <c r="H413" s="33"/>
      <c r="I413" s="33"/>
      <c r="J413" s="33"/>
      <c r="K413" s="33"/>
      <c r="L413" s="33"/>
      <c r="M413" s="33"/>
    </row>
    <row r="414">
      <c r="A414" s="32" t="s">
        <v>100</v>
      </c>
      <c r="B414" s="32" t="s">
        <v>1106</v>
      </c>
      <c r="C414" s="35">
        <v>49.93970108</v>
      </c>
      <c r="D414" s="35">
        <v>15.3817997</v>
      </c>
      <c r="E414" s="32" t="s">
        <v>1104</v>
      </c>
      <c r="F414" s="32" t="s">
        <v>1107</v>
      </c>
      <c r="G414" s="36" t="e">
        <v>#N/A</v>
      </c>
      <c r="H414" s="33"/>
      <c r="I414" s="33"/>
      <c r="J414" s="33"/>
      <c r="K414" s="33"/>
      <c r="L414" s="33"/>
      <c r="M414" s="33"/>
    </row>
    <row r="415">
      <c r="A415" s="32" t="s">
        <v>100</v>
      </c>
      <c r="B415" s="32" t="s">
        <v>1108</v>
      </c>
      <c r="C415" s="35">
        <v>50.253201</v>
      </c>
      <c r="D415" s="35">
        <v>15.8452</v>
      </c>
      <c r="E415" s="32" t="s">
        <v>1104</v>
      </c>
      <c r="F415" s="32" t="s">
        <v>1109</v>
      </c>
      <c r="G415" s="36" t="e">
        <v>#N/A</v>
      </c>
      <c r="H415" s="33"/>
      <c r="I415" s="33"/>
      <c r="J415" s="33"/>
      <c r="K415" s="33"/>
      <c r="L415" s="33"/>
      <c r="M415" s="33"/>
    </row>
    <row r="416">
      <c r="A416" s="32" t="s">
        <v>100</v>
      </c>
      <c r="B416" s="32" t="s">
        <v>1110</v>
      </c>
      <c r="C416" s="35">
        <v>49.84809875</v>
      </c>
      <c r="D416" s="35">
        <v>13.89350033</v>
      </c>
      <c r="E416" s="32" t="s">
        <v>1104</v>
      </c>
      <c r="F416" s="32" t="s">
        <v>1111</v>
      </c>
      <c r="G416" s="36" t="e">
        <v>#N/A</v>
      </c>
      <c r="H416" s="33"/>
      <c r="I416" s="33"/>
      <c r="J416" s="33"/>
      <c r="K416" s="33"/>
      <c r="L416" s="33"/>
      <c r="M416" s="33"/>
    </row>
    <row r="417">
      <c r="A417" s="32" t="s">
        <v>100</v>
      </c>
      <c r="B417" s="32" t="s">
        <v>1112</v>
      </c>
      <c r="C417" s="35">
        <v>50.12139893</v>
      </c>
      <c r="D417" s="35">
        <v>14.54360008</v>
      </c>
      <c r="E417" s="32" t="s">
        <v>1104</v>
      </c>
      <c r="F417" s="32" t="s">
        <v>1113</v>
      </c>
      <c r="G417" s="36" t="e">
        <v>#N/A</v>
      </c>
      <c r="H417" s="33"/>
      <c r="I417" s="33"/>
      <c r="J417" s="33"/>
      <c r="K417" s="33"/>
      <c r="L417" s="33"/>
      <c r="M417" s="33"/>
    </row>
    <row r="418">
      <c r="A418" s="32" t="s">
        <v>100</v>
      </c>
      <c r="B418" s="32" t="s">
        <v>1114</v>
      </c>
      <c r="C418" s="35">
        <v>49.02939987</v>
      </c>
      <c r="D418" s="35">
        <v>17.43969917</v>
      </c>
      <c r="E418" s="32" t="s">
        <v>1104</v>
      </c>
      <c r="F418" s="32" t="s">
        <v>1115</v>
      </c>
      <c r="G418" s="36" t="e">
        <v>#N/A</v>
      </c>
      <c r="H418" s="33"/>
      <c r="I418" s="33"/>
      <c r="J418" s="33"/>
      <c r="K418" s="33"/>
      <c r="L418" s="33"/>
      <c r="M418" s="33"/>
    </row>
    <row r="419">
      <c r="A419" s="32" t="s">
        <v>100</v>
      </c>
      <c r="B419" s="32" t="s">
        <v>1116</v>
      </c>
      <c r="C419" s="35">
        <v>49.67520142</v>
      </c>
      <c r="D419" s="35">
        <v>13.27460003</v>
      </c>
      <c r="E419" s="32" t="s">
        <v>1104</v>
      </c>
      <c r="F419" s="32" t="s">
        <v>1117</v>
      </c>
      <c r="G419" s="36" t="e">
        <v>#N/A</v>
      </c>
      <c r="H419" s="33"/>
      <c r="I419" s="33"/>
      <c r="J419" s="33"/>
      <c r="K419" s="33"/>
      <c r="L419" s="33"/>
      <c r="M419" s="33"/>
    </row>
    <row r="420">
      <c r="A420" s="32" t="s">
        <v>100</v>
      </c>
      <c r="B420" s="32" t="s">
        <v>1118</v>
      </c>
      <c r="C420" s="35">
        <v>50.54019928</v>
      </c>
      <c r="D420" s="35">
        <v>15.00660038</v>
      </c>
      <c r="E420" s="32" t="s">
        <v>1104</v>
      </c>
      <c r="F420" s="32" t="s">
        <v>1119</v>
      </c>
      <c r="G420" s="36" t="e">
        <v>#N/A</v>
      </c>
      <c r="H420" s="33"/>
      <c r="I420" s="33"/>
      <c r="J420" s="33"/>
      <c r="K420" s="33"/>
      <c r="L420" s="33"/>
      <c r="M420" s="33"/>
    </row>
    <row r="421">
      <c r="A421" s="32" t="s">
        <v>100</v>
      </c>
      <c r="B421" s="32" t="s">
        <v>1120</v>
      </c>
      <c r="C421" s="35">
        <v>49.16579819</v>
      </c>
      <c r="D421" s="35">
        <v>16.12490082</v>
      </c>
      <c r="E421" s="32" t="s">
        <v>1104</v>
      </c>
      <c r="F421" s="32" t="s">
        <v>1121</v>
      </c>
      <c r="G421" s="36" t="e">
        <v>#N/A</v>
      </c>
      <c r="H421" s="33"/>
      <c r="I421" s="33"/>
      <c r="J421" s="33"/>
      <c r="K421" s="33"/>
      <c r="L421" s="33"/>
      <c r="M421" s="33"/>
    </row>
    <row r="422">
      <c r="A422" s="32" t="s">
        <v>100</v>
      </c>
      <c r="B422" s="32" t="s">
        <v>1122</v>
      </c>
      <c r="C422" s="35">
        <v>49.7201004</v>
      </c>
      <c r="D422" s="35">
        <v>14.10060024</v>
      </c>
      <c r="E422" s="32" t="s">
        <v>1104</v>
      </c>
      <c r="F422" s="32" t="s">
        <v>1123</v>
      </c>
      <c r="G422" s="36" t="e">
        <v>#N/A</v>
      </c>
      <c r="H422" s="33"/>
      <c r="I422" s="33"/>
      <c r="J422" s="33"/>
      <c r="K422" s="33"/>
      <c r="L422" s="33"/>
      <c r="M422" s="33"/>
    </row>
    <row r="423">
      <c r="A423" s="32" t="s">
        <v>100</v>
      </c>
      <c r="B423" s="32" t="s">
        <v>1124</v>
      </c>
      <c r="C423" s="35">
        <v>50.216599</v>
      </c>
      <c r="D423" s="35">
        <v>14.3958</v>
      </c>
      <c r="E423" s="32" t="s">
        <v>1104</v>
      </c>
      <c r="F423" s="32" t="s">
        <v>1125</v>
      </c>
      <c r="G423" s="36" t="e">
        <v>#N/A</v>
      </c>
      <c r="H423" s="33"/>
      <c r="I423" s="33"/>
      <c r="J423" s="33"/>
      <c r="K423" s="33"/>
      <c r="L423" s="33"/>
      <c r="M423" s="33"/>
    </row>
    <row r="424">
      <c r="A424" s="32" t="s">
        <v>100</v>
      </c>
      <c r="B424" s="32" t="s">
        <v>1126</v>
      </c>
      <c r="C424" s="35">
        <v>31.83950043</v>
      </c>
      <c r="D424" s="35">
        <v>34.82180023</v>
      </c>
      <c r="E424" s="32" t="s">
        <v>243</v>
      </c>
      <c r="F424" s="32" t="s">
        <v>1127</v>
      </c>
      <c r="G424" s="36" t="e">
        <v>#N/A</v>
      </c>
      <c r="H424" s="33"/>
      <c r="I424" s="33"/>
      <c r="J424" s="33"/>
      <c r="K424" s="33"/>
      <c r="L424" s="33"/>
      <c r="M424" s="33"/>
    </row>
    <row r="425">
      <c r="A425" s="32" t="s">
        <v>100</v>
      </c>
      <c r="B425" s="32" t="s">
        <v>1128</v>
      </c>
      <c r="C425" s="35">
        <v>32.44079971</v>
      </c>
      <c r="D425" s="35">
        <v>35.00770187</v>
      </c>
      <c r="E425" s="32" t="s">
        <v>243</v>
      </c>
      <c r="F425" s="32" t="s">
        <v>1129</v>
      </c>
      <c r="G425" s="36" t="e">
        <v>#N/A</v>
      </c>
      <c r="H425" s="33"/>
      <c r="I425" s="33"/>
      <c r="J425" s="33"/>
      <c r="K425" s="33"/>
      <c r="L425" s="33"/>
      <c r="M425" s="33"/>
    </row>
    <row r="426">
      <c r="A426" s="32" t="s">
        <v>100</v>
      </c>
      <c r="B426" s="32" t="s">
        <v>1130</v>
      </c>
      <c r="C426" s="35">
        <v>30.62170029</v>
      </c>
      <c r="D426" s="35">
        <v>35.20330048</v>
      </c>
      <c r="E426" s="32" t="s">
        <v>243</v>
      </c>
      <c r="F426" s="32" t="s">
        <v>1131</v>
      </c>
      <c r="G426" s="36" t="e">
        <v>#N/A</v>
      </c>
      <c r="H426" s="33"/>
      <c r="I426" s="33"/>
      <c r="J426" s="33"/>
      <c r="K426" s="33"/>
      <c r="L426" s="33"/>
      <c r="M426" s="33"/>
    </row>
    <row r="427">
      <c r="A427" s="32" t="s">
        <v>100</v>
      </c>
      <c r="B427" s="32" t="s">
        <v>1132</v>
      </c>
      <c r="C427" s="35">
        <v>31.76250076</v>
      </c>
      <c r="D427" s="35">
        <v>34.72719955</v>
      </c>
      <c r="E427" s="32" t="s">
        <v>243</v>
      </c>
      <c r="F427" s="32" t="s">
        <v>1133</v>
      </c>
      <c r="G427" s="36" t="e">
        <v>#N/A</v>
      </c>
      <c r="H427" s="33"/>
      <c r="I427" s="33"/>
      <c r="J427" s="33"/>
      <c r="K427" s="33"/>
      <c r="L427" s="33"/>
      <c r="M427" s="33"/>
    </row>
    <row r="428">
      <c r="A428" s="32" t="s">
        <v>100</v>
      </c>
      <c r="B428" s="32" t="s">
        <v>1134</v>
      </c>
      <c r="C428" s="35">
        <v>32.59730148</v>
      </c>
      <c r="D428" s="35">
        <v>35.22880173</v>
      </c>
      <c r="E428" s="32" t="s">
        <v>243</v>
      </c>
      <c r="F428" s="32" t="s">
        <v>1135</v>
      </c>
      <c r="G428" s="36" t="e">
        <v>#N/A</v>
      </c>
      <c r="H428" s="33"/>
      <c r="I428" s="33"/>
      <c r="J428" s="33"/>
      <c r="K428" s="33"/>
      <c r="L428" s="33"/>
      <c r="M428" s="33"/>
    </row>
    <row r="429">
      <c r="A429" s="32" t="s">
        <v>100</v>
      </c>
      <c r="B429" s="32" t="s">
        <v>1136</v>
      </c>
      <c r="C429" s="35">
        <v>31.32819939</v>
      </c>
      <c r="D429" s="35">
        <v>35.3885994</v>
      </c>
      <c r="E429" s="32" t="s">
        <v>243</v>
      </c>
      <c r="F429" s="32" t="s">
        <v>1137</v>
      </c>
      <c r="G429" s="36" t="e">
        <v>#N/A</v>
      </c>
      <c r="H429" s="33"/>
      <c r="I429" s="33"/>
      <c r="J429" s="33"/>
      <c r="K429" s="33"/>
      <c r="L429" s="33"/>
      <c r="M429" s="33"/>
    </row>
    <row r="430">
      <c r="A430" s="32" t="s">
        <v>100</v>
      </c>
      <c r="B430" s="32" t="s">
        <v>1138</v>
      </c>
      <c r="C430" s="35">
        <v>31.20829964</v>
      </c>
      <c r="D430" s="35">
        <v>35.01229858</v>
      </c>
      <c r="E430" s="32" t="s">
        <v>243</v>
      </c>
      <c r="F430" s="32" t="s">
        <v>1139</v>
      </c>
      <c r="G430" s="36" t="e">
        <v>#N/A</v>
      </c>
      <c r="H430" s="33"/>
      <c r="I430" s="33"/>
      <c r="J430" s="33"/>
      <c r="K430" s="33"/>
      <c r="L430" s="33"/>
      <c r="M430" s="33"/>
    </row>
    <row r="431">
      <c r="A431" s="32" t="s">
        <v>100</v>
      </c>
      <c r="B431" s="32" t="s">
        <v>1140</v>
      </c>
      <c r="C431" s="35">
        <v>32.6651001</v>
      </c>
      <c r="D431" s="35">
        <v>35.17950058</v>
      </c>
      <c r="E431" s="32" t="s">
        <v>243</v>
      </c>
      <c r="F431" s="32" t="s">
        <v>1141</v>
      </c>
      <c r="G431" s="36" t="e">
        <v>#N/A</v>
      </c>
      <c r="H431" s="33"/>
      <c r="I431" s="33"/>
      <c r="J431" s="33"/>
      <c r="K431" s="33"/>
      <c r="L431" s="33"/>
      <c r="M431" s="33"/>
    </row>
    <row r="432">
      <c r="A432" s="32" t="s">
        <v>100</v>
      </c>
      <c r="B432" s="32" t="s">
        <v>1142</v>
      </c>
      <c r="C432" s="35">
        <v>30.77610016</v>
      </c>
      <c r="D432" s="35">
        <v>34.66669846</v>
      </c>
      <c r="E432" s="32" t="s">
        <v>243</v>
      </c>
      <c r="F432" s="32" t="s">
        <v>1143</v>
      </c>
      <c r="G432" s="36" t="e">
        <v>#N/A</v>
      </c>
      <c r="H432" s="33"/>
      <c r="I432" s="33"/>
      <c r="J432" s="33"/>
      <c r="K432" s="33"/>
      <c r="L432" s="33"/>
      <c r="M432" s="33"/>
    </row>
    <row r="433">
      <c r="A433" s="32" t="s">
        <v>100</v>
      </c>
      <c r="B433" s="32" t="s">
        <v>1144</v>
      </c>
      <c r="C433" s="35">
        <v>47.84329987</v>
      </c>
      <c r="D433" s="35">
        <v>16.26009941</v>
      </c>
      <c r="E433" s="32" t="s">
        <v>1145</v>
      </c>
      <c r="F433" s="32" t="s">
        <v>1146</v>
      </c>
      <c r="G433" s="36" t="e">
        <v>#N/A</v>
      </c>
      <c r="H433" s="33"/>
      <c r="I433" s="33"/>
      <c r="J433" s="33"/>
      <c r="K433" s="33"/>
      <c r="L433" s="33"/>
      <c r="M433" s="33"/>
    </row>
    <row r="434">
      <c r="A434" s="32" t="s">
        <v>100</v>
      </c>
      <c r="B434" s="32" t="s">
        <v>1147</v>
      </c>
      <c r="C434" s="35">
        <v>48.18330002</v>
      </c>
      <c r="D434" s="35">
        <v>14.04090023</v>
      </c>
      <c r="E434" s="32" t="s">
        <v>1145</v>
      </c>
      <c r="F434" s="32" t="s">
        <v>1148</v>
      </c>
      <c r="G434" s="36" t="e">
        <v>#N/A</v>
      </c>
      <c r="H434" s="33"/>
      <c r="I434" s="33"/>
      <c r="J434" s="33"/>
      <c r="K434" s="33"/>
      <c r="L434" s="33"/>
      <c r="M434" s="33"/>
    </row>
    <row r="435">
      <c r="A435" s="32" t="s">
        <v>100</v>
      </c>
      <c r="B435" s="32" t="s">
        <v>1149</v>
      </c>
      <c r="C435" s="35">
        <v>47.202801</v>
      </c>
      <c r="D435" s="35">
        <v>14.7442</v>
      </c>
      <c r="E435" s="32" t="s">
        <v>1145</v>
      </c>
      <c r="F435" s="32" t="s">
        <v>1150</v>
      </c>
      <c r="G435" s="36" t="e">
        <v>#N/A</v>
      </c>
      <c r="H435" s="33"/>
      <c r="I435" s="33"/>
      <c r="J435" s="33"/>
      <c r="K435" s="33"/>
      <c r="L435" s="33"/>
      <c r="M435" s="33"/>
    </row>
    <row r="436">
      <c r="A436" s="32" t="s">
        <v>100</v>
      </c>
      <c r="B436" s="32" t="s">
        <v>1151</v>
      </c>
      <c r="C436" s="35">
        <v>38.883301</v>
      </c>
      <c r="D436" s="35">
        <v>-9.0301</v>
      </c>
      <c r="E436" s="32" t="s">
        <v>121</v>
      </c>
      <c r="F436" s="32" t="s">
        <v>1152</v>
      </c>
      <c r="G436" s="39" t="s">
        <v>122</v>
      </c>
      <c r="H436" s="33"/>
      <c r="I436" s="33"/>
      <c r="J436" s="33"/>
      <c r="K436" s="33"/>
      <c r="L436" s="33"/>
      <c r="M436" s="33"/>
    </row>
    <row r="437">
      <c r="A437" s="32" t="s">
        <v>100</v>
      </c>
      <c r="B437" s="32" t="s">
        <v>1153</v>
      </c>
      <c r="C437" s="35">
        <v>38.07889938</v>
      </c>
      <c r="D437" s="35">
        <v>-7.932400227</v>
      </c>
      <c r="E437" s="32" t="s">
        <v>121</v>
      </c>
      <c r="F437" s="32" t="s">
        <v>1154</v>
      </c>
      <c r="G437" s="39" t="s">
        <v>122</v>
      </c>
      <c r="H437" s="33"/>
      <c r="I437" s="33"/>
      <c r="J437" s="33"/>
      <c r="K437" s="33"/>
      <c r="L437" s="33"/>
      <c r="M437" s="33"/>
    </row>
    <row r="438">
      <c r="A438" s="32" t="s">
        <v>100</v>
      </c>
      <c r="B438" s="32" t="s">
        <v>1155</v>
      </c>
      <c r="C438" s="35">
        <v>41.58710098</v>
      </c>
      <c r="D438" s="35">
        <v>-8.445139885</v>
      </c>
      <c r="E438" s="32" t="s">
        <v>121</v>
      </c>
      <c r="F438" s="32" t="s">
        <v>1156</v>
      </c>
      <c r="G438" s="39" t="s">
        <v>122</v>
      </c>
      <c r="H438" s="33"/>
      <c r="I438" s="33"/>
      <c r="J438" s="33"/>
      <c r="K438" s="33"/>
      <c r="L438" s="33"/>
      <c r="M438" s="33"/>
    </row>
    <row r="439">
      <c r="A439" s="32" t="s">
        <v>100</v>
      </c>
      <c r="B439" s="32" t="s">
        <v>1157</v>
      </c>
      <c r="C439" s="35">
        <v>40.158758</v>
      </c>
      <c r="D439" s="35">
        <v>-8.470815</v>
      </c>
      <c r="E439" s="32" t="s">
        <v>121</v>
      </c>
      <c r="F439" s="32" t="s">
        <v>1158</v>
      </c>
      <c r="G439" s="39" t="s">
        <v>122</v>
      </c>
      <c r="H439" s="33"/>
      <c r="I439" s="33"/>
      <c r="J439" s="33"/>
      <c r="K439" s="33"/>
      <c r="L439" s="33"/>
      <c r="M439" s="33"/>
    </row>
    <row r="440">
      <c r="A440" s="32" t="s">
        <v>100</v>
      </c>
      <c r="B440" s="32" t="s">
        <v>1159</v>
      </c>
      <c r="C440" s="35">
        <v>38.72499847</v>
      </c>
      <c r="D440" s="35">
        <v>-9.355230331</v>
      </c>
      <c r="E440" s="32" t="s">
        <v>121</v>
      </c>
      <c r="F440" s="32" t="s">
        <v>1160</v>
      </c>
      <c r="G440" s="39" t="s">
        <v>122</v>
      </c>
      <c r="H440" s="33"/>
      <c r="I440" s="33"/>
      <c r="J440" s="33"/>
      <c r="K440" s="33"/>
      <c r="L440" s="33"/>
      <c r="M440" s="33"/>
    </row>
    <row r="441">
      <c r="A441" s="32" t="s">
        <v>100</v>
      </c>
      <c r="B441" s="32" t="s">
        <v>1161</v>
      </c>
      <c r="C441" s="35">
        <v>40.264801</v>
      </c>
      <c r="D441" s="35">
        <v>-7.47996</v>
      </c>
      <c r="E441" s="32" t="s">
        <v>121</v>
      </c>
      <c r="F441" s="32" t="s">
        <v>1162</v>
      </c>
      <c r="G441" s="39" t="s">
        <v>122</v>
      </c>
      <c r="H441" s="33"/>
      <c r="I441" s="33"/>
      <c r="J441" s="33"/>
      <c r="K441" s="33"/>
      <c r="L441" s="33"/>
      <c r="M441" s="33"/>
    </row>
    <row r="442">
      <c r="A442" s="32" t="s">
        <v>100</v>
      </c>
      <c r="B442" s="32" t="s">
        <v>1163</v>
      </c>
      <c r="C442" s="35">
        <v>38.533501</v>
      </c>
      <c r="D442" s="35">
        <v>-7.88964</v>
      </c>
      <c r="E442" s="32" t="s">
        <v>121</v>
      </c>
      <c r="F442" s="32" t="s">
        <v>1164</v>
      </c>
      <c r="G442" s="39" t="s">
        <v>122</v>
      </c>
      <c r="H442" s="33"/>
      <c r="I442" s="33"/>
      <c r="J442" s="33"/>
      <c r="K442" s="33"/>
      <c r="L442" s="33"/>
      <c r="M442" s="33"/>
    </row>
    <row r="443">
      <c r="A443" s="32" t="s">
        <v>100</v>
      </c>
      <c r="B443" s="32" t="s">
        <v>1165</v>
      </c>
      <c r="C443" s="35">
        <v>39.8283333</v>
      </c>
      <c r="D443" s="35">
        <v>-8.8875</v>
      </c>
      <c r="E443" s="32" t="s">
        <v>121</v>
      </c>
      <c r="F443" s="32" t="s">
        <v>1166</v>
      </c>
      <c r="G443" s="39" t="s">
        <v>122</v>
      </c>
      <c r="H443" s="33"/>
      <c r="I443" s="33"/>
      <c r="J443" s="33"/>
      <c r="K443" s="33"/>
      <c r="L443" s="33"/>
      <c r="M443" s="33"/>
    </row>
    <row r="444">
      <c r="A444" s="32" t="s">
        <v>100</v>
      </c>
      <c r="B444" s="32" t="s">
        <v>1167</v>
      </c>
      <c r="C444" s="35">
        <v>38.70389938</v>
      </c>
      <c r="D444" s="35">
        <v>-9.035920143</v>
      </c>
      <c r="E444" s="32" t="s">
        <v>121</v>
      </c>
      <c r="F444" s="32" t="s">
        <v>1168</v>
      </c>
      <c r="G444" s="39" t="s">
        <v>122</v>
      </c>
      <c r="H444" s="33"/>
      <c r="I444" s="33"/>
      <c r="J444" s="33"/>
      <c r="K444" s="33"/>
      <c r="L444" s="33"/>
      <c r="M444" s="33"/>
    </row>
    <row r="445">
      <c r="A445" s="32" t="s">
        <v>100</v>
      </c>
      <c r="B445" s="32" t="s">
        <v>1169</v>
      </c>
      <c r="C445" s="35">
        <v>40.91590118</v>
      </c>
      <c r="D445" s="35">
        <v>-8.6459198</v>
      </c>
      <c r="E445" s="32" t="s">
        <v>121</v>
      </c>
      <c r="F445" s="32" t="s">
        <v>1170</v>
      </c>
      <c r="G445" s="39" t="s">
        <v>122</v>
      </c>
      <c r="H445" s="33"/>
      <c r="I445" s="33"/>
      <c r="J445" s="33"/>
      <c r="K445" s="33"/>
      <c r="L445" s="33"/>
      <c r="M445" s="33"/>
    </row>
    <row r="446">
      <c r="A446" s="32" t="s">
        <v>100</v>
      </c>
      <c r="B446" s="32" t="s">
        <v>1171</v>
      </c>
      <c r="C446" s="35">
        <v>37.14929962</v>
      </c>
      <c r="D446" s="35">
        <v>-8.583959579</v>
      </c>
      <c r="E446" s="32" t="s">
        <v>121</v>
      </c>
      <c r="F446" s="32" t="s">
        <v>1172</v>
      </c>
      <c r="G446" s="39" t="s">
        <v>122</v>
      </c>
      <c r="H446" s="33"/>
      <c r="I446" s="33"/>
      <c r="J446" s="33"/>
      <c r="K446" s="33"/>
      <c r="L446" s="33"/>
      <c r="M446" s="33"/>
    </row>
    <row r="447">
      <c r="A447" s="32" t="s">
        <v>100</v>
      </c>
      <c r="B447" s="32" t="s">
        <v>1173</v>
      </c>
      <c r="C447" s="35">
        <v>38.83110046</v>
      </c>
      <c r="D447" s="35">
        <v>-9.339550018</v>
      </c>
      <c r="E447" s="32" t="s">
        <v>121</v>
      </c>
      <c r="F447" s="32" t="s">
        <v>1174</v>
      </c>
      <c r="G447" s="39" t="s">
        <v>122</v>
      </c>
      <c r="H447" s="33"/>
      <c r="I447" s="33"/>
      <c r="J447" s="33"/>
      <c r="K447" s="33"/>
      <c r="L447" s="33"/>
      <c r="M447" s="33"/>
    </row>
    <row r="448">
      <c r="A448" s="32" t="s">
        <v>100</v>
      </c>
      <c r="B448" s="32" t="s">
        <v>1175</v>
      </c>
      <c r="C448" s="35">
        <v>39.475101</v>
      </c>
      <c r="D448" s="35">
        <v>-8.36458</v>
      </c>
      <c r="E448" s="32" t="s">
        <v>121</v>
      </c>
      <c r="F448" s="32" t="s">
        <v>1176</v>
      </c>
      <c r="G448" s="39" t="s">
        <v>122</v>
      </c>
      <c r="H448" s="33"/>
      <c r="I448" s="33"/>
      <c r="J448" s="33"/>
      <c r="K448" s="33"/>
      <c r="L448" s="33"/>
      <c r="M448" s="33"/>
    </row>
    <row r="449">
      <c r="A449" s="32" t="s">
        <v>100</v>
      </c>
      <c r="B449" s="32" t="s">
        <v>1177</v>
      </c>
      <c r="C449" s="35">
        <v>40.7254982</v>
      </c>
      <c r="D449" s="35">
        <v>-7.888989925</v>
      </c>
      <c r="E449" s="32" t="s">
        <v>121</v>
      </c>
      <c r="F449" s="32" t="s">
        <v>1178</v>
      </c>
      <c r="G449" s="39" t="s">
        <v>122</v>
      </c>
      <c r="H449" s="33"/>
      <c r="I449" s="33"/>
      <c r="J449" s="33"/>
      <c r="K449" s="33"/>
      <c r="L449" s="33"/>
      <c r="M449" s="33"/>
    </row>
    <row r="450">
      <c r="A450" s="32" t="s">
        <v>100</v>
      </c>
      <c r="B450" s="32" t="s">
        <v>1179</v>
      </c>
      <c r="C450" s="35">
        <v>47.08390045</v>
      </c>
      <c r="D450" s="35">
        <v>6.792840004</v>
      </c>
      <c r="E450" s="32" t="s">
        <v>1180</v>
      </c>
      <c r="F450" s="32" t="s">
        <v>1181</v>
      </c>
      <c r="G450" s="36" t="e">
        <v>#N/A</v>
      </c>
      <c r="H450" s="33"/>
      <c r="I450" s="33"/>
      <c r="J450" s="33"/>
      <c r="K450" s="33"/>
      <c r="L450" s="33"/>
      <c r="M450" s="33"/>
    </row>
    <row r="451">
      <c r="A451" s="32" t="s">
        <v>100</v>
      </c>
      <c r="B451" s="32" t="s">
        <v>1182</v>
      </c>
      <c r="C451" s="35">
        <v>46.48749924</v>
      </c>
      <c r="D451" s="35">
        <v>7.250830173</v>
      </c>
      <c r="E451" s="32" t="s">
        <v>1180</v>
      </c>
      <c r="F451" s="32" t="s">
        <v>1183</v>
      </c>
      <c r="G451" s="36" t="e">
        <v>#N/A</v>
      </c>
      <c r="H451" s="33"/>
      <c r="I451" s="33"/>
      <c r="J451" s="33"/>
      <c r="K451" s="33"/>
      <c r="L451" s="33"/>
      <c r="M451" s="33"/>
    </row>
    <row r="452">
      <c r="A452" s="32" t="s">
        <v>100</v>
      </c>
      <c r="B452" s="32" t="s">
        <v>1184</v>
      </c>
      <c r="C452" s="35">
        <v>46.943901</v>
      </c>
      <c r="D452" s="35">
        <v>8.28417</v>
      </c>
      <c r="E452" s="32" t="s">
        <v>1180</v>
      </c>
      <c r="F452" s="32" t="s">
        <v>1185</v>
      </c>
      <c r="G452" s="36" t="e">
        <v>#N/A</v>
      </c>
      <c r="H452" s="33"/>
      <c r="I452" s="33"/>
      <c r="J452" s="33"/>
      <c r="K452" s="33"/>
      <c r="L452" s="33"/>
      <c r="M452" s="33"/>
    </row>
    <row r="453">
      <c r="A453" s="32" t="s">
        <v>100</v>
      </c>
      <c r="B453" s="32" t="s">
        <v>1186</v>
      </c>
      <c r="C453" s="35">
        <v>47.39860153</v>
      </c>
      <c r="D453" s="35">
        <v>8.648229599</v>
      </c>
      <c r="E453" s="32" t="s">
        <v>1180</v>
      </c>
      <c r="F453" s="32" t="s">
        <v>1187</v>
      </c>
      <c r="G453" s="36" t="e">
        <v>#N/A</v>
      </c>
      <c r="H453" s="33"/>
      <c r="I453" s="33"/>
      <c r="J453" s="33"/>
      <c r="K453" s="33"/>
      <c r="L453" s="33"/>
      <c r="M453" s="33"/>
    </row>
    <row r="454">
      <c r="A454" s="32" t="s">
        <v>100</v>
      </c>
      <c r="B454" s="32" t="s">
        <v>1188</v>
      </c>
      <c r="C454" s="35">
        <v>47.07889938</v>
      </c>
      <c r="D454" s="35">
        <v>9.064829826</v>
      </c>
      <c r="E454" s="32" t="s">
        <v>1180</v>
      </c>
      <c r="F454" s="32" t="s">
        <v>1189</v>
      </c>
      <c r="G454" s="36" t="e">
        <v>#N/A</v>
      </c>
      <c r="H454" s="33"/>
      <c r="I454" s="33"/>
      <c r="J454" s="33"/>
      <c r="K454" s="33"/>
      <c r="L454" s="33"/>
      <c r="M454" s="33"/>
    </row>
    <row r="455">
      <c r="A455" s="32" t="s">
        <v>100</v>
      </c>
      <c r="B455" s="32" t="s">
        <v>1190</v>
      </c>
      <c r="C455" s="35">
        <v>46.74330139</v>
      </c>
      <c r="D455" s="35">
        <v>8.109999657</v>
      </c>
      <c r="E455" s="32" t="s">
        <v>1180</v>
      </c>
      <c r="F455" s="32" t="s">
        <v>1191</v>
      </c>
      <c r="G455" s="36" t="e">
        <v>#N/A</v>
      </c>
      <c r="H455" s="33"/>
      <c r="I455" s="33"/>
      <c r="J455" s="33"/>
      <c r="K455" s="33"/>
      <c r="L455" s="33"/>
      <c r="M455" s="33"/>
    </row>
    <row r="456">
      <c r="A456" s="32" t="s">
        <v>100</v>
      </c>
      <c r="B456" s="32" t="s">
        <v>1192</v>
      </c>
      <c r="C456" s="35">
        <v>46.8432</v>
      </c>
      <c r="D456" s="35">
        <v>6.915060043</v>
      </c>
      <c r="E456" s="32" t="s">
        <v>1180</v>
      </c>
      <c r="F456" s="32" t="s">
        <v>1193</v>
      </c>
      <c r="G456" s="36" t="e">
        <v>#N/A</v>
      </c>
      <c r="H456" s="33"/>
      <c r="I456" s="33"/>
      <c r="J456" s="33"/>
      <c r="K456" s="33"/>
      <c r="L456" s="33"/>
      <c r="M456" s="33"/>
    </row>
    <row r="457">
      <c r="A457" s="32" t="s">
        <v>100</v>
      </c>
      <c r="B457" s="32" t="s">
        <v>1194</v>
      </c>
      <c r="C457" s="35">
        <v>47.18159866</v>
      </c>
      <c r="D457" s="35">
        <v>7.417190075</v>
      </c>
      <c r="E457" s="32" t="s">
        <v>1180</v>
      </c>
      <c r="F457" s="32" t="s">
        <v>1195</v>
      </c>
      <c r="G457" s="36" t="e">
        <v>#N/A</v>
      </c>
      <c r="H457" s="33"/>
      <c r="I457" s="33"/>
      <c r="J457" s="33"/>
      <c r="K457" s="33"/>
      <c r="L457" s="33"/>
      <c r="M457" s="33"/>
    </row>
    <row r="458">
      <c r="A458" s="32" t="s">
        <v>100</v>
      </c>
      <c r="B458" s="32" t="s">
        <v>1196</v>
      </c>
      <c r="C458" s="35">
        <v>39.93500137</v>
      </c>
      <c r="D458" s="35">
        <v>32.74079895</v>
      </c>
      <c r="E458" s="32" t="s">
        <v>133</v>
      </c>
      <c r="F458" s="32" t="s">
        <v>1197</v>
      </c>
      <c r="G458" s="39" t="s">
        <v>134</v>
      </c>
      <c r="H458" s="33"/>
      <c r="I458" s="33"/>
      <c r="J458" s="33"/>
      <c r="K458" s="33"/>
      <c r="L458" s="33"/>
      <c r="M458" s="33"/>
    </row>
    <row r="459">
      <c r="A459" s="32" t="s">
        <v>100</v>
      </c>
      <c r="B459" s="32" t="s">
        <v>1198</v>
      </c>
      <c r="C459" s="35">
        <v>40.07889938</v>
      </c>
      <c r="D459" s="35">
        <v>32.56560135</v>
      </c>
      <c r="E459" s="32" t="s">
        <v>133</v>
      </c>
      <c r="F459" s="32" t="s">
        <v>1197</v>
      </c>
      <c r="G459" s="39" t="s">
        <v>134</v>
      </c>
      <c r="H459" s="33"/>
      <c r="I459" s="33"/>
      <c r="J459" s="33"/>
      <c r="K459" s="33"/>
      <c r="L459" s="33"/>
      <c r="M459" s="33"/>
    </row>
    <row r="460">
      <c r="A460" s="32" t="s">
        <v>100</v>
      </c>
      <c r="B460" s="32" t="s">
        <v>1199</v>
      </c>
      <c r="C460" s="35">
        <v>36.57445526</v>
      </c>
      <c r="D460" s="35">
        <v>36.15341949</v>
      </c>
      <c r="E460" s="32" t="s">
        <v>133</v>
      </c>
      <c r="F460" s="32" t="s">
        <v>1200</v>
      </c>
      <c r="G460" s="39" t="s">
        <v>134</v>
      </c>
      <c r="H460" s="33"/>
      <c r="I460" s="33"/>
      <c r="J460" s="33"/>
      <c r="K460" s="33"/>
      <c r="L460" s="33"/>
      <c r="M460" s="33"/>
    </row>
    <row r="461">
      <c r="A461" s="32" t="s">
        <v>100</v>
      </c>
      <c r="B461" s="32" t="s">
        <v>1201</v>
      </c>
      <c r="C461" s="35">
        <v>38.43529892</v>
      </c>
      <c r="D461" s="35">
        <v>38.0909996</v>
      </c>
      <c r="E461" s="32" t="s">
        <v>133</v>
      </c>
      <c r="F461" s="32" t="s">
        <v>1202</v>
      </c>
      <c r="G461" s="39" t="s">
        <v>134</v>
      </c>
      <c r="H461" s="33"/>
      <c r="I461" s="33"/>
      <c r="J461" s="33"/>
      <c r="K461" s="33"/>
      <c r="L461" s="33"/>
      <c r="M461" s="33"/>
    </row>
    <row r="462">
      <c r="A462" s="32" t="s">
        <v>100</v>
      </c>
      <c r="B462" s="32" t="s">
        <v>1203</v>
      </c>
      <c r="C462" s="35">
        <v>39.45149994</v>
      </c>
      <c r="D462" s="35">
        <v>31.36529922</v>
      </c>
      <c r="E462" s="32" t="s">
        <v>133</v>
      </c>
      <c r="F462" s="32" t="s">
        <v>1204</v>
      </c>
      <c r="G462" s="39" t="s">
        <v>134</v>
      </c>
      <c r="H462" s="33"/>
      <c r="I462" s="33"/>
      <c r="J462" s="33"/>
      <c r="K462" s="33"/>
      <c r="L462" s="33"/>
      <c r="M462" s="33"/>
    </row>
    <row r="463">
      <c r="A463" s="32" t="s">
        <v>100</v>
      </c>
      <c r="B463" s="32" t="s">
        <v>1205</v>
      </c>
      <c r="C463" s="35">
        <v>40.30743027</v>
      </c>
      <c r="D463" s="35">
        <v>36.36740875</v>
      </c>
      <c r="E463" s="32" t="s">
        <v>133</v>
      </c>
      <c r="F463" s="32" t="s">
        <v>1206</v>
      </c>
      <c r="G463" s="39" t="s">
        <v>134</v>
      </c>
      <c r="H463" s="33"/>
      <c r="I463" s="33"/>
      <c r="J463" s="33"/>
      <c r="K463" s="33"/>
      <c r="L463" s="33"/>
      <c r="M463" s="33"/>
    </row>
    <row r="464">
      <c r="A464" s="32" t="s">
        <v>100</v>
      </c>
      <c r="B464" s="32" t="s">
        <v>1207</v>
      </c>
      <c r="C464" s="35">
        <v>38.31909943</v>
      </c>
      <c r="D464" s="35">
        <v>27.15940094</v>
      </c>
      <c r="E464" s="32" t="s">
        <v>133</v>
      </c>
      <c r="F464" s="32" t="s">
        <v>1208</v>
      </c>
      <c r="G464" s="39" t="s">
        <v>134</v>
      </c>
      <c r="H464" s="33"/>
      <c r="I464" s="33"/>
      <c r="J464" s="33"/>
      <c r="K464" s="33"/>
      <c r="L464" s="33"/>
      <c r="M464" s="33"/>
    </row>
    <row r="465">
      <c r="A465" s="32" t="s">
        <v>100</v>
      </c>
      <c r="B465" s="32" t="s">
        <v>1209</v>
      </c>
      <c r="C465" s="35">
        <v>37.78512192</v>
      </c>
      <c r="D465" s="35">
        <v>30.59001923</v>
      </c>
      <c r="E465" s="32" t="s">
        <v>133</v>
      </c>
      <c r="F465" s="32" t="s">
        <v>1210</v>
      </c>
      <c r="G465" s="39" t="s">
        <v>134</v>
      </c>
      <c r="H465" s="33"/>
      <c r="I465" s="33"/>
      <c r="J465" s="33"/>
      <c r="K465" s="33"/>
      <c r="L465" s="33"/>
      <c r="M465" s="33"/>
    </row>
    <row r="466">
      <c r="A466" s="32" t="s">
        <v>100</v>
      </c>
      <c r="B466" s="32" t="s">
        <v>1211</v>
      </c>
      <c r="C466" s="35">
        <v>39.42670059</v>
      </c>
      <c r="D466" s="35">
        <v>30.01689911</v>
      </c>
      <c r="E466" s="32" t="s">
        <v>133</v>
      </c>
      <c r="F466" s="32" t="s">
        <v>1212</v>
      </c>
      <c r="G466" s="39" t="s">
        <v>134</v>
      </c>
      <c r="H466" s="33"/>
      <c r="I466" s="33"/>
      <c r="J466" s="33"/>
      <c r="K466" s="33"/>
      <c r="L466" s="33"/>
      <c r="M466" s="33"/>
    </row>
    <row r="467">
      <c r="A467" s="32" t="s">
        <v>100</v>
      </c>
      <c r="B467" s="32" t="s">
        <v>1213</v>
      </c>
      <c r="C467" s="35">
        <v>40.68439865</v>
      </c>
      <c r="D467" s="35">
        <v>29.3757</v>
      </c>
      <c r="E467" s="32" t="s">
        <v>133</v>
      </c>
      <c r="F467" s="32" t="s">
        <v>1214</v>
      </c>
      <c r="G467" s="39" t="s">
        <v>134</v>
      </c>
      <c r="H467" s="33"/>
      <c r="I467" s="33"/>
      <c r="J467" s="33"/>
      <c r="K467" s="33"/>
      <c r="L467" s="33"/>
      <c r="M467" s="33"/>
    </row>
    <row r="468">
      <c r="A468" s="32" t="s">
        <v>100</v>
      </c>
      <c r="B468" s="32" t="s">
        <v>1215</v>
      </c>
      <c r="C468" s="35">
        <v>40.73500061</v>
      </c>
      <c r="D468" s="35">
        <v>30.08329964</v>
      </c>
      <c r="E468" s="32" t="s">
        <v>133</v>
      </c>
      <c r="F468" s="32" t="s">
        <v>1216</v>
      </c>
      <c r="G468" s="39" t="s">
        <v>134</v>
      </c>
      <c r="H468" s="33"/>
      <c r="I468" s="33"/>
      <c r="J468" s="33"/>
      <c r="K468" s="33"/>
      <c r="L468" s="33"/>
      <c r="M468" s="33"/>
    </row>
    <row r="469">
      <c r="A469" s="32" t="s">
        <v>100</v>
      </c>
      <c r="B469" s="32" t="s">
        <v>1217</v>
      </c>
      <c r="C469" s="35">
        <v>38.80889893</v>
      </c>
      <c r="D469" s="35">
        <v>27.83390045</v>
      </c>
      <c r="E469" s="32" t="s">
        <v>133</v>
      </c>
      <c r="F469" s="32" t="s">
        <v>1218</v>
      </c>
      <c r="G469" s="39" t="s">
        <v>134</v>
      </c>
      <c r="H469" s="33"/>
      <c r="I469" s="33"/>
      <c r="J469" s="33"/>
      <c r="K469" s="33"/>
      <c r="L469" s="33"/>
      <c r="M469" s="33"/>
    </row>
    <row r="470">
      <c r="A470" s="32" t="s">
        <v>100</v>
      </c>
      <c r="B470" s="32" t="s">
        <v>1219</v>
      </c>
      <c r="C470" s="35">
        <v>40.99300003</v>
      </c>
      <c r="D470" s="35">
        <v>29.21649933</v>
      </c>
      <c r="E470" s="32" t="s">
        <v>133</v>
      </c>
      <c r="F470" s="32" t="s">
        <v>1220</v>
      </c>
      <c r="G470" s="39" t="s">
        <v>134</v>
      </c>
      <c r="H470" s="33"/>
      <c r="I470" s="33"/>
      <c r="J470" s="33"/>
      <c r="K470" s="33"/>
      <c r="L470" s="33"/>
      <c r="M470" s="33"/>
    </row>
    <row r="471">
      <c r="A471" s="32" t="s">
        <v>100</v>
      </c>
      <c r="B471" s="32" t="s">
        <v>1221</v>
      </c>
      <c r="C471" s="35">
        <v>37.97890091</v>
      </c>
      <c r="D471" s="35">
        <v>41.840400700000004</v>
      </c>
      <c r="E471" s="32" t="s">
        <v>133</v>
      </c>
      <c r="F471" s="32" t="s">
        <v>1222</v>
      </c>
      <c r="G471" s="39" t="s">
        <v>134</v>
      </c>
      <c r="H471" s="33"/>
      <c r="I471" s="33"/>
      <c r="J471" s="33"/>
      <c r="K471" s="33"/>
      <c r="L471" s="33"/>
      <c r="M471" s="33"/>
    </row>
    <row r="472">
      <c r="A472" s="32" t="s">
        <v>100</v>
      </c>
      <c r="B472" s="32" t="s">
        <v>1223</v>
      </c>
      <c r="C472" s="35">
        <v>38.51760101</v>
      </c>
      <c r="D472" s="35">
        <v>26.97739983</v>
      </c>
      <c r="E472" s="32" t="s">
        <v>133</v>
      </c>
      <c r="F472" s="32" t="s">
        <v>1208</v>
      </c>
      <c r="G472" s="39" t="s">
        <v>134</v>
      </c>
      <c r="H472" s="33"/>
      <c r="I472" s="33"/>
      <c r="J472" s="33"/>
      <c r="K472" s="33"/>
      <c r="L472" s="33"/>
      <c r="M472" s="33"/>
    </row>
    <row r="473">
      <c r="A473" s="32" t="s">
        <v>100</v>
      </c>
      <c r="B473" s="32" t="s">
        <v>1224</v>
      </c>
      <c r="C473" s="35">
        <v>37.95069885</v>
      </c>
      <c r="D473" s="35">
        <v>27.32900047</v>
      </c>
      <c r="E473" s="32" t="s">
        <v>133</v>
      </c>
      <c r="F473" s="32" t="s">
        <v>1208</v>
      </c>
      <c r="G473" s="39" t="s">
        <v>134</v>
      </c>
      <c r="H473" s="33"/>
      <c r="I473" s="33"/>
      <c r="J473" s="33"/>
      <c r="K473" s="33"/>
      <c r="L473" s="33"/>
      <c r="M473" s="33"/>
    </row>
    <row r="474">
      <c r="A474" s="32" t="s">
        <v>100</v>
      </c>
      <c r="B474" s="32" t="s">
        <v>1225</v>
      </c>
      <c r="C474" s="35">
        <v>45.1469</v>
      </c>
      <c r="D474" s="35">
        <v>21.3099</v>
      </c>
      <c r="E474" s="32" t="s">
        <v>1226</v>
      </c>
      <c r="F474" s="32" t="s">
        <v>1227</v>
      </c>
      <c r="G474" s="36" t="e">
        <v>#N/A</v>
      </c>
      <c r="H474" s="33"/>
      <c r="I474" s="33"/>
      <c r="J474" s="33"/>
      <c r="K474" s="33"/>
      <c r="L474" s="33"/>
      <c r="M474" s="33"/>
    </row>
    <row r="475">
      <c r="A475" s="32" t="s">
        <v>100</v>
      </c>
      <c r="B475" s="32" t="s">
        <v>1228</v>
      </c>
      <c r="C475" s="35">
        <v>48.40200043</v>
      </c>
      <c r="D475" s="35">
        <v>17.11840057</v>
      </c>
      <c r="E475" s="32" t="s">
        <v>1229</v>
      </c>
      <c r="F475" s="32" t="s">
        <v>1230</v>
      </c>
      <c r="G475" s="36" t="e">
        <v>#N/A</v>
      </c>
      <c r="H475" s="33"/>
      <c r="I475" s="33"/>
      <c r="J475" s="33"/>
      <c r="K475" s="33"/>
      <c r="L475" s="33"/>
      <c r="M475" s="33"/>
    </row>
    <row r="476">
      <c r="A476" s="32" t="s">
        <v>100</v>
      </c>
      <c r="B476" s="32" t="s">
        <v>1231</v>
      </c>
      <c r="C476" s="35">
        <v>48.86500168</v>
      </c>
      <c r="D476" s="35">
        <v>17.99230003</v>
      </c>
      <c r="E476" s="32" t="s">
        <v>1229</v>
      </c>
      <c r="F476" s="32" t="s">
        <v>1232</v>
      </c>
      <c r="G476" s="36" t="e">
        <v>#N/A</v>
      </c>
      <c r="H476" s="33"/>
      <c r="I476" s="33"/>
      <c r="J476" s="33"/>
      <c r="K476" s="33"/>
      <c r="L476" s="33"/>
      <c r="M476" s="33"/>
    </row>
    <row r="477">
      <c r="A477" s="32" t="s">
        <v>100</v>
      </c>
      <c r="B477" s="32" t="s">
        <v>1233</v>
      </c>
      <c r="C477" s="35">
        <v>17.92900085</v>
      </c>
      <c r="D477" s="35">
        <v>-71.64479828</v>
      </c>
      <c r="E477" s="32" t="s">
        <v>335</v>
      </c>
      <c r="F477" s="32" t="s">
        <v>1234</v>
      </c>
      <c r="G477" s="36" t="e">
        <v>#N/A</v>
      </c>
      <c r="H477" s="33"/>
      <c r="I477" s="33"/>
      <c r="J477" s="33"/>
      <c r="K477" s="33"/>
      <c r="L477" s="33"/>
      <c r="M477" s="33"/>
    </row>
    <row r="478">
      <c r="A478" s="32" t="s">
        <v>100</v>
      </c>
      <c r="B478" s="32" t="s">
        <v>1235</v>
      </c>
      <c r="C478" s="35">
        <v>18.50370026</v>
      </c>
      <c r="D478" s="35">
        <v>-69.76170349</v>
      </c>
      <c r="E478" s="32" t="s">
        <v>335</v>
      </c>
      <c r="F478" s="32" t="s">
        <v>1236</v>
      </c>
      <c r="G478" s="36" t="e">
        <v>#N/A</v>
      </c>
      <c r="H478" s="33"/>
      <c r="I478" s="33"/>
      <c r="J478" s="33"/>
      <c r="K478" s="33"/>
      <c r="L478" s="33"/>
      <c r="M478" s="33"/>
    </row>
    <row r="479">
      <c r="A479" s="32" t="s">
        <v>100</v>
      </c>
      <c r="B479" s="32" t="s">
        <v>1237</v>
      </c>
      <c r="C479" s="35">
        <v>15.47350025</v>
      </c>
      <c r="D479" s="35">
        <v>-88.83719635</v>
      </c>
      <c r="E479" s="32" t="s">
        <v>1238</v>
      </c>
      <c r="F479" s="32" t="s">
        <v>1239</v>
      </c>
      <c r="G479" s="36" t="e">
        <v>#N/A</v>
      </c>
      <c r="H479" s="33"/>
      <c r="I479" s="33"/>
      <c r="J479" s="33"/>
      <c r="K479" s="33"/>
      <c r="L479" s="33"/>
      <c r="M479" s="33"/>
    </row>
    <row r="480">
      <c r="A480" s="32" t="s">
        <v>100</v>
      </c>
      <c r="B480" s="32" t="s">
        <v>1240</v>
      </c>
      <c r="C480" s="35">
        <v>14.52099991</v>
      </c>
      <c r="D480" s="35">
        <v>-91.69730377</v>
      </c>
      <c r="E480" s="32" t="s">
        <v>1238</v>
      </c>
      <c r="F480" s="32" t="s">
        <v>1241</v>
      </c>
      <c r="G480" s="36" t="e">
        <v>#N/A</v>
      </c>
      <c r="H480" s="33"/>
      <c r="I480" s="33"/>
      <c r="J480" s="33"/>
      <c r="K480" s="33"/>
      <c r="L480" s="33"/>
      <c r="M480" s="33"/>
    </row>
    <row r="481">
      <c r="A481" s="32" t="s">
        <v>100</v>
      </c>
      <c r="B481" s="32" t="s">
        <v>1242</v>
      </c>
      <c r="C481" s="35">
        <v>13.93620014</v>
      </c>
      <c r="D481" s="35">
        <v>-90.83580017</v>
      </c>
      <c r="E481" s="32" t="s">
        <v>1238</v>
      </c>
      <c r="F481" s="32" t="s">
        <v>1243</v>
      </c>
      <c r="G481" s="36" t="e">
        <v>#N/A</v>
      </c>
      <c r="H481" s="33"/>
      <c r="I481" s="33"/>
      <c r="J481" s="33"/>
      <c r="K481" s="33"/>
      <c r="L481" s="33"/>
      <c r="M481" s="33"/>
    </row>
    <row r="482">
      <c r="A482" s="32" t="s">
        <v>100</v>
      </c>
      <c r="B482" s="32" t="s">
        <v>1244</v>
      </c>
      <c r="C482" s="35">
        <v>15.9268</v>
      </c>
      <c r="D482" s="35">
        <v>-85.938202</v>
      </c>
      <c r="E482" s="32" t="s">
        <v>1245</v>
      </c>
      <c r="F482" s="32" t="s">
        <v>1246</v>
      </c>
      <c r="G482" s="36" t="e">
        <v>#N/A</v>
      </c>
      <c r="H482" s="33"/>
      <c r="I482" s="33"/>
      <c r="J482" s="33"/>
      <c r="K482" s="33"/>
      <c r="L482" s="33"/>
      <c r="M482" s="33"/>
    </row>
    <row r="483">
      <c r="A483" s="32" t="s">
        <v>100</v>
      </c>
      <c r="B483" s="32" t="s">
        <v>1247</v>
      </c>
      <c r="C483" s="35">
        <v>29.33289909</v>
      </c>
      <c r="D483" s="35">
        <v>-101.098999</v>
      </c>
      <c r="E483" s="32" t="s">
        <v>186</v>
      </c>
      <c r="F483" s="32" t="s">
        <v>1248</v>
      </c>
      <c r="G483" s="39" t="s">
        <v>187</v>
      </c>
      <c r="H483" s="33"/>
      <c r="I483" s="33"/>
      <c r="J483" s="33"/>
      <c r="K483" s="33"/>
      <c r="L483" s="33"/>
      <c r="M483" s="33"/>
    </row>
    <row r="484">
      <c r="A484" s="32" t="s">
        <v>100</v>
      </c>
      <c r="B484" s="32" t="s">
        <v>1249</v>
      </c>
      <c r="C484" s="35">
        <v>30.3973999</v>
      </c>
      <c r="D484" s="35">
        <v>-107.875</v>
      </c>
      <c r="E484" s="32" t="s">
        <v>186</v>
      </c>
      <c r="F484" s="32" t="s">
        <v>1250</v>
      </c>
      <c r="G484" s="39" t="s">
        <v>187</v>
      </c>
      <c r="H484" s="33"/>
      <c r="I484" s="33"/>
      <c r="J484" s="33"/>
      <c r="K484" s="33"/>
      <c r="L484" s="33"/>
      <c r="M484" s="33"/>
    </row>
    <row r="485">
      <c r="A485" s="32" t="s">
        <v>100</v>
      </c>
      <c r="B485" s="32" t="s">
        <v>1251</v>
      </c>
      <c r="C485" s="35">
        <v>17.573799</v>
      </c>
      <c r="D485" s="35">
        <v>-99.514297</v>
      </c>
      <c r="E485" s="32" t="s">
        <v>186</v>
      </c>
      <c r="F485" s="32" t="s">
        <v>1252</v>
      </c>
      <c r="G485" s="39" t="s">
        <v>187</v>
      </c>
      <c r="H485" s="33"/>
      <c r="I485" s="33"/>
      <c r="J485" s="33"/>
      <c r="K485" s="33"/>
      <c r="L485" s="33"/>
      <c r="M485" s="33"/>
    </row>
    <row r="486">
      <c r="A486" s="32" t="s">
        <v>100</v>
      </c>
      <c r="B486" s="32" t="s">
        <v>1253</v>
      </c>
      <c r="C486" s="35">
        <v>16.44930077</v>
      </c>
      <c r="D486" s="35">
        <v>-95.09369659</v>
      </c>
      <c r="E486" s="32" t="s">
        <v>186</v>
      </c>
      <c r="F486" s="32" t="s">
        <v>1254</v>
      </c>
      <c r="G486" s="39" t="s">
        <v>187</v>
      </c>
      <c r="H486" s="33"/>
      <c r="I486" s="33"/>
      <c r="J486" s="33"/>
      <c r="K486" s="33"/>
      <c r="L486" s="33"/>
      <c r="M486" s="33"/>
    </row>
    <row r="487">
      <c r="A487" s="32" t="s">
        <v>100</v>
      </c>
      <c r="B487" s="32" t="s">
        <v>1255</v>
      </c>
      <c r="C487" s="35">
        <v>16.73990059</v>
      </c>
      <c r="D487" s="35">
        <v>-93.1733017</v>
      </c>
      <c r="E487" s="32" t="s">
        <v>186</v>
      </c>
      <c r="F487" s="32" t="s">
        <v>1256</v>
      </c>
      <c r="G487" s="39" t="s">
        <v>187</v>
      </c>
      <c r="H487" s="33"/>
      <c r="I487" s="33"/>
      <c r="J487" s="33"/>
      <c r="K487" s="33"/>
      <c r="L487" s="33"/>
      <c r="M487" s="33"/>
    </row>
    <row r="488">
      <c r="A488" s="32" t="s">
        <v>100</v>
      </c>
      <c r="B488" s="32" t="s">
        <v>1257</v>
      </c>
      <c r="C488" s="35">
        <v>20.747922</v>
      </c>
      <c r="D488" s="35">
        <v>-103.461709</v>
      </c>
      <c r="E488" s="32" t="s">
        <v>186</v>
      </c>
      <c r="F488" s="32" t="s">
        <v>1258</v>
      </c>
      <c r="G488" s="39" t="s">
        <v>187</v>
      </c>
      <c r="H488" s="33"/>
      <c r="I488" s="33"/>
      <c r="J488" s="33"/>
      <c r="K488" s="33"/>
      <c r="L488" s="33"/>
      <c r="M488" s="33"/>
    </row>
    <row r="489">
      <c r="A489" s="32" t="s">
        <v>100</v>
      </c>
      <c r="B489" s="32" t="s">
        <v>1259</v>
      </c>
      <c r="C489" s="35">
        <v>12.18999958</v>
      </c>
      <c r="D489" s="35">
        <v>-86.35389709</v>
      </c>
      <c r="E489" s="32" t="s">
        <v>1260</v>
      </c>
      <c r="F489" s="32" t="s">
        <v>1261</v>
      </c>
      <c r="G489" s="36" t="e">
        <v>#N/A</v>
      </c>
      <c r="H489" s="33"/>
      <c r="I489" s="33"/>
      <c r="J489" s="33"/>
      <c r="K489" s="33"/>
      <c r="L489" s="33"/>
      <c r="M489" s="33"/>
    </row>
    <row r="490">
      <c r="A490" s="32" t="s">
        <v>100</v>
      </c>
      <c r="B490" s="32" t="s">
        <v>1262</v>
      </c>
      <c r="C490" s="35">
        <v>12.42920017</v>
      </c>
      <c r="D490" s="35">
        <v>-86.90280151</v>
      </c>
      <c r="E490" s="32" t="s">
        <v>1260</v>
      </c>
      <c r="F490" s="32" t="s">
        <v>1263</v>
      </c>
      <c r="G490" s="36" t="e">
        <v>#N/A</v>
      </c>
      <c r="H490" s="33"/>
      <c r="I490" s="33"/>
      <c r="J490" s="33"/>
      <c r="K490" s="33"/>
      <c r="L490" s="33"/>
      <c r="M490" s="33"/>
    </row>
    <row r="491">
      <c r="A491" s="32" t="s">
        <v>100</v>
      </c>
      <c r="B491" s="32" t="s">
        <v>1264</v>
      </c>
      <c r="C491" s="35">
        <v>8.085599899</v>
      </c>
      <c r="D491" s="35">
        <v>-80.94529724</v>
      </c>
      <c r="E491" s="32" t="s">
        <v>327</v>
      </c>
      <c r="F491" s="32" t="s">
        <v>1265</v>
      </c>
      <c r="G491" s="36" t="e">
        <v>#N/A</v>
      </c>
      <c r="H491" s="33"/>
      <c r="I491" s="33"/>
      <c r="J491" s="33"/>
      <c r="K491" s="33"/>
      <c r="L491" s="33"/>
      <c r="M491" s="33"/>
    </row>
    <row r="492">
      <c r="A492" s="32" t="s">
        <v>100</v>
      </c>
      <c r="B492" s="32" t="s">
        <v>1266</v>
      </c>
      <c r="C492" s="35">
        <v>9.163949</v>
      </c>
      <c r="D492" s="35">
        <v>-83.330171</v>
      </c>
      <c r="E492" s="32" t="s">
        <v>1267</v>
      </c>
      <c r="F492" s="32" t="s">
        <v>1268</v>
      </c>
      <c r="G492" s="36" t="e">
        <v>#N/A</v>
      </c>
      <c r="H492" s="33"/>
      <c r="I492" s="33"/>
      <c r="J492" s="33"/>
      <c r="K492" s="33"/>
      <c r="L492" s="33"/>
      <c r="M492" s="33"/>
    </row>
    <row r="493">
      <c r="A493" s="32" t="s">
        <v>100</v>
      </c>
      <c r="B493" s="32" t="s">
        <v>1269</v>
      </c>
      <c r="C493" s="35">
        <v>9.981410027</v>
      </c>
      <c r="D493" s="35">
        <v>-84.77269745</v>
      </c>
      <c r="E493" s="32" t="s">
        <v>1267</v>
      </c>
      <c r="F493" s="32" t="s">
        <v>1270</v>
      </c>
      <c r="G493" s="36" t="e">
        <v>#N/A</v>
      </c>
      <c r="H493" s="33"/>
      <c r="I493" s="33"/>
      <c r="J493" s="33"/>
      <c r="K493" s="33"/>
      <c r="L493" s="33"/>
      <c r="M493" s="33"/>
    </row>
    <row r="494">
      <c r="A494" s="32" t="s">
        <v>100</v>
      </c>
      <c r="B494" s="32" t="s">
        <v>1271</v>
      </c>
      <c r="C494" s="35">
        <v>10.20199966</v>
      </c>
      <c r="D494" s="35">
        <v>-83.47219849</v>
      </c>
      <c r="E494" s="32" t="s">
        <v>1267</v>
      </c>
      <c r="F494" s="32" t="s">
        <v>1272</v>
      </c>
      <c r="G494" s="36" t="e">
        <v>#N/A</v>
      </c>
      <c r="H494" s="33"/>
      <c r="I494" s="33"/>
      <c r="J494" s="33"/>
      <c r="K494" s="33"/>
      <c r="L494" s="33"/>
      <c r="M494" s="33"/>
    </row>
    <row r="495">
      <c r="A495" s="32" t="s">
        <v>100</v>
      </c>
      <c r="B495" s="32" t="s">
        <v>1273</v>
      </c>
      <c r="C495" s="35">
        <v>8.916350365</v>
      </c>
      <c r="D495" s="35">
        <v>-83.50730133</v>
      </c>
      <c r="E495" s="32" t="s">
        <v>1267</v>
      </c>
      <c r="F495" s="32" t="s">
        <v>1274</v>
      </c>
      <c r="G495" s="36" t="e">
        <v>#N/A</v>
      </c>
      <c r="H495" s="33"/>
      <c r="I495" s="33"/>
      <c r="J495" s="33"/>
      <c r="K495" s="33"/>
      <c r="L495" s="33"/>
      <c r="M495" s="33"/>
    </row>
    <row r="496">
      <c r="A496" s="32" t="s">
        <v>100</v>
      </c>
      <c r="B496" s="32" t="s">
        <v>1275</v>
      </c>
      <c r="C496" s="35">
        <v>10.21720028</v>
      </c>
      <c r="D496" s="35">
        <v>-83.79699707</v>
      </c>
      <c r="E496" s="32" t="s">
        <v>1267</v>
      </c>
      <c r="F496" s="32" t="s">
        <v>1276</v>
      </c>
      <c r="G496" s="36" t="e">
        <v>#N/A</v>
      </c>
      <c r="H496" s="33"/>
      <c r="I496" s="33"/>
      <c r="J496" s="33"/>
      <c r="K496" s="33"/>
      <c r="L496" s="33"/>
      <c r="M496" s="33"/>
    </row>
    <row r="497">
      <c r="A497" s="32" t="s">
        <v>100</v>
      </c>
      <c r="B497" s="32" t="s">
        <v>1277</v>
      </c>
      <c r="C497" s="35">
        <v>11.03530025</v>
      </c>
      <c r="D497" s="35">
        <v>-84.70610046</v>
      </c>
      <c r="E497" s="32" t="s">
        <v>1267</v>
      </c>
      <c r="F497" s="32" t="s">
        <v>1278</v>
      </c>
      <c r="G497" s="36" t="e">
        <v>#N/A</v>
      </c>
      <c r="H497" s="33"/>
      <c r="I497" s="33"/>
      <c r="J497" s="33"/>
      <c r="K497" s="33"/>
      <c r="L497" s="33"/>
      <c r="M497" s="33"/>
    </row>
    <row r="498">
      <c r="A498" s="32" t="s">
        <v>100</v>
      </c>
      <c r="B498" s="32" t="s">
        <v>1279</v>
      </c>
      <c r="C498" s="35">
        <v>9.732170105</v>
      </c>
      <c r="D498" s="35">
        <v>-82.98320007</v>
      </c>
      <c r="E498" s="32" t="s">
        <v>1267</v>
      </c>
      <c r="F498" s="32" t="s">
        <v>1280</v>
      </c>
      <c r="G498" s="36" t="e">
        <v>#N/A</v>
      </c>
      <c r="H498" s="33"/>
      <c r="I498" s="33"/>
      <c r="J498" s="33"/>
      <c r="K498" s="33"/>
      <c r="L498" s="33"/>
      <c r="M498" s="33"/>
    </row>
    <row r="499">
      <c r="A499" s="32" t="s">
        <v>100</v>
      </c>
      <c r="B499" s="32" t="s">
        <v>1281</v>
      </c>
      <c r="C499" s="35">
        <v>10.28829956</v>
      </c>
      <c r="D499" s="35">
        <v>-83.71350098</v>
      </c>
      <c r="E499" s="32" t="s">
        <v>1267</v>
      </c>
      <c r="F499" s="32" t="s">
        <v>1282</v>
      </c>
      <c r="G499" s="36" t="e">
        <v>#N/A</v>
      </c>
      <c r="H499" s="33"/>
      <c r="I499" s="33"/>
      <c r="J499" s="33"/>
      <c r="K499" s="33"/>
      <c r="L499" s="33"/>
      <c r="M499" s="33"/>
    </row>
    <row r="500">
      <c r="A500" s="32" t="s">
        <v>100</v>
      </c>
      <c r="B500" s="32" t="s">
        <v>1283</v>
      </c>
      <c r="C500" s="35">
        <v>8.826109886</v>
      </c>
      <c r="D500" s="35">
        <v>-82.95890045</v>
      </c>
      <c r="E500" s="32" t="s">
        <v>1267</v>
      </c>
      <c r="F500" s="32" t="s">
        <v>1284</v>
      </c>
      <c r="G500" s="36" t="e">
        <v>#N/A</v>
      </c>
      <c r="H500" s="33"/>
      <c r="I500" s="33"/>
      <c r="J500" s="33"/>
      <c r="K500" s="33"/>
      <c r="L500" s="33"/>
      <c r="M500" s="33"/>
    </row>
    <row r="501">
      <c r="A501" s="32" t="s">
        <v>100</v>
      </c>
      <c r="B501" s="32" t="s">
        <v>1285</v>
      </c>
      <c r="C501" s="35">
        <v>13.69950008</v>
      </c>
      <c r="D501" s="35">
        <v>-89.11990356</v>
      </c>
      <c r="E501" s="32" t="s">
        <v>1286</v>
      </c>
      <c r="F501" s="32" t="s">
        <v>1287</v>
      </c>
      <c r="G501" s="36" t="e">
        <v>#N/A</v>
      </c>
      <c r="H501" s="33"/>
      <c r="I501" s="33"/>
      <c r="J501" s="33"/>
      <c r="K501" s="33"/>
      <c r="L501" s="33"/>
      <c r="M501" s="33"/>
    </row>
    <row r="502">
      <c r="A502" s="32" t="s">
        <v>100</v>
      </c>
      <c r="B502" s="32" t="s">
        <v>1288</v>
      </c>
      <c r="C502" s="35">
        <v>18.27109909</v>
      </c>
      <c r="D502" s="35">
        <v>-73.78829956</v>
      </c>
      <c r="E502" s="32" t="s">
        <v>1289</v>
      </c>
      <c r="F502" s="32" t="s">
        <v>1290</v>
      </c>
      <c r="G502" s="36" t="e">
        <v>#N/A</v>
      </c>
      <c r="H502" s="33"/>
      <c r="I502" s="33"/>
      <c r="J502" s="33"/>
      <c r="K502" s="33"/>
      <c r="L502" s="33"/>
      <c r="M502" s="33"/>
    </row>
    <row r="503">
      <c r="A503" s="32" t="s">
        <v>100</v>
      </c>
      <c r="B503" s="32" t="s">
        <v>1291</v>
      </c>
      <c r="C503" s="35">
        <v>18.24110031</v>
      </c>
      <c r="D503" s="35">
        <v>-72.51850128</v>
      </c>
      <c r="E503" s="32" t="s">
        <v>1289</v>
      </c>
      <c r="F503" s="32" t="s">
        <v>1292</v>
      </c>
      <c r="G503" s="36" t="e">
        <v>#N/A</v>
      </c>
      <c r="H503" s="33"/>
      <c r="I503" s="33"/>
      <c r="J503" s="33"/>
      <c r="K503" s="33"/>
      <c r="L503" s="33"/>
      <c r="M503" s="33"/>
    </row>
    <row r="504">
      <c r="A504" s="32" t="s">
        <v>100</v>
      </c>
      <c r="B504" s="32" t="s">
        <v>1293</v>
      </c>
      <c r="C504" s="35">
        <v>21.49970055</v>
      </c>
      <c r="D504" s="35">
        <v>-78.20279694</v>
      </c>
      <c r="E504" s="32" t="s">
        <v>1294</v>
      </c>
      <c r="F504" s="32" t="s">
        <v>1295</v>
      </c>
      <c r="G504" s="36" t="e">
        <v>#N/A</v>
      </c>
      <c r="H504" s="33"/>
      <c r="I504" s="33"/>
      <c r="J504" s="33"/>
      <c r="K504" s="33"/>
      <c r="L504" s="33"/>
      <c r="M504" s="33"/>
    </row>
    <row r="505">
      <c r="A505" s="32" t="s">
        <v>100</v>
      </c>
      <c r="B505" s="32" t="s">
        <v>1296</v>
      </c>
      <c r="C505" s="35">
        <v>19.90649986</v>
      </c>
      <c r="D505" s="35">
        <v>-75.20709991</v>
      </c>
      <c r="E505" s="32" t="s">
        <v>1294</v>
      </c>
      <c r="F505" s="32" t="s">
        <v>1297</v>
      </c>
      <c r="G505" s="36" t="e">
        <v>#N/A</v>
      </c>
      <c r="H505" s="33"/>
      <c r="I505" s="33"/>
      <c r="J505" s="33"/>
      <c r="K505" s="33"/>
      <c r="L505" s="33"/>
      <c r="M505" s="33"/>
    </row>
    <row r="506">
      <c r="A506" s="32" t="s">
        <v>100</v>
      </c>
      <c r="B506" s="32" t="s">
        <v>1298</v>
      </c>
      <c r="C506" s="35">
        <v>22.42140007</v>
      </c>
      <c r="D506" s="35">
        <v>-83.67839813</v>
      </c>
      <c r="E506" s="32" t="s">
        <v>1294</v>
      </c>
      <c r="F506" s="32" t="s">
        <v>1299</v>
      </c>
      <c r="G506" s="36" t="e">
        <v>#N/A</v>
      </c>
      <c r="H506" s="33"/>
      <c r="I506" s="33"/>
      <c r="J506" s="33"/>
      <c r="K506" s="33"/>
      <c r="L506" s="33"/>
      <c r="M506" s="33"/>
    </row>
    <row r="507">
      <c r="A507" s="32" t="s">
        <v>100</v>
      </c>
      <c r="B507" s="32" t="s">
        <v>1300</v>
      </c>
      <c r="C507" s="35">
        <v>22.87150002</v>
      </c>
      <c r="D507" s="35">
        <v>-82.50930023</v>
      </c>
      <c r="E507" s="32" t="s">
        <v>1294</v>
      </c>
      <c r="F507" s="32" t="s">
        <v>1301</v>
      </c>
      <c r="G507" s="36" t="e">
        <v>#N/A</v>
      </c>
      <c r="H507" s="33"/>
      <c r="I507" s="33"/>
      <c r="J507" s="33"/>
      <c r="K507" s="33"/>
      <c r="L507" s="33"/>
      <c r="M507" s="33"/>
    </row>
    <row r="508">
      <c r="A508" s="32" t="s">
        <v>100</v>
      </c>
      <c r="B508" s="32" t="s">
        <v>1302</v>
      </c>
      <c r="C508" s="35">
        <v>21.50945591</v>
      </c>
      <c r="D508" s="35">
        <v>-77.02059746</v>
      </c>
      <c r="E508" s="32" t="s">
        <v>1294</v>
      </c>
      <c r="F508" s="32" t="s">
        <v>1303</v>
      </c>
      <c r="G508" s="36" t="e">
        <v>#N/A</v>
      </c>
      <c r="H508" s="33"/>
      <c r="I508" s="33"/>
      <c r="J508" s="33"/>
      <c r="K508" s="33"/>
      <c r="L508" s="33"/>
      <c r="M508" s="33"/>
    </row>
    <row r="509">
      <c r="A509" s="32" t="s">
        <v>100</v>
      </c>
      <c r="B509" s="32" t="s">
        <v>1304</v>
      </c>
      <c r="C509" s="35">
        <v>21.64249992</v>
      </c>
      <c r="D509" s="35">
        <v>-82.95510101</v>
      </c>
      <c r="E509" s="32" t="s">
        <v>1294</v>
      </c>
      <c r="F509" s="32" t="s">
        <v>1305</v>
      </c>
      <c r="G509" s="36" t="e">
        <v>#N/A</v>
      </c>
      <c r="H509" s="33"/>
      <c r="I509" s="33"/>
      <c r="J509" s="33"/>
      <c r="K509" s="33"/>
      <c r="L509" s="33"/>
      <c r="M509" s="33"/>
    </row>
    <row r="510">
      <c r="A510" s="32" t="s">
        <v>100</v>
      </c>
      <c r="B510" s="32" t="s">
        <v>1306</v>
      </c>
      <c r="C510" s="35">
        <v>21.9704</v>
      </c>
      <c r="D510" s="35">
        <v>-79.442703</v>
      </c>
      <c r="E510" s="32" t="s">
        <v>1294</v>
      </c>
      <c r="F510" s="32" t="s">
        <v>1307</v>
      </c>
      <c r="G510" s="36" t="e">
        <v>#N/A</v>
      </c>
      <c r="H510" s="33"/>
      <c r="I510" s="33"/>
      <c r="J510" s="33"/>
      <c r="K510" s="33"/>
      <c r="L510" s="33"/>
      <c r="M510" s="33"/>
    </row>
    <row r="511">
      <c r="A511" s="32" t="s">
        <v>100</v>
      </c>
      <c r="B511" s="32" t="s">
        <v>1308</v>
      </c>
      <c r="C511" s="35">
        <v>24.28770065</v>
      </c>
      <c r="D511" s="35">
        <v>-77.68460083</v>
      </c>
      <c r="E511" s="32" t="s">
        <v>319</v>
      </c>
      <c r="F511" s="32" t="s">
        <v>1309</v>
      </c>
      <c r="G511" s="36" t="e">
        <v>#N/A</v>
      </c>
      <c r="H511" s="33"/>
      <c r="I511" s="33"/>
      <c r="J511" s="33"/>
      <c r="K511" s="33"/>
      <c r="L511" s="33"/>
      <c r="M511" s="33"/>
    </row>
    <row r="512">
      <c r="A512" s="32" t="s">
        <v>100</v>
      </c>
      <c r="B512" s="32" t="s">
        <v>1310</v>
      </c>
      <c r="C512" s="35">
        <v>26.00460052</v>
      </c>
      <c r="D512" s="35">
        <v>-77.39550018</v>
      </c>
      <c r="E512" s="32" t="s">
        <v>319</v>
      </c>
      <c r="F512" s="32" t="s">
        <v>1311</v>
      </c>
      <c r="G512" s="36" t="e">
        <v>#N/A</v>
      </c>
      <c r="H512" s="33"/>
      <c r="I512" s="33"/>
      <c r="J512" s="33"/>
      <c r="K512" s="33"/>
      <c r="L512" s="33"/>
      <c r="M512" s="33"/>
    </row>
    <row r="513">
      <c r="A513" s="32" t="s">
        <v>100</v>
      </c>
      <c r="B513" s="32" t="s">
        <v>1312</v>
      </c>
      <c r="C513" s="35">
        <v>25.73830032</v>
      </c>
      <c r="D513" s="35">
        <v>-77.84010315</v>
      </c>
      <c r="E513" s="32" t="s">
        <v>319</v>
      </c>
      <c r="F513" s="32" t="s">
        <v>1313</v>
      </c>
      <c r="G513" s="36" t="e">
        <v>#N/A</v>
      </c>
      <c r="H513" s="33"/>
      <c r="I513" s="33"/>
      <c r="J513" s="33"/>
      <c r="K513" s="33"/>
      <c r="L513" s="33"/>
      <c r="M513" s="33"/>
    </row>
    <row r="514">
      <c r="A514" s="32" t="s">
        <v>100</v>
      </c>
      <c r="B514" s="32" t="s">
        <v>1314</v>
      </c>
      <c r="C514" s="35">
        <v>23.4666996</v>
      </c>
      <c r="D514" s="35">
        <v>-75.78170013</v>
      </c>
      <c r="E514" s="32" t="s">
        <v>319</v>
      </c>
      <c r="F514" s="32" t="s">
        <v>1315</v>
      </c>
      <c r="G514" s="36" t="e">
        <v>#N/A</v>
      </c>
      <c r="H514" s="33"/>
      <c r="I514" s="33"/>
      <c r="J514" s="33"/>
      <c r="K514" s="33"/>
      <c r="L514" s="33"/>
      <c r="M514" s="33"/>
    </row>
    <row r="515">
      <c r="A515" s="32" t="s">
        <v>100</v>
      </c>
      <c r="B515" s="32" t="s">
        <v>1316</v>
      </c>
      <c r="C515" s="35">
        <v>24.59429932</v>
      </c>
      <c r="D515" s="35">
        <v>-76.82019806</v>
      </c>
      <c r="E515" s="32" t="s">
        <v>319</v>
      </c>
      <c r="F515" s="32" t="s">
        <v>1317</v>
      </c>
      <c r="G515" s="36" t="e">
        <v>#N/A</v>
      </c>
      <c r="H515" s="33"/>
      <c r="I515" s="33"/>
      <c r="J515" s="33"/>
      <c r="K515" s="33"/>
      <c r="L515" s="33"/>
      <c r="M515" s="33"/>
    </row>
    <row r="516">
      <c r="A516" s="32" t="s">
        <v>100</v>
      </c>
      <c r="B516" s="32" t="s">
        <v>1318</v>
      </c>
      <c r="C516" s="35">
        <v>24.16909981</v>
      </c>
      <c r="D516" s="35">
        <v>-76.43910217</v>
      </c>
      <c r="E516" s="32" t="s">
        <v>319</v>
      </c>
      <c r="F516" s="32" t="s">
        <v>1319</v>
      </c>
      <c r="G516" s="36" t="e">
        <v>#N/A</v>
      </c>
      <c r="H516" s="33"/>
      <c r="I516" s="33"/>
      <c r="J516" s="33"/>
      <c r="K516" s="33"/>
      <c r="L516" s="33"/>
      <c r="M516" s="33"/>
    </row>
    <row r="517">
      <c r="A517" s="32" t="s">
        <v>100</v>
      </c>
      <c r="B517" s="32" t="s">
        <v>1320</v>
      </c>
      <c r="C517" s="35">
        <v>22.18180084</v>
      </c>
      <c r="D517" s="35">
        <v>-75.72949982</v>
      </c>
      <c r="E517" s="32" t="s">
        <v>319</v>
      </c>
      <c r="F517" s="32" t="s">
        <v>1321</v>
      </c>
      <c r="G517" s="36" t="e">
        <v>#N/A</v>
      </c>
      <c r="H517" s="33"/>
      <c r="I517" s="33"/>
      <c r="J517" s="33"/>
      <c r="K517" s="33"/>
      <c r="L517" s="33"/>
      <c r="M517" s="33"/>
    </row>
    <row r="518">
      <c r="A518" s="32" t="s">
        <v>100</v>
      </c>
      <c r="B518" s="32" t="s">
        <v>1322</v>
      </c>
      <c r="C518" s="35">
        <v>23.68440056</v>
      </c>
      <c r="D518" s="35">
        <v>-74.8361969</v>
      </c>
      <c r="E518" s="32" t="s">
        <v>319</v>
      </c>
      <c r="F518" s="32" t="s">
        <v>1323</v>
      </c>
      <c r="G518" s="36" t="e">
        <v>#N/A</v>
      </c>
      <c r="H518" s="33"/>
      <c r="I518" s="33"/>
      <c r="J518" s="33"/>
      <c r="K518" s="33"/>
      <c r="L518" s="33"/>
      <c r="M518" s="33"/>
    </row>
    <row r="519">
      <c r="A519" s="32" t="s">
        <v>100</v>
      </c>
      <c r="B519" s="32" t="s">
        <v>1324</v>
      </c>
      <c r="C519" s="35">
        <v>-15.81989956</v>
      </c>
      <c r="D519" s="35">
        <v>-140.8869934</v>
      </c>
      <c r="E519" s="32" t="s">
        <v>1325</v>
      </c>
      <c r="F519" s="32" t="s">
        <v>1326</v>
      </c>
      <c r="G519" s="36" t="e">
        <v>#N/A</v>
      </c>
      <c r="H519" s="33"/>
      <c r="I519" s="33"/>
      <c r="J519" s="33"/>
      <c r="K519" s="33"/>
      <c r="L519" s="33"/>
      <c r="M519" s="33"/>
    </row>
    <row r="520">
      <c r="A520" s="32" t="s">
        <v>100</v>
      </c>
      <c r="B520" s="32" t="s">
        <v>1327</v>
      </c>
      <c r="C520" s="35">
        <v>-43.90670013</v>
      </c>
      <c r="D520" s="35">
        <v>170.128006</v>
      </c>
      <c r="E520" s="32" t="s">
        <v>1328</v>
      </c>
      <c r="F520" s="32" t="s">
        <v>1329</v>
      </c>
      <c r="G520" s="36" t="e">
        <v>#N/A</v>
      </c>
      <c r="H520" s="33"/>
      <c r="I520" s="33"/>
      <c r="J520" s="33"/>
      <c r="K520" s="33"/>
      <c r="L520" s="33"/>
      <c r="M520" s="33"/>
    </row>
    <row r="521">
      <c r="A521" s="32" t="s">
        <v>100</v>
      </c>
      <c r="B521" s="32" t="s">
        <v>1330</v>
      </c>
      <c r="C521" s="35">
        <v>-39.646702</v>
      </c>
      <c r="D521" s="35">
        <v>176.766998</v>
      </c>
      <c r="E521" s="32" t="s">
        <v>1328</v>
      </c>
      <c r="F521" s="32" t="s">
        <v>1331</v>
      </c>
      <c r="G521" s="36" t="e">
        <v>#N/A</v>
      </c>
      <c r="H521" s="33"/>
      <c r="I521" s="33"/>
      <c r="J521" s="33"/>
      <c r="K521" s="33"/>
      <c r="L521" s="33"/>
      <c r="M521" s="33"/>
    </row>
    <row r="522">
      <c r="A522" s="32" t="s">
        <v>100</v>
      </c>
      <c r="B522" s="32" t="s">
        <v>1332</v>
      </c>
      <c r="C522" s="35">
        <v>-40.20600128</v>
      </c>
      <c r="D522" s="35">
        <v>175.3880005</v>
      </c>
      <c r="E522" s="32" t="s">
        <v>1328</v>
      </c>
      <c r="F522" s="32" t="s">
        <v>1333</v>
      </c>
      <c r="G522" s="36" t="e">
        <v>#N/A</v>
      </c>
      <c r="H522" s="33"/>
      <c r="I522" s="33"/>
      <c r="J522" s="33"/>
      <c r="K522" s="33"/>
      <c r="L522" s="33"/>
      <c r="M522" s="33"/>
    </row>
    <row r="523">
      <c r="A523" s="32" t="s">
        <v>100</v>
      </c>
      <c r="B523" s="32" t="s">
        <v>1334</v>
      </c>
      <c r="C523" s="35">
        <v>-39.44639969</v>
      </c>
      <c r="D523" s="35">
        <v>175.6580048</v>
      </c>
      <c r="E523" s="32" t="s">
        <v>1328</v>
      </c>
      <c r="F523" s="32" t="s">
        <v>1335</v>
      </c>
      <c r="G523" s="36" t="e">
        <v>#N/A</v>
      </c>
      <c r="H523" s="33"/>
      <c r="I523" s="33"/>
      <c r="J523" s="33"/>
      <c r="K523" s="33"/>
      <c r="L523" s="33"/>
      <c r="M523" s="33"/>
    </row>
    <row r="524">
      <c r="A524" s="32" t="s">
        <v>100</v>
      </c>
      <c r="B524" s="32" t="s">
        <v>1336</v>
      </c>
      <c r="C524" s="35">
        <v>-90.0</v>
      </c>
      <c r="D524" s="35">
        <v>0.0</v>
      </c>
      <c r="E524" s="32" t="s">
        <v>1337</v>
      </c>
      <c r="F524" s="32" t="s">
        <v>1338</v>
      </c>
      <c r="G524" s="36" t="e">
        <v>#N/A</v>
      </c>
      <c r="H524" s="33"/>
      <c r="I524" s="33"/>
      <c r="J524" s="33"/>
      <c r="K524" s="33"/>
      <c r="L524" s="33"/>
      <c r="M524" s="33"/>
    </row>
    <row r="525">
      <c r="A525" s="32" t="s">
        <v>100</v>
      </c>
      <c r="B525" s="32" t="s">
        <v>1339</v>
      </c>
      <c r="C525" s="35">
        <v>-44.23500061</v>
      </c>
      <c r="D525" s="35">
        <v>170.1179962</v>
      </c>
      <c r="E525" s="32" t="s">
        <v>1328</v>
      </c>
      <c r="F525" s="32" t="s">
        <v>1340</v>
      </c>
      <c r="G525" s="36" t="e">
        <v>#N/A</v>
      </c>
      <c r="H525" s="33"/>
      <c r="I525" s="33"/>
      <c r="J525" s="33"/>
      <c r="K525" s="33"/>
      <c r="L525" s="33"/>
      <c r="M525" s="33"/>
    </row>
    <row r="526">
      <c r="A526" s="32" t="s">
        <v>100</v>
      </c>
      <c r="B526" s="32" t="s">
        <v>1341</v>
      </c>
      <c r="C526" s="35">
        <v>-77.86740112</v>
      </c>
      <c r="D526" s="35">
        <v>167.0570068</v>
      </c>
      <c r="E526" s="32" t="s">
        <v>1337</v>
      </c>
      <c r="F526" s="32" t="s">
        <v>1342</v>
      </c>
      <c r="G526" s="36" t="e">
        <v>#N/A</v>
      </c>
      <c r="H526" s="33"/>
      <c r="I526" s="33"/>
      <c r="J526" s="33"/>
      <c r="K526" s="33"/>
      <c r="L526" s="33"/>
      <c r="M526" s="33"/>
    </row>
    <row r="527">
      <c r="A527" s="32" t="s">
        <v>100</v>
      </c>
      <c r="B527" s="32" t="s">
        <v>1343</v>
      </c>
      <c r="C527" s="35">
        <v>-43.55110168</v>
      </c>
      <c r="D527" s="35">
        <v>172.5529938</v>
      </c>
      <c r="E527" s="32" t="s">
        <v>1328</v>
      </c>
      <c r="F527" s="32" t="s">
        <v>1344</v>
      </c>
      <c r="G527" s="36" t="e">
        <v>#N/A</v>
      </c>
      <c r="H527" s="33"/>
      <c r="I527" s="33"/>
      <c r="J527" s="33"/>
      <c r="K527" s="33"/>
      <c r="L527" s="33"/>
      <c r="M527" s="33"/>
    </row>
    <row r="528">
      <c r="A528" s="32" t="s">
        <v>100</v>
      </c>
      <c r="B528" s="32" t="s">
        <v>1345</v>
      </c>
      <c r="C528" s="35">
        <v>-39.00690079</v>
      </c>
      <c r="D528" s="35">
        <v>177.4069977</v>
      </c>
      <c r="E528" s="32" t="s">
        <v>1328</v>
      </c>
      <c r="F528" s="32" t="s">
        <v>1346</v>
      </c>
      <c r="G528" s="36" t="e">
        <v>#N/A</v>
      </c>
      <c r="H528" s="33"/>
      <c r="I528" s="33"/>
      <c r="J528" s="33"/>
      <c r="K528" s="33"/>
      <c r="L528" s="33"/>
      <c r="M528" s="33"/>
    </row>
    <row r="529">
      <c r="A529" s="32" t="s">
        <v>100</v>
      </c>
      <c r="B529" s="32" t="s">
        <v>1347</v>
      </c>
      <c r="C529" s="35">
        <v>-36.78779984</v>
      </c>
      <c r="D529" s="35">
        <v>174.6300049</v>
      </c>
      <c r="E529" s="32" t="s">
        <v>1328</v>
      </c>
      <c r="F529" s="32" t="s">
        <v>1348</v>
      </c>
      <c r="G529" s="36" t="e">
        <v>#N/A</v>
      </c>
      <c r="H529" s="33"/>
      <c r="I529" s="33"/>
      <c r="J529" s="33"/>
      <c r="K529" s="33"/>
      <c r="L529" s="33"/>
      <c r="M529" s="33"/>
    </row>
    <row r="530">
      <c r="A530" s="32" t="s">
        <v>100</v>
      </c>
      <c r="B530" s="32" t="s">
        <v>1349</v>
      </c>
      <c r="C530" s="35">
        <v>33.3913002</v>
      </c>
      <c r="D530" s="35">
        <v>62.26100159</v>
      </c>
      <c r="E530" s="32" t="s">
        <v>1350</v>
      </c>
      <c r="F530" s="32" t="s">
        <v>1351</v>
      </c>
      <c r="G530" s="36" t="e">
        <v>#N/A</v>
      </c>
      <c r="H530" s="33"/>
      <c r="I530" s="33"/>
      <c r="J530" s="33"/>
      <c r="K530" s="33"/>
      <c r="L530" s="33"/>
      <c r="M530" s="33"/>
    </row>
    <row r="531">
      <c r="A531" s="32" t="s">
        <v>100</v>
      </c>
      <c r="B531" s="32" t="s">
        <v>1352</v>
      </c>
      <c r="C531" s="35">
        <v>36.75080109</v>
      </c>
      <c r="D531" s="35">
        <v>65.91320038</v>
      </c>
      <c r="E531" s="32" t="s">
        <v>1350</v>
      </c>
      <c r="F531" s="32" t="s">
        <v>1353</v>
      </c>
      <c r="G531" s="36" t="e">
        <v>#N/A</v>
      </c>
      <c r="H531" s="33"/>
      <c r="I531" s="33"/>
      <c r="J531" s="33"/>
      <c r="K531" s="33"/>
      <c r="L531" s="33"/>
      <c r="M531" s="33"/>
    </row>
    <row r="532">
      <c r="A532" s="32" t="s">
        <v>100</v>
      </c>
      <c r="B532" s="32" t="s">
        <v>1354</v>
      </c>
      <c r="C532" s="35">
        <v>25.91839981</v>
      </c>
      <c r="D532" s="35">
        <v>50.59059906</v>
      </c>
      <c r="E532" s="32" t="s">
        <v>248</v>
      </c>
      <c r="F532" s="32" t="s">
        <v>248</v>
      </c>
      <c r="G532" s="36" t="e">
        <v>#N/A</v>
      </c>
      <c r="H532" s="33"/>
      <c r="I532" s="33"/>
      <c r="J532" s="33"/>
      <c r="K532" s="33"/>
      <c r="L532" s="33"/>
      <c r="M532" s="33"/>
    </row>
    <row r="533">
      <c r="A533" s="32" t="s">
        <v>100</v>
      </c>
      <c r="B533" s="32" t="s">
        <v>1355</v>
      </c>
      <c r="C533" s="35">
        <v>25.91130066</v>
      </c>
      <c r="D533" s="35">
        <v>49.59120178</v>
      </c>
      <c r="E533" s="32" t="s">
        <v>223</v>
      </c>
      <c r="F533" s="32" t="s">
        <v>1356</v>
      </c>
      <c r="G533" s="36" t="e">
        <v>#N/A</v>
      </c>
      <c r="H533" s="33"/>
      <c r="I533" s="33"/>
      <c r="J533" s="33"/>
      <c r="K533" s="33"/>
      <c r="L533" s="33"/>
      <c r="M533" s="33"/>
    </row>
    <row r="534">
      <c r="A534" s="32" t="s">
        <v>100</v>
      </c>
      <c r="B534" s="32" t="s">
        <v>1357</v>
      </c>
      <c r="C534" s="35">
        <v>27.03899956</v>
      </c>
      <c r="D534" s="35">
        <v>49.40510178</v>
      </c>
      <c r="E534" s="32" t="s">
        <v>223</v>
      </c>
      <c r="F534" s="32" t="s">
        <v>1358</v>
      </c>
      <c r="G534" s="36" t="e">
        <v>#N/A</v>
      </c>
      <c r="H534" s="33"/>
      <c r="I534" s="33"/>
      <c r="J534" s="33"/>
      <c r="K534" s="33"/>
      <c r="L534" s="33"/>
      <c r="M534" s="33"/>
    </row>
    <row r="535">
      <c r="A535" s="32" t="s">
        <v>100</v>
      </c>
      <c r="B535" s="32" t="s">
        <v>1359</v>
      </c>
      <c r="C535" s="35">
        <v>21.34810066</v>
      </c>
      <c r="D535" s="35">
        <v>39.17300034</v>
      </c>
      <c r="E535" s="32" t="s">
        <v>223</v>
      </c>
      <c r="F535" s="32" t="s">
        <v>1360</v>
      </c>
      <c r="G535" s="36" t="e">
        <v>#N/A</v>
      </c>
      <c r="H535" s="33"/>
      <c r="I535" s="33"/>
      <c r="J535" s="33"/>
      <c r="K535" s="33"/>
      <c r="L535" s="33"/>
      <c r="M535" s="33"/>
    </row>
    <row r="536">
      <c r="A536" s="32" t="s">
        <v>100</v>
      </c>
      <c r="B536" s="32" t="s">
        <v>1361</v>
      </c>
      <c r="C536" s="35">
        <v>25.17449951</v>
      </c>
      <c r="D536" s="35">
        <v>47.48839951</v>
      </c>
      <c r="E536" s="32" t="s">
        <v>223</v>
      </c>
      <c r="F536" s="32" t="s">
        <v>1362</v>
      </c>
      <c r="G536" s="36" t="e">
        <v>#N/A</v>
      </c>
      <c r="H536" s="33"/>
      <c r="I536" s="33"/>
      <c r="J536" s="33"/>
      <c r="K536" s="33"/>
      <c r="L536" s="33"/>
      <c r="M536" s="33"/>
    </row>
    <row r="537">
      <c r="A537" s="32" t="s">
        <v>100</v>
      </c>
      <c r="B537" s="32" t="s">
        <v>1363</v>
      </c>
      <c r="C537" s="35">
        <v>24.71030045</v>
      </c>
      <c r="D537" s="35">
        <v>44.96450043</v>
      </c>
      <c r="E537" s="32" t="s">
        <v>223</v>
      </c>
      <c r="F537" s="32" t="s">
        <v>1364</v>
      </c>
      <c r="G537" s="36" t="e">
        <v>#N/A</v>
      </c>
      <c r="H537" s="33"/>
      <c r="I537" s="33"/>
      <c r="J537" s="33"/>
      <c r="K537" s="33"/>
      <c r="L537" s="33"/>
      <c r="M537" s="33"/>
    </row>
    <row r="538">
      <c r="A538" s="32" t="s">
        <v>100</v>
      </c>
      <c r="B538" s="32" t="s">
        <v>1365</v>
      </c>
      <c r="C538" s="35">
        <v>24.1072998</v>
      </c>
      <c r="D538" s="35">
        <v>41.0359993</v>
      </c>
      <c r="E538" s="32" t="s">
        <v>223</v>
      </c>
      <c r="F538" s="32" t="s">
        <v>1366</v>
      </c>
      <c r="G538" s="36" t="e">
        <v>#N/A</v>
      </c>
      <c r="H538" s="33"/>
      <c r="I538" s="33"/>
      <c r="J538" s="33"/>
      <c r="K538" s="33"/>
      <c r="L538" s="33"/>
      <c r="M538" s="33"/>
    </row>
    <row r="539">
      <c r="A539" s="32" t="s">
        <v>100</v>
      </c>
      <c r="B539" s="32" t="s">
        <v>1367</v>
      </c>
      <c r="C539" s="35">
        <v>22.70260048</v>
      </c>
      <c r="D539" s="35">
        <v>39.06980133</v>
      </c>
      <c r="E539" s="32" t="s">
        <v>223</v>
      </c>
      <c r="F539" s="32" t="s">
        <v>1368</v>
      </c>
      <c r="G539" s="36" t="e">
        <v>#N/A</v>
      </c>
      <c r="H539" s="33"/>
      <c r="I539" s="33"/>
      <c r="J539" s="33"/>
      <c r="K539" s="33"/>
      <c r="L539" s="33"/>
      <c r="M539" s="33"/>
    </row>
    <row r="540">
      <c r="A540" s="32" t="s">
        <v>100</v>
      </c>
      <c r="B540" s="32" t="s">
        <v>1369</v>
      </c>
      <c r="C540" s="35">
        <v>28.07959938</v>
      </c>
      <c r="D540" s="35">
        <v>48.61100006</v>
      </c>
      <c r="E540" s="32" t="s">
        <v>223</v>
      </c>
      <c r="F540" s="32" t="s">
        <v>1370</v>
      </c>
      <c r="G540" s="36" t="e">
        <v>#N/A</v>
      </c>
      <c r="H540" s="33"/>
      <c r="I540" s="33"/>
      <c r="J540" s="33"/>
      <c r="K540" s="33"/>
      <c r="L540" s="33"/>
      <c r="M540" s="33"/>
    </row>
    <row r="541">
      <c r="A541" s="32" t="s">
        <v>100</v>
      </c>
      <c r="B541" s="32" t="s">
        <v>1371</v>
      </c>
      <c r="C541" s="35">
        <v>26.72310066</v>
      </c>
      <c r="D541" s="35">
        <v>50.03079987</v>
      </c>
      <c r="E541" s="32" t="s">
        <v>223</v>
      </c>
      <c r="F541" s="32" t="s">
        <v>1372</v>
      </c>
      <c r="G541" s="36" t="e">
        <v>#N/A</v>
      </c>
      <c r="H541" s="33"/>
      <c r="I541" s="33"/>
      <c r="J541" s="33"/>
      <c r="K541" s="33"/>
      <c r="L541" s="33"/>
      <c r="M541" s="33"/>
    </row>
    <row r="542">
      <c r="A542" s="32" t="s">
        <v>100</v>
      </c>
      <c r="B542" s="32" t="s">
        <v>1373</v>
      </c>
      <c r="C542" s="35">
        <v>25.21299934</v>
      </c>
      <c r="D542" s="35">
        <v>46.64099884</v>
      </c>
      <c r="E542" s="32" t="s">
        <v>223</v>
      </c>
      <c r="F542" s="32" t="s">
        <v>1374</v>
      </c>
      <c r="G542" s="36" t="e">
        <v>#N/A</v>
      </c>
      <c r="H542" s="33"/>
      <c r="I542" s="33"/>
      <c r="J542" s="33"/>
      <c r="K542" s="33"/>
      <c r="L542" s="33"/>
      <c r="M542" s="33"/>
    </row>
    <row r="543">
      <c r="A543" s="32" t="s">
        <v>100</v>
      </c>
      <c r="B543" s="32" t="s">
        <v>1375</v>
      </c>
      <c r="C543" s="35">
        <v>27.86779976</v>
      </c>
      <c r="D543" s="35">
        <v>48.76910019</v>
      </c>
      <c r="E543" s="32" t="s">
        <v>223</v>
      </c>
      <c r="F543" s="32" t="s">
        <v>1376</v>
      </c>
      <c r="G543" s="36" t="e">
        <v>#N/A</v>
      </c>
      <c r="H543" s="33"/>
      <c r="I543" s="33"/>
      <c r="J543" s="33"/>
      <c r="K543" s="33"/>
      <c r="L543" s="33"/>
      <c r="M543" s="33"/>
    </row>
    <row r="544">
      <c r="A544" s="32" t="s">
        <v>100</v>
      </c>
      <c r="B544" s="32" t="s">
        <v>1377</v>
      </c>
      <c r="C544" s="35">
        <v>32.434399</v>
      </c>
      <c r="D544" s="35">
        <v>48.397598</v>
      </c>
      <c r="E544" s="32" t="s">
        <v>1378</v>
      </c>
      <c r="F544" s="32" t="s">
        <v>1379</v>
      </c>
      <c r="G544" s="36" t="e">
        <v>#N/A</v>
      </c>
      <c r="H544" s="33"/>
      <c r="I544" s="33"/>
      <c r="J544" s="33"/>
      <c r="K544" s="33"/>
      <c r="L544" s="33"/>
      <c r="M544" s="33"/>
    </row>
    <row r="545">
      <c r="A545" s="32" t="s">
        <v>100</v>
      </c>
      <c r="B545" s="32" t="s">
        <v>1380</v>
      </c>
      <c r="C545" s="35">
        <v>30.7444</v>
      </c>
      <c r="D545" s="35">
        <v>49.6772</v>
      </c>
      <c r="E545" s="32" t="s">
        <v>1378</v>
      </c>
      <c r="F545" s="32" t="s">
        <v>1381</v>
      </c>
      <c r="G545" s="36" t="e">
        <v>#N/A</v>
      </c>
      <c r="H545" s="33"/>
      <c r="I545" s="33"/>
      <c r="J545" s="33"/>
      <c r="K545" s="33"/>
      <c r="L545" s="33"/>
      <c r="M545" s="33"/>
    </row>
    <row r="546">
      <c r="A546" s="32" t="s">
        <v>100</v>
      </c>
      <c r="B546" s="32" t="s">
        <v>1382</v>
      </c>
      <c r="C546" s="35">
        <v>30.33760071</v>
      </c>
      <c r="D546" s="35">
        <v>50.82799912</v>
      </c>
      <c r="E546" s="32" t="s">
        <v>1378</v>
      </c>
      <c r="F546" s="32" t="s">
        <v>1383</v>
      </c>
      <c r="G546" s="36" t="e">
        <v>#N/A</v>
      </c>
      <c r="H546" s="33"/>
      <c r="I546" s="33"/>
      <c r="J546" s="33"/>
      <c r="K546" s="33"/>
      <c r="L546" s="33"/>
      <c r="M546" s="33"/>
    </row>
    <row r="547">
      <c r="A547" s="32" t="s">
        <v>100</v>
      </c>
      <c r="B547" s="32" t="s">
        <v>1384</v>
      </c>
      <c r="C547" s="35">
        <v>30.83519936</v>
      </c>
      <c r="D547" s="35">
        <v>49.53490067</v>
      </c>
      <c r="E547" s="32" t="s">
        <v>1378</v>
      </c>
      <c r="F547" s="32" t="s">
        <v>1385</v>
      </c>
      <c r="G547" s="36" t="e">
        <v>#N/A</v>
      </c>
      <c r="H547" s="33"/>
      <c r="I547" s="33"/>
      <c r="J547" s="33"/>
      <c r="K547" s="33"/>
      <c r="L547" s="33"/>
      <c r="M547" s="33"/>
    </row>
    <row r="548">
      <c r="A548" s="32" t="s">
        <v>100</v>
      </c>
      <c r="B548" s="32" t="s">
        <v>1386</v>
      </c>
      <c r="C548" s="35">
        <v>25.8757</v>
      </c>
      <c r="D548" s="35">
        <v>55.03300095</v>
      </c>
      <c r="E548" s="32" t="s">
        <v>1378</v>
      </c>
      <c r="F548" s="32" t="s">
        <v>1387</v>
      </c>
      <c r="G548" s="36" t="e">
        <v>#N/A</v>
      </c>
      <c r="H548" s="33"/>
      <c r="I548" s="33"/>
      <c r="J548" s="33"/>
      <c r="K548" s="33"/>
      <c r="L548" s="33"/>
      <c r="M548" s="33"/>
    </row>
    <row r="549">
      <c r="A549" s="32" t="s">
        <v>100</v>
      </c>
      <c r="B549" s="32" t="s">
        <v>1388</v>
      </c>
      <c r="C549" s="35">
        <v>27.21269989</v>
      </c>
      <c r="D549" s="35">
        <v>54.3185997</v>
      </c>
      <c r="E549" s="32" t="s">
        <v>1378</v>
      </c>
      <c r="F549" s="32" t="s">
        <v>1389</v>
      </c>
      <c r="G549" s="36" t="e">
        <v>#N/A</v>
      </c>
      <c r="H549" s="33"/>
      <c r="I549" s="33"/>
      <c r="J549" s="33"/>
      <c r="K549" s="33"/>
      <c r="L549" s="33"/>
      <c r="M549" s="33"/>
    </row>
    <row r="550">
      <c r="A550" s="32" t="s">
        <v>100</v>
      </c>
      <c r="B550" s="32" t="s">
        <v>1390</v>
      </c>
      <c r="C550" s="35">
        <v>27.4814</v>
      </c>
      <c r="D550" s="35">
        <v>52.615501</v>
      </c>
      <c r="E550" s="32" t="s">
        <v>1378</v>
      </c>
      <c r="F550" s="32" t="s">
        <v>1391</v>
      </c>
      <c r="G550" s="36" t="e">
        <v>#N/A</v>
      </c>
      <c r="H550" s="33"/>
      <c r="I550" s="33"/>
      <c r="J550" s="33"/>
      <c r="K550" s="33"/>
      <c r="L550" s="33"/>
      <c r="M550" s="33"/>
    </row>
    <row r="551">
      <c r="A551" s="32" t="s">
        <v>100</v>
      </c>
      <c r="B551" s="32" t="s">
        <v>1392</v>
      </c>
      <c r="C551" s="35">
        <v>29.26029968</v>
      </c>
      <c r="D551" s="35">
        <v>50.32389832</v>
      </c>
      <c r="E551" s="32" t="s">
        <v>1378</v>
      </c>
      <c r="F551" s="32" t="s">
        <v>1393</v>
      </c>
      <c r="G551" s="36" t="e">
        <v>#N/A</v>
      </c>
      <c r="H551" s="33"/>
      <c r="I551" s="33"/>
      <c r="J551" s="33"/>
      <c r="K551" s="33"/>
      <c r="L551" s="33"/>
      <c r="M551" s="33"/>
    </row>
    <row r="552">
      <c r="A552" s="32" t="s">
        <v>100</v>
      </c>
      <c r="B552" s="32" t="s">
        <v>1394</v>
      </c>
      <c r="C552" s="35">
        <v>25.90889931</v>
      </c>
      <c r="D552" s="35">
        <v>54.53939819</v>
      </c>
      <c r="E552" s="32" t="s">
        <v>1378</v>
      </c>
      <c r="F552" s="32" t="s">
        <v>1395</v>
      </c>
      <c r="G552" s="36" t="e">
        <v>#N/A</v>
      </c>
      <c r="H552" s="33"/>
      <c r="I552" s="33"/>
      <c r="J552" s="33"/>
      <c r="K552" s="33"/>
      <c r="L552" s="33"/>
      <c r="M552" s="33"/>
    </row>
    <row r="553">
      <c r="A553" s="32" t="s">
        <v>100</v>
      </c>
      <c r="B553" s="32" t="s">
        <v>1396</v>
      </c>
      <c r="C553" s="35">
        <v>26.81030083</v>
      </c>
      <c r="D553" s="35">
        <v>53.35630035</v>
      </c>
      <c r="E553" s="32" t="s">
        <v>1378</v>
      </c>
      <c r="F553" s="32" t="s">
        <v>1397</v>
      </c>
      <c r="G553" s="36" t="e">
        <v>#N/A</v>
      </c>
      <c r="H553" s="33"/>
      <c r="I553" s="33"/>
      <c r="J553" s="33"/>
      <c r="K553" s="33"/>
      <c r="L553" s="33"/>
      <c r="M553" s="33"/>
    </row>
    <row r="554">
      <c r="A554" s="32" t="s">
        <v>100</v>
      </c>
      <c r="B554" s="32" t="s">
        <v>1398</v>
      </c>
      <c r="C554" s="35">
        <v>32.92890167</v>
      </c>
      <c r="D554" s="35">
        <v>51.56110001</v>
      </c>
      <c r="E554" s="32" t="s">
        <v>1378</v>
      </c>
      <c r="F554" s="32" t="s">
        <v>1399</v>
      </c>
      <c r="G554" s="36" t="e">
        <v>#N/A</v>
      </c>
      <c r="H554" s="33"/>
      <c r="I554" s="33"/>
      <c r="J554" s="33"/>
      <c r="K554" s="33"/>
      <c r="L554" s="33"/>
      <c r="M554" s="33"/>
    </row>
    <row r="555">
      <c r="A555" s="32" t="s">
        <v>100</v>
      </c>
      <c r="B555" s="32" t="s">
        <v>1400</v>
      </c>
      <c r="C555" s="35">
        <v>32.56700134</v>
      </c>
      <c r="D555" s="35">
        <v>51.6916008</v>
      </c>
      <c r="E555" s="32" t="s">
        <v>1378</v>
      </c>
      <c r="F555" s="32" t="s">
        <v>1401</v>
      </c>
      <c r="G555" s="36" t="e">
        <v>#N/A</v>
      </c>
      <c r="H555" s="33"/>
      <c r="I555" s="33"/>
      <c r="J555" s="33"/>
      <c r="K555" s="33"/>
      <c r="L555" s="33"/>
      <c r="M555" s="33"/>
    </row>
    <row r="556">
      <c r="A556" s="32" t="s">
        <v>100</v>
      </c>
      <c r="B556" s="32" t="s">
        <v>1402</v>
      </c>
      <c r="C556" s="35">
        <v>33.89530182</v>
      </c>
      <c r="D556" s="35">
        <v>51.57699966</v>
      </c>
      <c r="E556" s="32" t="s">
        <v>1378</v>
      </c>
      <c r="F556" s="32" t="s">
        <v>1403</v>
      </c>
      <c r="G556" s="36" t="e">
        <v>#N/A</v>
      </c>
      <c r="H556" s="33"/>
      <c r="I556" s="33"/>
      <c r="J556" s="33"/>
      <c r="K556" s="33"/>
      <c r="L556" s="33"/>
      <c r="M556" s="33"/>
    </row>
    <row r="557">
      <c r="A557" s="32" t="s">
        <v>100</v>
      </c>
      <c r="B557" s="32" t="s">
        <v>1404</v>
      </c>
      <c r="C557" s="35">
        <v>32.62110138</v>
      </c>
      <c r="D557" s="35">
        <v>51.6969986</v>
      </c>
      <c r="E557" s="32" t="s">
        <v>1378</v>
      </c>
      <c r="F557" s="32" t="s">
        <v>1405</v>
      </c>
      <c r="G557" s="36" t="e">
        <v>#N/A</v>
      </c>
      <c r="H557" s="33"/>
      <c r="I557" s="33"/>
      <c r="J557" s="33"/>
      <c r="K557" s="33"/>
      <c r="L557" s="33"/>
      <c r="M557" s="33"/>
    </row>
    <row r="558">
      <c r="A558" s="32" t="s">
        <v>100</v>
      </c>
      <c r="B558" s="32" t="s">
        <v>1406</v>
      </c>
      <c r="C558" s="35">
        <v>34.13809967</v>
      </c>
      <c r="D558" s="35">
        <v>49.84730148</v>
      </c>
      <c r="E558" s="32" t="s">
        <v>1378</v>
      </c>
      <c r="F558" s="32" t="s">
        <v>1407</v>
      </c>
      <c r="G558" s="36" t="e">
        <v>#N/A</v>
      </c>
      <c r="H558" s="33"/>
      <c r="I558" s="33"/>
      <c r="J558" s="33"/>
      <c r="K558" s="33"/>
      <c r="L558" s="33"/>
      <c r="M558" s="33"/>
    </row>
    <row r="559">
      <c r="A559" s="32" t="s">
        <v>100</v>
      </c>
      <c r="B559" s="32" t="s">
        <v>1408</v>
      </c>
      <c r="C559" s="35">
        <v>35.95209885</v>
      </c>
      <c r="D559" s="35">
        <v>50.45080185</v>
      </c>
      <c r="E559" s="32" t="s">
        <v>1378</v>
      </c>
      <c r="F559" s="32" t="s">
        <v>1409</v>
      </c>
      <c r="G559" s="36" t="e">
        <v>#N/A</v>
      </c>
      <c r="H559" s="33"/>
      <c r="I559" s="33"/>
      <c r="J559" s="33"/>
      <c r="K559" s="33"/>
      <c r="L559" s="33"/>
      <c r="M559" s="33"/>
    </row>
    <row r="560">
      <c r="A560" s="32" t="s">
        <v>100</v>
      </c>
      <c r="B560" s="32" t="s">
        <v>1410</v>
      </c>
      <c r="C560" s="35">
        <v>34.98400116</v>
      </c>
      <c r="D560" s="35">
        <v>50.80619812</v>
      </c>
      <c r="E560" s="32" t="s">
        <v>1378</v>
      </c>
      <c r="F560" s="32" t="s">
        <v>1411</v>
      </c>
      <c r="G560" s="36" t="e">
        <v>#N/A</v>
      </c>
      <c r="H560" s="33"/>
      <c r="I560" s="33"/>
      <c r="J560" s="33"/>
      <c r="K560" s="33"/>
      <c r="L560" s="33"/>
      <c r="M560" s="33"/>
    </row>
    <row r="561">
      <c r="A561" s="32" t="s">
        <v>100</v>
      </c>
      <c r="B561" s="32" t="s">
        <v>1412</v>
      </c>
      <c r="C561" s="35">
        <v>35.70299911</v>
      </c>
      <c r="D561" s="35">
        <v>51.47510147</v>
      </c>
      <c r="E561" s="32" t="s">
        <v>1378</v>
      </c>
      <c r="F561" s="32" t="s">
        <v>1413</v>
      </c>
      <c r="G561" s="36" t="e">
        <v>#N/A</v>
      </c>
      <c r="H561" s="33"/>
      <c r="I561" s="33"/>
      <c r="J561" s="33"/>
      <c r="K561" s="33"/>
      <c r="L561" s="33"/>
      <c r="M561" s="33"/>
    </row>
    <row r="562">
      <c r="A562" s="32" t="s">
        <v>100</v>
      </c>
      <c r="B562" s="32" t="s">
        <v>1414</v>
      </c>
      <c r="C562" s="35">
        <v>35.64479828</v>
      </c>
      <c r="D562" s="35">
        <v>51.38069916</v>
      </c>
      <c r="E562" s="32" t="s">
        <v>1378</v>
      </c>
      <c r="F562" s="32" t="s">
        <v>1413</v>
      </c>
      <c r="G562" s="36" t="e">
        <v>#N/A</v>
      </c>
      <c r="H562" s="33"/>
      <c r="I562" s="33"/>
      <c r="J562" s="33"/>
      <c r="K562" s="33"/>
      <c r="L562" s="33"/>
      <c r="M562" s="33"/>
    </row>
    <row r="563">
      <c r="A563" s="32" t="s">
        <v>100</v>
      </c>
      <c r="B563" s="32" t="s">
        <v>1415</v>
      </c>
      <c r="C563" s="35">
        <v>36.240101</v>
      </c>
      <c r="D563" s="35">
        <v>50.0471</v>
      </c>
      <c r="E563" s="32" t="s">
        <v>1378</v>
      </c>
      <c r="F563" s="32" t="s">
        <v>1416</v>
      </c>
      <c r="G563" s="36" t="e">
        <v>#N/A</v>
      </c>
      <c r="H563" s="33"/>
      <c r="I563" s="33"/>
      <c r="J563" s="33"/>
      <c r="K563" s="33"/>
      <c r="L563" s="33"/>
      <c r="M563" s="33"/>
    </row>
    <row r="564">
      <c r="A564" s="32" t="s">
        <v>100</v>
      </c>
      <c r="B564" s="32" t="s">
        <v>1417</v>
      </c>
      <c r="C564" s="35">
        <v>35.77629852</v>
      </c>
      <c r="D564" s="35">
        <v>50.88100052</v>
      </c>
      <c r="E564" s="32" t="s">
        <v>1378</v>
      </c>
      <c r="F564" s="32" t="s">
        <v>1418</v>
      </c>
      <c r="G564" s="36" t="e">
        <v>#N/A</v>
      </c>
      <c r="H564" s="33"/>
      <c r="I564" s="33"/>
      <c r="J564" s="33"/>
      <c r="K564" s="33"/>
      <c r="L564" s="33"/>
      <c r="M564" s="33"/>
    </row>
    <row r="565">
      <c r="A565" s="32" t="s">
        <v>100</v>
      </c>
      <c r="B565" s="32" t="s">
        <v>1419</v>
      </c>
      <c r="C565" s="35">
        <v>28.7269001</v>
      </c>
      <c r="D565" s="35">
        <v>57.67029953</v>
      </c>
      <c r="E565" s="32" t="s">
        <v>1378</v>
      </c>
      <c r="F565" s="32" t="s">
        <v>1420</v>
      </c>
      <c r="G565" s="36" t="e">
        <v>#N/A</v>
      </c>
      <c r="H565" s="33"/>
      <c r="I565" s="33"/>
      <c r="J565" s="33"/>
      <c r="K565" s="33"/>
      <c r="L565" s="33"/>
      <c r="M565" s="33"/>
    </row>
    <row r="566">
      <c r="A566" s="32" t="s">
        <v>100</v>
      </c>
      <c r="B566" s="32" t="s">
        <v>1421</v>
      </c>
      <c r="C566" s="35">
        <v>27.1583004</v>
      </c>
      <c r="D566" s="35">
        <v>56.17250061</v>
      </c>
      <c r="E566" s="32" t="s">
        <v>1378</v>
      </c>
      <c r="F566" s="32" t="s">
        <v>1422</v>
      </c>
      <c r="G566" s="36" t="e">
        <v>#N/A</v>
      </c>
      <c r="H566" s="33"/>
      <c r="I566" s="33"/>
      <c r="J566" s="33"/>
      <c r="K566" s="33"/>
      <c r="L566" s="33"/>
      <c r="M566" s="33"/>
    </row>
    <row r="567">
      <c r="A567" s="32" t="s">
        <v>100</v>
      </c>
      <c r="B567" s="32" t="s">
        <v>1423</v>
      </c>
      <c r="C567" s="35">
        <v>26.75460052</v>
      </c>
      <c r="D567" s="35">
        <v>55.90240097</v>
      </c>
      <c r="E567" s="32" t="s">
        <v>1378</v>
      </c>
      <c r="F567" s="32" t="s">
        <v>1424</v>
      </c>
      <c r="G567" s="36" t="e">
        <v>#N/A</v>
      </c>
      <c r="H567" s="33"/>
      <c r="I567" s="33"/>
      <c r="J567" s="33"/>
      <c r="K567" s="33"/>
      <c r="L567" s="33"/>
      <c r="M567" s="33"/>
    </row>
    <row r="568">
      <c r="A568" s="32" t="s">
        <v>100</v>
      </c>
      <c r="B568" s="32" t="s">
        <v>1425</v>
      </c>
      <c r="C568" s="35">
        <v>29.55089951</v>
      </c>
      <c r="D568" s="35">
        <v>55.67269897</v>
      </c>
      <c r="E568" s="32" t="s">
        <v>1378</v>
      </c>
      <c r="F568" s="32" t="s">
        <v>1426</v>
      </c>
      <c r="G568" s="36" t="e">
        <v>#N/A</v>
      </c>
      <c r="H568" s="33"/>
      <c r="I568" s="33"/>
      <c r="J568" s="33"/>
      <c r="K568" s="33"/>
      <c r="L568" s="33"/>
      <c r="M568" s="33"/>
    </row>
    <row r="569">
      <c r="A569" s="32" t="s">
        <v>100</v>
      </c>
      <c r="B569" s="32" t="s">
        <v>1427</v>
      </c>
      <c r="C569" s="35">
        <v>36.50120163</v>
      </c>
      <c r="D569" s="35">
        <v>61.06489944</v>
      </c>
      <c r="E569" s="32" t="s">
        <v>1378</v>
      </c>
      <c r="F569" s="32" t="s">
        <v>1428</v>
      </c>
      <c r="G569" s="36" t="e">
        <v>#N/A</v>
      </c>
      <c r="H569" s="33"/>
      <c r="I569" s="33"/>
      <c r="J569" s="33"/>
      <c r="K569" s="33"/>
      <c r="L569" s="33"/>
      <c r="M569" s="33"/>
    </row>
    <row r="570">
      <c r="A570" s="32" t="s">
        <v>100</v>
      </c>
      <c r="B570" s="32" t="s">
        <v>1429</v>
      </c>
      <c r="C570" s="35">
        <v>36.4253006</v>
      </c>
      <c r="D570" s="35">
        <v>55.10419846</v>
      </c>
      <c r="E570" s="32" t="s">
        <v>1378</v>
      </c>
      <c r="F570" s="32" t="s">
        <v>1430</v>
      </c>
      <c r="G570" s="36" t="e">
        <v>#N/A</v>
      </c>
      <c r="H570" s="33"/>
      <c r="I570" s="33"/>
      <c r="J570" s="33"/>
      <c r="K570" s="33"/>
      <c r="L570" s="33"/>
      <c r="M570" s="33"/>
    </row>
    <row r="571">
      <c r="A571" s="32" t="s">
        <v>100</v>
      </c>
      <c r="B571" s="32" t="s">
        <v>1431</v>
      </c>
      <c r="C571" s="35">
        <v>33.6678009</v>
      </c>
      <c r="D571" s="35">
        <v>56.8927002</v>
      </c>
      <c r="E571" s="32" t="s">
        <v>1378</v>
      </c>
      <c r="F571" s="32" t="s">
        <v>1432</v>
      </c>
      <c r="G571" s="36" t="e">
        <v>#N/A</v>
      </c>
      <c r="H571" s="33"/>
      <c r="I571" s="33"/>
      <c r="J571" s="33"/>
      <c r="K571" s="33"/>
      <c r="L571" s="33"/>
      <c r="M571" s="33"/>
    </row>
    <row r="572">
      <c r="A572" s="32" t="s">
        <v>100</v>
      </c>
      <c r="B572" s="32" t="s">
        <v>1433</v>
      </c>
      <c r="C572" s="35">
        <v>37.38330078</v>
      </c>
      <c r="D572" s="35">
        <v>55.45199966</v>
      </c>
      <c r="E572" s="32" t="s">
        <v>1378</v>
      </c>
      <c r="F572" s="32" t="s">
        <v>1434</v>
      </c>
      <c r="G572" s="36" t="e">
        <v>#N/A</v>
      </c>
      <c r="H572" s="33"/>
      <c r="I572" s="33"/>
      <c r="J572" s="33"/>
      <c r="K572" s="33"/>
      <c r="L572" s="33"/>
      <c r="M572" s="33"/>
    </row>
    <row r="573">
      <c r="A573" s="32" t="s">
        <v>100</v>
      </c>
      <c r="B573" s="32" t="s">
        <v>1435</v>
      </c>
      <c r="C573" s="35">
        <v>28.89179993</v>
      </c>
      <c r="D573" s="35">
        <v>53.72330093</v>
      </c>
      <c r="E573" s="32" t="s">
        <v>1378</v>
      </c>
      <c r="F573" s="32" t="s">
        <v>1436</v>
      </c>
      <c r="G573" s="36" t="e">
        <v>#N/A</v>
      </c>
      <c r="H573" s="33"/>
      <c r="I573" s="33"/>
      <c r="J573" s="33"/>
      <c r="K573" s="33"/>
      <c r="L573" s="33"/>
      <c r="M573" s="33"/>
    </row>
    <row r="574">
      <c r="A574" s="32" t="s">
        <v>100</v>
      </c>
      <c r="B574" s="32" t="s">
        <v>1437</v>
      </c>
      <c r="C574" s="35">
        <v>28.58670044</v>
      </c>
      <c r="D574" s="35">
        <v>53.57910156</v>
      </c>
      <c r="E574" s="32" t="s">
        <v>1378</v>
      </c>
      <c r="F574" s="32" t="s">
        <v>1438</v>
      </c>
      <c r="G574" s="36" t="e">
        <v>#N/A</v>
      </c>
      <c r="H574" s="33"/>
      <c r="I574" s="33"/>
      <c r="J574" s="33"/>
      <c r="K574" s="33"/>
      <c r="L574" s="33"/>
      <c r="M574" s="33"/>
    </row>
    <row r="575">
      <c r="A575" s="32" t="s">
        <v>100</v>
      </c>
      <c r="B575" s="32" t="s">
        <v>1439</v>
      </c>
      <c r="C575" s="35">
        <v>27.37269974</v>
      </c>
      <c r="D575" s="35">
        <v>53.18880081</v>
      </c>
      <c r="E575" s="32" t="s">
        <v>1378</v>
      </c>
      <c r="F575" s="32" t="s">
        <v>1440</v>
      </c>
      <c r="G575" s="36" t="e">
        <v>#N/A</v>
      </c>
      <c r="H575" s="33"/>
      <c r="I575" s="33"/>
      <c r="J575" s="33"/>
      <c r="K575" s="33"/>
      <c r="L575" s="33"/>
      <c r="M575" s="33"/>
    </row>
    <row r="576">
      <c r="A576" s="32" t="s">
        <v>100</v>
      </c>
      <c r="B576" s="32" t="s">
        <v>1441</v>
      </c>
      <c r="C576" s="35">
        <v>38.42750168</v>
      </c>
      <c r="D576" s="35">
        <v>44.97359848</v>
      </c>
      <c r="E576" s="32" t="s">
        <v>1378</v>
      </c>
      <c r="F576" s="32" t="s">
        <v>1442</v>
      </c>
      <c r="G576" s="36" t="e">
        <v>#N/A</v>
      </c>
      <c r="H576" s="33"/>
      <c r="I576" s="33"/>
      <c r="J576" s="33"/>
      <c r="K576" s="33"/>
      <c r="L576" s="33"/>
      <c r="M576" s="33"/>
    </row>
    <row r="577">
      <c r="A577" s="32" t="s">
        <v>100</v>
      </c>
      <c r="B577" s="32" t="s">
        <v>1443</v>
      </c>
      <c r="C577" s="35">
        <v>36.77370071</v>
      </c>
      <c r="D577" s="35">
        <v>48.3594017</v>
      </c>
      <c r="E577" s="32" t="s">
        <v>1378</v>
      </c>
      <c r="F577" s="32" t="s">
        <v>1444</v>
      </c>
      <c r="G577" s="36" t="e">
        <v>#N/A</v>
      </c>
      <c r="H577" s="33"/>
      <c r="I577" s="33"/>
      <c r="J577" s="33"/>
      <c r="K577" s="33"/>
      <c r="L577" s="33"/>
      <c r="M577" s="33"/>
    </row>
    <row r="578">
      <c r="A578" s="32" t="s">
        <v>100</v>
      </c>
      <c r="B578" s="32" t="s">
        <v>1445</v>
      </c>
      <c r="C578" s="35">
        <v>27.23609924</v>
      </c>
      <c r="D578" s="35">
        <v>60.72000122</v>
      </c>
      <c r="E578" s="32" t="s">
        <v>1378</v>
      </c>
      <c r="F578" s="32" t="s">
        <v>1446</v>
      </c>
      <c r="G578" s="36" t="e">
        <v>#N/A</v>
      </c>
      <c r="H578" s="33"/>
      <c r="I578" s="33"/>
      <c r="J578" s="33"/>
      <c r="K578" s="33"/>
      <c r="L578" s="33"/>
      <c r="M578" s="33"/>
    </row>
    <row r="579">
      <c r="A579" s="32" t="s">
        <v>100</v>
      </c>
      <c r="B579" s="32" t="s">
        <v>1447</v>
      </c>
      <c r="C579" s="35">
        <v>27.41930008</v>
      </c>
      <c r="D579" s="35">
        <v>62.31579971</v>
      </c>
      <c r="E579" s="32" t="s">
        <v>1378</v>
      </c>
      <c r="F579" s="32" t="s">
        <v>1448</v>
      </c>
      <c r="G579" s="36" t="e">
        <v>#N/A</v>
      </c>
      <c r="H579" s="33"/>
      <c r="I579" s="33"/>
      <c r="J579" s="33"/>
      <c r="K579" s="33"/>
      <c r="L579" s="33"/>
      <c r="M579" s="33"/>
    </row>
    <row r="580">
      <c r="A580" s="32" t="s">
        <v>100</v>
      </c>
      <c r="B580" s="32" t="s">
        <v>1449</v>
      </c>
      <c r="C580" s="35">
        <v>32.160702</v>
      </c>
      <c r="D580" s="35">
        <v>37.149399</v>
      </c>
      <c r="E580" s="32" t="s">
        <v>253</v>
      </c>
      <c r="F580" s="32" t="s">
        <v>1450</v>
      </c>
      <c r="G580" s="36" t="e">
        <v>#N/A</v>
      </c>
      <c r="H580" s="33"/>
      <c r="I580" s="33"/>
      <c r="J580" s="33"/>
      <c r="K580" s="33"/>
      <c r="L580" s="33"/>
      <c r="M580" s="33"/>
    </row>
    <row r="581">
      <c r="A581" s="32" t="s">
        <v>100</v>
      </c>
      <c r="B581" s="32" t="s">
        <v>1451</v>
      </c>
      <c r="C581" s="35">
        <v>31.86470032</v>
      </c>
      <c r="D581" s="35">
        <v>35.21920013</v>
      </c>
      <c r="E581" s="32" t="s">
        <v>1452</v>
      </c>
      <c r="F581" s="32" t="s">
        <v>1453</v>
      </c>
      <c r="G581" s="36" t="e">
        <v>#N/A</v>
      </c>
      <c r="H581" s="33"/>
      <c r="I581" s="33"/>
      <c r="J581" s="33"/>
      <c r="K581" s="33"/>
      <c r="L581" s="33"/>
      <c r="M581" s="33"/>
    </row>
    <row r="582">
      <c r="A582" s="32" t="s">
        <v>100</v>
      </c>
      <c r="B582" s="32" t="s">
        <v>1454</v>
      </c>
      <c r="C582" s="35">
        <v>34.58929825</v>
      </c>
      <c r="D582" s="35">
        <v>36.01129913</v>
      </c>
      <c r="E582" s="32" t="s">
        <v>1455</v>
      </c>
      <c r="F582" s="32" t="s">
        <v>1456</v>
      </c>
      <c r="G582" s="36" t="e">
        <v>#N/A</v>
      </c>
      <c r="H582" s="33"/>
      <c r="I582" s="33"/>
      <c r="J582" s="33"/>
      <c r="K582" s="33"/>
      <c r="L582" s="33"/>
      <c r="M582" s="33"/>
    </row>
    <row r="583">
      <c r="A583" s="32" t="s">
        <v>100</v>
      </c>
      <c r="B583" s="32" t="s">
        <v>1457</v>
      </c>
      <c r="C583" s="35">
        <v>24.0739994</v>
      </c>
      <c r="D583" s="35">
        <v>52.46360016</v>
      </c>
      <c r="E583" s="32" t="s">
        <v>139</v>
      </c>
      <c r="F583" s="32" t="s">
        <v>1458</v>
      </c>
      <c r="G583" s="39" t="s">
        <v>140</v>
      </c>
      <c r="H583" s="33"/>
      <c r="I583" s="33"/>
      <c r="J583" s="33"/>
      <c r="K583" s="33"/>
      <c r="L583" s="33"/>
      <c r="M583" s="33"/>
    </row>
    <row r="584">
      <c r="A584" s="32" t="s">
        <v>100</v>
      </c>
      <c r="B584" s="32" t="s">
        <v>1459</v>
      </c>
      <c r="C584" s="35">
        <v>24.18740082</v>
      </c>
      <c r="D584" s="35">
        <v>52.61399841</v>
      </c>
      <c r="E584" s="32" t="s">
        <v>139</v>
      </c>
      <c r="F584" s="32" t="s">
        <v>1460</v>
      </c>
      <c r="G584" s="39" t="s">
        <v>140</v>
      </c>
      <c r="H584" s="33"/>
      <c r="I584" s="33"/>
      <c r="J584" s="33"/>
      <c r="K584" s="33"/>
      <c r="L584" s="33"/>
      <c r="M584" s="33"/>
    </row>
    <row r="585">
      <c r="A585" s="32" t="s">
        <v>100</v>
      </c>
      <c r="B585" s="32" t="s">
        <v>1461</v>
      </c>
      <c r="C585" s="35">
        <v>24.24819946</v>
      </c>
      <c r="D585" s="35">
        <v>54.54769897</v>
      </c>
      <c r="E585" s="32" t="s">
        <v>139</v>
      </c>
      <c r="F585" s="32" t="s">
        <v>1462</v>
      </c>
      <c r="G585" s="39" t="s">
        <v>140</v>
      </c>
      <c r="H585" s="33"/>
      <c r="I585" s="33"/>
      <c r="J585" s="33"/>
      <c r="K585" s="33"/>
      <c r="L585" s="33"/>
      <c r="M585" s="33"/>
    </row>
    <row r="586">
      <c r="A586" s="32" t="s">
        <v>100</v>
      </c>
      <c r="B586" s="32" t="s">
        <v>1463</v>
      </c>
      <c r="C586" s="35">
        <v>24.78050041</v>
      </c>
      <c r="D586" s="35">
        <v>52.55989838</v>
      </c>
      <c r="E586" s="32" t="s">
        <v>139</v>
      </c>
      <c r="F586" s="32" t="s">
        <v>1464</v>
      </c>
      <c r="G586" s="39" t="s">
        <v>140</v>
      </c>
      <c r="H586" s="33"/>
      <c r="I586" s="33"/>
      <c r="J586" s="33"/>
      <c r="K586" s="33"/>
      <c r="L586" s="33"/>
      <c r="M586" s="33"/>
    </row>
    <row r="587">
      <c r="A587" s="32" t="s">
        <v>100</v>
      </c>
      <c r="B587" s="32" t="s">
        <v>1465</v>
      </c>
      <c r="C587" s="35">
        <v>25.14620018</v>
      </c>
      <c r="D587" s="35">
        <v>52.87369919</v>
      </c>
      <c r="E587" s="32" t="s">
        <v>139</v>
      </c>
      <c r="F587" s="32" t="s">
        <v>1466</v>
      </c>
      <c r="G587" s="39" t="s">
        <v>140</v>
      </c>
      <c r="H587" s="33"/>
      <c r="I587" s="33"/>
      <c r="J587" s="33"/>
      <c r="K587" s="33"/>
      <c r="L587" s="33"/>
      <c r="M587" s="33"/>
    </row>
    <row r="588">
      <c r="A588" s="32" t="s">
        <v>100</v>
      </c>
      <c r="B588" s="32" t="s">
        <v>1467</v>
      </c>
      <c r="C588" s="35">
        <v>24.86249161</v>
      </c>
      <c r="D588" s="35">
        <v>53.07714081</v>
      </c>
      <c r="E588" s="32" t="s">
        <v>139</v>
      </c>
      <c r="F588" s="32" t="s">
        <v>1468</v>
      </c>
      <c r="G588" s="39" t="s">
        <v>140</v>
      </c>
      <c r="H588" s="33"/>
      <c r="I588" s="33"/>
      <c r="J588" s="33"/>
      <c r="K588" s="33"/>
      <c r="L588" s="33"/>
      <c r="M588" s="33"/>
    </row>
    <row r="589">
      <c r="A589" s="32" t="s">
        <v>100</v>
      </c>
      <c r="B589" s="32" t="s">
        <v>1469</v>
      </c>
      <c r="C589" s="35">
        <v>32.05609894</v>
      </c>
      <c r="D589" s="35">
        <v>72.9484024</v>
      </c>
      <c r="E589" s="32" t="s">
        <v>1470</v>
      </c>
      <c r="F589" s="32" t="s">
        <v>1471</v>
      </c>
      <c r="G589" s="36" t="e">
        <v>#N/A</v>
      </c>
      <c r="H589" s="33"/>
      <c r="I589" s="33"/>
      <c r="J589" s="33"/>
      <c r="K589" s="33"/>
      <c r="L589" s="33"/>
      <c r="M589" s="33"/>
    </row>
    <row r="590">
      <c r="A590" s="32" t="s">
        <v>100</v>
      </c>
      <c r="B590" s="32" t="s">
        <v>1472</v>
      </c>
      <c r="C590" s="35">
        <v>28.28420067</v>
      </c>
      <c r="D590" s="35">
        <v>68.4496994</v>
      </c>
      <c r="E590" s="32" t="s">
        <v>1470</v>
      </c>
      <c r="F590" s="32" t="s">
        <v>1473</v>
      </c>
      <c r="G590" s="36" t="e">
        <v>#N/A</v>
      </c>
      <c r="H590" s="33"/>
      <c r="I590" s="33"/>
      <c r="J590" s="33"/>
      <c r="K590" s="33"/>
      <c r="L590" s="33"/>
      <c r="M590" s="33"/>
    </row>
    <row r="591">
      <c r="A591" s="32" t="s">
        <v>100</v>
      </c>
      <c r="B591" s="32" t="s">
        <v>1474</v>
      </c>
      <c r="C591" s="35">
        <v>31.49480057</v>
      </c>
      <c r="D591" s="35">
        <v>74.34619904</v>
      </c>
      <c r="E591" s="32" t="s">
        <v>1470</v>
      </c>
      <c r="F591" s="32" t="s">
        <v>1475</v>
      </c>
      <c r="G591" s="36" t="e">
        <v>#N/A</v>
      </c>
      <c r="H591" s="33"/>
      <c r="I591" s="33"/>
      <c r="J591" s="33"/>
      <c r="K591" s="33"/>
      <c r="L591" s="33"/>
      <c r="M591" s="33"/>
    </row>
    <row r="592">
      <c r="A592" s="32" t="s">
        <v>100</v>
      </c>
      <c r="B592" s="32" t="s">
        <v>1476</v>
      </c>
      <c r="C592" s="35">
        <v>33.05009842</v>
      </c>
      <c r="D592" s="35">
        <v>73.63839722</v>
      </c>
      <c r="E592" s="32" t="s">
        <v>1470</v>
      </c>
      <c r="F592" s="32" t="s">
        <v>1477</v>
      </c>
      <c r="G592" s="36" t="e">
        <v>#N/A</v>
      </c>
      <c r="H592" s="33"/>
      <c r="I592" s="33"/>
      <c r="J592" s="33"/>
      <c r="K592" s="33"/>
      <c r="L592" s="33"/>
      <c r="M592" s="33"/>
    </row>
    <row r="593">
      <c r="A593" s="32" t="s">
        <v>100</v>
      </c>
      <c r="B593" s="32" t="s">
        <v>1478</v>
      </c>
      <c r="C593" s="35">
        <v>32.56309891</v>
      </c>
      <c r="D593" s="35">
        <v>71.5707016</v>
      </c>
      <c r="E593" s="32" t="s">
        <v>1470</v>
      </c>
      <c r="F593" s="32" t="s">
        <v>1479</v>
      </c>
      <c r="G593" s="36" t="e">
        <v>#N/A</v>
      </c>
      <c r="H593" s="33"/>
      <c r="I593" s="33"/>
      <c r="J593" s="33"/>
      <c r="K593" s="33"/>
      <c r="L593" s="33"/>
      <c r="M593" s="33"/>
    </row>
    <row r="594">
      <c r="A594" s="32" t="s">
        <v>100</v>
      </c>
      <c r="B594" s="32" t="s">
        <v>1480</v>
      </c>
      <c r="C594" s="35">
        <v>24.89360046</v>
      </c>
      <c r="D594" s="35">
        <v>66.938797</v>
      </c>
      <c r="E594" s="32" t="s">
        <v>1470</v>
      </c>
      <c r="F594" s="32" t="s">
        <v>1481</v>
      </c>
      <c r="G594" s="36" t="e">
        <v>#N/A</v>
      </c>
      <c r="H594" s="33"/>
      <c r="I594" s="33"/>
      <c r="J594" s="33"/>
      <c r="K594" s="33"/>
      <c r="L594" s="33"/>
      <c r="M594" s="33"/>
    </row>
    <row r="595">
      <c r="A595" s="32" t="s">
        <v>100</v>
      </c>
      <c r="B595" s="32" t="s">
        <v>1482</v>
      </c>
      <c r="C595" s="35">
        <v>30.74099922</v>
      </c>
      <c r="D595" s="35">
        <v>73.35769653</v>
      </c>
      <c r="E595" s="32" t="s">
        <v>1470</v>
      </c>
      <c r="F595" s="32" t="s">
        <v>1483</v>
      </c>
      <c r="G595" s="36" t="e">
        <v>#N/A</v>
      </c>
      <c r="H595" s="33"/>
      <c r="I595" s="33"/>
      <c r="J595" s="33"/>
      <c r="K595" s="33"/>
      <c r="L595" s="33"/>
      <c r="M595" s="33"/>
    </row>
    <row r="596">
      <c r="A596" s="32" t="s">
        <v>100</v>
      </c>
      <c r="B596" s="32" t="s">
        <v>1484</v>
      </c>
      <c r="C596" s="35">
        <v>33.56019974</v>
      </c>
      <c r="D596" s="35">
        <v>73.03320313</v>
      </c>
      <c r="E596" s="32" t="s">
        <v>1470</v>
      </c>
      <c r="F596" s="32" t="s">
        <v>1485</v>
      </c>
      <c r="G596" s="36" t="e">
        <v>#N/A</v>
      </c>
      <c r="H596" s="33"/>
      <c r="I596" s="33"/>
      <c r="J596" s="33"/>
      <c r="K596" s="33"/>
      <c r="L596" s="33"/>
      <c r="M596" s="33"/>
    </row>
    <row r="597">
      <c r="A597" s="32" t="s">
        <v>100</v>
      </c>
      <c r="B597" s="32" t="s">
        <v>1486</v>
      </c>
      <c r="C597" s="35">
        <v>34.08110046</v>
      </c>
      <c r="D597" s="35">
        <v>71.97260284</v>
      </c>
      <c r="E597" s="32" t="s">
        <v>1470</v>
      </c>
      <c r="F597" s="32" t="s">
        <v>1487</v>
      </c>
      <c r="G597" s="36" t="e">
        <v>#N/A</v>
      </c>
      <c r="H597" s="33"/>
      <c r="I597" s="33"/>
      <c r="J597" s="33"/>
      <c r="K597" s="33"/>
      <c r="L597" s="33"/>
      <c r="M597" s="33"/>
    </row>
    <row r="598">
      <c r="A598" s="32" t="s">
        <v>100</v>
      </c>
      <c r="B598" s="32" t="s">
        <v>1488</v>
      </c>
      <c r="C598" s="35">
        <v>32.30469894</v>
      </c>
      <c r="D598" s="35">
        <v>69.57039642</v>
      </c>
      <c r="E598" s="32" t="s">
        <v>1470</v>
      </c>
      <c r="F598" s="32" t="s">
        <v>1489</v>
      </c>
      <c r="G598" s="36" t="e">
        <v>#N/A</v>
      </c>
      <c r="H598" s="33"/>
      <c r="I598" s="33"/>
      <c r="J598" s="33"/>
      <c r="K598" s="33"/>
      <c r="L598" s="33"/>
      <c r="M598" s="33"/>
    </row>
    <row r="599">
      <c r="A599" s="32" t="s">
        <v>1490</v>
      </c>
      <c r="B599" s="32" t="s">
        <v>1491</v>
      </c>
      <c r="C599" s="35">
        <v>25.26110077</v>
      </c>
      <c r="D599" s="35">
        <v>51.56510162</v>
      </c>
      <c r="E599" s="32" t="s">
        <v>145</v>
      </c>
      <c r="F599" s="32" t="s">
        <v>1492</v>
      </c>
      <c r="G599" s="39" t="s">
        <v>146</v>
      </c>
      <c r="H599" s="33"/>
      <c r="I599" s="33"/>
      <c r="J599" s="33"/>
      <c r="K599" s="33"/>
      <c r="L599" s="33"/>
      <c r="M599" s="33"/>
    </row>
    <row r="600">
      <c r="A600" s="32" t="s">
        <v>100</v>
      </c>
      <c r="B600" s="32" t="s">
        <v>1493</v>
      </c>
      <c r="C600" s="35">
        <v>9.396889687</v>
      </c>
      <c r="D600" s="35">
        <v>167.470993</v>
      </c>
      <c r="E600" s="32" t="s">
        <v>1494</v>
      </c>
      <c r="F600" s="32" t="s">
        <v>1495</v>
      </c>
      <c r="G600" s="36" t="e">
        <v>#N/A</v>
      </c>
      <c r="H600" s="33"/>
      <c r="I600" s="33"/>
      <c r="J600" s="33"/>
      <c r="K600" s="33"/>
      <c r="L600" s="33"/>
      <c r="M600" s="33"/>
    </row>
    <row r="601">
      <c r="A601" s="32" t="s">
        <v>100</v>
      </c>
      <c r="B601" s="32" t="s">
        <v>1496</v>
      </c>
      <c r="C601" s="35">
        <v>22.67239952</v>
      </c>
      <c r="D601" s="35">
        <v>120.461998</v>
      </c>
      <c r="E601" s="32" t="s">
        <v>1497</v>
      </c>
      <c r="F601" s="32" t="s">
        <v>1498</v>
      </c>
      <c r="G601" s="36" t="e">
        <v>#N/A</v>
      </c>
      <c r="H601" s="33"/>
      <c r="I601" s="33"/>
      <c r="J601" s="33"/>
      <c r="K601" s="33"/>
      <c r="L601" s="33"/>
      <c r="M601" s="33"/>
    </row>
    <row r="602">
      <c r="A602" s="32" t="s">
        <v>100</v>
      </c>
      <c r="B602" s="32" t="s">
        <v>1499</v>
      </c>
      <c r="C602" s="35">
        <v>24.85510063</v>
      </c>
      <c r="D602" s="35">
        <v>121.237999</v>
      </c>
      <c r="E602" s="32" t="s">
        <v>1497</v>
      </c>
      <c r="F602" s="32" t="s">
        <v>1500</v>
      </c>
      <c r="G602" s="36" t="e">
        <v>#N/A</v>
      </c>
      <c r="H602" s="33"/>
      <c r="I602" s="33"/>
      <c r="J602" s="33"/>
      <c r="K602" s="33"/>
      <c r="L602" s="33"/>
      <c r="M602" s="33"/>
    </row>
    <row r="603">
      <c r="A603" s="32" t="s">
        <v>100</v>
      </c>
      <c r="B603" s="32" t="s">
        <v>1501</v>
      </c>
      <c r="C603" s="35">
        <v>24.81800079</v>
      </c>
      <c r="D603" s="35">
        <v>120.939003</v>
      </c>
      <c r="E603" s="32" t="s">
        <v>1497</v>
      </c>
      <c r="F603" s="32" t="s">
        <v>1502</v>
      </c>
      <c r="G603" s="36" t="e">
        <v>#N/A</v>
      </c>
      <c r="H603" s="33"/>
      <c r="I603" s="33"/>
      <c r="J603" s="33"/>
      <c r="K603" s="33"/>
      <c r="L603" s="33"/>
      <c r="M603" s="33"/>
    </row>
    <row r="604">
      <c r="A604" s="32" t="s">
        <v>100</v>
      </c>
      <c r="B604" s="32" t="s">
        <v>1503</v>
      </c>
      <c r="C604" s="35">
        <v>22.79310036</v>
      </c>
      <c r="D604" s="35">
        <v>121.1819992</v>
      </c>
      <c r="E604" s="32" t="s">
        <v>1497</v>
      </c>
      <c r="F604" s="32" t="s">
        <v>1504</v>
      </c>
      <c r="G604" s="36" t="e">
        <v>#N/A</v>
      </c>
      <c r="H604" s="33"/>
      <c r="I604" s="33"/>
      <c r="J604" s="33"/>
      <c r="K604" s="33"/>
      <c r="L604" s="33"/>
      <c r="M604" s="33"/>
    </row>
    <row r="605">
      <c r="A605" s="32" t="s">
        <v>100</v>
      </c>
      <c r="B605" s="32" t="s">
        <v>1505</v>
      </c>
      <c r="C605" s="35">
        <v>24.28969955</v>
      </c>
      <c r="D605" s="35">
        <v>153.9790039</v>
      </c>
      <c r="E605" s="32" t="s">
        <v>170</v>
      </c>
      <c r="F605" s="32" t="s">
        <v>1506</v>
      </c>
      <c r="G605" s="39" t="s">
        <v>171</v>
      </c>
      <c r="H605" s="33"/>
      <c r="I605" s="33"/>
      <c r="J605" s="33"/>
      <c r="K605" s="33"/>
      <c r="L605" s="33"/>
      <c r="M605" s="33"/>
    </row>
    <row r="606">
      <c r="A606" s="32" t="s">
        <v>100</v>
      </c>
      <c r="B606" s="32" t="s">
        <v>1507</v>
      </c>
      <c r="C606" s="35">
        <v>34.59080124</v>
      </c>
      <c r="D606" s="35">
        <v>133.9329987</v>
      </c>
      <c r="E606" s="32" t="s">
        <v>170</v>
      </c>
      <c r="F606" s="32" t="s">
        <v>1508</v>
      </c>
      <c r="G606" s="39" t="s">
        <v>171</v>
      </c>
      <c r="H606" s="33"/>
      <c r="I606" s="33"/>
      <c r="J606" s="33"/>
      <c r="K606" s="33"/>
      <c r="L606" s="33"/>
      <c r="M606" s="33"/>
    </row>
    <row r="607">
      <c r="A607" s="32" t="s">
        <v>100</v>
      </c>
      <c r="B607" s="32" t="s">
        <v>1509</v>
      </c>
      <c r="C607" s="35">
        <v>42.89049911</v>
      </c>
      <c r="D607" s="35">
        <v>143.1580048</v>
      </c>
      <c r="E607" s="32" t="s">
        <v>170</v>
      </c>
      <c r="F607" s="32" t="s">
        <v>1510</v>
      </c>
      <c r="G607" s="39" t="s">
        <v>171</v>
      </c>
      <c r="H607" s="33"/>
      <c r="I607" s="33"/>
      <c r="J607" s="33"/>
      <c r="K607" s="33"/>
      <c r="L607" s="33"/>
      <c r="M607" s="33"/>
    </row>
    <row r="608">
      <c r="A608" s="32" t="s">
        <v>100</v>
      </c>
      <c r="B608" s="32" t="s">
        <v>1511</v>
      </c>
      <c r="C608" s="35">
        <v>33.8830986</v>
      </c>
      <c r="D608" s="35">
        <v>130.6529999</v>
      </c>
      <c r="E608" s="32" t="s">
        <v>170</v>
      </c>
      <c r="F608" s="32" t="s">
        <v>1512</v>
      </c>
      <c r="G608" s="39" t="s">
        <v>171</v>
      </c>
      <c r="H608" s="33"/>
      <c r="I608" s="33"/>
      <c r="J608" s="33"/>
      <c r="K608" s="33"/>
      <c r="L608" s="33"/>
      <c r="M608" s="33"/>
    </row>
    <row r="609">
      <c r="A609" s="32" t="s">
        <v>100</v>
      </c>
      <c r="B609" s="32" t="s">
        <v>1513</v>
      </c>
      <c r="C609" s="35">
        <v>32.08359909</v>
      </c>
      <c r="D609" s="35">
        <v>131.451004</v>
      </c>
      <c r="E609" s="32" t="s">
        <v>170</v>
      </c>
      <c r="F609" s="32" t="s">
        <v>1514</v>
      </c>
      <c r="G609" s="39" t="s">
        <v>171</v>
      </c>
      <c r="H609" s="33"/>
      <c r="I609" s="33"/>
      <c r="J609" s="33"/>
      <c r="K609" s="33"/>
      <c r="L609" s="33"/>
      <c r="M609" s="33"/>
    </row>
    <row r="610">
      <c r="A610" s="32" t="s">
        <v>100</v>
      </c>
      <c r="B610" s="32" t="s">
        <v>1515</v>
      </c>
      <c r="C610" s="35">
        <v>31.36759949</v>
      </c>
      <c r="D610" s="35">
        <v>130.8450012</v>
      </c>
      <c r="E610" s="32" t="s">
        <v>170</v>
      </c>
      <c r="F610" s="32" t="s">
        <v>1516</v>
      </c>
      <c r="G610" s="39" t="s">
        <v>171</v>
      </c>
      <c r="H610" s="33"/>
      <c r="I610" s="33"/>
      <c r="J610" s="33"/>
      <c r="K610" s="33"/>
      <c r="L610" s="33"/>
      <c r="M610" s="33"/>
    </row>
    <row r="611">
      <c r="A611" s="32" t="s">
        <v>100</v>
      </c>
      <c r="B611" s="32" t="s">
        <v>1517</v>
      </c>
      <c r="C611" s="35">
        <v>33.68500137</v>
      </c>
      <c r="D611" s="35">
        <v>131.0399933</v>
      </c>
      <c r="E611" s="32" t="s">
        <v>170</v>
      </c>
      <c r="F611" s="32" t="s">
        <v>1518</v>
      </c>
      <c r="G611" s="39" t="s">
        <v>171</v>
      </c>
      <c r="H611" s="33"/>
      <c r="I611" s="33"/>
      <c r="J611" s="33"/>
      <c r="K611" s="33"/>
      <c r="L611" s="33"/>
      <c r="M611" s="33"/>
    </row>
    <row r="612">
      <c r="A612" s="32" t="s">
        <v>100</v>
      </c>
      <c r="B612" s="32" t="s">
        <v>1519</v>
      </c>
      <c r="C612" s="35">
        <v>27.42550087</v>
      </c>
      <c r="D612" s="35">
        <v>128.701004</v>
      </c>
      <c r="E612" s="32" t="s">
        <v>170</v>
      </c>
      <c r="F612" s="32" t="s">
        <v>1520</v>
      </c>
      <c r="G612" s="39" t="s">
        <v>171</v>
      </c>
      <c r="H612" s="33"/>
      <c r="I612" s="33"/>
      <c r="J612" s="33"/>
      <c r="K612" s="33"/>
      <c r="L612" s="33"/>
      <c r="M612" s="33"/>
    </row>
    <row r="613">
      <c r="A613" s="32" t="s">
        <v>100</v>
      </c>
      <c r="B613" s="32" t="s">
        <v>1521</v>
      </c>
      <c r="C613" s="35">
        <v>36.14279938</v>
      </c>
      <c r="D613" s="35">
        <v>136.223999</v>
      </c>
      <c r="E613" s="32" t="s">
        <v>170</v>
      </c>
      <c r="F613" s="32" t="s">
        <v>1522</v>
      </c>
      <c r="G613" s="39" t="s">
        <v>171</v>
      </c>
      <c r="H613" s="33"/>
      <c r="I613" s="33"/>
      <c r="J613" s="33"/>
      <c r="K613" s="33"/>
      <c r="L613" s="33"/>
      <c r="M613" s="33"/>
    </row>
    <row r="614">
      <c r="A614" s="32" t="s">
        <v>100</v>
      </c>
      <c r="B614" s="32" t="s">
        <v>1523</v>
      </c>
      <c r="C614" s="35">
        <v>35.39410019</v>
      </c>
      <c r="D614" s="35">
        <v>136.8699951</v>
      </c>
      <c r="E614" s="32" t="s">
        <v>170</v>
      </c>
      <c r="F614" s="32" t="s">
        <v>1524</v>
      </c>
      <c r="G614" s="39" t="s">
        <v>171</v>
      </c>
      <c r="H614" s="33"/>
      <c r="I614" s="33"/>
      <c r="J614" s="33"/>
      <c r="K614" s="33"/>
      <c r="L614" s="33"/>
      <c r="M614" s="33"/>
    </row>
    <row r="615">
      <c r="A615" s="32" t="s">
        <v>100</v>
      </c>
      <c r="B615" s="32" t="s">
        <v>1525</v>
      </c>
      <c r="C615" s="35">
        <v>34.75019836</v>
      </c>
      <c r="D615" s="35">
        <v>137.7030029</v>
      </c>
      <c r="E615" s="32" t="s">
        <v>170</v>
      </c>
      <c r="F615" s="32" t="s">
        <v>1526</v>
      </c>
      <c r="G615" s="39" t="s">
        <v>171</v>
      </c>
      <c r="H615" s="33"/>
      <c r="I615" s="33"/>
      <c r="J615" s="33"/>
      <c r="K615" s="33"/>
      <c r="L615" s="33"/>
      <c r="M615" s="33"/>
    </row>
    <row r="616">
      <c r="A616" s="32" t="s">
        <v>100</v>
      </c>
      <c r="B616" s="32" t="s">
        <v>1527</v>
      </c>
      <c r="C616" s="35">
        <v>34.81280136</v>
      </c>
      <c r="D616" s="35">
        <v>138.2980042</v>
      </c>
      <c r="E616" s="32" t="s">
        <v>170</v>
      </c>
      <c r="F616" s="32" t="s">
        <v>1528</v>
      </c>
      <c r="G616" s="39" t="s">
        <v>171</v>
      </c>
      <c r="H616" s="33"/>
      <c r="I616" s="33"/>
      <c r="J616" s="33"/>
      <c r="K616" s="33"/>
      <c r="L616" s="33"/>
      <c r="M616" s="33"/>
    </row>
    <row r="617">
      <c r="A617" s="32" t="s">
        <v>100</v>
      </c>
      <c r="B617" s="32" t="s">
        <v>1529</v>
      </c>
      <c r="C617" s="35">
        <v>34.03469849</v>
      </c>
      <c r="D617" s="35">
        <v>131.548996</v>
      </c>
      <c r="E617" s="32" t="s">
        <v>170</v>
      </c>
      <c r="F617" s="32" t="s">
        <v>1530</v>
      </c>
      <c r="G617" s="39" t="s">
        <v>171</v>
      </c>
      <c r="H617" s="33"/>
      <c r="I617" s="33"/>
      <c r="J617" s="33"/>
      <c r="K617" s="33"/>
      <c r="L617" s="33"/>
      <c r="M617" s="33"/>
    </row>
    <row r="618">
      <c r="A618" s="32" t="s">
        <v>100</v>
      </c>
      <c r="B618" s="32" t="s">
        <v>1531</v>
      </c>
      <c r="C618" s="35">
        <v>34.59629822</v>
      </c>
      <c r="D618" s="35">
        <v>135.6029968</v>
      </c>
      <c r="E618" s="32" t="s">
        <v>170</v>
      </c>
      <c r="F618" s="32" t="s">
        <v>1532</v>
      </c>
      <c r="G618" s="39" t="s">
        <v>171</v>
      </c>
      <c r="H618" s="33"/>
      <c r="I618" s="33"/>
      <c r="J618" s="33"/>
      <c r="K618" s="33"/>
      <c r="L618" s="33"/>
      <c r="M618" s="33"/>
    </row>
    <row r="619">
      <c r="A619" s="32" t="s">
        <v>100</v>
      </c>
      <c r="B619" s="32" t="s">
        <v>1533</v>
      </c>
      <c r="C619" s="35">
        <v>34.04529953</v>
      </c>
      <c r="D619" s="35">
        <v>131.052002</v>
      </c>
      <c r="E619" s="32" t="s">
        <v>170</v>
      </c>
      <c r="F619" s="32" t="s">
        <v>1534</v>
      </c>
      <c r="G619" s="39" t="s">
        <v>171</v>
      </c>
      <c r="H619" s="33"/>
      <c r="I619" s="33"/>
      <c r="J619" s="33"/>
      <c r="K619" s="33"/>
      <c r="L619" s="33"/>
      <c r="M619" s="33"/>
    </row>
    <row r="620">
      <c r="A620" s="32" t="s">
        <v>100</v>
      </c>
      <c r="B620" s="32" t="s">
        <v>1535</v>
      </c>
      <c r="C620" s="35">
        <v>40.5564003</v>
      </c>
      <c r="D620" s="35">
        <v>141.4660034</v>
      </c>
      <c r="E620" s="32" t="s">
        <v>170</v>
      </c>
      <c r="F620" s="32" t="s">
        <v>1536</v>
      </c>
      <c r="G620" s="39" t="s">
        <v>171</v>
      </c>
      <c r="H620" s="33"/>
      <c r="I620" s="33"/>
      <c r="J620" s="33"/>
      <c r="K620" s="33"/>
      <c r="L620" s="33"/>
      <c r="M620" s="33"/>
    </row>
    <row r="621">
      <c r="A621" s="32" t="s">
        <v>100</v>
      </c>
      <c r="B621" s="32" t="s">
        <v>1537</v>
      </c>
      <c r="C621" s="35">
        <v>38.4048996</v>
      </c>
      <c r="D621" s="35">
        <v>141.2200012</v>
      </c>
      <c r="E621" s="32" t="s">
        <v>170</v>
      </c>
      <c r="F621" s="32" t="s">
        <v>1538</v>
      </c>
      <c r="G621" s="39" t="s">
        <v>171</v>
      </c>
      <c r="H621" s="33"/>
      <c r="I621" s="33"/>
      <c r="J621" s="33"/>
      <c r="K621" s="33"/>
      <c r="L621" s="33"/>
      <c r="M621" s="33"/>
    </row>
    <row r="622">
      <c r="A622" s="32" t="s">
        <v>100</v>
      </c>
      <c r="B622" s="32" t="s">
        <v>1539</v>
      </c>
      <c r="C622" s="35">
        <v>35.45460129</v>
      </c>
      <c r="D622" s="35">
        <v>139.4499969</v>
      </c>
      <c r="E622" s="32" t="s">
        <v>170</v>
      </c>
      <c r="F622" s="32" t="s">
        <v>1540</v>
      </c>
      <c r="G622" s="39" t="s">
        <v>171</v>
      </c>
      <c r="H622" s="33"/>
      <c r="I622" s="33"/>
      <c r="J622" s="33"/>
      <c r="K622" s="33"/>
      <c r="L622" s="33"/>
      <c r="M622" s="33"/>
    </row>
    <row r="623">
      <c r="A623" s="32" t="s">
        <v>100</v>
      </c>
      <c r="B623" s="32" t="s">
        <v>1541</v>
      </c>
      <c r="C623" s="35">
        <v>34.987099</v>
      </c>
      <c r="D623" s="35">
        <v>139.828995</v>
      </c>
      <c r="E623" s="32" t="s">
        <v>170</v>
      </c>
      <c r="F623" s="32" t="s">
        <v>1542</v>
      </c>
      <c r="G623" s="39" t="s">
        <v>171</v>
      </c>
      <c r="H623" s="33"/>
      <c r="I623" s="33"/>
      <c r="J623" s="33"/>
      <c r="K623" s="33"/>
      <c r="L623" s="33"/>
      <c r="M623" s="33"/>
    </row>
    <row r="624">
      <c r="A624" s="32" t="s">
        <v>100</v>
      </c>
      <c r="B624" s="32" t="s">
        <v>1543</v>
      </c>
      <c r="C624" s="35">
        <v>35.84189987</v>
      </c>
      <c r="D624" s="35">
        <v>139.4109955</v>
      </c>
      <c r="E624" s="32" t="s">
        <v>170</v>
      </c>
      <c r="F624" s="32" t="s">
        <v>1544</v>
      </c>
      <c r="G624" s="39" t="s">
        <v>171</v>
      </c>
      <c r="H624" s="33"/>
      <c r="I624" s="33"/>
      <c r="J624" s="33"/>
      <c r="K624" s="33"/>
      <c r="L624" s="33"/>
      <c r="M624" s="33"/>
    </row>
    <row r="625">
      <c r="A625" s="32" t="s">
        <v>100</v>
      </c>
      <c r="B625" s="32" t="s">
        <v>1545</v>
      </c>
      <c r="C625" s="35">
        <v>35.39830017</v>
      </c>
      <c r="D625" s="35">
        <v>139.9100037</v>
      </c>
      <c r="E625" s="32" t="s">
        <v>170</v>
      </c>
      <c r="F625" s="32" t="s">
        <v>1546</v>
      </c>
      <c r="G625" s="39" t="s">
        <v>171</v>
      </c>
      <c r="H625" s="33"/>
      <c r="I625" s="33"/>
      <c r="J625" s="33"/>
      <c r="K625" s="33"/>
      <c r="L625" s="33"/>
      <c r="M625" s="33"/>
    </row>
    <row r="626">
      <c r="A626" s="32" t="s">
        <v>100</v>
      </c>
      <c r="B626" s="32" t="s">
        <v>1547</v>
      </c>
      <c r="C626" s="35">
        <v>35.7989006</v>
      </c>
      <c r="D626" s="35">
        <v>140.0110016</v>
      </c>
      <c r="E626" s="32" t="s">
        <v>170</v>
      </c>
      <c r="F626" s="32" t="s">
        <v>1548</v>
      </c>
      <c r="G626" s="39" t="s">
        <v>171</v>
      </c>
      <c r="H626" s="33"/>
      <c r="I626" s="33"/>
      <c r="J626" s="33"/>
      <c r="K626" s="33"/>
      <c r="L626" s="33"/>
      <c r="M626" s="33"/>
    </row>
    <row r="627">
      <c r="A627" s="32" t="s">
        <v>100</v>
      </c>
      <c r="B627" s="32" t="s">
        <v>1549</v>
      </c>
      <c r="C627" s="35">
        <v>35.51380157</v>
      </c>
      <c r="D627" s="35">
        <v>139.3939972</v>
      </c>
      <c r="E627" s="32" t="s">
        <v>170</v>
      </c>
      <c r="F627" s="32" t="s">
        <v>1550</v>
      </c>
      <c r="G627" s="39" t="s">
        <v>171</v>
      </c>
      <c r="H627" s="33"/>
      <c r="I627" s="33"/>
      <c r="J627" s="33"/>
      <c r="K627" s="33"/>
      <c r="L627" s="33"/>
      <c r="M627" s="33"/>
    </row>
    <row r="628">
      <c r="A628" s="32" t="s">
        <v>100</v>
      </c>
      <c r="B628" s="32" t="s">
        <v>1551</v>
      </c>
      <c r="C628" s="35">
        <v>35.14120102</v>
      </c>
      <c r="D628" s="35">
        <v>128.6959991</v>
      </c>
      <c r="E628" s="32" t="s">
        <v>151</v>
      </c>
      <c r="F628" s="32" t="s">
        <v>1552</v>
      </c>
      <c r="G628" s="39" t="s">
        <v>152</v>
      </c>
      <c r="H628" s="33"/>
      <c r="I628" s="33"/>
      <c r="J628" s="33"/>
      <c r="K628" s="33"/>
      <c r="L628" s="33"/>
      <c r="M628" s="33"/>
    </row>
    <row r="629">
      <c r="A629" s="32" t="s">
        <v>100</v>
      </c>
      <c r="B629" s="32" t="s">
        <v>1553</v>
      </c>
      <c r="C629" s="35">
        <v>36.96220016</v>
      </c>
      <c r="D629" s="35">
        <v>127.0309982</v>
      </c>
      <c r="E629" s="32" t="s">
        <v>151</v>
      </c>
      <c r="F629" s="32" t="s">
        <v>1554</v>
      </c>
      <c r="G629" s="39" t="s">
        <v>152</v>
      </c>
      <c r="H629" s="33"/>
      <c r="I629" s="33"/>
      <c r="J629" s="33"/>
      <c r="K629" s="33"/>
      <c r="L629" s="33"/>
      <c r="M629" s="33"/>
    </row>
    <row r="630">
      <c r="A630" s="32" t="s">
        <v>100</v>
      </c>
      <c r="B630" s="32" t="s">
        <v>1555</v>
      </c>
      <c r="C630" s="35">
        <v>26.7257576</v>
      </c>
      <c r="D630" s="35">
        <v>127.7649002</v>
      </c>
      <c r="E630" s="32" t="s">
        <v>170</v>
      </c>
      <c r="F630" s="32" t="s">
        <v>1556</v>
      </c>
      <c r="G630" s="39" t="s">
        <v>171</v>
      </c>
      <c r="H630" s="33"/>
      <c r="I630" s="33"/>
      <c r="J630" s="33"/>
      <c r="K630" s="33"/>
      <c r="L630" s="33"/>
      <c r="M630" s="33"/>
    </row>
    <row r="631">
      <c r="A631" s="32" t="s">
        <v>100</v>
      </c>
      <c r="B631" s="32" t="s">
        <v>1557</v>
      </c>
      <c r="C631" s="35">
        <v>24.65390015</v>
      </c>
      <c r="D631" s="35">
        <v>124.6750031</v>
      </c>
      <c r="E631" s="32" t="s">
        <v>170</v>
      </c>
      <c r="F631" s="32" t="s">
        <v>1558</v>
      </c>
      <c r="G631" s="39" t="s">
        <v>171</v>
      </c>
      <c r="H631" s="33"/>
      <c r="I631" s="33"/>
      <c r="J631" s="33"/>
      <c r="K631" s="33"/>
      <c r="L631" s="33"/>
      <c r="M631" s="33"/>
    </row>
    <row r="632">
      <c r="A632" s="32" t="s">
        <v>100</v>
      </c>
      <c r="B632" s="32" t="s">
        <v>1559</v>
      </c>
      <c r="C632" s="35">
        <v>14.12919998</v>
      </c>
      <c r="D632" s="35">
        <v>122.9800034</v>
      </c>
      <c r="E632" s="32" t="s">
        <v>270</v>
      </c>
      <c r="F632" s="32" t="s">
        <v>1560</v>
      </c>
      <c r="G632" s="36" t="e">
        <v>#N/A</v>
      </c>
      <c r="H632" s="33"/>
      <c r="I632" s="33"/>
      <c r="J632" s="33"/>
      <c r="K632" s="33"/>
      <c r="L632" s="33"/>
      <c r="M632" s="33"/>
    </row>
    <row r="633">
      <c r="A633" s="32" t="s">
        <v>100</v>
      </c>
      <c r="B633" s="32" t="s">
        <v>1561</v>
      </c>
      <c r="C633" s="35">
        <v>14.98649979</v>
      </c>
      <c r="D633" s="35">
        <v>120.4929962</v>
      </c>
      <c r="E633" s="32" t="s">
        <v>270</v>
      </c>
      <c r="F633" s="32" t="s">
        <v>1562</v>
      </c>
      <c r="G633" s="36" t="e">
        <v>#N/A</v>
      </c>
      <c r="H633" s="33"/>
      <c r="I633" s="33"/>
      <c r="J633" s="33"/>
      <c r="K633" s="33"/>
      <c r="L633" s="33"/>
      <c r="M633" s="33"/>
    </row>
    <row r="634">
      <c r="A634" s="32" t="s">
        <v>100</v>
      </c>
      <c r="B634" s="32" t="s">
        <v>1563</v>
      </c>
      <c r="C634" s="35">
        <v>16.03479958</v>
      </c>
      <c r="D634" s="35">
        <v>120.2409973</v>
      </c>
      <c r="E634" s="32" t="s">
        <v>270</v>
      </c>
      <c r="F634" s="32" t="s">
        <v>1564</v>
      </c>
      <c r="G634" s="36" t="e">
        <v>#N/A</v>
      </c>
      <c r="H634" s="33"/>
      <c r="I634" s="33"/>
      <c r="J634" s="33"/>
      <c r="K634" s="33"/>
      <c r="L634" s="33"/>
      <c r="M634" s="33"/>
    </row>
    <row r="635">
      <c r="A635" s="32" t="s">
        <v>100</v>
      </c>
      <c r="B635" s="32" t="s">
        <v>1565</v>
      </c>
      <c r="C635" s="35">
        <v>13.95499992</v>
      </c>
      <c r="D635" s="35">
        <v>121.125</v>
      </c>
      <c r="E635" s="32" t="s">
        <v>270</v>
      </c>
      <c r="F635" s="32" t="s">
        <v>1566</v>
      </c>
      <c r="G635" s="36" t="e">
        <v>#N/A</v>
      </c>
      <c r="H635" s="33"/>
      <c r="I635" s="33"/>
      <c r="J635" s="33"/>
      <c r="K635" s="33"/>
      <c r="L635" s="33"/>
      <c r="M635" s="33"/>
    </row>
    <row r="636">
      <c r="A636" s="32" t="s">
        <v>100</v>
      </c>
      <c r="B636" s="32" t="s">
        <v>1567</v>
      </c>
      <c r="C636" s="35">
        <v>13.20810032</v>
      </c>
      <c r="D636" s="35">
        <v>120.6050034</v>
      </c>
      <c r="E636" s="32" t="s">
        <v>270</v>
      </c>
      <c r="F636" s="32" t="s">
        <v>1568</v>
      </c>
      <c r="G636" s="36" t="e">
        <v>#N/A</v>
      </c>
      <c r="H636" s="33"/>
      <c r="I636" s="33"/>
      <c r="J636" s="33"/>
      <c r="K636" s="33"/>
      <c r="L636" s="33"/>
      <c r="M636" s="33"/>
    </row>
    <row r="637">
      <c r="A637" s="32" t="s">
        <v>100</v>
      </c>
      <c r="B637" s="32" t="s">
        <v>1569</v>
      </c>
      <c r="C637" s="35">
        <v>17.55529976</v>
      </c>
      <c r="D637" s="35">
        <v>120.3560028</v>
      </c>
      <c r="E637" s="32" t="s">
        <v>270</v>
      </c>
      <c r="F637" s="32" t="s">
        <v>1570</v>
      </c>
      <c r="G637" s="36" t="e">
        <v>#N/A</v>
      </c>
      <c r="H637" s="33"/>
      <c r="I637" s="33"/>
      <c r="J637" s="33"/>
      <c r="K637" s="33"/>
      <c r="L637" s="33"/>
      <c r="M637" s="33"/>
    </row>
    <row r="638">
      <c r="A638" s="32" t="s">
        <v>100</v>
      </c>
      <c r="B638" s="32" t="s">
        <v>1571</v>
      </c>
      <c r="C638" s="35">
        <v>15.72980022</v>
      </c>
      <c r="D638" s="35">
        <v>121.5</v>
      </c>
      <c r="E638" s="32" t="s">
        <v>270</v>
      </c>
      <c r="F638" s="32" t="s">
        <v>1572</v>
      </c>
      <c r="G638" s="36" t="e">
        <v>#N/A</v>
      </c>
      <c r="H638" s="33"/>
      <c r="I638" s="33"/>
      <c r="J638" s="33"/>
      <c r="K638" s="33"/>
      <c r="L638" s="33"/>
      <c r="M638" s="33"/>
    </row>
    <row r="639">
      <c r="A639" s="32" t="s">
        <v>100</v>
      </c>
      <c r="B639" s="32" t="s">
        <v>1573</v>
      </c>
      <c r="C639" s="35">
        <v>16.61919975</v>
      </c>
      <c r="D639" s="35">
        <v>121.2519989</v>
      </c>
      <c r="E639" s="32" t="s">
        <v>270</v>
      </c>
      <c r="F639" s="32" t="s">
        <v>1574</v>
      </c>
      <c r="G639" s="36" t="e">
        <v>#N/A</v>
      </c>
      <c r="H639" s="33"/>
      <c r="I639" s="33"/>
      <c r="J639" s="33"/>
      <c r="K639" s="33"/>
      <c r="L639" s="33"/>
      <c r="M639" s="33"/>
    </row>
    <row r="640">
      <c r="A640" s="32" t="s">
        <v>100</v>
      </c>
      <c r="B640" s="32" t="s">
        <v>1575</v>
      </c>
      <c r="C640" s="35">
        <v>11.03549957</v>
      </c>
      <c r="D640" s="35">
        <v>125.7419968</v>
      </c>
      <c r="E640" s="32" t="s">
        <v>270</v>
      </c>
      <c r="F640" s="32" t="s">
        <v>1576</v>
      </c>
      <c r="G640" s="36" t="e">
        <v>#N/A</v>
      </c>
      <c r="H640" s="33"/>
      <c r="I640" s="33"/>
      <c r="J640" s="33"/>
      <c r="K640" s="33"/>
      <c r="L640" s="33"/>
      <c r="M640" s="33"/>
    </row>
    <row r="641">
      <c r="A641" s="32" t="s">
        <v>100</v>
      </c>
      <c r="B641" s="32" t="s">
        <v>1577</v>
      </c>
      <c r="C641" s="35">
        <v>10.76599979</v>
      </c>
      <c r="D641" s="35">
        <v>121.9329987</v>
      </c>
      <c r="E641" s="32" t="s">
        <v>270</v>
      </c>
      <c r="F641" s="32" t="s">
        <v>1243</v>
      </c>
      <c r="G641" s="36" t="e">
        <v>#N/A</v>
      </c>
      <c r="H641" s="33"/>
      <c r="I641" s="33"/>
      <c r="J641" s="33"/>
      <c r="K641" s="33"/>
      <c r="L641" s="33"/>
      <c r="M641" s="33"/>
    </row>
    <row r="642">
      <c r="A642" s="32" t="s">
        <v>100</v>
      </c>
      <c r="B642" s="32" t="s">
        <v>1578</v>
      </c>
      <c r="C642" s="35">
        <v>-34.5459</v>
      </c>
      <c r="D642" s="35">
        <v>-60.9306</v>
      </c>
      <c r="E642" s="32" t="s">
        <v>296</v>
      </c>
      <c r="F642" s="32" t="s">
        <v>1579</v>
      </c>
      <c r="G642" s="36" t="e">
        <v>#N/A</v>
      </c>
      <c r="H642" s="33"/>
      <c r="I642" s="33"/>
      <c r="J642" s="33"/>
      <c r="K642" s="33"/>
      <c r="L642" s="33"/>
      <c r="M642" s="33"/>
    </row>
    <row r="643">
      <c r="A643" s="32" t="s">
        <v>100</v>
      </c>
      <c r="B643" s="32" t="s">
        <v>1580</v>
      </c>
      <c r="C643" s="35">
        <v>-30.34530067</v>
      </c>
      <c r="D643" s="35">
        <v>-66.29360198</v>
      </c>
      <c r="E643" s="32" t="s">
        <v>296</v>
      </c>
      <c r="F643" s="32" t="s">
        <v>1581</v>
      </c>
      <c r="G643" s="36" t="e">
        <v>#N/A</v>
      </c>
      <c r="H643" s="33"/>
      <c r="I643" s="33"/>
      <c r="J643" s="33"/>
      <c r="K643" s="33"/>
      <c r="L643" s="33"/>
      <c r="M643" s="33"/>
    </row>
    <row r="644">
      <c r="A644" s="32" t="s">
        <v>100</v>
      </c>
      <c r="B644" s="32" t="s">
        <v>1582</v>
      </c>
      <c r="C644" s="35">
        <v>-34.4532</v>
      </c>
      <c r="D644" s="35">
        <v>-58.5896</v>
      </c>
      <c r="E644" s="32" t="s">
        <v>296</v>
      </c>
      <c r="F644" s="32" t="s">
        <v>1583</v>
      </c>
      <c r="G644" s="36" t="e">
        <v>#N/A</v>
      </c>
      <c r="H644" s="33"/>
      <c r="I644" s="33"/>
      <c r="J644" s="33"/>
      <c r="K644" s="33"/>
      <c r="L644" s="33"/>
      <c r="M644" s="33"/>
    </row>
    <row r="645">
      <c r="A645" s="32" t="s">
        <v>100</v>
      </c>
      <c r="B645" s="32" t="s">
        <v>1584</v>
      </c>
      <c r="C645" s="35">
        <v>-34.5606</v>
      </c>
      <c r="D645" s="35">
        <v>-58.7896</v>
      </c>
      <c r="E645" s="32" t="s">
        <v>296</v>
      </c>
      <c r="F645" s="32" t="s">
        <v>1585</v>
      </c>
      <c r="G645" s="36" t="e">
        <v>#N/A</v>
      </c>
      <c r="H645" s="33"/>
      <c r="I645" s="33"/>
      <c r="J645" s="33"/>
      <c r="K645" s="33"/>
      <c r="L645" s="33"/>
      <c r="M645" s="33"/>
    </row>
    <row r="646">
      <c r="A646" s="32" t="s">
        <v>100</v>
      </c>
      <c r="B646" s="32" t="s">
        <v>1586</v>
      </c>
      <c r="C646" s="35">
        <v>-34.6763</v>
      </c>
      <c r="D646" s="35">
        <v>-58.6428</v>
      </c>
      <c r="E646" s="32" t="s">
        <v>296</v>
      </c>
      <c r="F646" s="32" t="s">
        <v>1587</v>
      </c>
      <c r="G646" s="36" t="e">
        <v>#N/A</v>
      </c>
      <c r="H646" s="33"/>
      <c r="I646" s="33"/>
      <c r="J646" s="33"/>
      <c r="K646" s="33"/>
      <c r="L646" s="33"/>
      <c r="M646" s="33"/>
    </row>
    <row r="647">
      <c r="A647" s="32" t="s">
        <v>100</v>
      </c>
      <c r="B647" s="32" t="s">
        <v>1588</v>
      </c>
      <c r="C647" s="35">
        <v>-34.6099</v>
      </c>
      <c r="D647" s="35">
        <v>-58.6126</v>
      </c>
      <c r="E647" s="32" t="s">
        <v>296</v>
      </c>
      <c r="F647" s="32" t="s">
        <v>1589</v>
      </c>
      <c r="G647" s="36" t="e">
        <v>#N/A</v>
      </c>
      <c r="H647" s="33"/>
      <c r="I647" s="33"/>
      <c r="J647" s="33"/>
      <c r="K647" s="33"/>
      <c r="L647" s="33"/>
      <c r="M647" s="33"/>
    </row>
    <row r="648">
      <c r="A648" s="32" t="s">
        <v>100</v>
      </c>
      <c r="B648" s="32" t="s">
        <v>1590</v>
      </c>
      <c r="C648" s="35">
        <v>-37.44469833</v>
      </c>
      <c r="D648" s="35">
        <v>-70.22250366</v>
      </c>
      <c r="E648" s="32" t="s">
        <v>296</v>
      </c>
      <c r="F648" s="32" t="s">
        <v>1591</v>
      </c>
      <c r="G648" s="36" t="e">
        <v>#N/A</v>
      </c>
      <c r="H648" s="33"/>
      <c r="I648" s="33"/>
      <c r="J648" s="33"/>
      <c r="K648" s="33"/>
      <c r="L648" s="33"/>
      <c r="M648" s="33"/>
    </row>
    <row r="649">
      <c r="A649" s="32" t="s">
        <v>100</v>
      </c>
      <c r="B649" s="32" t="s">
        <v>1592</v>
      </c>
      <c r="C649" s="35">
        <v>-39.0007019</v>
      </c>
      <c r="D649" s="35">
        <v>-67.62049866</v>
      </c>
      <c r="E649" s="32" t="s">
        <v>296</v>
      </c>
      <c r="F649" s="32" t="s">
        <v>1593</v>
      </c>
      <c r="G649" s="36" t="e">
        <v>#N/A</v>
      </c>
      <c r="H649" s="33"/>
      <c r="I649" s="33"/>
      <c r="J649" s="33"/>
      <c r="K649" s="33"/>
      <c r="L649" s="33"/>
      <c r="M649" s="33"/>
    </row>
    <row r="650">
      <c r="A650" s="32" t="s">
        <v>100</v>
      </c>
      <c r="B650" s="32" t="s">
        <v>1594</v>
      </c>
      <c r="C650" s="35">
        <v>-28.03779984</v>
      </c>
      <c r="D650" s="35">
        <v>-67.58029938</v>
      </c>
      <c r="E650" s="32" t="s">
        <v>296</v>
      </c>
      <c r="F650" s="32" t="s">
        <v>1595</v>
      </c>
      <c r="G650" s="36" t="e">
        <v>#N/A</v>
      </c>
      <c r="H650" s="33"/>
      <c r="I650" s="33"/>
      <c r="J650" s="33"/>
      <c r="K650" s="33"/>
      <c r="L650" s="33"/>
      <c r="M650" s="33"/>
    </row>
    <row r="651">
      <c r="A651" s="32" t="s">
        <v>100</v>
      </c>
      <c r="B651" s="32" t="s">
        <v>1596</v>
      </c>
      <c r="C651" s="35">
        <v>-29.22389984</v>
      </c>
      <c r="D651" s="35">
        <v>-67.43890381</v>
      </c>
      <c r="E651" s="32" t="s">
        <v>296</v>
      </c>
      <c r="F651" s="32" t="s">
        <v>1597</v>
      </c>
      <c r="G651" s="36" t="e">
        <v>#N/A</v>
      </c>
      <c r="H651" s="33"/>
      <c r="I651" s="33"/>
      <c r="J651" s="33"/>
      <c r="K651" s="33"/>
      <c r="L651" s="33"/>
      <c r="M651" s="33"/>
    </row>
    <row r="652">
      <c r="A652" s="32" t="s">
        <v>100</v>
      </c>
      <c r="B652" s="32" t="s">
        <v>1598</v>
      </c>
      <c r="C652" s="35">
        <v>-22.15060043</v>
      </c>
      <c r="D652" s="35">
        <v>-65.57749939</v>
      </c>
      <c r="E652" s="32" t="s">
        <v>296</v>
      </c>
      <c r="F652" s="32" t="s">
        <v>1599</v>
      </c>
      <c r="G652" s="36" t="e">
        <v>#N/A</v>
      </c>
      <c r="H652" s="33"/>
      <c r="I652" s="33"/>
      <c r="J652" s="33"/>
      <c r="K652" s="33"/>
      <c r="L652" s="33"/>
      <c r="M652" s="33"/>
    </row>
    <row r="653">
      <c r="A653" s="32" t="s">
        <v>100</v>
      </c>
      <c r="B653" s="32" t="s">
        <v>1600</v>
      </c>
      <c r="C653" s="35">
        <v>-32.6836</v>
      </c>
      <c r="D653" s="35">
        <v>-62.1578</v>
      </c>
      <c r="E653" s="32" t="s">
        <v>296</v>
      </c>
      <c r="F653" s="32" t="s">
        <v>1601</v>
      </c>
      <c r="G653" s="36" t="e">
        <v>#N/A</v>
      </c>
      <c r="H653" s="33"/>
      <c r="I653" s="33"/>
      <c r="J653" s="33"/>
      <c r="K653" s="33"/>
      <c r="L653" s="33"/>
      <c r="M653" s="33"/>
    </row>
    <row r="654">
      <c r="A654" s="32" t="s">
        <v>100</v>
      </c>
      <c r="B654" s="32" t="s">
        <v>1602</v>
      </c>
      <c r="C654" s="35">
        <v>-33.72990036</v>
      </c>
      <c r="D654" s="35">
        <v>-65.38739777</v>
      </c>
      <c r="E654" s="32" t="s">
        <v>296</v>
      </c>
      <c r="F654" s="32" t="s">
        <v>1603</v>
      </c>
      <c r="G654" s="36" t="e">
        <v>#N/A</v>
      </c>
      <c r="H654" s="33"/>
      <c r="I654" s="33"/>
      <c r="J654" s="33"/>
      <c r="K654" s="33"/>
      <c r="L654" s="33"/>
      <c r="M654" s="33"/>
    </row>
    <row r="655">
      <c r="A655" s="32" t="s">
        <v>100</v>
      </c>
      <c r="B655" s="32" t="s">
        <v>1604</v>
      </c>
      <c r="C655" s="35">
        <v>-30.2719</v>
      </c>
      <c r="D655" s="35">
        <v>-57.6402</v>
      </c>
      <c r="E655" s="32" t="s">
        <v>296</v>
      </c>
      <c r="F655" s="32" t="s">
        <v>1605</v>
      </c>
      <c r="G655" s="36" t="e">
        <v>#N/A</v>
      </c>
      <c r="H655" s="33"/>
      <c r="I655" s="33"/>
      <c r="J655" s="33"/>
      <c r="K655" s="33"/>
      <c r="L655" s="33"/>
      <c r="M655" s="33"/>
    </row>
    <row r="656">
      <c r="A656" s="32" t="s">
        <v>100</v>
      </c>
      <c r="B656" s="32" t="s">
        <v>1606</v>
      </c>
      <c r="C656" s="35">
        <v>-34.13539886</v>
      </c>
      <c r="D656" s="35">
        <v>-63.36230087</v>
      </c>
      <c r="E656" s="32" t="s">
        <v>296</v>
      </c>
      <c r="F656" s="32" t="s">
        <v>1607</v>
      </c>
      <c r="G656" s="36" t="e">
        <v>#N/A</v>
      </c>
      <c r="H656" s="33"/>
      <c r="I656" s="33"/>
      <c r="J656" s="33"/>
      <c r="K656" s="33"/>
      <c r="L656" s="33"/>
      <c r="M656" s="33"/>
    </row>
    <row r="657">
      <c r="A657" s="32" t="s">
        <v>100</v>
      </c>
      <c r="B657" s="32" t="s">
        <v>1608</v>
      </c>
      <c r="C657" s="35">
        <v>-26.39749908</v>
      </c>
      <c r="D657" s="35">
        <v>-54.5746994</v>
      </c>
      <c r="E657" s="32" t="s">
        <v>296</v>
      </c>
      <c r="F657" s="32" t="s">
        <v>1609</v>
      </c>
      <c r="G657" s="36" t="e">
        <v>#N/A</v>
      </c>
      <c r="H657" s="33"/>
      <c r="I657" s="33"/>
      <c r="J657" s="33"/>
      <c r="K657" s="33"/>
      <c r="L657" s="33"/>
      <c r="M657" s="33"/>
    </row>
    <row r="658">
      <c r="A658" s="32" t="s">
        <v>100</v>
      </c>
      <c r="B658" s="32" t="s">
        <v>1610</v>
      </c>
      <c r="C658" s="35">
        <v>-29.1058</v>
      </c>
      <c r="D658" s="35">
        <v>-59.2189</v>
      </c>
      <c r="E658" s="32" t="s">
        <v>296</v>
      </c>
      <c r="F658" s="32" t="s">
        <v>1611</v>
      </c>
      <c r="G658" s="36" t="e">
        <v>#N/A</v>
      </c>
      <c r="H658" s="33"/>
      <c r="I658" s="33"/>
      <c r="J658" s="33"/>
      <c r="K658" s="33"/>
      <c r="L658" s="33"/>
      <c r="M658" s="33"/>
    </row>
    <row r="659">
      <c r="A659" s="32" t="s">
        <v>100</v>
      </c>
      <c r="B659" s="32" t="s">
        <v>1612</v>
      </c>
      <c r="C659" s="35">
        <v>-27.51819992</v>
      </c>
      <c r="D659" s="35">
        <v>-55.12419891</v>
      </c>
      <c r="E659" s="32" t="s">
        <v>296</v>
      </c>
      <c r="F659" s="32" t="s">
        <v>1613</v>
      </c>
      <c r="G659" s="36" t="e">
        <v>#N/A</v>
      </c>
      <c r="H659" s="33"/>
      <c r="I659" s="33"/>
      <c r="J659" s="33"/>
      <c r="K659" s="33"/>
      <c r="L659" s="33"/>
      <c r="M659" s="33"/>
    </row>
    <row r="660">
      <c r="A660" s="32" t="s">
        <v>100</v>
      </c>
      <c r="B660" s="32" t="s">
        <v>1614</v>
      </c>
      <c r="C660" s="35">
        <v>-29.2103</v>
      </c>
      <c r="D660" s="35">
        <v>-59.68</v>
      </c>
      <c r="E660" s="32" t="s">
        <v>296</v>
      </c>
      <c r="F660" s="32" t="s">
        <v>1615</v>
      </c>
      <c r="G660" s="36" t="e">
        <v>#N/A</v>
      </c>
      <c r="H660" s="33"/>
      <c r="I660" s="33"/>
      <c r="J660" s="33"/>
      <c r="K660" s="33"/>
      <c r="L660" s="33"/>
      <c r="M660" s="33"/>
    </row>
    <row r="661">
      <c r="A661" s="32" t="s">
        <v>100</v>
      </c>
      <c r="B661" s="32" t="s">
        <v>1616</v>
      </c>
      <c r="C661" s="35">
        <v>-29.7706</v>
      </c>
      <c r="D661" s="35">
        <v>-57.9789</v>
      </c>
      <c r="E661" s="32" t="s">
        <v>296</v>
      </c>
      <c r="F661" s="32" t="s">
        <v>1617</v>
      </c>
      <c r="G661" s="36" t="e">
        <v>#N/A</v>
      </c>
      <c r="H661" s="33"/>
      <c r="I661" s="33"/>
      <c r="J661" s="33"/>
      <c r="K661" s="33"/>
      <c r="L661" s="33"/>
      <c r="M661" s="33"/>
    </row>
    <row r="662">
      <c r="A662" s="32" t="s">
        <v>100</v>
      </c>
      <c r="B662" s="32" t="s">
        <v>1618</v>
      </c>
      <c r="C662" s="35">
        <v>-64.23829651</v>
      </c>
      <c r="D662" s="35">
        <v>-56.63079834</v>
      </c>
      <c r="E662" s="32" t="s">
        <v>1337</v>
      </c>
      <c r="F662" s="32" t="s">
        <v>1618</v>
      </c>
      <c r="G662" s="36" t="e">
        <v>#N/A</v>
      </c>
      <c r="H662" s="33"/>
      <c r="I662" s="33"/>
      <c r="J662" s="33"/>
      <c r="K662" s="33"/>
      <c r="L662" s="33"/>
      <c r="M662" s="33"/>
    </row>
    <row r="663">
      <c r="A663" s="32" t="s">
        <v>100</v>
      </c>
      <c r="B663" s="32" t="s">
        <v>1619</v>
      </c>
      <c r="C663" s="35">
        <v>-37.446098</v>
      </c>
      <c r="D663" s="35">
        <v>-61.889301</v>
      </c>
      <c r="E663" s="32" t="s">
        <v>296</v>
      </c>
      <c r="F663" s="32" t="s">
        <v>1620</v>
      </c>
      <c r="G663" s="36" t="e">
        <v>#N/A</v>
      </c>
      <c r="H663" s="33"/>
      <c r="I663" s="33"/>
      <c r="J663" s="33"/>
      <c r="K663" s="33"/>
      <c r="L663" s="33"/>
      <c r="M663" s="33"/>
    </row>
    <row r="664">
      <c r="A664" s="32" t="s">
        <v>100</v>
      </c>
      <c r="B664" s="32" t="s">
        <v>1621</v>
      </c>
      <c r="C664" s="35">
        <v>-36.88999939</v>
      </c>
      <c r="D664" s="35">
        <v>-60.21659851</v>
      </c>
      <c r="E664" s="32" t="s">
        <v>296</v>
      </c>
      <c r="F664" s="32" t="s">
        <v>1622</v>
      </c>
      <c r="G664" s="36" t="e">
        <v>#N/A</v>
      </c>
      <c r="H664" s="33"/>
      <c r="I664" s="33"/>
      <c r="J664" s="33"/>
      <c r="K664" s="33"/>
      <c r="L664" s="33"/>
      <c r="M664" s="33"/>
    </row>
    <row r="665">
      <c r="A665" s="32" t="s">
        <v>100</v>
      </c>
      <c r="B665" s="32" t="s">
        <v>1623</v>
      </c>
      <c r="C665" s="35">
        <v>-35.69620132</v>
      </c>
      <c r="D665" s="35">
        <v>-63.75830078</v>
      </c>
      <c r="E665" s="32" t="s">
        <v>296</v>
      </c>
      <c r="F665" s="32" t="s">
        <v>1624</v>
      </c>
      <c r="G665" s="36" t="e">
        <v>#N/A</v>
      </c>
      <c r="H665" s="33"/>
      <c r="I665" s="33"/>
      <c r="J665" s="33"/>
      <c r="K665" s="33"/>
      <c r="L665" s="33"/>
      <c r="M665" s="33"/>
    </row>
    <row r="666">
      <c r="A666" s="32" t="s">
        <v>100</v>
      </c>
      <c r="B666" s="32" t="s">
        <v>1625</v>
      </c>
      <c r="C666" s="35">
        <v>-38.3869</v>
      </c>
      <c r="D666" s="35">
        <v>-60.3297</v>
      </c>
      <c r="E666" s="32" t="s">
        <v>296</v>
      </c>
      <c r="F666" s="32" t="s">
        <v>1626</v>
      </c>
      <c r="G666" s="36" t="e">
        <v>#N/A</v>
      </c>
      <c r="H666" s="33"/>
      <c r="I666" s="33"/>
      <c r="J666" s="33"/>
      <c r="K666" s="33"/>
      <c r="L666" s="33"/>
      <c r="M666" s="33"/>
    </row>
    <row r="667">
      <c r="A667" s="32" t="s">
        <v>100</v>
      </c>
      <c r="B667" s="32" t="s">
        <v>1627</v>
      </c>
      <c r="C667" s="35">
        <v>-36.1866</v>
      </c>
      <c r="D667" s="35">
        <v>-61.0764</v>
      </c>
      <c r="E667" s="32" t="s">
        <v>296</v>
      </c>
      <c r="F667" s="32" t="s">
        <v>1628</v>
      </c>
      <c r="G667" s="36" t="e">
        <v>#N/A</v>
      </c>
      <c r="H667" s="33"/>
      <c r="I667" s="33"/>
      <c r="J667" s="33"/>
      <c r="K667" s="33"/>
      <c r="L667" s="33"/>
      <c r="M667" s="33"/>
    </row>
    <row r="668">
      <c r="A668" s="32" t="s">
        <v>100</v>
      </c>
      <c r="B668" s="32" t="s">
        <v>1629</v>
      </c>
      <c r="C668" s="35">
        <v>-35.8446</v>
      </c>
      <c r="D668" s="35">
        <v>-61.8576</v>
      </c>
      <c r="E668" s="32" t="s">
        <v>296</v>
      </c>
      <c r="F668" s="32" t="s">
        <v>1630</v>
      </c>
      <c r="G668" s="36" t="e">
        <v>#N/A</v>
      </c>
      <c r="H668" s="33"/>
      <c r="I668" s="33"/>
      <c r="J668" s="33"/>
      <c r="K668" s="33"/>
      <c r="L668" s="33"/>
      <c r="M668" s="33"/>
    </row>
    <row r="669">
      <c r="A669" s="32" t="s">
        <v>100</v>
      </c>
      <c r="B669" s="32" t="s">
        <v>1631</v>
      </c>
      <c r="C669" s="35">
        <v>-38.93970108</v>
      </c>
      <c r="D669" s="35">
        <v>-69.26460266</v>
      </c>
      <c r="E669" s="32" t="s">
        <v>296</v>
      </c>
      <c r="F669" s="32" t="s">
        <v>1632</v>
      </c>
      <c r="G669" s="36" t="e">
        <v>#N/A</v>
      </c>
      <c r="H669" s="33"/>
      <c r="I669" s="33"/>
      <c r="J669" s="33"/>
      <c r="K669" s="33"/>
      <c r="L669" s="33"/>
      <c r="M669" s="33"/>
    </row>
    <row r="670">
      <c r="A670" s="32" t="s">
        <v>100</v>
      </c>
      <c r="B670" s="32" t="s">
        <v>1633</v>
      </c>
      <c r="C670" s="35">
        <v>-22.875099</v>
      </c>
      <c r="D670" s="35">
        <v>-43.384701</v>
      </c>
      <c r="E670" s="32" t="s">
        <v>288</v>
      </c>
      <c r="F670" s="32" t="s">
        <v>1634</v>
      </c>
      <c r="G670" s="36" t="e">
        <v>#N/A</v>
      </c>
      <c r="H670" s="33"/>
      <c r="I670" s="33"/>
      <c r="J670" s="33"/>
      <c r="K670" s="33"/>
      <c r="L670" s="33"/>
      <c r="M670" s="33"/>
    </row>
    <row r="671">
      <c r="A671" s="32" t="s">
        <v>100</v>
      </c>
      <c r="B671" s="32" t="s">
        <v>1635</v>
      </c>
      <c r="C671" s="35">
        <v>2.07751</v>
      </c>
      <c r="D671" s="35">
        <v>-50.8582</v>
      </c>
      <c r="E671" s="32" t="s">
        <v>288</v>
      </c>
      <c r="F671" s="32" t="s">
        <v>1636</v>
      </c>
      <c r="G671" s="36" t="e">
        <v>#N/A</v>
      </c>
      <c r="H671" s="33"/>
      <c r="I671" s="33"/>
      <c r="J671" s="33"/>
      <c r="K671" s="33"/>
      <c r="L671" s="33"/>
      <c r="M671" s="33"/>
    </row>
    <row r="672">
      <c r="A672" s="32" t="s">
        <v>100</v>
      </c>
      <c r="B672" s="32" t="s">
        <v>1637</v>
      </c>
      <c r="C672" s="35">
        <v>-21.26720047</v>
      </c>
      <c r="D672" s="35">
        <v>-43.76110077</v>
      </c>
      <c r="E672" s="32" t="s">
        <v>288</v>
      </c>
      <c r="F672" s="32" t="s">
        <v>1638</v>
      </c>
      <c r="G672" s="36" t="e">
        <v>#N/A</v>
      </c>
      <c r="H672" s="33"/>
      <c r="I672" s="33"/>
      <c r="J672" s="33"/>
      <c r="K672" s="33"/>
      <c r="L672" s="33"/>
      <c r="M672" s="33"/>
    </row>
    <row r="673">
      <c r="A673" s="32" t="s">
        <v>100</v>
      </c>
      <c r="B673" s="32" t="s">
        <v>1639</v>
      </c>
      <c r="C673" s="35">
        <v>-15.86130047</v>
      </c>
      <c r="D673" s="35">
        <v>-52.38890076</v>
      </c>
      <c r="E673" s="32" t="s">
        <v>288</v>
      </c>
      <c r="F673" s="32" t="s">
        <v>1640</v>
      </c>
      <c r="G673" s="36" t="e">
        <v>#N/A</v>
      </c>
      <c r="H673" s="33"/>
      <c r="I673" s="33"/>
      <c r="J673" s="33"/>
      <c r="K673" s="33"/>
      <c r="L673" s="33"/>
      <c r="M673" s="33"/>
    </row>
    <row r="674">
      <c r="A674" s="32" t="s">
        <v>100</v>
      </c>
      <c r="B674" s="32" t="s">
        <v>1641</v>
      </c>
      <c r="C674" s="35">
        <v>-9.333939552</v>
      </c>
      <c r="D674" s="35">
        <v>-54.965400700000004</v>
      </c>
      <c r="E674" s="32" t="s">
        <v>288</v>
      </c>
      <c r="F674" s="32" t="s">
        <v>1642</v>
      </c>
      <c r="G674" s="36" t="e">
        <v>#N/A</v>
      </c>
      <c r="H674" s="33"/>
      <c r="I674" s="33"/>
      <c r="J674" s="33"/>
      <c r="K674" s="33"/>
      <c r="L674" s="33"/>
      <c r="M674" s="33"/>
    </row>
    <row r="675">
      <c r="A675" s="32" t="s">
        <v>100</v>
      </c>
      <c r="B675" s="32" t="s">
        <v>1643</v>
      </c>
      <c r="C675" s="35">
        <v>-29.945928</v>
      </c>
      <c r="D675" s="35">
        <v>-51.144413</v>
      </c>
      <c r="E675" s="32" t="s">
        <v>288</v>
      </c>
      <c r="F675" s="32" t="s">
        <v>1644</v>
      </c>
      <c r="G675" s="36" t="e">
        <v>#N/A</v>
      </c>
      <c r="H675" s="33"/>
      <c r="I675" s="33"/>
      <c r="J675" s="33"/>
      <c r="K675" s="33"/>
      <c r="L675" s="33"/>
      <c r="M675" s="33"/>
    </row>
    <row r="676">
      <c r="A676" s="32" t="s">
        <v>100</v>
      </c>
      <c r="B676" s="32" t="s">
        <v>1645</v>
      </c>
      <c r="C676" s="35">
        <v>-6.233160019</v>
      </c>
      <c r="D676" s="35">
        <v>-57.77690125</v>
      </c>
      <c r="E676" s="32" t="s">
        <v>288</v>
      </c>
      <c r="F676" s="32" t="s">
        <v>1646</v>
      </c>
      <c r="G676" s="36" t="e">
        <v>#N/A</v>
      </c>
      <c r="H676" s="33"/>
      <c r="I676" s="33"/>
      <c r="J676" s="33"/>
      <c r="K676" s="33"/>
      <c r="L676" s="33"/>
      <c r="M676" s="33"/>
    </row>
    <row r="677">
      <c r="A677" s="32" t="s">
        <v>100</v>
      </c>
      <c r="B677" s="32" t="s">
        <v>1647</v>
      </c>
      <c r="C677" s="35">
        <v>-22.81290054</v>
      </c>
      <c r="D677" s="35">
        <v>-42.09260178</v>
      </c>
      <c r="E677" s="32" t="s">
        <v>288</v>
      </c>
      <c r="F677" s="32" t="s">
        <v>1648</v>
      </c>
      <c r="G677" s="36" t="e">
        <v>#N/A</v>
      </c>
      <c r="H677" s="33"/>
      <c r="I677" s="33"/>
      <c r="J677" s="33"/>
      <c r="K677" s="33"/>
      <c r="L677" s="33"/>
      <c r="M677" s="33"/>
    </row>
    <row r="678">
      <c r="A678" s="32" t="s">
        <v>100</v>
      </c>
      <c r="B678" s="32" t="s">
        <v>1649</v>
      </c>
      <c r="C678" s="35">
        <v>-20.70280075</v>
      </c>
      <c r="D678" s="35">
        <v>-46.33530045</v>
      </c>
      <c r="E678" s="32" t="s">
        <v>288</v>
      </c>
      <c r="F678" s="32" t="s">
        <v>1650</v>
      </c>
      <c r="G678" s="36" t="e">
        <v>#N/A</v>
      </c>
      <c r="H678" s="33"/>
      <c r="I678" s="33"/>
      <c r="J678" s="33"/>
      <c r="K678" s="33"/>
      <c r="L678" s="33"/>
      <c r="M678" s="33"/>
    </row>
    <row r="679">
      <c r="A679" s="32" t="s">
        <v>100</v>
      </c>
      <c r="B679" s="32" t="s">
        <v>1651</v>
      </c>
      <c r="C679" s="35">
        <v>-10.78639984</v>
      </c>
      <c r="D679" s="35">
        <v>-65.28479767</v>
      </c>
      <c r="E679" s="32" t="s">
        <v>288</v>
      </c>
      <c r="F679" s="32" t="s">
        <v>1652</v>
      </c>
      <c r="G679" s="36" t="e">
        <v>#N/A</v>
      </c>
      <c r="H679" s="33"/>
      <c r="I679" s="33"/>
      <c r="J679" s="33"/>
      <c r="K679" s="33"/>
      <c r="L679" s="33"/>
      <c r="M679" s="33"/>
    </row>
    <row r="680">
      <c r="A680" s="32" t="s">
        <v>100</v>
      </c>
      <c r="B680" s="32" t="s">
        <v>1653</v>
      </c>
      <c r="C680" s="35">
        <v>-21.77370071</v>
      </c>
      <c r="D680" s="35">
        <v>-48.40510178</v>
      </c>
      <c r="E680" s="32" t="s">
        <v>288</v>
      </c>
      <c r="F680" s="32" t="s">
        <v>1654</v>
      </c>
      <c r="G680" s="36" t="e">
        <v>#N/A</v>
      </c>
      <c r="H680" s="33"/>
      <c r="I680" s="33"/>
      <c r="J680" s="33"/>
      <c r="K680" s="33"/>
      <c r="L680" s="33"/>
      <c r="M680" s="33"/>
    </row>
    <row r="681">
      <c r="A681" s="32" t="s">
        <v>100</v>
      </c>
      <c r="B681" s="32" t="s">
        <v>1655</v>
      </c>
      <c r="C681" s="35">
        <v>-22.79159927</v>
      </c>
      <c r="D681" s="35">
        <v>-45.20479965</v>
      </c>
      <c r="E681" s="32" t="s">
        <v>288</v>
      </c>
      <c r="F681" s="32" t="s">
        <v>1656</v>
      </c>
      <c r="G681" s="36" t="e">
        <v>#N/A</v>
      </c>
      <c r="H681" s="33"/>
      <c r="I681" s="33"/>
      <c r="J681" s="33"/>
      <c r="K681" s="33"/>
      <c r="L681" s="33"/>
      <c r="M681" s="33"/>
    </row>
    <row r="682">
      <c r="A682" s="32" t="s">
        <v>100</v>
      </c>
      <c r="B682" s="32" t="s">
        <v>1657</v>
      </c>
      <c r="C682" s="35">
        <v>-3.12725997</v>
      </c>
      <c r="D682" s="35">
        <v>-58.48120117</v>
      </c>
      <c r="E682" s="32" t="s">
        <v>288</v>
      </c>
      <c r="F682" s="32" t="s">
        <v>1642</v>
      </c>
      <c r="G682" s="36" t="e">
        <v>#N/A</v>
      </c>
      <c r="H682" s="33"/>
      <c r="I682" s="33"/>
      <c r="J682" s="33"/>
      <c r="K682" s="33"/>
      <c r="L682" s="33"/>
      <c r="M682" s="33"/>
    </row>
    <row r="683">
      <c r="A683" s="32" t="s">
        <v>100</v>
      </c>
      <c r="B683" s="32" t="s">
        <v>1658</v>
      </c>
      <c r="C683" s="35">
        <v>-18.44470024</v>
      </c>
      <c r="D683" s="35">
        <v>-49.21340179</v>
      </c>
      <c r="E683" s="32" t="s">
        <v>288</v>
      </c>
      <c r="F683" s="32" t="s">
        <v>1659</v>
      </c>
      <c r="G683" s="36" t="e">
        <v>#N/A</v>
      </c>
      <c r="H683" s="33"/>
      <c r="I683" s="33"/>
      <c r="J683" s="33"/>
      <c r="K683" s="33"/>
      <c r="L683" s="33"/>
      <c r="M683" s="33"/>
    </row>
    <row r="684">
      <c r="A684" s="32" t="s">
        <v>100</v>
      </c>
      <c r="B684" s="32" t="s">
        <v>1660</v>
      </c>
      <c r="C684" s="35">
        <v>-1.414160013</v>
      </c>
      <c r="D684" s="35">
        <v>-48.46070099</v>
      </c>
      <c r="E684" s="32" t="s">
        <v>288</v>
      </c>
      <c r="F684" s="32" t="s">
        <v>1661</v>
      </c>
      <c r="G684" s="36" t="e">
        <v>#N/A</v>
      </c>
      <c r="H684" s="33"/>
      <c r="I684" s="33"/>
      <c r="J684" s="33"/>
      <c r="K684" s="33"/>
      <c r="L684" s="33"/>
      <c r="M684" s="33"/>
    </row>
    <row r="685">
      <c r="A685" s="32" t="s">
        <v>100</v>
      </c>
      <c r="B685" s="32" t="s">
        <v>1662</v>
      </c>
      <c r="C685" s="35">
        <v>-27.78210068</v>
      </c>
      <c r="D685" s="35">
        <v>-50.28150177</v>
      </c>
      <c r="E685" s="32" t="s">
        <v>288</v>
      </c>
      <c r="F685" s="32" t="s">
        <v>1663</v>
      </c>
      <c r="G685" s="36" t="e">
        <v>#N/A</v>
      </c>
      <c r="H685" s="33"/>
      <c r="I685" s="33"/>
      <c r="J685" s="33"/>
      <c r="K685" s="33"/>
      <c r="L685" s="33"/>
      <c r="M685" s="33"/>
    </row>
    <row r="686">
      <c r="A686" s="32" t="s">
        <v>100</v>
      </c>
      <c r="B686" s="32" t="s">
        <v>1664</v>
      </c>
      <c r="C686" s="35">
        <v>-19.66160011</v>
      </c>
      <c r="D686" s="35">
        <v>-43.89640045</v>
      </c>
      <c r="E686" s="32" t="s">
        <v>288</v>
      </c>
      <c r="F686" s="32" t="s">
        <v>1665</v>
      </c>
      <c r="G686" s="36" t="e">
        <v>#N/A</v>
      </c>
      <c r="H686" s="33"/>
      <c r="I686" s="33"/>
      <c r="J686" s="33"/>
      <c r="K686" s="33"/>
      <c r="L686" s="33"/>
      <c r="M686" s="33"/>
    </row>
    <row r="687">
      <c r="A687" s="32" t="s">
        <v>100</v>
      </c>
      <c r="B687" s="32" t="s">
        <v>1666</v>
      </c>
      <c r="C687" s="35">
        <v>-0.889838994</v>
      </c>
      <c r="D687" s="35">
        <v>-52.60219955</v>
      </c>
      <c r="E687" s="32" t="s">
        <v>288</v>
      </c>
      <c r="F687" s="32" t="s">
        <v>1667</v>
      </c>
      <c r="G687" s="36" t="e">
        <v>#N/A</v>
      </c>
      <c r="H687" s="33"/>
      <c r="I687" s="33"/>
      <c r="J687" s="33"/>
      <c r="K687" s="33"/>
      <c r="L687" s="33"/>
      <c r="M687" s="33"/>
    </row>
    <row r="688">
      <c r="A688" s="32" t="s">
        <v>100</v>
      </c>
      <c r="B688" s="32" t="s">
        <v>1668</v>
      </c>
      <c r="C688" s="35">
        <v>-23.50909996</v>
      </c>
      <c r="D688" s="35">
        <v>-46.63779831</v>
      </c>
      <c r="E688" s="32" t="s">
        <v>288</v>
      </c>
      <c r="F688" s="32" t="s">
        <v>1669</v>
      </c>
      <c r="G688" s="36" t="e">
        <v>#N/A</v>
      </c>
      <c r="H688" s="33"/>
      <c r="I688" s="33"/>
      <c r="J688" s="33"/>
      <c r="K688" s="33"/>
      <c r="L688" s="33"/>
      <c r="M688" s="33"/>
    </row>
    <row r="689">
      <c r="A689" s="32" t="s">
        <v>100</v>
      </c>
      <c r="B689" s="32" t="s">
        <v>1670</v>
      </c>
      <c r="C689" s="35">
        <v>3.855489969</v>
      </c>
      <c r="D689" s="35">
        <v>-51.7969017</v>
      </c>
      <c r="E689" s="32" t="s">
        <v>288</v>
      </c>
      <c r="F689" s="32" t="s">
        <v>1671</v>
      </c>
      <c r="G689" s="36" t="e">
        <v>#N/A</v>
      </c>
      <c r="H689" s="33"/>
      <c r="I689" s="33"/>
      <c r="J689" s="33"/>
      <c r="K689" s="33"/>
      <c r="L689" s="33"/>
      <c r="M689" s="33"/>
    </row>
    <row r="690">
      <c r="A690" s="32" t="s">
        <v>100</v>
      </c>
      <c r="B690" s="32" t="s">
        <v>1672</v>
      </c>
      <c r="C690" s="35">
        <v>-2.893749952</v>
      </c>
      <c r="D690" s="35">
        <v>-41.73199844</v>
      </c>
      <c r="E690" s="32" t="s">
        <v>288</v>
      </c>
      <c r="F690" s="32" t="s">
        <v>1673</v>
      </c>
      <c r="G690" s="36" t="e">
        <v>#N/A</v>
      </c>
      <c r="H690" s="33"/>
      <c r="I690" s="33"/>
      <c r="J690" s="33"/>
      <c r="K690" s="33"/>
      <c r="L690" s="33"/>
      <c r="M690" s="33"/>
    </row>
    <row r="691">
      <c r="A691" s="32" t="s">
        <v>100</v>
      </c>
      <c r="B691" s="32" t="s">
        <v>1674</v>
      </c>
      <c r="C691" s="35">
        <v>-8.155260086</v>
      </c>
      <c r="D691" s="35">
        <v>-70.78330231</v>
      </c>
      <c r="E691" s="32" t="s">
        <v>288</v>
      </c>
      <c r="F691" s="32" t="s">
        <v>1675</v>
      </c>
      <c r="G691" s="36" t="e">
        <v>#N/A</v>
      </c>
      <c r="H691" s="33"/>
      <c r="I691" s="33"/>
      <c r="J691" s="33"/>
      <c r="K691" s="33"/>
      <c r="L691" s="33"/>
      <c r="M691" s="33"/>
    </row>
    <row r="692">
      <c r="A692" s="32" t="s">
        <v>100</v>
      </c>
      <c r="B692" s="32" t="s">
        <v>1676</v>
      </c>
      <c r="C692" s="35">
        <v>-24.31780052</v>
      </c>
      <c r="D692" s="35">
        <v>-50.65159988</v>
      </c>
      <c r="E692" s="32" t="s">
        <v>288</v>
      </c>
      <c r="F692" s="32" t="s">
        <v>1677</v>
      </c>
      <c r="G692" s="36" t="e">
        <v>#N/A</v>
      </c>
      <c r="H692" s="33"/>
      <c r="I692" s="33"/>
      <c r="J692" s="33"/>
      <c r="K692" s="33"/>
      <c r="L692" s="33"/>
      <c r="M692" s="33"/>
    </row>
    <row r="693">
      <c r="A693" s="32" t="s">
        <v>100</v>
      </c>
      <c r="B693" s="32" t="s">
        <v>1678</v>
      </c>
      <c r="C693" s="35">
        <v>2.223469973</v>
      </c>
      <c r="D693" s="35">
        <v>-55.94609833</v>
      </c>
      <c r="E693" s="32" t="s">
        <v>288</v>
      </c>
      <c r="F693" s="32" t="s">
        <v>1679</v>
      </c>
      <c r="G693" s="36" t="e">
        <v>#N/A</v>
      </c>
      <c r="H693" s="33"/>
      <c r="I693" s="33"/>
      <c r="J693" s="33"/>
      <c r="K693" s="33"/>
      <c r="L693" s="33"/>
      <c r="M693" s="33"/>
    </row>
    <row r="694">
      <c r="A694" s="32" t="s">
        <v>100</v>
      </c>
      <c r="B694" s="32" t="s">
        <v>1680</v>
      </c>
      <c r="C694" s="35">
        <v>0.607500017</v>
      </c>
      <c r="D694" s="35">
        <v>-69.18579865</v>
      </c>
      <c r="E694" s="32" t="s">
        <v>288</v>
      </c>
      <c r="F694" s="32" t="s">
        <v>1681</v>
      </c>
      <c r="G694" s="36" t="e">
        <v>#N/A</v>
      </c>
      <c r="H694" s="33"/>
      <c r="I694" s="33"/>
      <c r="J694" s="33"/>
      <c r="K694" s="33"/>
      <c r="L694" s="33"/>
      <c r="M694" s="33"/>
    </row>
    <row r="695">
      <c r="A695" s="32" t="s">
        <v>100</v>
      </c>
      <c r="B695" s="32" t="s">
        <v>1682</v>
      </c>
      <c r="C695" s="35">
        <v>-33.5617981</v>
      </c>
      <c r="D695" s="35">
        <v>-70.68840027</v>
      </c>
      <c r="E695" s="32" t="s">
        <v>300</v>
      </c>
      <c r="F695" s="32" t="s">
        <v>1265</v>
      </c>
      <c r="G695" s="36" t="e">
        <v>#N/A</v>
      </c>
      <c r="H695" s="33"/>
      <c r="I695" s="33"/>
      <c r="J695" s="33"/>
      <c r="K695" s="33"/>
      <c r="L695" s="33"/>
      <c r="M695" s="33"/>
    </row>
    <row r="696">
      <c r="A696" s="32" t="s">
        <v>100</v>
      </c>
      <c r="B696" s="32" t="s">
        <v>1683</v>
      </c>
      <c r="C696" s="35">
        <v>-36.58250046</v>
      </c>
      <c r="D696" s="35">
        <v>-72.03140259</v>
      </c>
      <c r="E696" s="32" t="s">
        <v>300</v>
      </c>
      <c r="F696" s="32" t="s">
        <v>1684</v>
      </c>
      <c r="G696" s="36" t="e">
        <v>#N/A</v>
      </c>
      <c r="H696" s="33"/>
      <c r="I696" s="33"/>
      <c r="J696" s="33"/>
      <c r="K696" s="33"/>
      <c r="L696" s="33"/>
      <c r="M696" s="33"/>
    </row>
    <row r="697">
      <c r="A697" s="32" t="s">
        <v>100</v>
      </c>
      <c r="B697" s="32" t="s">
        <v>1685</v>
      </c>
      <c r="C697" s="35">
        <v>-43.18920135</v>
      </c>
      <c r="D697" s="35">
        <v>-71.85109711</v>
      </c>
      <c r="E697" s="32" t="s">
        <v>300</v>
      </c>
      <c r="F697" s="32" t="s">
        <v>1686</v>
      </c>
      <c r="G697" s="36" t="e">
        <v>#N/A</v>
      </c>
      <c r="H697" s="33"/>
      <c r="I697" s="33"/>
      <c r="J697" s="33"/>
      <c r="K697" s="33"/>
      <c r="L697" s="33"/>
      <c r="M697" s="33"/>
    </row>
    <row r="698">
      <c r="A698" s="32" t="s">
        <v>100</v>
      </c>
      <c r="B698" s="32" t="s">
        <v>1687</v>
      </c>
      <c r="C698" s="35">
        <v>-28.59639931</v>
      </c>
      <c r="D698" s="35">
        <v>-70.7559967</v>
      </c>
      <c r="E698" s="32" t="s">
        <v>300</v>
      </c>
      <c r="F698" s="32" t="s">
        <v>1688</v>
      </c>
      <c r="G698" s="36" t="e">
        <v>#N/A</v>
      </c>
      <c r="H698" s="33"/>
      <c r="I698" s="33"/>
      <c r="J698" s="33"/>
      <c r="K698" s="33"/>
      <c r="L698" s="33"/>
      <c r="M698" s="33"/>
    </row>
    <row r="699">
      <c r="A699" s="32" t="s">
        <v>100</v>
      </c>
      <c r="B699" s="32" t="s">
        <v>1689</v>
      </c>
      <c r="C699" s="35">
        <v>-34.17369843</v>
      </c>
      <c r="D699" s="35">
        <v>-70.77570343</v>
      </c>
      <c r="E699" s="32" t="s">
        <v>300</v>
      </c>
      <c r="F699" s="32" t="s">
        <v>1690</v>
      </c>
      <c r="G699" s="36" t="e">
        <v>#N/A</v>
      </c>
      <c r="H699" s="33"/>
      <c r="I699" s="33"/>
      <c r="J699" s="33"/>
      <c r="K699" s="33"/>
      <c r="L699" s="33"/>
      <c r="M699" s="33"/>
    </row>
    <row r="700">
      <c r="A700" s="32" t="s">
        <v>100</v>
      </c>
      <c r="B700" s="32" t="s">
        <v>1691</v>
      </c>
      <c r="C700" s="35">
        <v>-62.19079971</v>
      </c>
      <c r="D700" s="35">
        <v>-58.98669815</v>
      </c>
      <c r="E700" s="32" t="s">
        <v>1337</v>
      </c>
      <c r="F700" s="32" t="s">
        <v>1692</v>
      </c>
      <c r="G700" s="36" t="e">
        <v>#N/A</v>
      </c>
      <c r="H700" s="33"/>
      <c r="I700" s="33"/>
      <c r="J700" s="33"/>
      <c r="K700" s="33"/>
      <c r="L700" s="33"/>
      <c r="M700" s="33"/>
    </row>
    <row r="701">
      <c r="A701" s="32" t="s">
        <v>100</v>
      </c>
      <c r="B701" s="32" t="s">
        <v>1693</v>
      </c>
      <c r="C701" s="35">
        <v>-33.45629883</v>
      </c>
      <c r="D701" s="35">
        <v>-70.54669952</v>
      </c>
      <c r="E701" s="32" t="s">
        <v>300</v>
      </c>
      <c r="F701" s="32" t="s">
        <v>1265</v>
      </c>
      <c r="G701" s="36" t="e">
        <v>#N/A</v>
      </c>
      <c r="H701" s="33"/>
      <c r="I701" s="33"/>
      <c r="J701" s="33"/>
      <c r="K701" s="33"/>
      <c r="L701" s="33"/>
      <c r="M701" s="33"/>
    </row>
    <row r="702">
      <c r="A702" s="32" t="s">
        <v>100</v>
      </c>
      <c r="B702" s="32" t="s">
        <v>1694</v>
      </c>
      <c r="C702" s="35">
        <v>-1.706269979</v>
      </c>
      <c r="D702" s="35">
        <v>-79.37889862</v>
      </c>
      <c r="E702" s="32" t="s">
        <v>311</v>
      </c>
      <c r="F702" s="32" t="s">
        <v>1695</v>
      </c>
      <c r="G702" s="36" t="e">
        <v>#N/A</v>
      </c>
      <c r="H702" s="33"/>
      <c r="I702" s="33"/>
      <c r="J702" s="33"/>
      <c r="K702" s="33"/>
      <c r="L702" s="33"/>
      <c r="M702" s="33"/>
    </row>
    <row r="703">
      <c r="A703" s="32" t="s">
        <v>100</v>
      </c>
      <c r="B703" s="32" t="s">
        <v>1696</v>
      </c>
      <c r="C703" s="35">
        <v>-3.423209906</v>
      </c>
      <c r="D703" s="35">
        <v>-78.56700134</v>
      </c>
      <c r="E703" s="32" t="s">
        <v>311</v>
      </c>
      <c r="F703" s="32" t="s">
        <v>1697</v>
      </c>
      <c r="G703" s="36" t="e">
        <v>#N/A</v>
      </c>
      <c r="H703" s="33"/>
      <c r="I703" s="33"/>
      <c r="J703" s="33"/>
      <c r="K703" s="33"/>
      <c r="L703" s="33"/>
      <c r="M703" s="33"/>
    </row>
    <row r="704">
      <c r="A704" s="32" t="s">
        <v>100</v>
      </c>
      <c r="B704" s="32" t="s">
        <v>1698</v>
      </c>
      <c r="C704" s="35">
        <v>0.33841899</v>
      </c>
      <c r="D704" s="35">
        <v>-78.13639832</v>
      </c>
      <c r="E704" s="32" t="s">
        <v>311</v>
      </c>
      <c r="F704" s="32" t="s">
        <v>1699</v>
      </c>
      <c r="G704" s="36" t="e">
        <v>#N/A</v>
      </c>
      <c r="H704" s="33"/>
      <c r="I704" s="33"/>
      <c r="J704" s="33"/>
      <c r="K704" s="33"/>
      <c r="L704" s="33"/>
      <c r="M704" s="33"/>
    </row>
    <row r="705">
      <c r="A705" s="32" t="s">
        <v>100</v>
      </c>
      <c r="B705" s="32" t="s">
        <v>1700</v>
      </c>
      <c r="C705" s="35">
        <v>0.184202999</v>
      </c>
      <c r="D705" s="35">
        <v>-79.39199829</v>
      </c>
      <c r="E705" s="32" t="s">
        <v>311</v>
      </c>
      <c r="F705" s="32" t="s">
        <v>1701</v>
      </c>
      <c r="G705" s="36" t="e">
        <v>#N/A</v>
      </c>
      <c r="H705" s="33"/>
      <c r="I705" s="33"/>
      <c r="J705" s="33"/>
      <c r="K705" s="33"/>
      <c r="L705" s="33"/>
      <c r="M705" s="33"/>
    </row>
    <row r="706">
      <c r="A706" s="32" t="s">
        <v>100</v>
      </c>
      <c r="B706" s="32" t="s">
        <v>1702</v>
      </c>
      <c r="C706" s="35">
        <v>-1.704380035</v>
      </c>
      <c r="D706" s="35">
        <v>-79.5522995</v>
      </c>
      <c r="E706" s="32" t="s">
        <v>311</v>
      </c>
      <c r="F706" s="32" t="s">
        <v>1703</v>
      </c>
      <c r="G706" s="36" t="e">
        <v>#N/A</v>
      </c>
      <c r="H706" s="33"/>
      <c r="I706" s="33"/>
      <c r="J706" s="33"/>
      <c r="K706" s="33"/>
      <c r="L706" s="33"/>
      <c r="M706" s="33"/>
    </row>
    <row r="707">
      <c r="A707" s="32" t="s">
        <v>100</v>
      </c>
      <c r="B707" s="32" t="s">
        <v>1704</v>
      </c>
      <c r="C707" s="35">
        <v>-4.378230095</v>
      </c>
      <c r="D707" s="35">
        <v>-79.94100189</v>
      </c>
      <c r="E707" s="32" t="s">
        <v>311</v>
      </c>
      <c r="F707" s="32" t="s">
        <v>1705</v>
      </c>
      <c r="G707" s="36" t="e">
        <v>#N/A</v>
      </c>
      <c r="H707" s="33"/>
      <c r="I707" s="33"/>
      <c r="J707" s="33"/>
      <c r="K707" s="33"/>
      <c r="L707" s="33"/>
      <c r="M707" s="33"/>
    </row>
    <row r="708">
      <c r="A708" s="32" t="s">
        <v>100</v>
      </c>
      <c r="B708" s="32" t="s">
        <v>1706</v>
      </c>
      <c r="C708" s="35">
        <v>-2.067009926</v>
      </c>
      <c r="D708" s="35">
        <v>-76.97570038</v>
      </c>
      <c r="E708" s="32" t="s">
        <v>311</v>
      </c>
      <c r="F708" s="32" t="s">
        <v>1707</v>
      </c>
      <c r="G708" s="36" t="e">
        <v>#N/A</v>
      </c>
      <c r="H708" s="33"/>
      <c r="I708" s="33"/>
      <c r="J708" s="33"/>
      <c r="K708" s="33"/>
      <c r="L708" s="33"/>
      <c r="M708" s="33"/>
    </row>
    <row r="709">
      <c r="A709" s="32" t="s">
        <v>100</v>
      </c>
      <c r="B709" s="32" t="s">
        <v>1708</v>
      </c>
      <c r="C709" s="35">
        <v>-2.851099968</v>
      </c>
      <c r="D709" s="35">
        <v>-79.8035965</v>
      </c>
      <c r="E709" s="32" t="s">
        <v>311</v>
      </c>
      <c r="F709" s="32" t="s">
        <v>1709</v>
      </c>
      <c r="G709" s="36" t="e">
        <v>#N/A</v>
      </c>
      <c r="H709" s="33"/>
      <c r="I709" s="33"/>
      <c r="J709" s="33"/>
      <c r="K709" s="33"/>
      <c r="L709" s="33"/>
      <c r="M709" s="33"/>
    </row>
    <row r="710">
      <c r="A710" s="32" t="s">
        <v>100</v>
      </c>
      <c r="B710" s="32" t="s">
        <v>1710</v>
      </c>
      <c r="C710" s="35">
        <v>-3.319669962</v>
      </c>
      <c r="D710" s="35">
        <v>-79.76920319</v>
      </c>
      <c r="E710" s="32" t="s">
        <v>311</v>
      </c>
      <c r="F710" s="32" t="s">
        <v>1711</v>
      </c>
      <c r="G710" s="36" t="e">
        <v>#N/A</v>
      </c>
      <c r="H710" s="33"/>
      <c r="I710" s="33"/>
      <c r="J710" s="33"/>
      <c r="K710" s="33"/>
      <c r="L710" s="33"/>
      <c r="M710" s="33"/>
    </row>
    <row r="711">
      <c r="A711" s="32" t="s">
        <v>100</v>
      </c>
      <c r="B711" s="32" t="s">
        <v>1712</v>
      </c>
      <c r="C711" s="35">
        <v>-0.989400029</v>
      </c>
      <c r="D711" s="35">
        <v>-79.46510315</v>
      </c>
      <c r="E711" s="32" t="s">
        <v>311</v>
      </c>
      <c r="F711" s="32" t="s">
        <v>1713</v>
      </c>
      <c r="G711" s="36" t="e">
        <v>#N/A</v>
      </c>
      <c r="H711" s="33"/>
      <c r="I711" s="33"/>
      <c r="J711" s="33"/>
      <c r="K711" s="33"/>
      <c r="L711" s="33"/>
      <c r="M711" s="33"/>
    </row>
    <row r="712">
      <c r="A712" s="32" t="s">
        <v>100</v>
      </c>
      <c r="B712" s="32" t="s">
        <v>1714</v>
      </c>
      <c r="C712" s="35">
        <v>-1.653429985</v>
      </c>
      <c r="D712" s="35">
        <v>-78.65609741</v>
      </c>
      <c r="E712" s="32" t="s">
        <v>311</v>
      </c>
      <c r="F712" s="32" t="s">
        <v>1715</v>
      </c>
      <c r="G712" s="36" t="e">
        <v>#N/A</v>
      </c>
      <c r="H712" s="33"/>
      <c r="I712" s="33"/>
      <c r="J712" s="33"/>
      <c r="K712" s="33"/>
      <c r="L712" s="33"/>
      <c r="M712" s="33"/>
    </row>
    <row r="713">
      <c r="A713" s="32" t="s">
        <v>100</v>
      </c>
      <c r="B713" s="32" t="s">
        <v>1716</v>
      </c>
      <c r="C713" s="35">
        <v>-0.248221993</v>
      </c>
      <c r="D713" s="35">
        <v>-79.21440125</v>
      </c>
      <c r="E713" s="32" t="s">
        <v>311</v>
      </c>
      <c r="F713" s="32" t="s">
        <v>1717</v>
      </c>
      <c r="G713" s="36" t="e">
        <v>#N/A</v>
      </c>
      <c r="H713" s="33"/>
      <c r="I713" s="33"/>
      <c r="J713" s="33"/>
      <c r="K713" s="33"/>
      <c r="L713" s="33"/>
      <c r="M713" s="33"/>
    </row>
    <row r="714">
      <c r="A714" s="32" t="s">
        <v>100</v>
      </c>
      <c r="B714" s="32" t="s">
        <v>1718</v>
      </c>
      <c r="C714" s="35">
        <v>-2.261039972</v>
      </c>
      <c r="D714" s="35">
        <v>-79.68019867</v>
      </c>
      <c r="E714" s="32" t="s">
        <v>311</v>
      </c>
      <c r="F714" s="32" t="s">
        <v>1719</v>
      </c>
      <c r="G714" s="36" t="e">
        <v>#N/A</v>
      </c>
      <c r="H714" s="33"/>
      <c r="I714" s="33"/>
      <c r="J714" s="33"/>
      <c r="K714" s="33"/>
      <c r="L714" s="33"/>
      <c r="M714" s="33"/>
    </row>
    <row r="715">
      <c r="A715" s="32" t="s">
        <v>100</v>
      </c>
      <c r="B715" s="32" t="s">
        <v>1720</v>
      </c>
      <c r="C715" s="35">
        <v>-0.986766994</v>
      </c>
      <c r="D715" s="35">
        <v>-77.81950378</v>
      </c>
      <c r="E715" s="32" t="s">
        <v>311</v>
      </c>
      <c r="F715" s="32" t="s">
        <v>1721</v>
      </c>
      <c r="G715" s="36" t="e">
        <v>#N/A</v>
      </c>
      <c r="H715" s="33"/>
      <c r="I715" s="33"/>
      <c r="J715" s="33"/>
      <c r="K715" s="33"/>
      <c r="L715" s="33"/>
      <c r="M715" s="33"/>
    </row>
    <row r="716">
      <c r="A716" s="32" t="s">
        <v>100</v>
      </c>
      <c r="B716" s="32" t="s">
        <v>1722</v>
      </c>
      <c r="C716" s="35">
        <v>-27.370554</v>
      </c>
      <c r="D716" s="35">
        <v>-56.854064</v>
      </c>
      <c r="E716" s="32" t="s">
        <v>1723</v>
      </c>
      <c r="F716" s="32" t="s">
        <v>1724</v>
      </c>
      <c r="G716" s="36" t="e">
        <v>#N/A</v>
      </c>
      <c r="H716" s="33"/>
      <c r="I716" s="33"/>
      <c r="J716" s="33"/>
      <c r="K716" s="33"/>
      <c r="L716" s="33"/>
      <c r="M716" s="33"/>
    </row>
    <row r="717">
      <c r="A717" s="32" t="s">
        <v>100</v>
      </c>
      <c r="B717" s="32" t="s">
        <v>1725</v>
      </c>
      <c r="C717" s="35">
        <v>-25.407519</v>
      </c>
      <c r="D717" s="35">
        <v>-54.619377</v>
      </c>
      <c r="E717" s="32" t="s">
        <v>1723</v>
      </c>
      <c r="F717" s="32" t="s">
        <v>1726</v>
      </c>
      <c r="G717" s="36" t="e">
        <v>#N/A</v>
      </c>
      <c r="H717" s="33"/>
      <c r="I717" s="33"/>
      <c r="J717" s="33"/>
      <c r="K717" s="33"/>
      <c r="L717" s="33"/>
      <c r="M717" s="33"/>
    </row>
    <row r="718">
      <c r="A718" s="32" t="s">
        <v>100</v>
      </c>
      <c r="B718" s="32" t="s">
        <v>1727</v>
      </c>
      <c r="C718" s="35">
        <v>-22.04999924</v>
      </c>
      <c r="D718" s="35">
        <v>-60.61999893</v>
      </c>
      <c r="E718" s="32" t="s">
        <v>1723</v>
      </c>
      <c r="F718" s="32" t="s">
        <v>1728</v>
      </c>
      <c r="G718" s="36" t="e">
        <v>#N/A</v>
      </c>
      <c r="H718" s="33"/>
      <c r="I718" s="33"/>
      <c r="J718" s="33"/>
      <c r="K718" s="33"/>
      <c r="L718" s="33"/>
      <c r="M718" s="33"/>
    </row>
    <row r="719">
      <c r="A719" s="32" t="s">
        <v>100</v>
      </c>
      <c r="B719" s="32" t="s">
        <v>1729</v>
      </c>
      <c r="C719" s="35">
        <v>-26.881224</v>
      </c>
      <c r="D719" s="35">
        <v>-58.318026</v>
      </c>
      <c r="E719" s="32" t="s">
        <v>1723</v>
      </c>
      <c r="F719" s="32" t="s">
        <v>1730</v>
      </c>
      <c r="G719" s="36" t="e">
        <v>#N/A</v>
      </c>
      <c r="H719" s="33"/>
      <c r="I719" s="33"/>
      <c r="J719" s="33"/>
      <c r="K719" s="33"/>
      <c r="L719" s="33"/>
      <c r="M719" s="33"/>
    </row>
    <row r="720">
      <c r="A720" s="32" t="s">
        <v>100</v>
      </c>
      <c r="B720" s="32" t="s">
        <v>1731</v>
      </c>
      <c r="C720" s="35">
        <v>9.04554</v>
      </c>
      <c r="D720" s="35">
        <v>-73.9749</v>
      </c>
      <c r="E720" s="32" t="s">
        <v>292</v>
      </c>
      <c r="F720" s="32" t="s">
        <v>1732</v>
      </c>
      <c r="G720" s="36" t="e">
        <v>#N/A</v>
      </c>
      <c r="H720" s="33"/>
      <c r="I720" s="33"/>
      <c r="J720" s="33"/>
      <c r="K720" s="33"/>
      <c r="L720" s="33"/>
      <c r="M720" s="33"/>
    </row>
    <row r="721">
      <c r="A721" s="32" t="s">
        <v>100</v>
      </c>
      <c r="B721" s="32" t="s">
        <v>1733</v>
      </c>
      <c r="C721" s="35">
        <v>4.27624</v>
      </c>
      <c r="D721" s="35">
        <v>-74.7967</v>
      </c>
      <c r="E721" s="32" t="s">
        <v>292</v>
      </c>
      <c r="F721" s="32" t="s">
        <v>1734</v>
      </c>
      <c r="G721" s="36" t="e">
        <v>#N/A</v>
      </c>
      <c r="H721" s="33"/>
      <c r="I721" s="33"/>
      <c r="J721" s="33"/>
      <c r="K721" s="33"/>
      <c r="L721" s="33"/>
      <c r="M721" s="33"/>
    </row>
    <row r="722">
      <c r="A722" s="32" t="s">
        <v>100</v>
      </c>
      <c r="B722" s="32" t="s">
        <v>1735</v>
      </c>
      <c r="C722" s="35">
        <v>4.81233</v>
      </c>
      <c r="D722" s="35">
        <v>-74.0649</v>
      </c>
      <c r="E722" s="32" t="s">
        <v>292</v>
      </c>
      <c r="F722" s="32" t="s">
        <v>1736</v>
      </c>
      <c r="G722" s="36" t="e">
        <v>#N/A</v>
      </c>
      <c r="H722" s="33"/>
      <c r="I722" s="33"/>
      <c r="J722" s="33"/>
      <c r="K722" s="33"/>
      <c r="L722" s="33"/>
      <c r="M722" s="33"/>
    </row>
    <row r="723">
      <c r="A723" s="32" t="s">
        <v>100</v>
      </c>
      <c r="B723" s="32" t="s">
        <v>1737</v>
      </c>
      <c r="C723" s="35">
        <v>11.2325</v>
      </c>
      <c r="D723" s="35">
        <v>-72.4901</v>
      </c>
      <c r="E723" s="32" t="s">
        <v>292</v>
      </c>
      <c r="F723" s="32" t="s">
        <v>1738</v>
      </c>
      <c r="G723" s="36" t="e">
        <v>#N/A</v>
      </c>
      <c r="H723" s="33"/>
      <c r="I723" s="33"/>
      <c r="J723" s="33"/>
      <c r="K723" s="33"/>
      <c r="L723" s="33"/>
      <c r="M723" s="33"/>
    </row>
    <row r="724">
      <c r="A724" s="32" t="s">
        <v>100</v>
      </c>
      <c r="B724" s="32" t="s">
        <v>1739</v>
      </c>
      <c r="C724" s="35">
        <v>12.2215</v>
      </c>
      <c r="D724" s="35">
        <v>-71.9848</v>
      </c>
      <c r="E724" s="32" t="s">
        <v>292</v>
      </c>
      <c r="F724" s="32" t="s">
        <v>1740</v>
      </c>
      <c r="G724" s="36" t="e">
        <v>#N/A</v>
      </c>
      <c r="H724" s="33"/>
      <c r="I724" s="33"/>
      <c r="J724" s="33"/>
      <c r="K724" s="33"/>
      <c r="L724" s="33"/>
      <c r="M724" s="33"/>
    </row>
    <row r="725">
      <c r="A725" s="32" t="s">
        <v>100</v>
      </c>
      <c r="B725" s="32" t="s">
        <v>1741</v>
      </c>
      <c r="C725" s="35">
        <v>1.85777</v>
      </c>
      <c r="D725" s="35">
        <v>-76.0857</v>
      </c>
      <c r="E725" s="32" t="s">
        <v>292</v>
      </c>
      <c r="F725" s="32" t="s">
        <v>1742</v>
      </c>
      <c r="G725" s="36" t="e">
        <v>#N/A</v>
      </c>
      <c r="H725" s="33"/>
      <c r="I725" s="33"/>
      <c r="J725" s="33"/>
      <c r="K725" s="33"/>
      <c r="L725" s="33"/>
      <c r="M725" s="33"/>
    </row>
    <row r="726">
      <c r="A726" s="32" t="s">
        <v>100</v>
      </c>
      <c r="B726" s="32" t="s">
        <v>1743</v>
      </c>
      <c r="C726" s="35">
        <v>5.21256</v>
      </c>
      <c r="D726" s="35">
        <v>-74.8836</v>
      </c>
      <c r="E726" s="32" t="s">
        <v>292</v>
      </c>
      <c r="F726" s="32" t="s">
        <v>1744</v>
      </c>
      <c r="G726" s="36" t="e">
        <v>#N/A</v>
      </c>
      <c r="H726" s="33"/>
      <c r="I726" s="33"/>
      <c r="J726" s="33"/>
      <c r="K726" s="33"/>
      <c r="L726" s="33"/>
      <c r="M726" s="33"/>
    </row>
    <row r="727">
      <c r="A727" s="32" t="s">
        <v>100</v>
      </c>
      <c r="B727" s="32" t="s">
        <v>1745</v>
      </c>
      <c r="C727" s="35">
        <v>-16.99001884</v>
      </c>
      <c r="D727" s="35">
        <v>-65.14150238</v>
      </c>
      <c r="E727" s="32" t="s">
        <v>323</v>
      </c>
      <c r="F727" s="32" t="s">
        <v>1746</v>
      </c>
      <c r="G727" s="36" t="e">
        <v>#N/A</v>
      </c>
      <c r="H727" s="33"/>
      <c r="I727" s="33"/>
      <c r="J727" s="33"/>
      <c r="K727" s="33"/>
      <c r="L727" s="33"/>
      <c r="M727" s="33"/>
    </row>
    <row r="728">
      <c r="A728" s="32" t="s">
        <v>100</v>
      </c>
      <c r="B728" s="32" t="s">
        <v>1747</v>
      </c>
      <c r="C728" s="35">
        <v>-17.96260071</v>
      </c>
      <c r="D728" s="35">
        <v>-67.07620239</v>
      </c>
      <c r="E728" s="32" t="s">
        <v>323</v>
      </c>
      <c r="F728" s="32" t="s">
        <v>1748</v>
      </c>
      <c r="G728" s="36" t="e">
        <v>#N/A</v>
      </c>
      <c r="H728" s="33"/>
      <c r="I728" s="33"/>
      <c r="J728" s="33"/>
      <c r="K728" s="33"/>
      <c r="L728" s="33"/>
      <c r="M728" s="33"/>
    </row>
    <row r="729">
      <c r="A729" s="32" t="s">
        <v>100</v>
      </c>
      <c r="B729" s="32" t="s">
        <v>1749</v>
      </c>
      <c r="C729" s="35">
        <v>-13.76220036</v>
      </c>
      <c r="D729" s="35">
        <v>-65.43520355</v>
      </c>
      <c r="E729" s="32" t="s">
        <v>323</v>
      </c>
      <c r="F729" s="32" t="s">
        <v>1750</v>
      </c>
      <c r="G729" s="36" t="e">
        <v>#N/A</v>
      </c>
      <c r="H729" s="33"/>
      <c r="I729" s="33"/>
      <c r="J729" s="33"/>
      <c r="K729" s="33"/>
      <c r="L729" s="33"/>
      <c r="M729" s="33"/>
    </row>
    <row r="730">
      <c r="A730" s="32" t="s">
        <v>100</v>
      </c>
      <c r="B730" s="32" t="s">
        <v>1751</v>
      </c>
      <c r="C730" s="35">
        <v>-21.25519943</v>
      </c>
      <c r="D730" s="35">
        <v>-63.4056015</v>
      </c>
      <c r="E730" s="32" t="s">
        <v>323</v>
      </c>
      <c r="F730" s="32" t="s">
        <v>1752</v>
      </c>
      <c r="G730" s="36" t="e">
        <v>#N/A</v>
      </c>
      <c r="H730" s="33"/>
      <c r="I730" s="33"/>
      <c r="J730" s="33"/>
      <c r="K730" s="33"/>
      <c r="L730" s="33"/>
      <c r="M730" s="33"/>
    </row>
    <row r="731">
      <c r="A731" s="32" t="s">
        <v>100</v>
      </c>
      <c r="B731" s="32" t="s">
        <v>1753</v>
      </c>
      <c r="C731" s="35">
        <v>3.897599936</v>
      </c>
      <c r="D731" s="35">
        <v>-51.80410004</v>
      </c>
      <c r="E731" s="32" t="s">
        <v>1754</v>
      </c>
      <c r="F731" s="32" t="s">
        <v>1755</v>
      </c>
      <c r="G731" s="36" t="e">
        <v>#N/A</v>
      </c>
      <c r="H731" s="33"/>
      <c r="I731" s="33"/>
      <c r="J731" s="33"/>
      <c r="K731" s="33"/>
      <c r="L731" s="33"/>
      <c r="M731" s="33"/>
    </row>
    <row r="732">
      <c r="A732" s="32" t="s">
        <v>100</v>
      </c>
      <c r="B732" s="32" t="s">
        <v>1756</v>
      </c>
      <c r="C732" s="35">
        <v>-5.256770134</v>
      </c>
      <c r="D732" s="35">
        <v>-79.44290161</v>
      </c>
      <c r="E732" s="32" t="s">
        <v>307</v>
      </c>
      <c r="F732" s="32" t="s">
        <v>1757</v>
      </c>
      <c r="G732" s="36" t="e">
        <v>#N/A</v>
      </c>
      <c r="H732" s="33"/>
      <c r="I732" s="33"/>
      <c r="J732" s="33"/>
      <c r="K732" s="33"/>
      <c r="L732" s="33"/>
      <c r="M732" s="33"/>
    </row>
    <row r="733">
      <c r="A733" s="32" t="s">
        <v>100</v>
      </c>
      <c r="B733" s="32" t="s">
        <v>1758</v>
      </c>
      <c r="C733" s="35">
        <v>-2.796129942</v>
      </c>
      <c r="D733" s="35">
        <v>-76.46659851</v>
      </c>
      <c r="E733" s="32" t="s">
        <v>307</v>
      </c>
      <c r="F733" s="32" t="s">
        <v>1759</v>
      </c>
      <c r="G733" s="36" t="e">
        <v>#N/A</v>
      </c>
      <c r="H733" s="33"/>
      <c r="I733" s="33"/>
      <c r="J733" s="33"/>
      <c r="K733" s="33"/>
      <c r="L733" s="33"/>
      <c r="M733" s="33"/>
    </row>
    <row r="734">
      <c r="A734" s="32" t="s">
        <v>100</v>
      </c>
      <c r="B734" s="32" t="s">
        <v>1760</v>
      </c>
      <c r="C734" s="35">
        <v>-10.72910023</v>
      </c>
      <c r="D734" s="35">
        <v>-73.76650238</v>
      </c>
      <c r="E734" s="32" t="s">
        <v>307</v>
      </c>
      <c r="F734" s="32" t="s">
        <v>1761</v>
      </c>
      <c r="G734" s="36" t="e">
        <v>#N/A</v>
      </c>
      <c r="H734" s="33"/>
      <c r="I734" s="33"/>
      <c r="J734" s="33"/>
      <c r="K734" s="33"/>
      <c r="L734" s="33"/>
      <c r="M734" s="33"/>
    </row>
    <row r="735">
      <c r="A735" s="32" t="s">
        <v>100</v>
      </c>
      <c r="B735" s="32" t="s">
        <v>1762</v>
      </c>
      <c r="C735" s="35">
        <v>-11.41160011</v>
      </c>
      <c r="D735" s="35">
        <v>-69.48870087</v>
      </c>
      <c r="E735" s="32" t="s">
        <v>307</v>
      </c>
      <c r="F735" s="32" t="s">
        <v>1763</v>
      </c>
      <c r="G735" s="36" t="e">
        <v>#N/A</v>
      </c>
      <c r="H735" s="33"/>
      <c r="I735" s="33"/>
      <c r="J735" s="33"/>
      <c r="K735" s="33"/>
      <c r="L735" s="33"/>
      <c r="M735" s="33"/>
    </row>
    <row r="736">
      <c r="A736" s="32" t="s">
        <v>100</v>
      </c>
      <c r="B736" s="32" t="s">
        <v>1764</v>
      </c>
      <c r="C736" s="35">
        <v>-9.768130302</v>
      </c>
      <c r="D736" s="35">
        <v>-70.70649719</v>
      </c>
      <c r="E736" s="32" t="s">
        <v>307</v>
      </c>
      <c r="F736" s="32" t="s">
        <v>1765</v>
      </c>
      <c r="G736" s="36" t="e">
        <v>#N/A</v>
      </c>
      <c r="H736" s="33"/>
      <c r="I736" s="33"/>
      <c r="J736" s="33"/>
      <c r="K736" s="33"/>
      <c r="L736" s="33"/>
      <c r="M736" s="33"/>
    </row>
    <row r="737">
      <c r="A737" s="32" t="s">
        <v>100</v>
      </c>
      <c r="B737" s="32" t="s">
        <v>1766</v>
      </c>
      <c r="C737" s="35">
        <v>-17.17900085</v>
      </c>
      <c r="D737" s="35">
        <v>-70.93080139</v>
      </c>
      <c r="E737" s="32" t="s">
        <v>307</v>
      </c>
      <c r="F737" s="32" t="s">
        <v>1767</v>
      </c>
      <c r="G737" s="36" t="e">
        <v>#N/A</v>
      </c>
      <c r="H737" s="33"/>
      <c r="I737" s="33"/>
      <c r="J737" s="33"/>
      <c r="K737" s="33"/>
      <c r="L737" s="33"/>
      <c r="M737" s="33"/>
    </row>
    <row r="738">
      <c r="A738" s="32" t="s">
        <v>100</v>
      </c>
      <c r="B738" s="32" t="s">
        <v>1768</v>
      </c>
      <c r="C738" s="35">
        <v>-11.78310013</v>
      </c>
      <c r="D738" s="35">
        <v>-75.4733963</v>
      </c>
      <c r="E738" s="32" t="s">
        <v>307</v>
      </c>
      <c r="F738" s="32" t="s">
        <v>1769</v>
      </c>
      <c r="G738" s="36" t="e">
        <v>#N/A</v>
      </c>
      <c r="H738" s="33"/>
      <c r="I738" s="33"/>
      <c r="J738" s="33"/>
      <c r="K738" s="33"/>
      <c r="L738" s="33"/>
      <c r="M738" s="33"/>
    </row>
    <row r="739">
      <c r="A739" s="32" t="s">
        <v>100</v>
      </c>
      <c r="B739" s="32" t="s">
        <v>1770</v>
      </c>
      <c r="C739" s="35">
        <v>-17.69499969</v>
      </c>
      <c r="D739" s="35">
        <v>-71.34400177</v>
      </c>
      <c r="E739" s="32" t="s">
        <v>307</v>
      </c>
      <c r="F739" s="32" t="s">
        <v>1771</v>
      </c>
      <c r="G739" s="36" t="e">
        <v>#N/A</v>
      </c>
      <c r="H739" s="33"/>
      <c r="I739" s="33"/>
      <c r="J739" s="33"/>
      <c r="K739" s="33"/>
      <c r="L739" s="33"/>
      <c r="M739" s="33"/>
    </row>
    <row r="740">
      <c r="A740" s="32" t="s">
        <v>100</v>
      </c>
      <c r="B740" s="32" t="s">
        <v>1772</v>
      </c>
      <c r="C740" s="35">
        <v>-12.16069984</v>
      </c>
      <c r="D740" s="35">
        <v>-76.99890137</v>
      </c>
      <c r="E740" s="32" t="s">
        <v>307</v>
      </c>
      <c r="F740" s="32" t="s">
        <v>1773</v>
      </c>
      <c r="G740" s="36" t="e">
        <v>#N/A</v>
      </c>
      <c r="H740" s="33"/>
      <c r="I740" s="33"/>
      <c r="J740" s="33"/>
      <c r="K740" s="33"/>
      <c r="L740" s="33"/>
      <c r="M740" s="33"/>
    </row>
    <row r="741">
      <c r="A741" s="32" t="s">
        <v>100</v>
      </c>
      <c r="B741" s="32" t="s">
        <v>1774</v>
      </c>
      <c r="C741" s="35">
        <v>-11.92870045</v>
      </c>
      <c r="D741" s="35">
        <v>-77.06109619</v>
      </c>
      <c r="E741" s="32" t="s">
        <v>307</v>
      </c>
      <c r="F741" s="32" t="s">
        <v>1775</v>
      </c>
      <c r="G741" s="36" t="e">
        <v>#N/A</v>
      </c>
      <c r="H741" s="33"/>
      <c r="I741" s="33"/>
      <c r="J741" s="33"/>
      <c r="K741" s="33"/>
      <c r="L741" s="33"/>
      <c r="M741" s="33"/>
    </row>
    <row r="742">
      <c r="A742" s="32" t="s">
        <v>100</v>
      </c>
      <c r="B742" s="32" t="s">
        <v>1776</v>
      </c>
      <c r="C742" s="35">
        <v>-11.12860012</v>
      </c>
      <c r="D742" s="35">
        <v>-75.35050201</v>
      </c>
      <c r="E742" s="32" t="s">
        <v>307</v>
      </c>
      <c r="F742" s="32" t="s">
        <v>1777</v>
      </c>
      <c r="G742" s="36" t="e">
        <v>#N/A</v>
      </c>
      <c r="H742" s="33"/>
      <c r="I742" s="33"/>
      <c r="J742" s="33"/>
      <c r="K742" s="33"/>
      <c r="L742" s="33"/>
      <c r="M742" s="33"/>
    </row>
    <row r="743">
      <c r="A743" s="32" t="s">
        <v>100</v>
      </c>
      <c r="B743" s="32" t="s">
        <v>1778</v>
      </c>
      <c r="C743" s="35">
        <v>-34.78919983</v>
      </c>
      <c r="D743" s="35">
        <v>-56.26470184</v>
      </c>
      <c r="E743" s="32" t="s">
        <v>1779</v>
      </c>
      <c r="F743" s="32" t="s">
        <v>1780</v>
      </c>
      <c r="G743" s="36" t="e">
        <v>#N/A</v>
      </c>
      <c r="H743" s="33"/>
      <c r="I743" s="33"/>
      <c r="J743" s="33"/>
      <c r="K743" s="33"/>
      <c r="L743" s="33"/>
      <c r="M743" s="33"/>
    </row>
    <row r="744">
      <c r="A744" s="32" t="s">
        <v>100</v>
      </c>
      <c r="B744" s="32" t="s">
        <v>1781</v>
      </c>
      <c r="C744" s="35">
        <v>-33.35889816</v>
      </c>
      <c r="D744" s="35">
        <v>-56.49919891</v>
      </c>
      <c r="E744" s="32" t="s">
        <v>1779</v>
      </c>
      <c r="F744" s="32" t="s">
        <v>1782</v>
      </c>
      <c r="G744" s="36" t="e">
        <v>#N/A</v>
      </c>
      <c r="H744" s="33"/>
      <c r="I744" s="33"/>
      <c r="J744" s="33"/>
      <c r="K744" s="33"/>
      <c r="L744" s="33"/>
      <c r="M744" s="33"/>
    </row>
    <row r="745">
      <c r="A745" s="32" t="s">
        <v>100</v>
      </c>
      <c r="B745" s="32" t="s">
        <v>1783</v>
      </c>
      <c r="C745" s="35">
        <v>4.051040173</v>
      </c>
      <c r="D745" s="35">
        <v>-67.6996994</v>
      </c>
      <c r="E745" s="32" t="s">
        <v>315</v>
      </c>
      <c r="F745" s="32" t="s">
        <v>1784</v>
      </c>
      <c r="G745" s="36" t="e">
        <v>#N/A</v>
      </c>
      <c r="H745" s="33"/>
      <c r="I745" s="33"/>
      <c r="J745" s="33"/>
      <c r="K745" s="33"/>
      <c r="L745" s="33"/>
      <c r="M745" s="33"/>
    </row>
    <row r="746">
      <c r="A746" s="32" t="s">
        <v>100</v>
      </c>
      <c r="B746" s="32" t="s">
        <v>1785</v>
      </c>
      <c r="C746" s="35">
        <v>10.18337536</v>
      </c>
      <c r="D746" s="35">
        <v>-67.55731964</v>
      </c>
      <c r="E746" s="32" t="s">
        <v>315</v>
      </c>
      <c r="F746" s="32" t="s">
        <v>1786</v>
      </c>
      <c r="G746" s="36" t="e">
        <v>#N/A</v>
      </c>
      <c r="H746" s="33"/>
      <c r="I746" s="33"/>
      <c r="J746" s="33"/>
      <c r="K746" s="33"/>
      <c r="L746" s="33"/>
      <c r="M746" s="33"/>
    </row>
    <row r="747">
      <c r="A747" s="32" t="s">
        <v>100</v>
      </c>
      <c r="B747" s="32" t="s">
        <v>1787</v>
      </c>
      <c r="C747" s="35">
        <v>7.625510216</v>
      </c>
      <c r="D747" s="35">
        <v>-66.16280365</v>
      </c>
      <c r="E747" s="32" t="s">
        <v>315</v>
      </c>
      <c r="F747" s="32" t="s">
        <v>1788</v>
      </c>
      <c r="G747" s="36" t="e">
        <v>#N/A</v>
      </c>
      <c r="H747" s="33"/>
      <c r="I747" s="33"/>
      <c r="J747" s="33"/>
      <c r="K747" s="33"/>
      <c r="L747" s="33"/>
      <c r="M747" s="33"/>
    </row>
    <row r="748">
      <c r="A748" s="32" t="s">
        <v>100</v>
      </c>
      <c r="B748" s="32" t="s">
        <v>1789</v>
      </c>
      <c r="C748" s="35">
        <v>9.647720337</v>
      </c>
      <c r="D748" s="35">
        <v>-68.5746994</v>
      </c>
      <c r="E748" s="32" t="s">
        <v>315</v>
      </c>
      <c r="F748" s="32" t="s">
        <v>1790</v>
      </c>
      <c r="G748" s="36" t="e">
        <v>#N/A</v>
      </c>
      <c r="H748" s="33"/>
      <c r="I748" s="33"/>
      <c r="J748" s="33"/>
      <c r="K748" s="33"/>
      <c r="L748" s="33"/>
      <c r="M748" s="33"/>
    </row>
    <row r="749">
      <c r="A749" s="32" t="s">
        <v>100</v>
      </c>
      <c r="B749" s="32" t="s">
        <v>1791</v>
      </c>
      <c r="C749" s="35">
        <v>8.924655914</v>
      </c>
      <c r="D749" s="35">
        <v>-67.41709137</v>
      </c>
      <c r="E749" s="32" t="s">
        <v>315</v>
      </c>
      <c r="F749" s="32" t="s">
        <v>1792</v>
      </c>
      <c r="G749" s="36" t="e">
        <v>#N/A</v>
      </c>
      <c r="H749" s="33"/>
      <c r="I749" s="33"/>
      <c r="J749" s="33"/>
      <c r="K749" s="33"/>
      <c r="L749" s="33"/>
      <c r="M749" s="33"/>
    </row>
    <row r="750">
      <c r="A750" s="32" t="s">
        <v>100</v>
      </c>
      <c r="B750" s="32" t="s">
        <v>1793</v>
      </c>
      <c r="C750" s="35">
        <v>10.17560291</v>
      </c>
      <c r="D750" s="35">
        <v>-70.06521606</v>
      </c>
      <c r="E750" s="32" t="s">
        <v>315</v>
      </c>
      <c r="F750" s="32" t="s">
        <v>1794</v>
      </c>
      <c r="G750" s="36" t="e">
        <v>#N/A</v>
      </c>
      <c r="H750" s="33"/>
      <c r="I750" s="33"/>
      <c r="J750" s="33"/>
      <c r="K750" s="33"/>
      <c r="L750" s="33"/>
      <c r="M750" s="33"/>
    </row>
    <row r="751">
      <c r="A751" s="32" t="s">
        <v>100</v>
      </c>
      <c r="B751" s="32" t="s">
        <v>1795</v>
      </c>
      <c r="C751" s="35">
        <v>10.28611088</v>
      </c>
      <c r="D751" s="35">
        <v>-66.8161087</v>
      </c>
      <c r="E751" s="32" t="s">
        <v>315</v>
      </c>
      <c r="F751" s="32" t="s">
        <v>1796</v>
      </c>
      <c r="G751" s="36" t="e">
        <v>#N/A</v>
      </c>
      <c r="H751" s="33"/>
      <c r="I751" s="33"/>
      <c r="J751" s="33"/>
      <c r="K751" s="33"/>
      <c r="L751" s="33"/>
      <c r="M751" s="33"/>
    </row>
    <row r="752">
      <c r="A752" s="32" t="s">
        <v>100</v>
      </c>
      <c r="B752" s="32" t="s">
        <v>1797</v>
      </c>
      <c r="C752" s="35">
        <v>9.372650146</v>
      </c>
      <c r="D752" s="35">
        <v>-66.92279816</v>
      </c>
      <c r="E752" s="32" t="s">
        <v>315</v>
      </c>
      <c r="F752" s="32" t="s">
        <v>1798</v>
      </c>
      <c r="G752" s="36" t="e">
        <v>#N/A</v>
      </c>
      <c r="H752" s="33"/>
      <c r="I752" s="33"/>
      <c r="J752" s="33"/>
      <c r="K752" s="33"/>
      <c r="L752" s="33"/>
      <c r="M752" s="33"/>
    </row>
    <row r="753">
      <c r="A753" s="32" t="s">
        <v>100</v>
      </c>
      <c r="B753" s="32" t="s">
        <v>1608</v>
      </c>
      <c r="C753" s="35">
        <v>6.733333111</v>
      </c>
      <c r="D753" s="35">
        <v>-61.58333206</v>
      </c>
      <c r="E753" s="32" t="s">
        <v>315</v>
      </c>
      <c r="F753" s="32" t="s">
        <v>1609</v>
      </c>
      <c r="G753" s="36" t="e">
        <v>#N/A</v>
      </c>
      <c r="H753" s="33"/>
      <c r="I753" s="33"/>
      <c r="J753" s="33"/>
      <c r="K753" s="33"/>
      <c r="L753" s="33"/>
      <c r="M753" s="33"/>
    </row>
    <row r="754">
      <c r="A754" s="32" t="s">
        <v>100</v>
      </c>
      <c r="B754" s="32" t="s">
        <v>1799</v>
      </c>
      <c r="C754" s="35">
        <v>7.083333015</v>
      </c>
      <c r="D754" s="35">
        <v>-69.53333282</v>
      </c>
      <c r="E754" s="32" t="s">
        <v>315</v>
      </c>
      <c r="F754" s="32" t="s">
        <v>1800</v>
      </c>
      <c r="G754" s="36" t="e">
        <v>#N/A</v>
      </c>
      <c r="H754" s="33"/>
      <c r="I754" s="33"/>
      <c r="J754" s="33"/>
      <c r="K754" s="33"/>
      <c r="L754" s="33"/>
      <c r="M754" s="33"/>
    </row>
    <row r="755">
      <c r="A755" s="32" t="s">
        <v>100</v>
      </c>
      <c r="B755" s="32" t="s">
        <v>1801</v>
      </c>
      <c r="C755" s="35">
        <v>7.233333111</v>
      </c>
      <c r="D755" s="35">
        <v>-70.80000305</v>
      </c>
      <c r="E755" s="32" t="s">
        <v>315</v>
      </c>
      <c r="F755" s="32" t="s">
        <v>1802</v>
      </c>
      <c r="G755" s="36" t="e">
        <v>#N/A</v>
      </c>
      <c r="H755" s="33"/>
      <c r="I755" s="33"/>
      <c r="J755" s="33"/>
      <c r="K755" s="33"/>
      <c r="L755" s="33"/>
      <c r="M755" s="33"/>
    </row>
    <row r="756">
      <c r="A756" s="32" t="s">
        <v>100</v>
      </c>
      <c r="B756" s="32" t="s">
        <v>1803</v>
      </c>
      <c r="C756" s="35">
        <v>10.462474</v>
      </c>
      <c r="D756" s="35">
        <v>-66.092779</v>
      </c>
      <c r="E756" s="32" t="s">
        <v>315</v>
      </c>
      <c r="F756" s="32" t="s">
        <v>1804</v>
      </c>
      <c r="G756" s="36" t="e">
        <v>#N/A</v>
      </c>
      <c r="H756" s="33"/>
      <c r="I756" s="33"/>
      <c r="J756" s="33"/>
      <c r="K756" s="33"/>
      <c r="L756" s="33"/>
      <c r="M756" s="33"/>
    </row>
    <row r="757">
      <c r="A757" s="32" t="s">
        <v>100</v>
      </c>
      <c r="B757" s="32" t="s">
        <v>1805</v>
      </c>
      <c r="C757" s="35">
        <v>10.794432</v>
      </c>
      <c r="D757" s="35">
        <v>-63.98159</v>
      </c>
      <c r="E757" s="32" t="s">
        <v>315</v>
      </c>
      <c r="F757" s="32" t="s">
        <v>1806</v>
      </c>
      <c r="G757" s="36" t="e">
        <v>#N/A</v>
      </c>
      <c r="H757" s="33"/>
      <c r="I757" s="33"/>
      <c r="J757" s="33"/>
      <c r="K757" s="33"/>
      <c r="L757" s="33"/>
      <c r="M757" s="33"/>
    </row>
    <row r="758">
      <c r="A758" s="32" t="s">
        <v>100</v>
      </c>
      <c r="B758" s="32" t="s">
        <v>1807</v>
      </c>
      <c r="C758" s="35">
        <v>9.906952858</v>
      </c>
      <c r="D758" s="35">
        <v>-67.37963867</v>
      </c>
      <c r="E758" s="32" t="s">
        <v>315</v>
      </c>
      <c r="F758" s="32" t="s">
        <v>1808</v>
      </c>
      <c r="G758" s="36" t="e">
        <v>#N/A</v>
      </c>
      <c r="H758" s="33"/>
      <c r="I758" s="33"/>
      <c r="J758" s="33"/>
      <c r="K758" s="33"/>
      <c r="L758" s="33"/>
      <c r="M758" s="33"/>
    </row>
    <row r="759">
      <c r="A759" s="32" t="s">
        <v>100</v>
      </c>
      <c r="B759" s="32" t="s">
        <v>1809</v>
      </c>
      <c r="C759" s="35">
        <v>11.80720043</v>
      </c>
      <c r="D759" s="35">
        <v>-66.17960358</v>
      </c>
      <c r="E759" s="32" t="s">
        <v>315</v>
      </c>
      <c r="F759" s="32" t="s">
        <v>1810</v>
      </c>
      <c r="G759" s="36" t="e">
        <v>#N/A</v>
      </c>
      <c r="H759" s="33"/>
      <c r="I759" s="33"/>
      <c r="J759" s="33"/>
      <c r="K759" s="33"/>
      <c r="L759" s="33"/>
      <c r="M759" s="33"/>
    </row>
    <row r="760">
      <c r="A760" s="32" t="s">
        <v>100</v>
      </c>
      <c r="B760" s="32" t="s">
        <v>1811</v>
      </c>
      <c r="C760" s="35">
        <v>7.801320076</v>
      </c>
      <c r="D760" s="35">
        <v>-72.20290375</v>
      </c>
      <c r="E760" s="32" t="s">
        <v>315</v>
      </c>
      <c r="F760" s="32" t="s">
        <v>1812</v>
      </c>
      <c r="G760" s="36" t="e">
        <v>#N/A</v>
      </c>
      <c r="H760" s="33"/>
      <c r="I760" s="33"/>
      <c r="J760" s="33"/>
      <c r="K760" s="33"/>
      <c r="L760" s="33"/>
      <c r="M760" s="33"/>
    </row>
    <row r="761">
      <c r="A761" s="32" t="s">
        <v>100</v>
      </c>
      <c r="B761" s="32" t="s">
        <v>1813</v>
      </c>
      <c r="C761" s="35">
        <v>7.566669941</v>
      </c>
      <c r="D761" s="35">
        <v>-70.1832962</v>
      </c>
      <c r="E761" s="32" t="s">
        <v>315</v>
      </c>
      <c r="F761" s="32" t="s">
        <v>1814</v>
      </c>
      <c r="G761" s="36" t="e">
        <v>#N/A</v>
      </c>
      <c r="H761" s="33"/>
      <c r="I761" s="33"/>
      <c r="J761" s="33"/>
      <c r="K761" s="33"/>
      <c r="L761" s="33"/>
      <c r="M761" s="33"/>
    </row>
    <row r="762">
      <c r="A762" s="32" t="s">
        <v>100</v>
      </c>
      <c r="B762" s="32" t="s">
        <v>1815</v>
      </c>
      <c r="C762" s="35">
        <v>7.803514004</v>
      </c>
      <c r="D762" s="35">
        <v>-71.16571808</v>
      </c>
      <c r="E762" s="32" t="s">
        <v>315</v>
      </c>
      <c r="F762" s="32" t="s">
        <v>1816</v>
      </c>
      <c r="G762" s="36" t="e">
        <v>#N/A</v>
      </c>
      <c r="H762" s="33"/>
      <c r="I762" s="33"/>
      <c r="J762" s="33"/>
      <c r="K762" s="33"/>
      <c r="L762" s="33"/>
      <c r="M762" s="33"/>
    </row>
    <row r="763">
      <c r="A763" s="32" t="s">
        <v>100</v>
      </c>
      <c r="B763" s="32" t="s">
        <v>1817</v>
      </c>
      <c r="C763" s="35">
        <v>10.27869987</v>
      </c>
      <c r="D763" s="35">
        <v>-68.75520325</v>
      </c>
      <c r="E763" s="32" t="s">
        <v>315</v>
      </c>
      <c r="F763" s="32" t="s">
        <v>1818</v>
      </c>
      <c r="G763" s="36" t="e">
        <v>#N/A</v>
      </c>
      <c r="H763" s="33"/>
      <c r="I763" s="33"/>
      <c r="J763" s="33"/>
      <c r="K763" s="33"/>
      <c r="L763" s="33"/>
      <c r="M763" s="33"/>
    </row>
    <row r="764">
      <c r="A764" s="32" t="s">
        <v>100</v>
      </c>
      <c r="B764" s="32" t="s">
        <v>1819</v>
      </c>
      <c r="C764" s="35">
        <v>7.24938</v>
      </c>
      <c r="D764" s="35">
        <v>-61.52893</v>
      </c>
      <c r="E764" s="32" t="s">
        <v>315</v>
      </c>
      <c r="F764" s="32" t="s">
        <v>1820</v>
      </c>
      <c r="G764" s="36" t="e">
        <v>#N/A</v>
      </c>
      <c r="H764" s="33"/>
      <c r="I764" s="33"/>
      <c r="J764" s="33"/>
      <c r="K764" s="33"/>
      <c r="L764" s="33"/>
      <c r="M764" s="33"/>
    </row>
    <row r="765">
      <c r="A765" s="32" t="s">
        <v>100</v>
      </c>
      <c r="B765" s="32" t="s">
        <v>1821</v>
      </c>
      <c r="C765" s="35">
        <v>5.965919971</v>
      </c>
      <c r="D765" s="35">
        <v>-58.27030182</v>
      </c>
      <c r="E765" s="32" t="s">
        <v>1822</v>
      </c>
      <c r="F765" s="32" t="s">
        <v>1823</v>
      </c>
      <c r="G765" s="36" t="e">
        <v>#N/A</v>
      </c>
      <c r="H765" s="33"/>
      <c r="I765" s="33"/>
      <c r="J765" s="33"/>
      <c r="K765" s="33"/>
      <c r="L765" s="33"/>
      <c r="M765" s="33"/>
    </row>
    <row r="766">
      <c r="A766" s="32" t="s">
        <v>100</v>
      </c>
      <c r="B766" s="32" t="s">
        <v>1824</v>
      </c>
      <c r="C766" s="35">
        <v>24.26790047</v>
      </c>
      <c r="D766" s="35">
        <v>72.20439911</v>
      </c>
      <c r="E766" s="32" t="s">
        <v>217</v>
      </c>
      <c r="F766" s="32" t="s">
        <v>1825</v>
      </c>
      <c r="G766" s="39" t="s">
        <v>218</v>
      </c>
      <c r="H766" s="33"/>
      <c r="I766" s="33"/>
      <c r="J766" s="33"/>
      <c r="K766" s="33"/>
      <c r="L766" s="33"/>
      <c r="M766" s="33"/>
    </row>
    <row r="767">
      <c r="A767" s="32" t="s">
        <v>100</v>
      </c>
      <c r="B767" s="32" t="s">
        <v>1826</v>
      </c>
      <c r="C767" s="35">
        <v>24.65469933</v>
      </c>
      <c r="D767" s="35">
        <v>77.34729767</v>
      </c>
      <c r="E767" s="32" t="s">
        <v>217</v>
      </c>
      <c r="F767" s="32" t="s">
        <v>1827</v>
      </c>
      <c r="G767" s="39" t="s">
        <v>218</v>
      </c>
      <c r="H767" s="33"/>
      <c r="I767" s="33"/>
      <c r="J767" s="33"/>
      <c r="K767" s="33"/>
      <c r="L767" s="33"/>
      <c r="M767" s="33"/>
    </row>
    <row r="768">
      <c r="A768" s="32" t="s">
        <v>100</v>
      </c>
      <c r="B768" s="32" t="s">
        <v>1828</v>
      </c>
      <c r="C768" s="35">
        <v>7.70576</v>
      </c>
      <c r="D768" s="35">
        <v>81.678802</v>
      </c>
      <c r="E768" s="32" t="s">
        <v>1829</v>
      </c>
      <c r="F768" s="32" t="s">
        <v>1830</v>
      </c>
      <c r="G768" s="36" t="e">
        <v>#N/A</v>
      </c>
      <c r="H768" s="33"/>
      <c r="I768" s="33"/>
      <c r="J768" s="33"/>
      <c r="K768" s="33"/>
      <c r="L768" s="33"/>
      <c r="M768" s="33"/>
    </row>
    <row r="769">
      <c r="A769" s="32" t="s">
        <v>100</v>
      </c>
      <c r="B769" s="32" t="s">
        <v>1831</v>
      </c>
      <c r="C769" s="35">
        <v>12.25520039</v>
      </c>
      <c r="D769" s="35">
        <v>104.564003</v>
      </c>
      <c r="E769" s="32" t="s">
        <v>1832</v>
      </c>
      <c r="F769" s="32" t="s">
        <v>1833</v>
      </c>
      <c r="G769" s="36" t="e">
        <v>#N/A</v>
      </c>
      <c r="H769" s="33"/>
      <c r="I769" s="33"/>
      <c r="J769" s="33"/>
      <c r="K769" s="33"/>
      <c r="L769" s="33"/>
      <c r="M769" s="33"/>
    </row>
    <row r="770">
      <c r="A770" s="32" t="s">
        <v>100</v>
      </c>
      <c r="B770" s="32" t="s">
        <v>1834</v>
      </c>
      <c r="C770" s="35">
        <v>28.1753006</v>
      </c>
      <c r="D770" s="35">
        <v>94.80200195</v>
      </c>
      <c r="E770" s="32" t="s">
        <v>217</v>
      </c>
      <c r="F770" s="32" t="s">
        <v>1835</v>
      </c>
      <c r="G770" s="39" t="s">
        <v>218</v>
      </c>
      <c r="H770" s="33"/>
      <c r="I770" s="33"/>
      <c r="J770" s="33"/>
      <c r="K770" s="33"/>
      <c r="L770" s="33"/>
      <c r="M770" s="33"/>
    </row>
    <row r="771">
      <c r="A771" s="32" t="s">
        <v>100</v>
      </c>
      <c r="B771" s="32" t="s">
        <v>1836</v>
      </c>
      <c r="C771" s="35">
        <v>23.64349937</v>
      </c>
      <c r="D771" s="35">
        <v>86.14890289</v>
      </c>
      <c r="E771" s="32" t="s">
        <v>217</v>
      </c>
      <c r="F771" s="32" t="s">
        <v>1837</v>
      </c>
      <c r="G771" s="39" t="s">
        <v>218</v>
      </c>
      <c r="H771" s="33"/>
      <c r="I771" s="33"/>
      <c r="J771" s="33"/>
      <c r="K771" s="33"/>
      <c r="L771" s="33"/>
      <c r="M771" s="33"/>
    </row>
    <row r="772">
      <c r="A772" s="32" t="s">
        <v>100</v>
      </c>
      <c r="B772" s="32" t="s">
        <v>1838</v>
      </c>
      <c r="C772" s="35">
        <v>21.5802002</v>
      </c>
      <c r="D772" s="35">
        <v>84.00569916</v>
      </c>
      <c r="E772" s="32" t="s">
        <v>217</v>
      </c>
      <c r="F772" s="32" t="s">
        <v>1839</v>
      </c>
      <c r="G772" s="39" t="s">
        <v>218</v>
      </c>
      <c r="H772" s="33"/>
      <c r="I772" s="33"/>
      <c r="J772" s="33"/>
      <c r="K772" s="33"/>
      <c r="L772" s="33"/>
      <c r="M772" s="33"/>
    </row>
    <row r="773">
      <c r="A773" s="32" t="s">
        <v>100</v>
      </c>
      <c r="B773" s="32" t="s">
        <v>1840</v>
      </c>
      <c r="C773" s="35">
        <v>21.91349983</v>
      </c>
      <c r="D773" s="35">
        <v>84.05039978</v>
      </c>
      <c r="E773" s="32" t="s">
        <v>217</v>
      </c>
      <c r="F773" s="32" t="s">
        <v>1841</v>
      </c>
      <c r="G773" s="39" t="s">
        <v>218</v>
      </c>
      <c r="H773" s="33"/>
      <c r="I773" s="33"/>
      <c r="J773" s="33"/>
      <c r="K773" s="33"/>
      <c r="L773" s="33"/>
      <c r="M773" s="33"/>
    </row>
    <row r="774">
      <c r="A774" s="32" t="s">
        <v>100</v>
      </c>
      <c r="B774" s="32" t="s">
        <v>1842</v>
      </c>
      <c r="C774" s="35">
        <v>26.11910057</v>
      </c>
      <c r="D774" s="35">
        <v>85.31369781</v>
      </c>
      <c r="E774" s="32" t="s">
        <v>217</v>
      </c>
      <c r="F774" s="32" t="s">
        <v>1843</v>
      </c>
      <c r="G774" s="39" t="s">
        <v>218</v>
      </c>
      <c r="H774" s="33"/>
      <c r="I774" s="33"/>
      <c r="J774" s="33"/>
      <c r="K774" s="33"/>
      <c r="L774" s="33"/>
      <c r="M774" s="33"/>
    </row>
    <row r="775">
      <c r="A775" s="32" t="s">
        <v>100</v>
      </c>
      <c r="B775" s="32" t="s">
        <v>1844</v>
      </c>
      <c r="C775" s="35">
        <v>20.87000084</v>
      </c>
      <c r="D775" s="35">
        <v>82.51959991</v>
      </c>
      <c r="E775" s="32" t="s">
        <v>217</v>
      </c>
      <c r="F775" s="32" t="s">
        <v>1845</v>
      </c>
      <c r="G775" s="39" t="s">
        <v>218</v>
      </c>
      <c r="H775" s="33"/>
      <c r="I775" s="33"/>
      <c r="J775" s="33"/>
      <c r="K775" s="33"/>
      <c r="L775" s="33"/>
      <c r="M775" s="33"/>
    </row>
    <row r="776">
      <c r="A776" s="32" t="s">
        <v>100</v>
      </c>
      <c r="B776" s="32" t="s">
        <v>1846</v>
      </c>
      <c r="C776" s="35">
        <v>25.75959969</v>
      </c>
      <c r="D776" s="35">
        <v>87.41000366</v>
      </c>
      <c r="E776" s="32" t="s">
        <v>217</v>
      </c>
      <c r="F776" s="32" t="s">
        <v>1847</v>
      </c>
      <c r="G776" s="39" t="s">
        <v>218</v>
      </c>
      <c r="H776" s="33"/>
      <c r="I776" s="33"/>
      <c r="J776" s="33"/>
      <c r="K776" s="33"/>
      <c r="L776" s="33"/>
      <c r="M776" s="33"/>
    </row>
    <row r="777">
      <c r="A777" s="32" t="s">
        <v>100</v>
      </c>
      <c r="B777" s="32" t="s">
        <v>1848</v>
      </c>
      <c r="C777" s="35">
        <v>20.09740067</v>
      </c>
      <c r="D777" s="35">
        <v>83.18379974</v>
      </c>
      <c r="E777" s="32" t="s">
        <v>217</v>
      </c>
      <c r="F777" s="32" t="s">
        <v>1849</v>
      </c>
      <c r="G777" s="39" t="s">
        <v>218</v>
      </c>
      <c r="H777" s="33"/>
      <c r="I777" s="33"/>
      <c r="J777" s="33"/>
      <c r="K777" s="33"/>
      <c r="L777" s="33"/>
      <c r="M777" s="33"/>
    </row>
    <row r="778">
      <c r="A778" s="32" t="s">
        <v>100</v>
      </c>
      <c r="B778" s="32" t="s">
        <v>1850</v>
      </c>
      <c r="C778" s="35">
        <v>27.5883007</v>
      </c>
      <c r="D778" s="35">
        <v>93.82810211</v>
      </c>
      <c r="E778" s="32" t="s">
        <v>217</v>
      </c>
      <c r="F778" s="32" t="s">
        <v>1851</v>
      </c>
      <c r="G778" s="39" t="s">
        <v>218</v>
      </c>
      <c r="H778" s="33"/>
      <c r="I778" s="33"/>
      <c r="J778" s="33"/>
      <c r="K778" s="33"/>
      <c r="L778" s="33"/>
      <c r="M778" s="33"/>
    </row>
    <row r="779">
      <c r="A779" s="32" t="s">
        <v>100</v>
      </c>
      <c r="B779" s="32" t="s">
        <v>1852</v>
      </c>
      <c r="C779" s="35">
        <v>23.77879906</v>
      </c>
      <c r="D779" s="35">
        <v>90.38269806</v>
      </c>
      <c r="E779" s="32" t="s">
        <v>1853</v>
      </c>
      <c r="F779" s="32" t="s">
        <v>1854</v>
      </c>
      <c r="G779" s="36" t="e">
        <v>#N/A</v>
      </c>
      <c r="H779" s="33"/>
      <c r="I779" s="33"/>
      <c r="J779" s="33"/>
      <c r="K779" s="33"/>
      <c r="L779" s="33"/>
      <c r="M779" s="33"/>
    </row>
    <row r="780">
      <c r="A780" s="32" t="s">
        <v>100</v>
      </c>
      <c r="B780" s="32" t="s">
        <v>1855</v>
      </c>
      <c r="C780" s="35">
        <v>22.43659973</v>
      </c>
      <c r="D780" s="35">
        <v>114.0800018</v>
      </c>
      <c r="E780" s="32" t="s">
        <v>163</v>
      </c>
      <c r="F780" s="32" t="s">
        <v>1856</v>
      </c>
      <c r="G780" s="39" t="s">
        <v>164</v>
      </c>
      <c r="H780" s="33"/>
      <c r="I780" s="33"/>
      <c r="J780" s="33"/>
      <c r="K780" s="33"/>
      <c r="L780" s="33"/>
      <c r="M780" s="33"/>
    </row>
    <row r="781">
      <c r="A781" s="32" t="s">
        <v>100</v>
      </c>
      <c r="B781" s="32" t="s">
        <v>1857</v>
      </c>
      <c r="C781" s="35">
        <v>28.07060051</v>
      </c>
      <c r="D781" s="35">
        <v>73.2071991</v>
      </c>
      <c r="E781" s="32" t="s">
        <v>217</v>
      </c>
      <c r="F781" s="32" t="s">
        <v>1858</v>
      </c>
      <c r="G781" s="39" t="s">
        <v>218</v>
      </c>
      <c r="H781" s="33"/>
      <c r="I781" s="33"/>
      <c r="J781" s="33"/>
      <c r="K781" s="33"/>
      <c r="L781" s="33"/>
      <c r="M781" s="33"/>
    </row>
    <row r="782">
      <c r="A782" s="32" t="s">
        <v>100</v>
      </c>
      <c r="B782" s="32" t="s">
        <v>1859</v>
      </c>
      <c r="C782" s="35">
        <v>28.83699989</v>
      </c>
      <c r="D782" s="35">
        <v>76.17910004</v>
      </c>
      <c r="E782" s="32" t="s">
        <v>217</v>
      </c>
      <c r="F782" s="32" t="s">
        <v>1860</v>
      </c>
      <c r="G782" s="39" t="s">
        <v>218</v>
      </c>
      <c r="H782" s="33"/>
      <c r="I782" s="33"/>
      <c r="J782" s="33"/>
      <c r="K782" s="33"/>
      <c r="L782" s="33"/>
      <c r="M782" s="33"/>
    </row>
    <row r="783">
      <c r="A783" s="32" t="s">
        <v>100</v>
      </c>
      <c r="B783" s="32" t="s">
        <v>1861</v>
      </c>
      <c r="C783" s="35">
        <v>28.58449936</v>
      </c>
      <c r="D783" s="35">
        <v>77.20580292</v>
      </c>
      <c r="E783" s="32" t="s">
        <v>217</v>
      </c>
      <c r="F783" s="32" t="s">
        <v>1862</v>
      </c>
      <c r="G783" s="39" t="s">
        <v>218</v>
      </c>
      <c r="H783" s="33"/>
      <c r="I783" s="33"/>
      <c r="J783" s="33"/>
      <c r="K783" s="33"/>
      <c r="L783" s="33"/>
      <c r="M783" s="33"/>
    </row>
    <row r="784">
      <c r="A784" s="32" t="s">
        <v>100</v>
      </c>
      <c r="B784" s="32" t="s">
        <v>1863</v>
      </c>
      <c r="C784" s="35">
        <v>29.17939949</v>
      </c>
      <c r="D784" s="35">
        <v>75.75530243</v>
      </c>
      <c r="E784" s="32" t="s">
        <v>217</v>
      </c>
      <c r="F784" s="32" t="s">
        <v>1864</v>
      </c>
      <c r="G784" s="39" t="s">
        <v>218</v>
      </c>
      <c r="H784" s="33"/>
      <c r="I784" s="33"/>
      <c r="J784" s="33"/>
      <c r="K784" s="33"/>
      <c r="L784" s="33"/>
      <c r="M784" s="33"/>
    </row>
    <row r="785">
      <c r="A785" s="32" t="s">
        <v>100</v>
      </c>
      <c r="B785" s="32" t="s">
        <v>1865</v>
      </c>
      <c r="C785" s="35">
        <v>25.49119949</v>
      </c>
      <c r="D785" s="35">
        <v>78.55840302</v>
      </c>
      <c r="E785" s="32" t="s">
        <v>217</v>
      </c>
      <c r="F785" s="32" t="s">
        <v>1866</v>
      </c>
      <c r="G785" s="39" t="s">
        <v>218</v>
      </c>
      <c r="H785" s="33"/>
      <c r="I785" s="33"/>
      <c r="J785" s="33"/>
      <c r="K785" s="33"/>
      <c r="L785" s="33"/>
      <c r="M785" s="33"/>
    </row>
    <row r="786">
      <c r="A786" s="32" t="s">
        <v>100</v>
      </c>
      <c r="B786" s="32" t="s">
        <v>1867</v>
      </c>
      <c r="C786" s="35">
        <v>30.31480026</v>
      </c>
      <c r="D786" s="35">
        <v>76.36450195</v>
      </c>
      <c r="E786" s="32" t="s">
        <v>217</v>
      </c>
      <c r="F786" s="32" t="s">
        <v>1868</v>
      </c>
      <c r="G786" s="39" t="s">
        <v>218</v>
      </c>
      <c r="H786" s="33"/>
      <c r="I786" s="33"/>
      <c r="J786" s="33"/>
      <c r="K786" s="33"/>
      <c r="L786" s="33"/>
      <c r="M786" s="33"/>
    </row>
    <row r="787">
      <c r="A787" s="32" t="s">
        <v>100</v>
      </c>
      <c r="B787" s="32" t="s">
        <v>1869</v>
      </c>
      <c r="C787" s="35">
        <v>26.24850082</v>
      </c>
      <c r="D787" s="35">
        <v>81.38050079</v>
      </c>
      <c r="E787" s="32" t="s">
        <v>217</v>
      </c>
      <c r="F787" s="32" t="s">
        <v>1870</v>
      </c>
      <c r="G787" s="39" t="s">
        <v>218</v>
      </c>
      <c r="H787" s="33"/>
      <c r="I787" s="33"/>
      <c r="J787" s="33"/>
      <c r="K787" s="33"/>
      <c r="L787" s="33"/>
      <c r="M787" s="33"/>
    </row>
    <row r="788">
      <c r="A788" s="32" t="s">
        <v>100</v>
      </c>
      <c r="B788" s="32" t="s">
        <v>1871</v>
      </c>
      <c r="C788" s="35">
        <v>19.45490074</v>
      </c>
      <c r="D788" s="35">
        <v>103.2180023</v>
      </c>
      <c r="E788" s="32" t="s">
        <v>1872</v>
      </c>
      <c r="F788" s="32" t="s">
        <v>1873</v>
      </c>
      <c r="G788" s="36" t="e">
        <v>#N/A</v>
      </c>
      <c r="H788" s="33"/>
      <c r="I788" s="33"/>
      <c r="J788" s="33"/>
      <c r="K788" s="33"/>
      <c r="L788" s="33"/>
      <c r="M788" s="33"/>
    </row>
    <row r="789">
      <c r="A789" s="32" t="s">
        <v>100</v>
      </c>
      <c r="B789" s="32" t="s">
        <v>1874</v>
      </c>
      <c r="C789" s="35">
        <v>20.41839981</v>
      </c>
      <c r="D789" s="35">
        <v>104.0670013</v>
      </c>
      <c r="E789" s="32" t="s">
        <v>1872</v>
      </c>
      <c r="F789" s="32" t="s">
        <v>1875</v>
      </c>
      <c r="G789" s="36" t="e">
        <v>#N/A</v>
      </c>
      <c r="H789" s="33"/>
      <c r="I789" s="33"/>
      <c r="J789" s="33"/>
      <c r="K789" s="33"/>
      <c r="L789" s="33"/>
      <c r="M789" s="33"/>
    </row>
    <row r="790">
      <c r="A790" s="32" t="s">
        <v>100</v>
      </c>
      <c r="B790" s="32" t="s">
        <v>1876</v>
      </c>
      <c r="C790" s="35">
        <v>26.70879936</v>
      </c>
      <c r="D790" s="35">
        <v>85.92240143</v>
      </c>
      <c r="E790" s="32" t="s">
        <v>1877</v>
      </c>
      <c r="F790" s="32" t="s">
        <v>1878</v>
      </c>
      <c r="G790" s="36" t="e">
        <v>#N/A</v>
      </c>
      <c r="H790" s="33"/>
      <c r="I790" s="33"/>
      <c r="J790" s="33"/>
      <c r="K790" s="33"/>
      <c r="L790" s="33"/>
      <c r="M790" s="33"/>
    </row>
    <row r="791">
      <c r="A791" s="32" t="s">
        <v>100</v>
      </c>
      <c r="B791" s="32" t="s">
        <v>1879</v>
      </c>
      <c r="C791" s="35">
        <v>17.62719917</v>
      </c>
      <c r="D791" s="35">
        <v>78.40339661</v>
      </c>
      <c r="E791" s="32" t="s">
        <v>217</v>
      </c>
      <c r="F791" s="32" t="s">
        <v>1880</v>
      </c>
      <c r="G791" s="39" t="s">
        <v>218</v>
      </c>
      <c r="H791" s="33"/>
      <c r="I791" s="33"/>
      <c r="J791" s="33"/>
      <c r="K791" s="33"/>
      <c r="L791" s="33"/>
      <c r="M791" s="33"/>
    </row>
    <row r="792">
      <c r="A792" s="32" t="s">
        <v>100</v>
      </c>
      <c r="B792" s="32" t="s">
        <v>1881</v>
      </c>
      <c r="C792" s="35">
        <v>16.54269981</v>
      </c>
      <c r="D792" s="35">
        <v>79.3187027</v>
      </c>
      <c r="E792" s="32" t="s">
        <v>217</v>
      </c>
      <c r="F792" s="32" t="s">
        <v>1882</v>
      </c>
      <c r="G792" s="39" t="s">
        <v>218</v>
      </c>
      <c r="H792" s="33"/>
      <c r="I792" s="33"/>
      <c r="J792" s="33"/>
      <c r="K792" s="33"/>
      <c r="L792" s="33"/>
      <c r="M792" s="33"/>
    </row>
    <row r="793">
      <c r="A793" s="32" t="s">
        <v>100</v>
      </c>
      <c r="B793" s="32" t="s">
        <v>1883</v>
      </c>
      <c r="C793" s="35">
        <v>11.7833004</v>
      </c>
      <c r="D793" s="35">
        <v>78.06559753</v>
      </c>
      <c r="E793" s="32" t="s">
        <v>217</v>
      </c>
      <c r="F793" s="32" t="s">
        <v>1884</v>
      </c>
      <c r="G793" s="39" t="s">
        <v>218</v>
      </c>
      <c r="H793" s="33"/>
      <c r="I793" s="33"/>
      <c r="J793" s="33"/>
      <c r="K793" s="33"/>
      <c r="L793" s="33"/>
      <c r="M793" s="33"/>
    </row>
    <row r="794">
      <c r="A794" s="32" t="s">
        <v>100</v>
      </c>
      <c r="B794" s="32" t="s">
        <v>1885</v>
      </c>
      <c r="C794" s="35">
        <v>10.72239971</v>
      </c>
      <c r="D794" s="35">
        <v>79.10160065</v>
      </c>
      <c r="E794" s="32" t="s">
        <v>217</v>
      </c>
      <c r="F794" s="32" t="s">
        <v>1886</v>
      </c>
      <c r="G794" s="39" t="s">
        <v>218</v>
      </c>
      <c r="H794" s="33"/>
      <c r="I794" s="33"/>
      <c r="J794" s="33"/>
      <c r="K794" s="33"/>
      <c r="L794" s="33"/>
      <c r="M794" s="33"/>
    </row>
    <row r="795">
      <c r="A795" s="32" t="s">
        <v>100</v>
      </c>
      <c r="B795" s="32" t="s">
        <v>1887</v>
      </c>
      <c r="C795" s="35">
        <v>14.10200024</v>
      </c>
      <c r="D795" s="35">
        <v>99.91719818</v>
      </c>
      <c r="E795" s="32" t="s">
        <v>175</v>
      </c>
      <c r="F795" s="32" t="s">
        <v>1888</v>
      </c>
      <c r="G795" s="39" t="s">
        <v>176</v>
      </c>
      <c r="H795" s="33"/>
      <c r="I795" s="33"/>
      <c r="J795" s="33"/>
      <c r="K795" s="33"/>
      <c r="L795" s="33"/>
      <c r="M795" s="33"/>
    </row>
    <row r="796">
      <c r="A796" s="32" t="s">
        <v>100</v>
      </c>
      <c r="B796" s="32" t="s">
        <v>1889</v>
      </c>
      <c r="C796" s="35">
        <v>14.87460041</v>
      </c>
      <c r="D796" s="35">
        <v>100.663002</v>
      </c>
      <c r="E796" s="32" t="s">
        <v>175</v>
      </c>
      <c r="F796" s="32" t="s">
        <v>1890</v>
      </c>
      <c r="G796" s="39" t="s">
        <v>176</v>
      </c>
      <c r="H796" s="33"/>
      <c r="I796" s="33"/>
      <c r="J796" s="33"/>
      <c r="K796" s="33"/>
      <c r="L796" s="33"/>
      <c r="M796" s="33"/>
    </row>
    <row r="797">
      <c r="A797" s="32" t="s">
        <v>100</v>
      </c>
      <c r="B797" s="32" t="s">
        <v>1891</v>
      </c>
      <c r="C797" s="35">
        <v>13.76879978</v>
      </c>
      <c r="D797" s="35">
        <v>102.3150024</v>
      </c>
      <c r="E797" s="32" t="s">
        <v>175</v>
      </c>
      <c r="F797" s="32" t="s">
        <v>1892</v>
      </c>
      <c r="G797" s="39" t="s">
        <v>176</v>
      </c>
      <c r="H797" s="33"/>
      <c r="I797" s="33"/>
      <c r="J797" s="33"/>
      <c r="K797" s="33"/>
      <c r="L797" s="33"/>
      <c r="M797" s="33"/>
    </row>
    <row r="798">
      <c r="A798" s="32" t="s">
        <v>100</v>
      </c>
      <c r="B798" s="32" t="s">
        <v>1893</v>
      </c>
      <c r="C798" s="35">
        <v>15.27729988</v>
      </c>
      <c r="D798" s="35">
        <v>100.2959976</v>
      </c>
      <c r="E798" s="32" t="s">
        <v>175</v>
      </c>
      <c r="F798" s="32" t="s">
        <v>1894</v>
      </c>
      <c r="G798" s="39" t="s">
        <v>176</v>
      </c>
      <c r="H798" s="33"/>
      <c r="I798" s="33"/>
      <c r="J798" s="33"/>
      <c r="K798" s="33"/>
      <c r="L798" s="33"/>
      <c r="M798" s="33"/>
    </row>
    <row r="799">
      <c r="A799" s="32" t="s">
        <v>100</v>
      </c>
      <c r="B799" s="32" t="s">
        <v>1895</v>
      </c>
      <c r="C799" s="35">
        <v>16.82430077</v>
      </c>
      <c r="D799" s="35">
        <v>101.2509995</v>
      </c>
      <c r="E799" s="32" t="s">
        <v>175</v>
      </c>
      <c r="F799" s="32" t="s">
        <v>1896</v>
      </c>
      <c r="G799" s="39" t="s">
        <v>176</v>
      </c>
      <c r="H799" s="33"/>
      <c r="I799" s="33"/>
      <c r="J799" s="33"/>
      <c r="K799" s="33"/>
      <c r="L799" s="33"/>
      <c r="M799" s="33"/>
    </row>
    <row r="800">
      <c r="A800" s="32" t="s">
        <v>100</v>
      </c>
      <c r="B800" s="32" t="s">
        <v>1897</v>
      </c>
      <c r="C800" s="35">
        <v>15.67300034</v>
      </c>
      <c r="D800" s="35">
        <v>100.137001</v>
      </c>
      <c r="E800" s="32" t="s">
        <v>175</v>
      </c>
      <c r="F800" s="32" t="s">
        <v>1894</v>
      </c>
      <c r="G800" s="39" t="s">
        <v>176</v>
      </c>
      <c r="H800" s="33"/>
      <c r="I800" s="33"/>
      <c r="J800" s="33"/>
      <c r="K800" s="33"/>
      <c r="L800" s="33"/>
      <c r="M800" s="33"/>
    </row>
    <row r="801">
      <c r="A801" s="32" t="s">
        <v>100</v>
      </c>
      <c r="B801" s="32" t="s">
        <v>1898</v>
      </c>
      <c r="C801" s="35">
        <v>17.23419952</v>
      </c>
      <c r="D801" s="35">
        <v>99.05789948</v>
      </c>
      <c r="E801" s="32" t="s">
        <v>175</v>
      </c>
      <c r="F801" s="32" t="s">
        <v>1899</v>
      </c>
      <c r="G801" s="39" t="s">
        <v>176</v>
      </c>
      <c r="H801" s="33"/>
      <c r="I801" s="33"/>
      <c r="J801" s="33"/>
      <c r="K801" s="33"/>
      <c r="L801" s="33"/>
      <c r="M801" s="33"/>
    </row>
    <row r="802">
      <c r="A802" s="32" t="s">
        <v>100</v>
      </c>
      <c r="B802" s="32" t="s">
        <v>1900</v>
      </c>
      <c r="C802" s="35">
        <v>6.661399841</v>
      </c>
      <c r="D802" s="35">
        <v>100.0800018</v>
      </c>
      <c r="E802" s="32" t="s">
        <v>175</v>
      </c>
      <c r="F802" s="32" t="s">
        <v>1901</v>
      </c>
      <c r="G802" s="39" t="s">
        <v>176</v>
      </c>
      <c r="H802" s="33"/>
      <c r="I802" s="33"/>
      <c r="J802" s="33"/>
      <c r="K802" s="33"/>
      <c r="L802" s="33"/>
      <c r="M802" s="33"/>
    </row>
    <row r="803">
      <c r="A803" s="32" t="s">
        <v>100</v>
      </c>
      <c r="B803" s="32" t="s">
        <v>1902</v>
      </c>
      <c r="C803" s="35">
        <v>7.186560154</v>
      </c>
      <c r="D803" s="35">
        <v>100.6080017</v>
      </c>
      <c r="E803" s="32" t="s">
        <v>175</v>
      </c>
      <c r="F803" s="32" t="s">
        <v>1903</v>
      </c>
      <c r="G803" s="39" t="s">
        <v>176</v>
      </c>
      <c r="H803" s="33"/>
      <c r="I803" s="33"/>
      <c r="J803" s="33"/>
      <c r="K803" s="33"/>
      <c r="L803" s="33"/>
      <c r="M803" s="33"/>
    </row>
    <row r="804">
      <c r="A804" s="32" t="s">
        <v>100</v>
      </c>
      <c r="B804" s="32" t="s">
        <v>1904</v>
      </c>
      <c r="C804" s="35">
        <v>8.471150398</v>
      </c>
      <c r="D804" s="35">
        <v>99.95559692</v>
      </c>
      <c r="E804" s="32" t="s">
        <v>175</v>
      </c>
      <c r="F804" s="32" t="s">
        <v>1905</v>
      </c>
      <c r="G804" s="39" t="s">
        <v>176</v>
      </c>
      <c r="H804" s="33"/>
      <c r="I804" s="33"/>
      <c r="J804" s="33"/>
      <c r="K804" s="33"/>
      <c r="L804" s="33"/>
      <c r="M804" s="33"/>
    </row>
    <row r="805">
      <c r="A805" s="32" t="s">
        <v>100</v>
      </c>
      <c r="B805" s="32" t="s">
        <v>1906</v>
      </c>
      <c r="C805" s="35">
        <v>14.86830044</v>
      </c>
      <c r="D805" s="35">
        <v>103.4980011</v>
      </c>
      <c r="E805" s="32" t="s">
        <v>175</v>
      </c>
      <c r="F805" s="32" t="s">
        <v>1907</v>
      </c>
      <c r="G805" s="39" t="s">
        <v>176</v>
      </c>
      <c r="H805" s="33"/>
      <c r="I805" s="33"/>
      <c r="J805" s="33"/>
      <c r="K805" s="33"/>
      <c r="L805" s="33"/>
      <c r="M805" s="33"/>
    </row>
    <row r="806">
      <c r="A806" s="32" t="s">
        <v>100</v>
      </c>
      <c r="B806" s="32" t="s">
        <v>1908</v>
      </c>
      <c r="C806" s="35">
        <v>14.93449974</v>
      </c>
      <c r="D806" s="35">
        <v>102.0790024</v>
      </c>
      <c r="E806" s="32" t="s">
        <v>175</v>
      </c>
      <c r="F806" s="32" t="s">
        <v>1909</v>
      </c>
      <c r="G806" s="39" t="s">
        <v>176</v>
      </c>
      <c r="H806" s="33"/>
      <c r="I806" s="33"/>
      <c r="J806" s="33"/>
      <c r="K806" s="33"/>
      <c r="L806" s="33"/>
      <c r="M806" s="33"/>
    </row>
    <row r="807">
      <c r="A807" s="32" t="s">
        <v>100</v>
      </c>
      <c r="B807" s="32" t="s">
        <v>1910</v>
      </c>
      <c r="C807" s="35">
        <v>16.07040024</v>
      </c>
      <c r="D807" s="35">
        <v>103.6460037</v>
      </c>
      <c r="E807" s="32" t="s">
        <v>175</v>
      </c>
      <c r="F807" s="32" t="s">
        <v>1911</v>
      </c>
      <c r="G807" s="39" t="s">
        <v>176</v>
      </c>
      <c r="H807" s="33"/>
      <c r="I807" s="33"/>
      <c r="J807" s="33"/>
      <c r="K807" s="33"/>
      <c r="L807" s="33"/>
      <c r="M807" s="33"/>
    </row>
    <row r="808">
      <c r="A808" s="32" t="s">
        <v>100</v>
      </c>
      <c r="B808" s="32" t="s">
        <v>1912</v>
      </c>
      <c r="C808" s="35">
        <v>21.04050064</v>
      </c>
      <c r="D808" s="35">
        <v>105.8860016</v>
      </c>
      <c r="E808" s="32" t="s">
        <v>1913</v>
      </c>
      <c r="F808" s="32" t="s">
        <v>1914</v>
      </c>
      <c r="G808" s="36" t="e">
        <v>#N/A</v>
      </c>
      <c r="H808" s="33"/>
      <c r="I808" s="33"/>
      <c r="J808" s="33"/>
      <c r="K808" s="33"/>
      <c r="L808" s="33"/>
      <c r="M808" s="33"/>
    </row>
    <row r="809">
      <c r="A809" s="32" t="s">
        <v>100</v>
      </c>
      <c r="B809" s="32" t="s">
        <v>1915</v>
      </c>
      <c r="C809" s="35">
        <v>21.39459991</v>
      </c>
      <c r="D809" s="35">
        <v>106.2610016</v>
      </c>
      <c r="E809" s="32" t="s">
        <v>1913</v>
      </c>
      <c r="F809" s="32" t="s">
        <v>1916</v>
      </c>
      <c r="G809" s="36" t="e">
        <v>#N/A</v>
      </c>
      <c r="H809" s="33"/>
      <c r="I809" s="33"/>
      <c r="J809" s="33"/>
      <c r="K809" s="33"/>
      <c r="L809" s="33"/>
      <c r="M809" s="33"/>
    </row>
    <row r="810">
      <c r="A810" s="32" t="s">
        <v>100</v>
      </c>
      <c r="B810" s="32" t="s">
        <v>1917</v>
      </c>
      <c r="C810" s="35">
        <v>19.76919937</v>
      </c>
      <c r="D810" s="35">
        <v>94.02610016</v>
      </c>
      <c r="E810" s="32" t="s">
        <v>1918</v>
      </c>
      <c r="F810" s="32" t="s">
        <v>1919</v>
      </c>
      <c r="G810" s="36" t="e">
        <v>#N/A</v>
      </c>
      <c r="H810" s="33"/>
      <c r="I810" s="33"/>
      <c r="J810" s="33"/>
      <c r="K810" s="33"/>
      <c r="L810" s="33"/>
      <c r="M810" s="33"/>
    </row>
    <row r="811">
      <c r="A811" s="32" t="s">
        <v>100</v>
      </c>
      <c r="B811" s="32" t="s">
        <v>1920</v>
      </c>
      <c r="C811" s="35">
        <v>21.95540047</v>
      </c>
      <c r="D811" s="35">
        <v>96.40609741</v>
      </c>
      <c r="E811" s="32" t="s">
        <v>1918</v>
      </c>
      <c r="F811" s="32" t="s">
        <v>1921</v>
      </c>
      <c r="G811" s="36" t="e">
        <v>#N/A</v>
      </c>
      <c r="H811" s="33"/>
      <c r="I811" s="33"/>
      <c r="J811" s="33"/>
      <c r="K811" s="33"/>
      <c r="L811" s="33"/>
      <c r="M811" s="33"/>
    </row>
    <row r="812">
      <c r="A812" s="32" t="s">
        <v>100</v>
      </c>
      <c r="B812" s="32" t="s">
        <v>1922</v>
      </c>
      <c r="C812" s="35">
        <v>14.14150047</v>
      </c>
      <c r="D812" s="35">
        <v>93.36849976</v>
      </c>
      <c r="E812" s="32" t="s">
        <v>1918</v>
      </c>
      <c r="F812" s="32" t="s">
        <v>1923</v>
      </c>
      <c r="G812" s="36" t="e">
        <v>#N/A</v>
      </c>
      <c r="H812" s="33"/>
      <c r="I812" s="33"/>
      <c r="J812" s="33"/>
      <c r="K812" s="33"/>
      <c r="L812" s="33"/>
      <c r="M812" s="33"/>
    </row>
    <row r="813">
      <c r="A813" s="32" t="s">
        <v>100</v>
      </c>
      <c r="B813" s="32" t="s">
        <v>1924</v>
      </c>
      <c r="C813" s="35">
        <v>24.89959908</v>
      </c>
      <c r="D813" s="35">
        <v>94.91400146</v>
      </c>
      <c r="E813" s="32" t="s">
        <v>1918</v>
      </c>
      <c r="F813" s="32" t="s">
        <v>1925</v>
      </c>
      <c r="G813" s="36" t="e">
        <v>#N/A</v>
      </c>
      <c r="H813" s="33"/>
      <c r="I813" s="33"/>
      <c r="J813" s="33"/>
      <c r="K813" s="33"/>
      <c r="L813" s="33"/>
      <c r="M813" s="33"/>
    </row>
    <row r="814">
      <c r="A814" s="32" t="s">
        <v>100</v>
      </c>
      <c r="B814" s="32" t="s">
        <v>1926</v>
      </c>
      <c r="C814" s="35">
        <v>20.94039917</v>
      </c>
      <c r="D814" s="35">
        <v>94.82260132</v>
      </c>
      <c r="E814" s="32" t="s">
        <v>1918</v>
      </c>
      <c r="F814" s="32" t="s">
        <v>1927</v>
      </c>
      <c r="G814" s="36" t="e">
        <v>#N/A</v>
      </c>
      <c r="H814" s="33"/>
      <c r="I814" s="33"/>
      <c r="J814" s="33"/>
      <c r="K814" s="33"/>
      <c r="L814" s="33"/>
      <c r="M814" s="33"/>
    </row>
    <row r="815">
      <c r="A815" s="32" t="s">
        <v>100</v>
      </c>
      <c r="B815" s="32" t="s">
        <v>1928</v>
      </c>
      <c r="C815" s="35">
        <v>23.09250069</v>
      </c>
      <c r="D815" s="35">
        <v>96.64530182</v>
      </c>
      <c r="E815" s="32" t="s">
        <v>1918</v>
      </c>
      <c r="F815" s="32" t="s">
        <v>1929</v>
      </c>
      <c r="G815" s="36" t="e">
        <v>#N/A</v>
      </c>
      <c r="H815" s="33"/>
      <c r="I815" s="33"/>
      <c r="J815" s="33"/>
      <c r="K815" s="33"/>
      <c r="L815" s="33"/>
      <c r="M815" s="33"/>
    </row>
    <row r="816">
      <c r="A816" s="32" t="s">
        <v>100</v>
      </c>
      <c r="B816" s="32" t="s">
        <v>1930</v>
      </c>
      <c r="C816" s="35">
        <v>25.35440063</v>
      </c>
      <c r="D816" s="35">
        <v>97.29519653</v>
      </c>
      <c r="E816" s="32" t="s">
        <v>1918</v>
      </c>
      <c r="F816" s="32" t="s">
        <v>1931</v>
      </c>
      <c r="G816" s="36" t="e">
        <v>#N/A</v>
      </c>
      <c r="H816" s="33"/>
      <c r="I816" s="33"/>
      <c r="J816" s="33"/>
      <c r="K816" s="33"/>
      <c r="L816" s="33"/>
      <c r="M816" s="33"/>
    </row>
    <row r="817">
      <c r="A817" s="32" t="s">
        <v>100</v>
      </c>
      <c r="B817" s="32" t="s">
        <v>1932</v>
      </c>
      <c r="C817" s="35">
        <v>20.89049911</v>
      </c>
      <c r="D817" s="35">
        <v>97.73590088</v>
      </c>
      <c r="E817" s="32" t="s">
        <v>1918</v>
      </c>
      <c r="F817" s="32" t="s">
        <v>1933</v>
      </c>
      <c r="G817" s="36" t="e">
        <v>#N/A</v>
      </c>
      <c r="H817" s="33"/>
      <c r="I817" s="33"/>
      <c r="J817" s="33"/>
      <c r="K817" s="33"/>
      <c r="L817" s="33"/>
      <c r="M817" s="33"/>
    </row>
    <row r="818">
      <c r="A818" s="32" t="s">
        <v>100</v>
      </c>
      <c r="B818" s="32" t="s">
        <v>1934</v>
      </c>
      <c r="C818" s="35">
        <v>16.89369965</v>
      </c>
      <c r="D818" s="35">
        <v>97.67459869</v>
      </c>
      <c r="E818" s="32" t="s">
        <v>1918</v>
      </c>
      <c r="F818" s="32" t="s">
        <v>1935</v>
      </c>
      <c r="G818" s="36" t="e">
        <v>#N/A</v>
      </c>
      <c r="H818" s="33"/>
      <c r="I818" s="33"/>
      <c r="J818" s="33"/>
      <c r="K818" s="33"/>
      <c r="L818" s="33"/>
      <c r="M818" s="33"/>
    </row>
    <row r="819">
      <c r="A819" s="32" t="s">
        <v>100</v>
      </c>
      <c r="B819" s="32" t="s">
        <v>1936</v>
      </c>
      <c r="C819" s="35">
        <v>18.82449913</v>
      </c>
      <c r="D819" s="35">
        <v>95.26599884</v>
      </c>
      <c r="E819" s="32" t="s">
        <v>1918</v>
      </c>
      <c r="F819" s="32" t="s">
        <v>1937</v>
      </c>
      <c r="G819" s="36" t="e">
        <v>#N/A</v>
      </c>
      <c r="H819" s="33"/>
      <c r="I819" s="33"/>
      <c r="J819" s="33"/>
      <c r="K819" s="33"/>
      <c r="L819" s="33"/>
      <c r="M819" s="33"/>
    </row>
    <row r="820">
      <c r="A820" s="32" t="s">
        <v>100</v>
      </c>
      <c r="B820" s="32" t="s">
        <v>1938</v>
      </c>
      <c r="C820" s="35">
        <v>20.94169998</v>
      </c>
      <c r="D820" s="35">
        <v>95.91449738</v>
      </c>
      <c r="E820" s="32" t="s">
        <v>1918</v>
      </c>
      <c r="F820" s="32" t="s">
        <v>1939</v>
      </c>
      <c r="G820" s="36" t="e">
        <v>#N/A</v>
      </c>
      <c r="H820" s="33"/>
      <c r="I820" s="33"/>
      <c r="J820" s="33"/>
      <c r="K820" s="33"/>
      <c r="L820" s="33"/>
      <c r="M820" s="33"/>
    </row>
    <row r="821">
      <c r="A821" s="32" t="s">
        <v>100</v>
      </c>
      <c r="B821" s="32" t="s">
        <v>1940</v>
      </c>
      <c r="C821" s="35">
        <v>19.03129959</v>
      </c>
      <c r="D821" s="35">
        <v>96.40119934</v>
      </c>
      <c r="E821" s="32" t="s">
        <v>1918</v>
      </c>
      <c r="F821" s="32" t="s">
        <v>1941</v>
      </c>
      <c r="G821" s="36" t="e">
        <v>#N/A</v>
      </c>
      <c r="H821" s="33"/>
      <c r="I821" s="33"/>
      <c r="J821" s="33"/>
      <c r="K821" s="33"/>
      <c r="L821" s="33"/>
      <c r="M821" s="33"/>
    </row>
    <row r="822">
      <c r="A822" s="32" t="s">
        <v>100</v>
      </c>
      <c r="B822" s="32" t="s">
        <v>1942</v>
      </c>
      <c r="C822" s="35">
        <v>1.4001</v>
      </c>
      <c r="D822" s="35">
        <v>99.430496</v>
      </c>
      <c r="E822" s="32" t="s">
        <v>280</v>
      </c>
      <c r="F822" s="32" t="s">
        <v>1943</v>
      </c>
      <c r="G822" s="36" t="e">
        <v>#N/A</v>
      </c>
      <c r="H822" s="33"/>
      <c r="I822" s="33"/>
      <c r="J822" s="33"/>
      <c r="K822" s="33"/>
      <c r="L822" s="33"/>
      <c r="M822" s="33"/>
    </row>
    <row r="823">
      <c r="A823" s="32" t="s">
        <v>100</v>
      </c>
      <c r="B823" s="32" t="s">
        <v>1944</v>
      </c>
      <c r="C823" s="35">
        <v>-0.786916971</v>
      </c>
      <c r="D823" s="35">
        <v>100.2809982</v>
      </c>
      <c r="E823" s="32" t="s">
        <v>280</v>
      </c>
      <c r="F823" s="32" t="s">
        <v>1945</v>
      </c>
      <c r="G823" s="36" t="e">
        <v>#N/A</v>
      </c>
      <c r="H823" s="33"/>
      <c r="I823" s="33"/>
      <c r="J823" s="33"/>
      <c r="K823" s="33"/>
      <c r="L823" s="33"/>
      <c r="M823" s="33"/>
    </row>
    <row r="824">
      <c r="A824" s="32" t="s">
        <v>100</v>
      </c>
      <c r="B824" s="32" t="s">
        <v>1946</v>
      </c>
      <c r="C824" s="35">
        <v>1.555940032</v>
      </c>
      <c r="D824" s="35">
        <v>98.88890076</v>
      </c>
      <c r="E824" s="32" t="s">
        <v>280</v>
      </c>
      <c r="F824" s="32" t="s">
        <v>1947</v>
      </c>
      <c r="G824" s="36" t="e">
        <v>#N/A</v>
      </c>
      <c r="H824" s="33"/>
      <c r="I824" s="33"/>
      <c r="J824" s="33"/>
      <c r="K824" s="33"/>
      <c r="L824" s="33"/>
      <c r="M824" s="33"/>
    </row>
    <row r="825">
      <c r="A825" s="32" t="s">
        <v>100</v>
      </c>
      <c r="B825" s="32" t="s">
        <v>1948</v>
      </c>
      <c r="C825" s="35">
        <v>-0.348868996</v>
      </c>
      <c r="D825" s="35">
        <v>111.7480011</v>
      </c>
      <c r="E825" s="32" t="s">
        <v>280</v>
      </c>
      <c r="F825" s="32" t="s">
        <v>1949</v>
      </c>
      <c r="G825" s="36" t="e">
        <v>#N/A</v>
      </c>
      <c r="H825" s="33"/>
      <c r="I825" s="33"/>
      <c r="J825" s="33"/>
      <c r="K825" s="33"/>
      <c r="L825" s="33"/>
      <c r="M825" s="33"/>
    </row>
    <row r="826">
      <c r="A826" s="32" t="s">
        <v>100</v>
      </c>
      <c r="B826" s="32" t="s">
        <v>1950</v>
      </c>
      <c r="C826" s="35">
        <v>5.069509983</v>
      </c>
      <c r="D826" s="35">
        <v>97.25920105</v>
      </c>
      <c r="E826" s="32" t="s">
        <v>280</v>
      </c>
      <c r="F826" s="32" t="s">
        <v>1951</v>
      </c>
      <c r="G826" s="36" t="e">
        <v>#N/A</v>
      </c>
      <c r="H826" s="33"/>
      <c r="I826" s="33"/>
      <c r="J826" s="33"/>
      <c r="K826" s="33"/>
      <c r="L826" s="33"/>
      <c r="M826" s="33"/>
    </row>
    <row r="827">
      <c r="A827" s="32" t="s">
        <v>100</v>
      </c>
      <c r="B827" s="32" t="s">
        <v>1952</v>
      </c>
      <c r="C827" s="35">
        <v>2.041389942</v>
      </c>
      <c r="D827" s="35">
        <v>103.3069992</v>
      </c>
      <c r="E827" s="32" t="s">
        <v>284</v>
      </c>
      <c r="F827" s="32" t="s">
        <v>1953</v>
      </c>
      <c r="G827" s="36" t="e">
        <v>#N/A</v>
      </c>
      <c r="H827" s="33"/>
      <c r="I827" s="33"/>
      <c r="J827" s="33"/>
      <c r="K827" s="33"/>
      <c r="L827" s="33"/>
      <c r="M827" s="33"/>
    </row>
    <row r="828">
      <c r="A828" s="32" t="s">
        <v>100</v>
      </c>
      <c r="B828" s="32" t="s">
        <v>1954</v>
      </c>
      <c r="C828" s="35">
        <v>5.465919971</v>
      </c>
      <c r="D828" s="35">
        <v>100.3909988</v>
      </c>
      <c r="E828" s="32" t="s">
        <v>284</v>
      </c>
      <c r="F828" s="32" t="s">
        <v>1955</v>
      </c>
      <c r="G828" s="36" t="e">
        <v>#N/A</v>
      </c>
      <c r="H828" s="33"/>
      <c r="I828" s="33"/>
      <c r="J828" s="33"/>
      <c r="K828" s="33"/>
      <c r="L828" s="33"/>
      <c r="M828" s="33"/>
    </row>
    <row r="829">
      <c r="A829" s="32" t="s">
        <v>100</v>
      </c>
      <c r="B829" s="32" t="s">
        <v>1956</v>
      </c>
      <c r="C829" s="35">
        <v>3.11225009</v>
      </c>
      <c r="D829" s="35">
        <v>101.7030029</v>
      </c>
      <c r="E829" s="32" t="s">
        <v>284</v>
      </c>
      <c r="F829" s="32" t="s">
        <v>1957</v>
      </c>
      <c r="G829" s="36" t="e">
        <v>#N/A</v>
      </c>
      <c r="H829" s="33"/>
      <c r="I829" s="33"/>
      <c r="J829" s="33"/>
      <c r="K829" s="33"/>
      <c r="L829" s="33"/>
      <c r="M829" s="33"/>
    </row>
    <row r="830">
      <c r="A830" s="32" t="s">
        <v>100</v>
      </c>
      <c r="B830" s="32" t="s">
        <v>1958</v>
      </c>
      <c r="C830" s="35">
        <v>-9.303310394</v>
      </c>
      <c r="D830" s="35">
        <v>125.2870026</v>
      </c>
      <c r="E830" s="32" t="s">
        <v>1959</v>
      </c>
      <c r="F830" s="32" t="s">
        <v>1960</v>
      </c>
      <c r="G830" s="36" t="e">
        <v>#N/A</v>
      </c>
      <c r="H830" s="33"/>
      <c r="I830" s="33"/>
      <c r="J830" s="33"/>
      <c r="K830" s="33"/>
      <c r="L830" s="33"/>
      <c r="M830" s="33"/>
    </row>
    <row r="831">
      <c r="A831" s="32" t="s">
        <v>100</v>
      </c>
      <c r="B831" s="32" t="s">
        <v>1961</v>
      </c>
      <c r="C831" s="35">
        <v>-8.489029884</v>
      </c>
      <c r="D831" s="35">
        <v>126.401001</v>
      </c>
      <c r="E831" s="32" t="s">
        <v>1959</v>
      </c>
      <c r="F831" s="32" t="s">
        <v>1962</v>
      </c>
      <c r="G831" s="36" t="e">
        <v>#N/A</v>
      </c>
      <c r="H831" s="33"/>
      <c r="I831" s="33"/>
      <c r="J831" s="33"/>
      <c r="K831" s="33"/>
      <c r="L831" s="33"/>
      <c r="M831" s="33"/>
    </row>
    <row r="832">
      <c r="A832" s="32" t="s">
        <v>100</v>
      </c>
      <c r="B832" s="32" t="s">
        <v>1963</v>
      </c>
      <c r="C832" s="35">
        <v>1.425259948</v>
      </c>
      <c r="D832" s="35">
        <v>103.8130035</v>
      </c>
      <c r="E832" s="32" t="s">
        <v>157</v>
      </c>
      <c r="F832" s="32" t="s">
        <v>1964</v>
      </c>
      <c r="G832" s="39" t="s">
        <v>158</v>
      </c>
      <c r="H832" s="33"/>
      <c r="I832" s="33"/>
      <c r="J832" s="33"/>
      <c r="K832" s="33"/>
      <c r="L832" s="33"/>
      <c r="M832" s="33"/>
    </row>
    <row r="833">
      <c r="A833" s="32" t="s">
        <v>100</v>
      </c>
      <c r="B833" s="32" t="s">
        <v>1965</v>
      </c>
      <c r="C833" s="35">
        <v>1.38725996</v>
      </c>
      <c r="D833" s="35">
        <v>103.7089996</v>
      </c>
      <c r="E833" s="32" t="s">
        <v>157</v>
      </c>
      <c r="F833" s="32" t="s">
        <v>1966</v>
      </c>
      <c r="G833" s="39" t="s">
        <v>158</v>
      </c>
      <c r="H833" s="33"/>
      <c r="I833" s="33"/>
      <c r="J833" s="33"/>
      <c r="K833" s="33"/>
      <c r="L833" s="33"/>
      <c r="M833" s="33"/>
    </row>
    <row r="834">
      <c r="A834" s="32" t="s">
        <v>100</v>
      </c>
      <c r="B834" s="32" t="s">
        <v>1967</v>
      </c>
      <c r="C834" s="35">
        <v>-27.57029915</v>
      </c>
      <c r="D834" s="35">
        <v>153.0079956</v>
      </c>
      <c r="E834" s="32" t="s">
        <v>1968</v>
      </c>
      <c r="F834" s="32" t="s">
        <v>1969</v>
      </c>
      <c r="G834" s="36" t="e">
        <v>#N/A</v>
      </c>
      <c r="H834" s="33"/>
      <c r="I834" s="33"/>
      <c r="J834" s="33"/>
      <c r="K834" s="33"/>
      <c r="L834" s="33"/>
      <c r="M834" s="33"/>
    </row>
    <row r="835">
      <c r="A835" s="32" t="s">
        <v>100</v>
      </c>
      <c r="B835" s="32" t="s">
        <v>1970</v>
      </c>
      <c r="C835" s="35">
        <v>-38.09889984</v>
      </c>
      <c r="D835" s="35">
        <v>147.1490021</v>
      </c>
      <c r="E835" s="32" t="s">
        <v>1968</v>
      </c>
      <c r="F835" s="32" t="s">
        <v>1971</v>
      </c>
      <c r="G835" s="36" t="e">
        <v>#N/A</v>
      </c>
      <c r="H835" s="33"/>
      <c r="I835" s="33"/>
      <c r="J835" s="33"/>
      <c r="K835" s="33"/>
      <c r="L835" s="33"/>
      <c r="M835" s="33"/>
    </row>
    <row r="836">
      <c r="A836" s="32" t="s">
        <v>100</v>
      </c>
      <c r="B836" s="32" t="s">
        <v>1972</v>
      </c>
      <c r="C836" s="35">
        <v>-37.93220139</v>
      </c>
      <c r="D836" s="35">
        <v>144.753006</v>
      </c>
      <c r="E836" s="32" t="s">
        <v>1968</v>
      </c>
      <c r="F836" s="32" t="s">
        <v>1973</v>
      </c>
      <c r="G836" s="36" t="e">
        <v>#N/A</v>
      </c>
      <c r="H836" s="33"/>
      <c r="I836" s="33"/>
      <c r="J836" s="33"/>
      <c r="K836" s="33"/>
      <c r="L836" s="33"/>
      <c r="M836" s="33"/>
    </row>
    <row r="837">
      <c r="A837" s="32" t="s">
        <v>100</v>
      </c>
      <c r="B837" s="32" t="s">
        <v>1974</v>
      </c>
      <c r="C837" s="35">
        <v>-34.70249939</v>
      </c>
      <c r="D837" s="35">
        <v>138.6210022</v>
      </c>
      <c r="E837" s="32" t="s">
        <v>1968</v>
      </c>
      <c r="F837" s="32" t="s">
        <v>1975</v>
      </c>
      <c r="G837" s="36" t="e">
        <v>#N/A</v>
      </c>
      <c r="H837" s="33"/>
      <c r="I837" s="33"/>
      <c r="J837" s="33"/>
      <c r="K837" s="33"/>
      <c r="L837" s="33"/>
      <c r="M837" s="33"/>
    </row>
    <row r="838">
      <c r="A838" s="32" t="s">
        <v>100</v>
      </c>
      <c r="B838" s="32" t="s">
        <v>1976</v>
      </c>
      <c r="C838" s="35">
        <v>-34.79330063</v>
      </c>
      <c r="D838" s="35">
        <v>138.6329956</v>
      </c>
      <c r="E838" s="32" t="s">
        <v>1968</v>
      </c>
      <c r="F838" s="32" t="s">
        <v>1977</v>
      </c>
      <c r="G838" s="36" t="e">
        <v>#N/A</v>
      </c>
      <c r="H838" s="33"/>
      <c r="I838" s="33"/>
      <c r="J838" s="33"/>
      <c r="K838" s="33"/>
      <c r="L838" s="33"/>
      <c r="M838" s="33"/>
    </row>
    <row r="839">
      <c r="A839" s="32" t="s">
        <v>100</v>
      </c>
      <c r="B839" s="32" t="s">
        <v>1978</v>
      </c>
      <c r="C839" s="35">
        <v>-33.600601</v>
      </c>
      <c r="D839" s="35">
        <v>150.781006</v>
      </c>
      <c r="E839" s="32" t="s">
        <v>1968</v>
      </c>
      <c r="F839" s="32" t="s">
        <v>1979</v>
      </c>
      <c r="G839" s="36" t="e">
        <v>#N/A</v>
      </c>
      <c r="H839" s="33"/>
      <c r="I839" s="33"/>
      <c r="J839" s="33"/>
      <c r="K839" s="33"/>
      <c r="L839" s="33"/>
      <c r="M839" s="33"/>
    </row>
    <row r="840">
      <c r="A840" s="32" t="s">
        <v>100</v>
      </c>
      <c r="B840" s="32" t="s">
        <v>1980</v>
      </c>
      <c r="C840" s="35">
        <v>34.85010147</v>
      </c>
      <c r="D840" s="35">
        <v>-92.30020142</v>
      </c>
      <c r="E840" s="32" t="s">
        <v>180</v>
      </c>
      <c r="F840" s="32" t="s">
        <v>1981</v>
      </c>
      <c r="G840" s="39" t="s">
        <v>181</v>
      </c>
      <c r="H840" s="33"/>
      <c r="I840" s="33"/>
      <c r="J840" s="33"/>
      <c r="K840" s="33"/>
      <c r="L840" s="33"/>
      <c r="M840" s="33"/>
    </row>
    <row r="841">
      <c r="A841" s="32" t="s">
        <v>100</v>
      </c>
      <c r="B841" s="32" t="s">
        <v>1982</v>
      </c>
      <c r="C841" s="35">
        <v>30.42779922</v>
      </c>
      <c r="D841" s="35">
        <v>-86.68930054</v>
      </c>
      <c r="E841" s="32" t="s">
        <v>180</v>
      </c>
      <c r="F841" s="32" t="s">
        <v>1983</v>
      </c>
      <c r="G841" s="39" t="s">
        <v>181</v>
      </c>
      <c r="H841" s="33"/>
      <c r="I841" s="33"/>
      <c r="J841" s="33"/>
      <c r="K841" s="33"/>
      <c r="L841" s="33"/>
      <c r="M841" s="33"/>
    </row>
    <row r="842">
      <c r="A842" s="32" t="s">
        <v>100</v>
      </c>
      <c r="B842" s="32" t="s">
        <v>1984</v>
      </c>
      <c r="C842" s="35">
        <v>37.79880142</v>
      </c>
      <c r="D842" s="35">
        <v>-116.7809982</v>
      </c>
      <c r="E842" s="32" t="s">
        <v>180</v>
      </c>
      <c r="F842" s="32" t="s">
        <v>1985</v>
      </c>
      <c r="G842" s="39" t="s">
        <v>181</v>
      </c>
      <c r="H842" s="33"/>
      <c r="I842" s="33"/>
      <c r="J842" s="33"/>
      <c r="K842" s="33"/>
      <c r="L842" s="33"/>
      <c r="M842" s="33"/>
    </row>
    <row r="843">
      <c r="A843" s="32" t="s">
        <v>100</v>
      </c>
      <c r="B843" s="32" t="s">
        <v>1986</v>
      </c>
      <c r="C843" s="35">
        <v>33.2397995</v>
      </c>
      <c r="D843" s="35">
        <v>-119.4580002</v>
      </c>
      <c r="E843" s="32" t="s">
        <v>180</v>
      </c>
      <c r="F843" s="32" t="s">
        <v>1987</v>
      </c>
      <c r="G843" s="39" t="s">
        <v>181</v>
      </c>
      <c r="H843" s="33"/>
      <c r="I843" s="33"/>
      <c r="J843" s="33"/>
      <c r="K843" s="33"/>
      <c r="L843" s="33"/>
      <c r="M843" s="33"/>
    </row>
    <row r="844">
      <c r="A844" s="32" t="s">
        <v>100</v>
      </c>
      <c r="B844" s="32" t="s">
        <v>1988</v>
      </c>
      <c r="C844" s="35">
        <v>45.77099991</v>
      </c>
      <c r="D844" s="35">
        <v>-122.8619995</v>
      </c>
      <c r="E844" s="32" t="s">
        <v>180</v>
      </c>
      <c r="F844" s="32" t="s">
        <v>874</v>
      </c>
      <c r="G844" s="39" t="s">
        <v>181</v>
      </c>
      <c r="H844" s="33"/>
      <c r="I844" s="33"/>
      <c r="J844" s="33"/>
      <c r="K844" s="33"/>
      <c r="L844" s="33"/>
      <c r="M844" s="33"/>
    </row>
    <row r="845">
      <c r="A845" s="32" t="s">
        <v>100</v>
      </c>
      <c r="B845" s="32" t="s">
        <v>1989</v>
      </c>
      <c r="C845" s="35">
        <v>31.88909912</v>
      </c>
      <c r="D845" s="35">
        <v>-81.56230164</v>
      </c>
      <c r="E845" s="32" t="s">
        <v>180</v>
      </c>
      <c r="F845" s="32" t="s">
        <v>1990</v>
      </c>
      <c r="G845" s="39" t="s">
        <v>181</v>
      </c>
      <c r="H845" s="33"/>
      <c r="I845" s="33"/>
      <c r="J845" s="33"/>
      <c r="K845" s="33"/>
      <c r="L845" s="33"/>
      <c r="M845" s="33"/>
    </row>
    <row r="846">
      <c r="A846" s="32" t="s">
        <v>100</v>
      </c>
      <c r="B846" s="32" t="s">
        <v>1991</v>
      </c>
      <c r="C846" s="35">
        <v>34.90090179</v>
      </c>
      <c r="D846" s="35">
        <v>-76.88069916</v>
      </c>
      <c r="E846" s="32" t="s">
        <v>180</v>
      </c>
      <c r="F846" s="32" t="s">
        <v>1992</v>
      </c>
      <c r="G846" s="39" t="s">
        <v>181</v>
      </c>
      <c r="H846" s="33"/>
      <c r="I846" s="33"/>
      <c r="J846" s="33"/>
      <c r="K846" s="33"/>
      <c r="L846" s="33"/>
      <c r="M846" s="33"/>
    </row>
    <row r="847">
      <c r="A847" s="32" t="s">
        <v>100</v>
      </c>
      <c r="B847" s="32" t="s">
        <v>1993</v>
      </c>
      <c r="C847" s="35">
        <v>34.70840073</v>
      </c>
      <c r="D847" s="35">
        <v>-77.43969727</v>
      </c>
      <c r="E847" s="32" t="s">
        <v>180</v>
      </c>
      <c r="F847" s="32" t="s">
        <v>1994</v>
      </c>
      <c r="G847" s="39" t="s">
        <v>181</v>
      </c>
      <c r="H847" s="33"/>
      <c r="I847" s="33"/>
      <c r="J847" s="33"/>
      <c r="K847" s="33"/>
      <c r="L847" s="33"/>
      <c r="M847" s="33"/>
    </row>
    <row r="848">
      <c r="A848" s="32" t="s">
        <v>100</v>
      </c>
      <c r="B848" s="32" t="s">
        <v>1995</v>
      </c>
      <c r="C848" s="35">
        <v>33.2691</v>
      </c>
      <c r="D848" s="35">
        <v>-111.810997</v>
      </c>
      <c r="E848" s="32" t="s">
        <v>180</v>
      </c>
      <c r="F848" s="32" t="s">
        <v>1996</v>
      </c>
      <c r="G848" s="39" t="s">
        <v>181</v>
      </c>
      <c r="H848" s="33"/>
      <c r="I848" s="33"/>
      <c r="J848" s="33"/>
      <c r="K848" s="33"/>
      <c r="L848" s="33"/>
      <c r="M848" s="33"/>
    </row>
    <row r="849">
      <c r="A849" s="32" t="s">
        <v>100</v>
      </c>
      <c r="B849" s="32" t="s">
        <v>1997</v>
      </c>
      <c r="C849" s="35">
        <v>-2.558039904</v>
      </c>
      <c r="D849" s="35">
        <v>120.3239975</v>
      </c>
      <c r="E849" s="32" t="s">
        <v>280</v>
      </c>
      <c r="F849" s="32" t="s">
        <v>1998</v>
      </c>
      <c r="G849" s="36" t="e">
        <v>#N/A</v>
      </c>
      <c r="H849" s="33"/>
      <c r="I849" s="33"/>
      <c r="J849" s="33"/>
      <c r="K849" s="33"/>
      <c r="L849" s="33"/>
      <c r="M849" s="33"/>
    </row>
    <row r="850">
      <c r="A850" s="32" t="s">
        <v>100</v>
      </c>
      <c r="B850" s="32" t="s">
        <v>1999</v>
      </c>
      <c r="C850" s="35">
        <v>-2.531199932</v>
      </c>
      <c r="D850" s="35">
        <v>121.3580017</v>
      </c>
      <c r="E850" s="32" t="s">
        <v>280</v>
      </c>
      <c r="F850" s="32" t="s">
        <v>2000</v>
      </c>
      <c r="G850" s="36" t="e">
        <v>#N/A</v>
      </c>
      <c r="H850" s="33"/>
      <c r="I850" s="33"/>
      <c r="J850" s="33"/>
      <c r="K850" s="33"/>
      <c r="L850" s="33"/>
      <c r="M850" s="33"/>
    </row>
    <row r="851">
      <c r="A851" s="32" t="s">
        <v>100</v>
      </c>
      <c r="B851" s="32" t="s">
        <v>2001</v>
      </c>
      <c r="C851" s="35">
        <v>-7.346600056</v>
      </c>
      <c r="D851" s="35">
        <v>108.2460022</v>
      </c>
      <c r="E851" s="32" t="s">
        <v>280</v>
      </c>
      <c r="F851" s="32" t="s">
        <v>2002</v>
      </c>
      <c r="G851" s="36" t="e">
        <v>#N/A</v>
      </c>
      <c r="H851" s="33"/>
      <c r="I851" s="33"/>
      <c r="J851" s="33"/>
      <c r="K851" s="33"/>
      <c r="L851" s="33"/>
      <c r="M851" s="33"/>
    </row>
    <row r="852">
      <c r="A852" s="32" t="s">
        <v>100</v>
      </c>
      <c r="B852" s="32" t="s">
        <v>2003</v>
      </c>
      <c r="C852" s="35">
        <v>-7.615769863</v>
      </c>
      <c r="D852" s="35">
        <v>111.4339981</v>
      </c>
      <c r="E852" s="32" t="s">
        <v>280</v>
      </c>
      <c r="F852" s="32" t="s">
        <v>2004</v>
      </c>
      <c r="G852" s="36" t="e">
        <v>#N/A</v>
      </c>
      <c r="H852" s="33"/>
      <c r="I852" s="33"/>
      <c r="J852" s="33"/>
      <c r="K852" s="33"/>
      <c r="L852" s="33"/>
      <c r="M852" s="33"/>
    </row>
    <row r="853">
      <c r="A853" s="32" t="s">
        <v>100</v>
      </c>
      <c r="B853" s="32" t="s">
        <v>2005</v>
      </c>
      <c r="C853" s="35">
        <v>-6.293169975</v>
      </c>
      <c r="D853" s="35">
        <v>106.5699997</v>
      </c>
      <c r="E853" s="32" t="s">
        <v>280</v>
      </c>
      <c r="F853" s="32" t="s">
        <v>2006</v>
      </c>
      <c r="G853" s="36" t="e">
        <v>#N/A</v>
      </c>
      <c r="H853" s="33"/>
      <c r="I853" s="33"/>
      <c r="J853" s="33"/>
      <c r="K853" s="33"/>
      <c r="L853" s="33"/>
      <c r="M853" s="33"/>
    </row>
    <row r="854">
      <c r="A854" s="32" t="s">
        <v>100</v>
      </c>
      <c r="B854" s="32" t="s">
        <v>2007</v>
      </c>
      <c r="C854" s="35">
        <v>-3.412410021</v>
      </c>
      <c r="D854" s="35">
        <v>115.9950027</v>
      </c>
      <c r="E854" s="32" t="s">
        <v>280</v>
      </c>
      <c r="F854" s="32" t="s">
        <v>2008</v>
      </c>
      <c r="G854" s="36" t="e">
        <v>#N/A</v>
      </c>
      <c r="H854" s="33"/>
      <c r="I854" s="33"/>
      <c r="J854" s="33"/>
      <c r="K854" s="33"/>
      <c r="L854" s="33"/>
      <c r="M854" s="33"/>
    </row>
    <row r="855">
      <c r="A855" s="32" t="s">
        <v>100</v>
      </c>
      <c r="B855" s="32" t="s">
        <v>2009</v>
      </c>
      <c r="C855" s="35">
        <v>-0.092973001</v>
      </c>
      <c r="D855" s="35">
        <v>117.4530029</v>
      </c>
      <c r="E855" s="32" t="s">
        <v>280</v>
      </c>
      <c r="F855" s="32" t="s">
        <v>2010</v>
      </c>
      <c r="G855" s="36" t="e">
        <v>#N/A</v>
      </c>
      <c r="H855" s="33"/>
      <c r="I855" s="33"/>
      <c r="J855" s="33"/>
      <c r="K855" s="33"/>
      <c r="L855" s="33"/>
      <c r="M855" s="33"/>
    </row>
    <row r="856">
      <c r="A856" s="32" t="s">
        <v>100</v>
      </c>
      <c r="B856" s="32" t="s">
        <v>2011</v>
      </c>
      <c r="C856" s="35">
        <v>54.879798890000004</v>
      </c>
      <c r="D856" s="35">
        <v>23.88150024</v>
      </c>
      <c r="E856" s="32" t="s">
        <v>2012</v>
      </c>
      <c r="F856" s="32" t="s">
        <v>2013</v>
      </c>
      <c r="G856" s="36" t="e">
        <v>#N/A</v>
      </c>
      <c r="H856" s="33"/>
      <c r="I856" s="33"/>
      <c r="J856" s="33"/>
      <c r="K856" s="33"/>
      <c r="L856" s="33"/>
      <c r="M856" s="33"/>
    </row>
    <row r="857">
      <c r="A857" s="32" t="s">
        <v>100</v>
      </c>
      <c r="B857" s="32" t="s">
        <v>2014</v>
      </c>
      <c r="C857" s="35">
        <v>40.12210083</v>
      </c>
      <c r="D857" s="35">
        <v>44.46500015</v>
      </c>
      <c r="E857" s="32" t="s">
        <v>2015</v>
      </c>
      <c r="F857" s="32" t="s">
        <v>2016</v>
      </c>
      <c r="G857" s="36" t="e">
        <v>#N/A</v>
      </c>
      <c r="H857" s="33"/>
      <c r="I857" s="33"/>
      <c r="J857" s="33"/>
      <c r="K857" s="33"/>
      <c r="L857" s="33"/>
      <c r="M857" s="33"/>
    </row>
    <row r="858">
      <c r="A858" s="32" t="s">
        <v>100</v>
      </c>
      <c r="B858" s="32" t="s">
        <v>2017</v>
      </c>
      <c r="C858" s="35">
        <v>41.04850006</v>
      </c>
      <c r="D858" s="35">
        <v>44.33720016</v>
      </c>
      <c r="E858" s="32" t="s">
        <v>2015</v>
      </c>
      <c r="F858" s="32" t="s">
        <v>2018</v>
      </c>
      <c r="G858" s="36" t="e">
        <v>#N/A</v>
      </c>
      <c r="H858" s="33"/>
      <c r="I858" s="33"/>
      <c r="J858" s="33"/>
      <c r="K858" s="33"/>
      <c r="L858" s="33"/>
      <c r="M858" s="33"/>
    </row>
    <row r="859">
      <c r="A859" s="32" t="s">
        <v>100</v>
      </c>
      <c r="B859" s="32" t="s">
        <v>2019</v>
      </c>
      <c r="C859" s="35">
        <v>18.71929932</v>
      </c>
      <c r="D859" s="35">
        <v>50.8368988</v>
      </c>
      <c r="E859" s="32" t="s">
        <v>2020</v>
      </c>
      <c r="F859" s="32" t="s">
        <v>2021</v>
      </c>
      <c r="G859" s="36" t="e">
        <v>#N/A</v>
      </c>
      <c r="H859" s="33"/>
      <c r="I859" s="33"/>
      <c r="J859" s="33"/>
      <c r="K859" s="33"/>
      <c r="L859" s="33"/>
      <c r="M859" s="33"/>
    </row>
    <row r="860">
      <c r="A860" s="32" t="s">
        <v>100</v>
      </c>
      <c r="B860" s="32" t="s">
        <v>2022</v>
      </c>
      <c r="C860" s="35">
        <v>55.88949966</v>
      </c>
      <c r="D860" s="35">
        <v>10.61369991</v>
      </c>
      <c r="E860" s="32" t="s">
        <v>533</v>
      </c>
      <c r="F860" s="32" t="s">
        <v>2023</v>
      </c>
      <c r="G860" s="36" t="e">
        <v>#N/A</v>
      </c>
      <c r="H860" s="33"/>
      <c r="I860" s="33"/>
      <c r="J860" s="33"/>
      <c r="K860" s="33"/>
      <c r="L860" s="33"/>
      <c r="M860" s="33"/>
    </row>
    <row r="861">
      <c r="A861" s="32" t="s">
        <v>100</v>
      </c>
      <c r="B861" s="32" t="s">
        <v>2024</v>
      </c>
      <c r="C861" s="35">
        <v>50.59999847</v>
      </c>
      <c r="D861" s="35">
        <v>-127.5830002</v>
      </c>
      <c r="E861" s="32" t="s">
        <v>94</v>
      </c>
      <c r="F861" s="32" t="s">
        <v>2025</v>
      </c>
      <c r="G861" s="36" t="e">
        <v>#N/A</v>
      </c>
      <c r="H861" s="33"/>
      <c r="I861" s="33"/>
      <c r="J861" s="33"/>
      <c r="K861" s="33"/>
      <c r="L861" s="33"/>
      <c r="M861" s="33"/>
    </row>
    <row r="862">
      <c r="A862" s="32" t="s">
        <v>100</v>
      </c>
      <c r="B862" s="32" t="s">
        <v>2026</v>
      </c>
      <c r="C862" s="35">
        <v>33.78559875</v>
      </c>
      <c r="D862" s="35">
        <v>42.44120026</v>
      </c>
      <c r="E862" s="32" t="s">
        <v>259</v>
      </c>
      <c r="F862" s="32" t="s">
        <v>2027</v>
      </c>
      <c r="G862" s="36" t="e">
        <v>#N/A</v>
      </c>
      <c r="H862" s="33"/>
      <c r="I862" s="33"/>
      <c r="J862" s="33"/>
      <c r="K862" s="33"/>
      <c r="L862" s="33"/>
      <c r="M862" s="33"/>
    </row>
    <row r="863">
      <c r="A863" s="32" t="s">
        <v>100</v>
      </c>
      <c r="B863" s="32" t="s">
        <v>2028</v>
      </c>
      <c r="C863" s="35">
        <v>33.33810043</v>
      </c>
      <c r="D863" s="35">
        <v>43.597099299999996</v>
      </c>
      <c r="E863" s="32" t="s">
        <v>259</v>
      </c>
      <c r="F863" s="32" t="s">
        <v>2029</v>
      </c>
      <c r="G863" s="36" t="e">
        <v>#N/A</v>
      </c>
      <c r="H863" s="33"/>
      <c r="I863" s="33"/>
      <c r="J863" s="33"/>
      <c r="K863" s="33"/>
      <c r="L863" s="33"/>
      <c r="M863" s="33"/>
    </row>
    <row r="864">
      <c r="A864" s="32" t="s">
        <v>100</v>
      </c>
      <c r="B864" s="32" t="s">
        <v>2030</v>
      </c>
      <c r="C864" s="35">
        <v>33.94020081</v>
      </c>
      <c r="D864" s="35">
        <v>44.36159897</v>
      </c>
      <c r="E864" s="32" t="s">
        <v>259</v>
      </c>
      <c r="F864" s="32" t="s">
        <v>2031</v>
      </c>
      <c r="G864" s="36" t="e">
        <v>#N/A</v>
      </c>
      <c r="H864" s="33"/>
      <c r="I864" s="33"/>
      <c r="J864" s="33"/>
      <c r="K864" s="33"/>
      <c r="L864" s="33"/>
      <c r="M864" s="33"/>
    </row>
    <row r="865">
      <c r="A865" s="32" t="s">
        <v>100</v>
      </c>
      <c r="B865" s="32" t="s">
        <v>2032</v>
      </c>
      <c r="C865" s="35">
        <v>-6.34664011</v>
      </c>
      <c r="D865" s="35">
        <v>-39.29380035</v>
      </c>
      <c r="E865" s="32" t="s">
        <v>288</v>
      </c>
      <c r="F865" s="32" t="s">
        <v>2033</v>
      </c>
      <c r="G865" s="36" t="e">
        <v>#N/A</v>
      </c>
      <c r="H865" s="33"/>
      <c r="I865" s="33"/>
      <c r="J865" s="33"/>
      <c r="K865" s="33"/>
      <c r="L865" s="33"/>
      <c r="M865" s="33"/>
    </row>
    <row r="866">
      <c r="A866" s="32" t="s">
        <v>100</v>
      </c>
      <c r="B866" s="32" t="s">
        <v>2034</v>
      </c>
      <c r="C866" s="35">
        <v>49.04639816</v>
      </c>
      <c r="D866" s="35">
        <v>2.353060007</v>
      </c>
      <c r="E866" s="32" t="s">
        <v>96</v>
      </c>
      <c r="F866" s="32" t="s">
        <v>2035</v>
      </c>
      <c r="G866" s="39" t="s">
        <v>97</v>
      </c>
      <c r="H866" s="33"/>
      <c r="I866" s="33"/>
      <c r="J866" s="33"/>
      <c r="K866" s="33"/>
      <c r="L866" s="33"/>
      <c r="M866" s="33"/>
    </row>
    <row r="867">
      <c r="A867" s="32" t="s">
        <v>100</v>
      </c>
      <c r="B867" s="32" t="s">
        <v>2036</v>
      </c>
      <c r="C867" s="35">
        <v>63.55609894</v>
      </c>
      <c r="D867" s="35">
        <v>-20.13750076</v>
      </c>
      <c r="E867" s="32" t="s">
        <v>2037</v>
      </c>
      <c r="F867" s="32" t="s">
        <v>2038</v>
      </c>
      <c r="G867" s="36" t="e">
        <v>#N/A</v>
      </c>
      <c r="H867" s="33"/>
      <c r="I867" s="33"/>
      <c r="J867" s="33"/>
      <c r="K867" s="33"/>
      <c r="L867" s="33"/>
      <c r="M867" s="33"/>
    </row>
    <row r="868">
      <c r="A868" s="32" t="s">
        <v>100</v>
      </c>
      <c r="B868" s="32" t="s">
        <v>2039</v>
      </c>
      <c r="C868" s="35">
        <v>55.09170151</v>
      </c>
      <c r="D868" s="35">
        <v>82.90670013</v>
      </c>
      <c r="E868" s="32" t="s">
        <v>2040</v>
      </c>
      <c r="F868" s="32" t="s">
        <v>2041</v>
      </c>
      <c r="G868" s="36" t="e">
        <v>#N/A</v>
      </c>
      <c r="H868" s="33"/>
      <c r="I868" s="33"/>
      <c r="J868" s="33"/>
      <c r="K868" s="33"/>
      <c r="L868" s="33"/>
      <c r="M868" s="33"/>
    </row>
    <row r="869">
      <c r="A869" s="32" t="s">
        <v>100</v>
      </c>
      <c r="B869" s="32" t="s">
        <v>2042</v>
      </c>
      <c r="C869" s="35">
        <v>22.28937149</v>
      </c>
      <c r="D869" s="35">
        <v>114.152153</v>
      </c>
      <c r="E869" s="32" t="s">
        <v>163</v>
      </c>
      <c r="F869" s="32" t="s">
        <v>163</v>
      </c>
      <c r="G869" s="39" t="s">
        <v>164</v>
      </c>
      <c r="H869" s="33"/>
      <c r="I869" s="33"/>
      <c r="J869" s="33"/>
      <c r="K869" s="33"/>
      <c r="L869" s="33"/>
      <c r="M869" s="33"/>
    </row>
    <row r="870">
      <c r="A870" s="32" t="s">
        <v>100</v>
      </c>
      <c r="B870" s="32" t="s">
        <v>2043</v>
      </c>
      <c r="C870" s="35">
        <v>50.29439926</v>
      </c>
      <c r="D870" s="35">
        <v>-96.01000214</v>
      </c>
      <c r="E870" s="32" t="s">
        <v>94</v>
      </c>
      <c r="F870" s="32" t="s">
        <v>2044</v>
      </c>
      <c r="G870" s="36" t="e">
        <v>#N/A</v>
      </c>
      <c r="H870" s="33"/>
      <c r="I870" s="33"/>
      <c r="J870" s="33"/>
      <c r="K870" s="33"/>
      <c r="L870" s="33"/>
      <c r="M870" s="33"/>
    </row>
    <row r="871">
      <c r="A871" s="32" t="s">
        <v>100</v>
      </c>
      <c r="B871" s="32" t="s">
        <v>2045</v>
      </c>
      <c r="C871" s="35">
        <v>53.35219955</v>
      </c>
      <c r="D871" s="35">
        <v>-6.48611021</v>
      </c>
      <c r="E871" s="32" t="s">
        <v>199</v>
      </c>
      <c r="F871" s="32" t="s">
        <v>2046</v>
      </c>
      <c r="G871" s="39" t="s">
        <v>200</v>
      </c>
      <c r="H871" s="33"/>
      <c r="I871" s="33"/>
      <c r="J871" s="33"/>
      <c r="K871" s="33"/>
      <c r="L871" s="33"/>
      <c r="M871" s="33"/>
    </row>
    <row r="872">
      <c r="A872" s="32" t="s">
        <v>100</v>
      </c>
      <c r="B872" s="32" t="s">
        <v>2047</v>
      </c>
      <c r="C872" s="35">
        <v>-13.645705</v>
      </c>
      <c r="D872" s="35">
        <v>48.459427</v>
      </c>
      <c r="E872" s="32" t="s">
        <v>384</v>
      </c>
      <c r="F872" s="32" t="s">
        <v>2048</v>
      </c>
      <c r="G872" s="36" t="e">
        <v>#N/A</v>
      </c>
      <c r="H872" s="33"/>
      <c r="I872" s="33"/>
      <c r="J872" s="33"/>
      <c r="K872" s="33"/>
      <c r="L872" s="33"/>
      <c r="M872" s="33"/>
    </row>
    <row r="873">
      <c r="A873" s="32" t="s">
        <v>100</v>
      </c>
      <c r="B873" s="32" t="s">
        <v>2049</v>
      </c>
      <c r="C873" s="35">
        <v>10.25</v>
      </c>
      <c r="D873" s="35">
        <v>-85.41699982</v>
      </c>
      <c r="E873" s="32" t="s">
        <v>1267</v>
      </c>
      <c r="F873" s="32" t="s">
        <v>2050</v>
      </c>
      <c r="G873" s="36" t="e">
        <v>#N/A</v>
      </c>
      <c r="H873" s="33"/>
      <c r="I873" s="33"/>
      <c r="J873" s="33"/>
      <c r="K873" s="33"/>
      <c r="L873" s="33"/>
      <c r="M873" s="33"/>
    </row>
    <row r="874">
      <c r="A874" s="32" t="s">
        <v>100</v>
      </c>
      <c r="B874" s="32" t="s">
        <v>2051</v>
      </c>
      <c r="C874" s="35">
        <v>22.51320076</v>
      </c>
      <c r="D874" s="35">
        <v>-78.51100159</v>
      </c>
      <c r="E874" s="32" t="s">
        <v>1294</v>
      </c>
      <c r="F874" s="32" t="s">
        <v>2052</v>
      </c>
      <c r="G874" s="36" t="e">
        <v>#N/A</v>
      </c>
      <c r="H874" s="33"/>
      <c r="I874" s="33"/>
      <c r="J874" s="33"/>
      <c r="K874" s="33"/>
      <c r="L874" s="33"/>
      <c r="M874" s="33"/>
    </row>
    <row r="875">
      <c r="A875" s="32" t="s">
        <v>100</v>
      </c>
      <c r="B875" s="32" t="s">
        <v>2053</v>
      </c>
      <c r="C875" s="35">
        <v>6.106440067</v>
      </c>
      <c r="D875" s="35">
        <v>125.2350006</v>
      </c>
      <c r="E875" s="32" t="s">
        <v>270</v>
      </c>
      <c r="F875" s="32" t="s">
        <v>2054</v>
      </c>
      <c r="G875" s="36" t="e">
        <v>#N/A</v>
      </c>
      <c r="H875" s="33"/>
      <c r="I875" s="33"/>
      <c r="J875" s="33"/>
      <c r="K875" s="33"/>
      <c r="L875" s="33"/>
      <c r="M875" s="33"/>
    </row>
    <row r="876">
      <c r="A876" s="32" t="s">
        <v>100</v>
      </c>
      <c r="B876" s="32" t="s">
        <v>2055</v>
      </c>
      <c r="C876" s="35">
        <v>53.39210129</v>
      </c>
      <c r="D876" s="35">
        <v>14.63379955</v>
      </c>
      <c r="E876" s="32" t="s">
        <v>192</v>
      </c>
      <c r="F876" s="32" t="s">
        <v>2056</v>
      </c>
      <c r="G876" s="39" t="s">
        <v>193</v>
      </c>
      <c r="H876" s="33"/>
      <c r="I876" s="33"/>
      <c r="J876" s="33"/>
      <c r="K876" s="33"/>
      <c r="L876" s="33"/>
      <c r="M876" s="33"/>
    </row>
    <row r="877">
      <c r="A877" s="32" t="s">
        <v>100</v>
      </c>
      <c r="B877" s="32" t="s">
        <v>2057</v>
      </c>
      <c r="C877" s="35">
        <v>36.033333</v>
      </c>
      <c r="D877" s="35">
        <v>103.86667</v>
      </c>
      <c r="E877" s="32" t="s">
        <v>205</v>
      </c>
      <c r="F877" s="32" t="s">
        <v>2058</v>
      </c>
      <c r="G877" s="39" t="s">
        <v>206</v>
      </c>
      <c r="H877" s="33"/>
      <c r="I877" s="33"/>
      <c r="J877" s="33"/>
      <c r="K877" s="33"/>
      <c r="L877" s="33"/>
      <c r="M877" s="33"/>
    </row>
    <row r="878">
      <c r="A878" s="32" t="s">
        <v>100</v>
      </c>
      <c r="B878" s="32" t="s">
        <v>2059</v>
      </c>
      <c r="C878" s="35">
        <v>48.00999832</v>
      </c>
      <c r="D878" s="35">
        <v>10.09861088</v>
      </c>
      <c r="E878" s="32" t="s">
        <v>109</v>
      </c>
      <c r="F878" s="32" t="s">
        <v>2060</v>
      </c>
      <c r="G878" s="39" t="s">
        <v>110</v>
      </c>
      <c r="H878" s="33"/>
      <c r="I878" s="33"/>
      <c r="J878" s="33"/>
      <c r="K878" s="33"/>
      <c r="L878" s="33"/>
      <c r="M878" s="33"/>
    </row>
    <row r="879">
      <c r="A879" s="32" t="s">
        <v>100</v>
      </c>
      <c r="B879" s="32" t="s">
        <v>2061</v>
      </c>
      <c r="C879" s="35">
        <v>47.682043</v>
      </c>
      <c r="D879" s="35">
        <v>-122.148456</v>
      </c>
      <c r="E879" s="32" t="s">
        <v>280</v>
      </c>
      <c r="F879" s="32" t="s">
        <v>2062</v>
      </c>
      <c r="G879" s="36" t="e">
        <v>#N/A</v>
      </c>
      <c r="H879" s="33"/>
      <c r="I879" s="33"/>
      <c r="J879" s="33"/>
      <c r="K879" s="33"/>
      <c r="L879" s="33"/>
      <c r="M879" s="33"/>
    </row>
    <row r="880">
      <c r="A880" s="32" t="s">
        <v>100</v>
      </c>
      <c r="B880" s="32" t="s">
        <v>2063</v>
      </c>
      <c r="C880" s="35">
        <v>4.637000084</v>
      </c>
      <c r="D880" s="35">
        <v>114.3820038</v>
      </c>
      <c r="E880" s="32" t="s">
        <v>2064</v>
      </c>
      <c r="F880" s="32" t="s">
        <v>2065</v>
      </c>
      <c r="G880" s="36" t="e">
        <v>#N/A</v>
      </c>
      <c r="H880" s="33"/>
      <c r="I880" s="33"/>
      <c r="J880" s="33"/>
      <c r="K880" s="33"/>
      <c r="L880" s="33"/>
      <c r="M880" s="33"/>
    </row>
    <row r="881">
      <c r="A881" s="32" t="s">
        <v>100</v>
      </c>
      <c r="B881" s="32" t="s">
        <v>2066</v>
      </c>
      <c r="C881" s="35">
        <v>46.40639877</v>
      </c>
      <c r="D881" s="35">
        <v>6.258059978</v>
      </c>
      <c r="E881" s="32" t="s">
        <v>1180</v>
      </c>
      <c r="F881" s="32" t="s">
        <v>2067</v>
      </c>
      <c r="G881" s="36" t="e">
        <v>#N/A</v>
      </c>
      <c r="H881" s="33"/>
      <c r="I881" s="33"/>
      <c r="J881" s="33"/>
      <c r="K881" s="33"/>
      <c r="L881" s="33"/>
      <c r="M881" s="33"/>
    </row>
    <row r="882">
      <c r="A882" s="32" t="s">
        <v>100</v>
      </c>
      <c r="B882" s="32" t="s">
        <v>2068</v>
      </c>
      <c r="C882" s="35">
        <v>35.387798</v>
      </c>
      <c r="D882" s="35">
        <v>-80.709099</v>
      </c>
      <c r="E882" s="32" t="s">
        <v>180</v>
      </c>
      <c r="F882" s="32" t="s">
        <v>2069</v>
      </c>
      <c r="G882" s="39" t="s">
        <v>181</v>
      </c>
      <c r="H882" s="33"/>
      <c r="I882" s="33"/>
      <c r="J882" s="33"/>
      <c r="K882" s="33"/>
      <c r="L882" s="33"/>
      <c r="M882" s="33"/>
    </row>
    <row r="883">
      <c r="A883" s="32" t="s">
        <v>100</v>
      </c>
      <c r="B883" s="32" t="s">
        <v>2070</v>
      </c>
      <c r="C883" s="35">
        <v>50.653099</v>
      </c>
      <c r="D883" s="35">
        <v>-1.18221998</v>
      </c>
      <c r="E883" s="32" t="s">
        <v>90</v>
      </c>
      <c r="F883" s="32" t="s">
        <v>2071</v>
      </c>
      <c r="G883" s="39" t="s">
        <v>91</v>
      </c>
      <c r="H883" s="33"/>
      <c r="I883" s="33"/>
      <c r="J883" s="33"/>
      <c r="K883" s="33"/>
      <c r="L883" s="33"/>
      <c r="M883" s="33"/>
    </row>
    <row r="884">
      <c r="A884" s="32" t="s">
        <v>100</v>
      </c>
      <c r="B884" s="32" t="s">
        <v>2072</v>
      </c>
      <c r="C884" s="35">
        <v>44.7560997</v>
      </c>
      <c r="D884" s="35">
        <v>-1.063330054</v>
      </c>
      <c r="E884" s="32" t="s">
        <v>96</v>
      </c>
      <c r="F884" s="32" t="s">
        <v>2073</v>
      </c>
      <c r="G884" s="39" t="s">
        <v>97</v>
      </c>
      <c r="H884" s="33"/>
      <c r="I884" s="33"/>
      <c r="J884" s="33"/>
      <c r="K884" s="33"/>
      <c r="L884" s="33"/>
      <c r="M884" s="33"/>
    </row>
    <row r="885">
      <c r="A885" s="32" t="s">
        <v>100</v>
      </c>
      <c r="B885" s="32" t="s">
        <v>2074</v>
      </c>
      <c r="C885" s="35">
        <v>52.66166687</v>
      </c>
      <c r="D885" s="35">
        <v>12.7458334</v>
      </c>
      <c r="E885" s="32" t="s">
        <v>109</v>
      </c>
      <c r="F885" s="32" t="s">
        <v>2075</v>
      </c>
      <c r="G885" s="39" t="s">
        <v>110</v>
      </c>
      <c r="H885" s="33"/>
      <c r="I885" s="33"/>
      <c r="J885" s="33"/>
      <c r="K885" s="33"/>
      <c r="L885" s="33"/>
      <c r="M885" s="33"/>
    </row>
    <row r="886">
      <c r="A886" s="32" t="s">
        <v>100</v>
      </c>
      <c r="B886" s="32" t="s">
        <v>2076</v>
      </c>
      <c r="C886" s="35">
        <v>46.76190186</v>
      </c>
      <c r="D886" s="35">
        <v>6.613329887</v>
      </c>
      <c r="E886" s="32" t="s">
        <v>1180</v>
      </c>
      <c r="F886" s="32" t="s">
        <v>2077</v>
      </c>
      <c r="G886" s="36" t="e">
        <v>#N/A</v>
      </c>
      <c r="H886" s="33"/>
      <c r="I886" s="33"/>
      <c r="J886" s="33"/>
      <c r="K886" s="33"/>
      <c r="L886" s="33"/>
      <c r="M886" s="33"/>
    </row>
    <row r="887">
      <c r="A887" s="32" t="s">
        <v>100</v>
      </c>
      <c r="B887" s="32" t="s">
        <v>2078</v>
      </c>
      <c r="C887" s="35">
        <v>49.80500031</v>
      </c>
      <c r="D887" s="35">
        <v>19.00189972</v>
      </c>
      <c r="E887" s="32" t="s">
        <v>192</v>
      </c>
      <c r="F887" s="32" t="s">
        <v>2079</v>
      </c>
      <c r="G887" s="39" t="s">
        <v>193</v>
      </c>
      <c r="H887" s="33"/>
      <c r="I887" s="33"/>
      <c r="J887" s="33"/>
      <c r="K887" s="33"/>
      <c r="L887" s="33"/>
      <c r="M887" s="33"/>
    </row>
    <row r="888">
      <c r="A888" s="32" t="s">
        <v>100</v>
      </c>
      <c r="B888" s="32" t="s">
        <v>2080</v>
      </c>
      <c r="C888" s="35">
        <v>-44.00529861</v>
      </c>
      <c r="D888" s="35">
        <v>170.4440002</v>
      </c>
      <c r="E888" s="32" t="s">
        <v>1328</v>
      </c>
      <c r="F888" s="32" t="s">
        <v>2081</v>
      </c>
      <c r="G888" s="36" t="e">
        <v>#N/A</v>
      </c>
      <c r="H888" s="33"/>
      <c r="I888" s="33"/>
      <c r="J888" s="33"/>
      <c r="K888" s="33"/>
      <c r="L888" s="33"/>
      <c r="M888" s="33"/>
    </row>
    <row r="889">
      <c r="A889" s="32" t="s">
        <v>100</v>
      </c>
      <c r="B889" s="32" t="s">
        <v>2082</v>
      </c>
      <c r="C889" s="35">
        <v>47.478298</v>
      </c>
      <c r="D889" s="35">
        <v>14.0083</v>
      </c>
      <c r="E889" s="32" t="s">
        <v>1145</v>
      </c>
      <c r="F889" s="32" t="s">
        <v>2083</v>
      </c>
      <c r="G889" s="36" t="e">
        <v>#N/A</v>
      </c>
      <c r="H889" s="33"/>
      <c r="I889" s="33"/>
      <c r="J889" s="33"/>
      <c r="K889" s="33"/>
      <c r="L889" s="33"/>
      <c r="M889" s="33"/>
    </row>
    <row r="890">
      <c r="A890" s="32" t="s">
        <v>100</v>
      </c>
      <c r="B890" s="32" t="s">
        <v>2084</v>
      </c>
      <c r="C890" s="35">
        <v>47.96500015</v>
      </c>
      <c r="D890" s="35">
        <v>16.26000023</v>
      </c>
      <c r="E890" s="32" t="s">
        <v>1145</v>
      </c>
      <c r="F890" s="32" t="s">
        <v>2085</v>
      </c>
      <c r="G890" s="36" t="e">
        <v>#N/A</v>
      </c>
      <c r="H890" s="33"/>
      <c r="I890" s="33"/>
      <c r="J890" s="33"/>
      <c r="K890" s="33"/>
      <c r="L890" s="33"/>
      <c r="M890" s="33"/>
    </row>
    <row r="891">
      <c r="A891" s="32" t="s">
        <v>100</v>
      </c>
      <c r="B891" s="32" t="s">
        <v>2086</v>
      </c>
      <c r="C891" s="35">
        <v>53.64638901</v>
      </c>
      <c r="D891" s="35">
        <v>9.704167366</v>
      </c>
      <c r="E891" s="32" t="s">
        <v>109</v>
      </c>
      <c r="F891" s="32" t="s">
        <v>2087</v>
      </c>
      <c r="G891" s="39" t="s">
        <v>110</v>
      </c>
      <c r="H891" s="33"/>
      <c r="I891" s="33"/>
      <c r="J891" s="33"/>
      <c r="K891" s="33"/>
      <c r="L891" s="33"/>
      <c r="M891" s="33"/>
    </row>
    <row r="892">
      <c r="A892" s="32" t="s">
        <v>100</v>
      </c>
      <c r="B892" s="32" t="s">
        <v>2088</v>
      </c>
      <c r="C892" s="35">
        <v>-8.182999611</v>
      </c>
      <c r="D892" s="35">
        <v>-76.51699829</v>
      </c>
      <c r="E892" s="32" t="s">
        <v>307</v>
      </c>
      <c r="F892" s="32" t="s">
        <v>2089</v>
      </c>
      <c r="G892" s="36" t="e">
        <v>#N/A</v>
      </c>
      <c r="H892" s="33"/>
      <c r="I892" s="33"/>
      <c r="J892" s="33"/>
      <c r="K892" s="33"/>
      <c r="L892" s="33"/>
      <c r="M892" s="33"/>
    </row>
    <row r="893">
      <c r="A893" s="32" t="s">
        <v>100</v>
      </c>
      <c r="B893" s="32" t="s">
        <v>2090</v>
      </c>
      <c r="C893" s="35">
        <v>53.05389023</v>
      </c>
      <c r="D893" s="35">
        <v>9.208610535</v>
      </c>
      <c r="E893" s="32" t="s">
        <v>109</v>
      </c>
      <c r="F893" s="32" t="s">
        <v>2091</v>
      </c>
      <c r="G893" s="39" t="s">
        <v>110</v>
      </c>
      <c r="H893" s="33"/>
      <c r="I893" s="33"/>
      <c r="J893" s="33"/>
      <c r="K893" s="33"/>
      <c r="L893" s="33"/>
      <c r="M893" s="33"/>
    </row>
    <row r="894">
      <c r="A894" s="32" t="s">
        <v>100</v>
      </c>
      <c r="B894" s="32" t="s">
        <v>2092</v>
      </c>
      <c r="C894" s="35">
        <v>48.446389</v>
      </c>
      <c r="D894" s="35">
        <v>15.634167</v>
      </c>
      <c r="E894" s="32" t="s">
        <v>1145</v>
      </c>
      <c r="F894" s="32" t="s">
        <v>2093</v>
      </c>
      <c r="G894" s="36" t="e">
        <v>#N/A</v>
      </c>
      <c r="H894" s="33"/>
      <c r="I894" s="33"/>
      <c r="J894" s="33"/>
      <c r="K894" s="33"/>
      <c r="L894" s="33"/>
      <c r="M894" s="33"/>
    </row>
    <row r="895">
      <c r="A895" s="32" t="s">
        <v>100</v>
      </c>
      <c r="B895" s="32" t="s">
        <v>2094</v>
      </c>
      <c r="C895" s="35">
        <v>46.30360031</v>
      </c>
      <c r="D895" s="35">
        <v>7.823329926</v>
      </c>
      <c r="E895" s="32" t="s">
        <v>1180</v>
      </c>
      <c r="F895" s="32" t="s">
        <v>2095</v>
      </c>
      <c r="G895" s="36" t="e">
        <v>#N/A</v>
      </c>
      <c r="H895" s="33"/>
      <c r="I895" s="33"/>
      <c r="J895" s="33"/>
      <c r="K895" s="33"/>
      <c r="L895" s="33"/>
      <c r="M895" s="33"/>
    </row>
    <row r="896">
      <c r="A896" s="32" t="s">
        <v>100</v>
      </c>
      <c r="B896" s="32" t="s">
        <v>2096</v>
      </c>
      <c r="C896" s="35">
        <v>53.9604611</v>
      </c>
      <c r="D896" s="35">
        <v>27.6505961</v>
      </c>
      <c r="E896" s="32" t="s">
        <v>2097</v>
      </c>
      <c r="F896" s="32" t="s">
        <v>2098</v>
      </c>
      <c r="G896" s="36" t="e">
        <v>#N/A</v>
      </c>
      <c r="H896" s="33"/>
      <c r="I896" s="33"/>
      <c r="J896" s="33"/>
      <c r="K896" s="33"/>
      <c r="L896" s="33"/>
      <c r="M896" s="33"/>
    </row>
    <row r="897">
      <c r="A897" s="32" t="s">
        <v>100</v>
      </c>
      <c r="B897" s="32" t="s">
        <v>2099</v>
      </c>
      <c r="C897" s="35">
        <v>47.57419968</v>
      </c>
      <c r="D897" s="35">
        <v>9.047499657</v>
      </c>
      <c r="E897" s="32" t="s">
        <v>1180</v>
      </c>
      <c r="F897" s="32" t="s">
        <v>2100</v>
      </c>
      <c r="G897" s="36" t="e">
        <v>#N/A</v>
      </c>
      <c r="H897" s="33"/>
      <c r="I897" s="33"/>
      <c r="J897" s="33"/>
      <c r="K897" s="33"/>
      <c r="L897" s="33"/>
      <c r="M897" s="33"/>
    </row>
    <row r="898">
      <c r="A898" s="32" t="s">
        <v>100</v>
      </c>
      <c r="B898" s="32" t="s">
        <v>2101</v>
      </c>
      <c r="C898" s="35">
        <v>47.5243988</v>
      </c>
      <c r="D898" s="35">
        <v>9.003060341</v>
      </c>
      <c r="E898" s="32" t="s">
        <v>1180</v>
      </c>
      <c r="F898" s="32" t="s">
        <v>2102</v>
      </c>
      <c r="G898" s="36" t="e">
        <v>#N/A</v>
      </c>
      <c r="H898" s="33"/>
      <c r="I898" s="33"/>
      <c r="J898" s="33"/>
      <c r="K898" s="33"/>
      <c r="L898" s="33"/>
      <c r="M898" s="33"/>
    </row>
    <row r="899">
      <c r="A899" s="32" t="s">
        <v>100</v>
      </c>
      <c r="B899" s="32" t="s">
        <v>2103</v>
      </c>
      <c r="C899" s="35">
        <v>51.634445</v>
      </c>
      <c r="D899" s="35">
        <v>13.675556</v>
      </c>
      <c r="E899" s="32" t="s">
        <v>109</v>
      </c>
      <c r="F899" s="32" t="s">
        <v>2104</v>
      </c>
      <c r="G899" s="39" t="s">
        <v>110</v>
      </c>
      <c r="H899" s="33"/>
      <c r="I899" s="33"/>
      <c r="J899" s="33"/>
      <c r="K899" s="33"/>
      <c r="L899" s="33"/>
      <c r="M899" s="33"/>
    </row>
    <row r="900">
      <c r="A900" s="32" t="s">
        <v>100</v>
      </c>
      <c r="B900" s="32" t="s">
        <v>2105</v>
      </c>
      <c r="C900" s="35">
        <v>46.53390121</v>
      </c>
      <c r="D900" s="35">
        <v>-87.56140137</v>
      </c>
      <c r="E900" s="32" t="s">
        <v>180</v>
      </c>
      <c r="F900" s="32" t="s">
        <v>2106</v>
      </c>
      <c r="G900" s="39" t="s">
        <v>181</v>
      </c>
      <c r="H900" s="33"/>
      <c r="I900" s="33"/>
      <c r="J900" s="33"/>
      <c r="K900" s="33"/>
      <c r="L900" s="33"/>
      <c r="M900" s="33"/>
    </row>
    <row r="901">
      <c r="A901" s="32" t="s">
        <v>100</v>
      </c>
      <c r="B901" s="32" t="s">
        <v>2107</v>
      </c>
      <c r="C901" s="35">
        <v>51.616112</v>
      </c>
      <c r="D901" s="35">
        <v>6.865278</v>
      </c>
      <c r="E901" s="32" t="s">
        <v>109</v>
      </c>
      <c r="F901" s="32" t="s">
        <v>2108</v>
      </c>
      <c r="G901" s="39" t="s">
        <v>110</v>
      </c>
      <c r="H901" s="33"/>
      <c r="I901" s="33"/>
      <c r="J901" s="33"/>
      <c r="K901" s="33"/>
      <c r="L901" s="33"/>
      <c r="M901" s="33"/>
    </row>
    <row r="902">
      <c r="A902" s="32" t="s">
        <v>100</v>
      </c>
      <c r="B902" s="32" t="s">
        <v>2109</v>
      </c>
      <c r="C902" s="35">
        <v>51.80666733</v>
      </c>
      <c r="D902" s="35">
        <v>9.378333092</v>
      </c>
      <c r="E902" s="32" t="s">
        <v>109</v>
      </c>
      <c r="F902" s="32" t="s">
        <v>2110</v>
      </c>
      <c r="G902" s="39" t="s">
        <v>110</v>
      </c>
      <c r="H902" s="33"/>
      <c r="I902" s="33"/>
      <c r="J902" s="33"/>
      <c r="K902" s="33"/>
      <c r="L902" s="33"/>
      <c r="M902" s="33"/>
    </row>
    <row r="903">
      <c r="A903" s="32" t="s">
        <v>100</v>
      </c>
      <c r="B903" s="32" t="s">
        <v>2111</v>
      </c>
      <c r="C903" s="35">
        <v>34.36940002</v>
      </c>
      <c r="D903" s="35">
        <v>139.2689972</v>
      </c>
      <c r="E903" s="32" t="s">
        <v>170</v>
      </c>
      <c r="F903" s="32" t="s">
        <v>2112</v>
      </c>
      <c r="G903" s="39" t="s">
        <v>171</v>
      </c>
      <c r="H903" s="33"/>
      <c r="I903" s="33"/>
      <c r="J903" s="33"/>
      <c r="K903" s="33"/>
      <c r="L903" s="33"/>
      <c r="M903" s="33"/>
    </row>
    <row r="904">
      <c r="A904" s="32" t="s">
        <v>100</v>
      </c>
      <c r="B904" s="32" t="s">
        <v>2113</v>
      </c>
      <c r="C904" s="35">
        <v>55.70029831</v>
      </c>
      <c r="D904" s="35">
        <v>11.25</v>
      </c>
      <c r="E904" s="32" t="s">
        <v>533</v>
      </c>
      <c r="F904" s="32" t="s">
        <v>2114</v>
      </c>
      <c r="G904" s="36" t="e">
        <v>#N/A</v>
      </c>
      <c r="H904" s="33"/>
      <c r="I904" s="33"/>
      <c r="J904" s="33"/>
      <c r="K904" s="33"/>
      <c r="L904" s="33"/>
      <c r="M904" s="33"/>
    </row>
    <row r="905">
      <c r="A905" s="32" t="s">
        <v>100</v>
      </c>
      <c r="B905" s="32" t="s">
        <v>2115</v>
      </c>
      <c r="C905" s="35">
        <v>-17.54529953</v>
      </c>
      <c r="D905" s="35">
        <v>128.3070068</v>
      </c>
      <c r="E905" s="32" t="s">
        <v>1968</v>
      </c>
      <c r="F905" s="32" t="s">
        <v>2116</v>
      </c>
      <c r="G905" s="36" t="e">
        <v>#N/A</v>
      </c>
      <c r="H905" s="33"/>
      <c r="I905" s="33"/>
      <c r="J905" s="33"/>
      <c r="K905" s="33"/>
      <c r="L905" s="33"/>
      <c r="M905" s="33"/>
    </row>
    <row r="906">
      <c r="A906" s="32" t="s">
        <v>100</v>
      </c>
      <c r="B906" s="32" t="s">
        <v>2117</v>
      </c>
      <c r="C906" s="35">
        <v>-17.91699982</v>
      </c>
      <c r="D906" s="35">
        <v>25.81699944</v>
      </c>
      <c r="E906" s="32" t="s">
        <v>785</v>
      </c>
      <c r="F906" s="32" t="s">
        <v>2118</v>
      </c>
      <c r="G906" s="36" t="e">
        <v>#N/A</v>
      </c>
      <c r="H906" s="33"/>
      <c r="I906" s="33"/>
      <c r="J906" s="33"/>
      <c r="K906" s="33"/>
      <c r="L906" s="33"/>
      <c r="M906" s="33"/>
    </row>
    <row r="907">
      <c r="A907" s="32" t="s">
        <v>100</v>
      </c>
      <c r="B907" s="32" t="s">
        <v>2119</v>
      </c>
      <c r="C907" s="35">
        <v>38.88190079</v>
      </c>
      <c r="D907" s="35">
        <v>-83.88269806</v>
      </c>
      <c r="E907" s="32" t="s">
        <v>180</v>
      </c>
      <c r="F907" s="32" t="s">
        <v>2120</v>
      </c>
      <c r="G907" s="39" t="s">
        <v>181</v>
      </c>
      <c r="H907" s="33"/>
      <c r="I907" s="33"/>
      <c r="J907" s="33"/>
      <c r="K907" s="33"/>
      <c r="L907" s="33"/>
      <c r="M907" s="33"/>
    </row>
    <row r="908">
      <c r="A908" s="32" t="s">
        <v>100</v>
      </c>
      <c r="B908" s="32" t="s">
        <v>2121</v>
      </c>
      <c r="C908" s="35">
        <v>47.292222</v>
      </c>
      <c r="D908" s="35">
        <v>12.7875</v>
      </c>
      <c r="E908" s="32" t="s">
        <v>1145</v>
      </c>
      <c r="F908" s="32" t="s">
        <v>2122</v>
      </c>
      <c r="G908" s="36" t="e">
        <v>#N/A</v>
      </c>
      <c r="H908" s="33"/>
      <c r="I908" s="33"/>
      <c r="J908" s="33"/>
      <c r="K908" s="33"/>
      <c r="L908" s="33"/>
      <c r="M908" s="33"/>
    </row>
    <row r="909">
      <c r="A909" s="32" t="s">
        <v>100</v>
      </c>
      <c r="B909" s="32" t="s">
        <v>2123</v>
      </c>
      <c r="C909" s="35">
        <v>-27.6406</v>
      </c>
      <c r="D909" s="35">
        <v>152.712006</v>
      </c>
      <c r="E909" s="32" t="s">
        <v>1968</v>
      </c>
      <c r="F909" s="32" t="s">
        <v>2124</v>
      </c>
      <c r="G909" s="36" t="e">
        <v>#N/A</v>
      </c>
      <c r="H909" s="33"/>
      <c r="I909" s="33"/>
      <c r="J909" s="33"/>
      <c r="K909" s="33"/>
      <c r="L909" s="33"/>
      <c r="M909" s="33"/>
    </row>
    <row r="910">
      <c r="A910" s="32" t="s">
        <v>100</v>
      </c>
      <c r="B910" s="32" t="s">
        <v>2125</v>
      </c>
      <c r="C910" s="35">
        <v>-37.86360168</v>
      </c>
      <c r="D910" s="35">
        <v>144.7460022</v>
      </c>
      <c r="E910" s="32" t="s">
        <v>1968</v>
      </c>
      <c r="F910" s="32" t="s">
        <v>2126</v>
      </c>
      <c r="G910" s="36" t="e">
        <v>#N/A</v>
      </c>
      <c r="H910" s="33"/>
      <c r="I910" s="33"/>
      <c r="J910" s="33"/>
      <c r="K910" s="33"/>
      <c r="L910" s="33"/>
      <c r="M910" s="33"/>
    </row>
    <row r="911">
      <c r="A911" s="32" t="s">
        <v>100</v>
      </c>
      <c r="B911" s="32" t="s">
        <v>2127</v>
      </c>
      <c r="C911" s="35">
        <v>53.70666885</v>
      </c>
      <c r="D911" s="35">
        <v>7.820278168</v>
      </c>
      <c r="E911" s="32" t="s">
        <v>109</v>
      </c>
      <c r="F911" s="32" t="s">
        <v>2128</v>
      </c>
      <c r="G911" s="39" t="s">
        <v>110</v>
      </c>
      <c r="H911" s="33"/>
      <c r="I911" s="33"/>
      <c r="J911" s="33"/>
      <c r="K911" s="33"/>
      <c r="L911" s="33"/>
      <c r="M911" s="33"/>
    </row>
    <row r="912">
      <c r="A912" s="32" t="s">
        <v>100</v>
      </c>
      <c r="B912" s="32" t="s">
        <v>2129</v>
      </c>
      <c r="C912" s="35">
        <v>-31.6678009</v>
      </c>
      <c r="D912" s="35">
        <v>116.0149994</v>
      </c>
      <c r="E912" s="32" t="s">
        <v>1968</v>
      </c>
      <c r="F912" s="32" t="s">
        <v>2130</v>
      </c>
      <c r="G912" s="36" t="e">
        <v>#N/A</v>
      </c>
      <c r="H912" s="33"/>
      <c r="I912" s="33"/>
      <c r="J912" s="33"/>
      <c r="K912" s="33"/>
      <c r="L912" s="33"/>
      <c r="M912" s="33"/>
    </row>
    <row r="913">
      <c r="A913" s="32" t="s">
        <v>100</v>
      </c>
      <c r="B913" s="32" t="s">
        <v>2131</v>
      </c>
      <c r="C913" s="35">
        <v>-36.73939896</v>
      </c>
      <c r="D913" s="35">
        <v>144.3300018</v>
      </c>
      <c r="E913" s="32" t="s">
        <v>1968</v>
      </c>
      <c r="F913" s="32" t="s">
        <v>2132</v>
      </c>
      <c r="G913" s="36" t="e">
        <v>#N/A</v>
      </c>
      <c r="H913" s="33"/>
      <c r="I913" s="33"/>
      <c r="J913" s="33"/>
      <c r="K913" s="33"/>
      <c r="L913" s="33"/>
      <c r="M913" s="33"/>
    </row>
    <row r="914">
      <c r="A914" s="32" t="s">
        <v>100</v>
      </c>
      <c r="B914" s="32" t="s">
        <v>2133</v>
      </c>
      <c r="C914" s="35">
        <v>57.773</v>
      </c>
      <c r="D914" s="35">
        <v>108.064</v>
      </c>
      <c r="E914" s="32" t="s">
        <v>2040</v>
      </c>
      <c r="F914" s="32" t="s">
        <v>2134</v>
      </c>
      <c r="G914" s="36" t="e">
        <v>#N/A</v>
      </c>
      <c r="H914" s="33"/>
      <c r="I914" s="33"/>
      <c r="J914" s="33"/>
      <c r="K914" s="33"/>
      <c r="L914" s="33"/>
      <c r="M914" s="33"/>
    </row>
    <row r="915">
      <c r="A915" s="32" t="s">
        <v>100</v>
      </c>
      <c r="B915" s="32" t="s">
        <v>2135</v>
      </c>
      <c r="C915" s="35">
        <v>47.22669983</v>
      </c>
      <c r="D915" s="35">
        <v>8.07806015</v>
      </c>
      <c r="E915" s="32" t="s">
        <v>1180</v>
      </c>
      <c r="F915" s="32" t="s">
        <v>2136</v>
      </c>
      <c r="G915" s="36" t="e">
        <v>#N/A</v>
      </c>
      <c r="H915" s="33"/>
      <c r="I915" s="33"/>
      <c r="J915" s="33"/>
      <c r="K915" s="33"/>
      <c r="L915" s="33"/>
      <c r="M915" s="33"/>
    </row>
    <row r="916">
      <c r="A916" s="32" t="s">
        <v>100</v>
      </c>
      <c r="B916" s="32" t="s">
        <v>2137</v>
      </c>
      <c r="C916" s="35">
        <v>47.37639999</v>
      </c>
      <c r="D916" s="35">
        <v>8.757499695</v>
      </c>
      <c r="E916" s="32" t="s">
        <v>1180</v>
      </c>
      <c r="F916" s="32" t="s">
        <v>2138</v>
      </c>
      <c r="G916" s="36" t="e">
        <v>#N/A</v>
      </c>
      <c r="H916" s="33"/>
      <c r="I916" s="33"/>
      <c r="J916" s="33"/>
      <c r="K916" s="33"/>
      <c r="L916" s="33"/>
      <c r="M916" s="33"/>
    </row>
    <row r="917">
      <c r="A917" s="32" t="s">
        <v>100</v>
      </c>
      <c r="B917" s="32" t="s">
        <v>2139</v>
      </c>
      <c r="C917" s="35">
        <v>47.1983333</v>
      </c>
      <c r="D917" s="35">
        <v>38.8491667</v>
      </c>
      <c r="E917" s="32" t="s">
        <v>2040</v>
      </c>
      <c r="F917" s="32" t="s">
        <v>2140</v>
      </c>
      <c r="G917" s="36" t="e">
        <v>#N/A</v>
      </c>
      <c r="H917" s="33"/>
      <c r="I917" s="33"/>
      <c r="J917" s="33"/>
      <c r="K917" s="33"/>
      <c r="L917" s="33"/>
      <c r="M917" s="33"/>
    </row>
    <row r="918">
      <c r="A918" s="32" t="s">
        <v>100</v>
      </c>
      <c r="B918" s="32" t="s">
        <v>2141</v>
      </c>
      <c r="C918" s="35">
        <v>55.553299</v>
      </c>
      <c r="D918" s="35">
        <v>38.150002</v>
      </c>
      <c r="E918" s="32" t="s">
        <v>2040</v>
      </c>
      <c r="F918" s="32" t="s">
        <v>2142</v>
      </c>
      <c r="G918" s="36" t="e">
        <v>#N/A</v>
      </c>
      <c r="H918" s="33"/>
      <c r="I918" s="33"/>
      <c r="J918" s="33"/>
      <c r="K918" s="33"/>
      <c r="L918" s="33"/>
      <c r="M918" s="33"/>
    </row>
    <row r="919">
      <c r="A919" s="32" t="s">
        <v>100</v>
      </c>
      <c r="B919" s="32" t="s">
        <v>2143</v>
      </c>
      <c r="C919" s="35">
        <v>48.52500153</v>
      </c>
      <c r="D919" s="35">
        <v>135.1529999</v>
      </c>
      <c r="E919" s="32" t="s">
        <v>2040</v>
      </c>
      <c r="F919" s="32" t="s">
        <v>2144</v>
      </c>
      <c r="G919" s="36" t="e">
        <v>#N/A</v>
      </c>
      <c r="H919" s="33"/>
      <c r="I919" s="33"/>
      <c r="J919" s="33"/>
      <c r="K919" s="33"/>
      <c r="L919" s="33"/>
      <c r="M919" s="33"/>
    </row>
    <row r="920">
      <c r="A920" s="32" t="s">
        <v>100</v>
      </c>
      <c r="B920" s="32" t="s">
        <v>2145</v>
      </c>
      <c r="C920" s="35">
        <v>50.60559845</v>
      </c>
      <c r="D920" s="35">
        <v>137.0809937</v>
      </c>
      <c r="E920" s="32" t="s">
        <v>2040</v>
      </c>
      <c r="F920" s="32" t="s">
        <v>2146</v>
      </c>
      <c r="G920" s="36" t="e">
        <v>#N/A</v>
      </c>
      <c r="H920" s="33"/>
      <c r="I920" s="33"/>
      <c r="J920" s="33"/>
      <c r="K920" s="33"/>
      <c r="L920" s="33"/>
      <c r="M920" s="33"/>
    </row>
    <row r="921">
      <c r="A921" s="32" t="s">
        <v>100</v>
      </c>
      <c r="B921" s="32" t="s">
        <v>2147</v>
      </c>
      <c r="C921" s="35">
        <v>52.91500092</v>
      </c>
      <c r="D921" s="35">
        <v>103.5749969</v>
      </c>
      <c r="E921" s="32" t="s">
        <v>2040</v>
      </c>
      <c r="F921" s="32" t="s">
        <v>2148</v>
      </c>
      <c r="G921" s="36" t="e">
        <v>#N/A</v>
      </c>
      <c r="H921" s="33"/>
      <c r="I921" s="33"/>
      <c r="J921" s="33"/>
      <c r="K921" s="33"/>
      <c r="L921" s="33"/>
      <c r="M921" s="33"/>
    </row>
    <row r="922">
      <c r="A922" s="32" t="s">
        <v>100</v>
      </c>
      <c r="B922" s="32" t="s">
        <v>2149</v>
      </c>
      <c r="C922" s="35">
        <v>44.45869827</v>
      </c>
      <c r="D922" s="35">
        <v>18.72480011</v>
      </c>
      <c r="E922" s="32" t="s">
        <v>2150</v>
      </c>
      <c r="F922" s="32" t="s">
        <v>2151</v>
      </c>
      <c r="G922" s="36" t="e">
        <v>#N/A</v>
      </c>
      <c r="H922" s="33"/>
      <c r="I922" s="33"/>
      <c r="J922" s="33"/>
      <c r="K922" s="33"/>
      <c r="L922" s="33"/>
      <c r="M922" s="33"/>
    </row>
    <row r="923">
      <c r="A923" s="32" t="s">
        <v>100</v>
      </c>
      <c r="B923" s="32" t="s">
        <v>2152</v>
      </c>
      <c r="C923" s="35">
        <v>32.76919937</v>
      </c>
      <c r="D923" s="35">
        <v>-97.4414978</v>
      </c>
      <c r="E923" s="32" t="s">
        <v>180</v>
      </c>
      <c r="F923" s="32" t="s">
        <v>2153</v>
      </c>
      <c r="G923" s="39" t="s">
        <v>181</v>
      </c>
      <c r="H923" s="33"/>
      <c r="I923" s="33"/>
      <c r="J923" s="33"/>
      <c r="K923" s="33"/>
      <c r="L923" s="33"/>
      <c r="M923" s="33"/>
    </row>
    <row r="924">
      <c r="A924" s="32" t="s">
        <v>100</v>
      </c>
      <c r="B924" s="32" t="s">
        <v>2154</v>
      </c>
      <c r="C924" s="35">
        <v>21.40670013</v>
      </c>
      <c r="D924" s="35">
        <v>94.13030243</v>
      </c>
      <c r="E924" s="32" t="s">
        <v>1918</v>
      </c>
      <c r="F924" s="32" t="s">
        <v>2155</v>
      </c>
      <c r="G924" s="36" t="e">
        <v>#N/A</v>
      </c>
      <c r="H924" s="33"/>
      <c r="I924" s="33"/>
      <c r="J924" s="33"/>
      <c r="K924" s="33"/>
      <c r="L924" s="33"/>
      <c r="M924" s="33"/>
    </row>
    <row r="925">
      <c r="A925" s="32" t="s">
        <v>100</v>
      </c>
      <c r="B925" s="32" t="s">
        <v>2156</v>
      </c>
      <c r="C925" s="35">
        <v>11.1494</v>
      </c>
      <c r="D925" s="35">
        <v>98.735901</v>
      </c>
      <c r="E925" s="32" t="s">
        <v>1918</v>
      </c>
      <c r="F925" s="32" t="s">
        <v>2157</v>
      </c>
      <c r="G925" s="36" t="e">
        <v>#N/A</v>
      </c>
      <c r="H925" s="33"/>
      <c r="I925" s="33"/>
      <c r="J925" s="33"/>
      <c r="K925" s="33"/>
      <c r="L925" s="33"/>
      <c r="M925" s="33"/>
    </row>
    <row r="926">
      <c r="A926" s="32" t="s">
        <v>100</v>
      </c>
      <c r="B926" s="32" t="s">
        <v>2158</v>
      </c>
      <c r="C926" s="35">
        <v>51.657222</v>
      </c>
      <c r="D926" s="35">
        <v>5.7077778</v>
      </c>
      <c r="E926" s="32" t="s">
        <v>127</v>
      </c>
      <c r="F926" s="32" t="s">
        <v>2159</v>
      </c>
      <c r="G926" s="39" t="s">
        <v>128</v>
      </c>
      <c r="H926" s="33"/>
      <c r="I926" s="33"/>
      <c r="J926" s="33"/>
      <c r="K926" s="33"/>
      <c r="L926" s="33"/>
      <c r="M926" s="33"/>
    </row>
    <row r="927">
      <c r="A927" s="32" t="s">
        <v>100</v>
      </c>
      <c r="B927" s="32" t="s">
        <v>2160</v>
      </c>
      <c r="C927" s="35">
        <v>47.08919907</v>
      </c>
      <c r="D927" s="35">
        <v>7.289999962</v>
      </c>
      <c r="E927" s="32" t="s">
        <v>1180</v>
      </c>
      <c r="F927" s="32" t="s">
        <v>2161</v>
      </c>
      <c r="G927" s="36" t="e">
        <v>#N/A</v>
      </c>
      <c r="H927" s="33"/>
      <c r="I927" s="33"/>
      <c r="J927" s="33"/>
      <c r="K927" s="33"/>
      <c r="L927" s="33"/>
      <c r="M927" s="33"/>
    </row>
    <row r="928">
      <c r="A928" s="32" t="s">
        <v>100</v>
      </c>
      <c r="B928" s="32" t="s">
        <v>2162</v>
      </c>
      <c r="C928" s="35">
        <v>29.06699944</v>
      </c>
      <c r="D928" s="35">
        <v>-81.28379822</v>
      </c>
      <c r="E928" s="32" t="s">
        <v>180</v>
      </c>
      <c r="F928" s="32" t="s">
        <v>2163</v>
      </c>
      <c r="G928" s="39" t="s">
        <v>181</v>
      </c>
      <c r="H928" s="33"/>
      <c r="I928" s="33"/>
      <c r="J928" s="33"/>
      <c r="K928" s="33"/>
      <c r="L928" s="33"/>
      <c r="M928" s="33"/>
    </row>
    <row r="929">
      <c r="A929" s="32" t="s">
        <v>100</v>
      </c>
      <c r="B929" s="32" t="s">
        <v>2164</v>
      </c>
      <c r="C929" s="35">
        <v>29.904057</v>
      </c>
      <c r="D929" s="35">
        <v>-81.68515</v>
      </c>
      <c r="E929" s="32" t="s">
        <v>180</v>
      </c>
      <c r="F929" s="32" t="s">
        <v>2165</v>
      </c>
      <c r="G929" s="39" t="s">
        <v>181</v>
      </c>
      <c r="H929" s="33"/>
      <c r="I929" s="33"/>
      <c r="J929" s="33"/>
      <c r="K929" s="33"/>
      <c r="L929" s="33"/>
      <c r="M929" s="33"/>
    </row>
    <row r="930">
      <c r="A930" s="32" t="s">
        <v>100</v>
      </c>
      <c r="B930" s="32" t="s">
        <v>2166</v>
      </c>
      <c r="C930" s="35">
        <v>-18.97166634</v>
      </c>
      <c r="D930" s="35">
        <v>-62.97533417</v>
      </c>
      <c r="E930" s="32" t="s">
        <v>307</v>
      </c>
      <c r="F930" s="32" t="s">
        <v>1303</v>
      </c>
      <c r="G930" s="36" t="e">
        <v>#N/A</v>
      </c>
      <c r="H930" s="33"/>
      <c r="I930" s="33"/>
      <c r="J930" s="33"/>
      <c r="K930" s="33"/>
      <c r="L930" s="33"/>
      <c r="M930" s="33"/>
    </row>
    <row r="931">
      <c r="A931" s="32" t="s">
        <v>100</v>
      </c>
      <c r="B931" s="32" t="s">
        <v>2167</v>
      </c>
      <c r="C931" s="35">
        <v>47.4435997</v>
      </c>
      <c r="D931" s="35">
        <v>8.233610153</v>
      </c>
      <c r="E931" s="32" t="s">
        <v>1180</v>
      </c>
      <c r="F931" s="32" t="s">
        <v>2168</v>
      </c>
      <c r="G931" s="36" t="e">
        <v>#N/A</v>
      </c>
      <c r="H931" s="33"/>
      <c r="I931" s="33"/>
      <c r="J931" s="33"/>
      <c r="K931" s="33"/>
      <c r="L931" s="33"/>
      <c r="M931" s="33"/>
    </row>
    <row r="932">
      <c r="A932" s="32" t="s">
        <v>100</v>
      </c>
      <c r="B932" s="32" t="s">
        <v>2169</v>
      </c>
      <c r="C932" s="35">
        <v>34.94609833</v>
      </c>
      <c r="D932" s="35">
        <v>69.26499939</v>
      </c>
      <c r="E932" s="32" t="s">
        <v>1350</v>
      </c>
      <c r="F932" s="32" t="s">
        <v>2170</v>
      </c>
      <c r="G932" s="36" t="e">
        <v>#N/A</v>
      </c>
      <c r="H932" s="33"/>
      <c r="I932" s="33"/>
      <c r="J932" s="33"/>
      <c r="K932" s="33"/>
      <c r="L932" s="33"/>
      <c r="M932" s="33"/>
    </row>
    <row r="933">
      <c r="A933" s="32" t="s">
        <v>100</v>
      </c>
      <c r="B933" s="32" t="s">
        <v>2171</v>
      </c>
      <c r="C933" s="35">
        <v>24.06270027</v>
      </c>
      <c r="D933" s="35">
        <v>47.58050156</v>
      </c>
      <c r="E933" s="32" t="s">
        <v>223</v>
      </c>
      <c r="F933" s="32" t="s">
        <v>2172</v>
      </c>
      <c r="G933" s="36" t="e">
        <v>#N/A</v>
      </c>
      <c r="H933" s="33"/>
      <c r="I933" s="33"/>
      <c r="J933" s="33"/>
      <c r="K933" s="33"/>
      <c r="L933" s="33"/>
      <c r="M933" s="33"/>
    </row>
    <row r="934">
      <c r="A934" s="32" t="s">
        <v>100</v>
      </c>
      <c r="B934" s="32" t="s">
        <v>2173</v>
      </c>
      <c r="C934" s="35">
        <v>47.36360168</v>
      </c>
      <c r="D934" s="35">
        <v>17.50079918</v>
      </c>
      <c r="E934" s="32" t="s">
        <v>1056</v>
      </c>
      <c r="F934" s="32" t="s">
        <v>2174</v>
      </c>
      <c r="G934" s="36" t="e">
        <v>#N/A</v>
      </c>
      <c r="H934" s="33"/>
      <c r="I934" s="33"/>
      <c r="J934" s="33"/>
      <c r="K934" s="33"/>
      <c r="L934" s="33"/>
      <c r="M934" s="33"/>
    </row>
    <row r="935">
      <c r="A935" s="32" t="s">
        <v>100</v>
      </c>
      <c r="B935" s="32" t="s">
        <v>2175</v>
      </c>
      <c r="C935" s="35">
        <v>33.42250061</v>
      </c>
      <c r="D935" s="35">
        <v>-112.3759995</v>
      </c>
      <c r="E935" s="32" t="s">
        <v>180</v>
      </c>
      <c r="F935" s="32" t="s">
        <v>2176</v>
      </c>
      <c r="G935" s="39" t="s">
        <v>181</v>
      </c>
      <c r="H935" s="33"/>
      <c r="I935" s="33"/>
      <c r="J935" s="33"/>
      <c r="K935" s="33"/>
      <c r="L935" s="33"/>
      <c r="M935" s="33"/>
    </row>
    <row r="936">
      <c r="A936" s="32" t="s">
        <v>100</v>
      </c>
      <c r="B936" s="32" t="s">
        <v>2177</v>
      </c>
      <c r="C936" s="35">
        <v>-27.405633</v>
      </c>
      <c r="D936" s="35">
        <v>141.809458</v>
      </c>
      <c r="E936" s="32" t="s">
        <v>1968</v>
      </c>
      <c r="F936" s="32" t="s">
        <v>2178</v>
      </c>
      <c r="G936" s="36" t="e">
        <v>#N/A</v>
      </c>
      <c r="H936" s="33"/>
      <c r="I936" s="33"/>
      <c r="J936" s="33"/>
      <c r="K936" s="33"/>
      <c r="L936" s="33"/>
      <c r="M936" s="33"/>
    </row>
    <row r="937">
      <c r="A937" s="32" t="s">
        <v>100</v>
      </c>
      <c r="B937" s="32" t="s">
        <v>2179</v>
      </c>
      <c r="C937" s="35">
        <v>-27.56040607</v>
      </c>
      <c r="D937" s="35">
        <v>152.3404598</v>
      </c>
      <c r="E937" s="32" t="s">
        <v>1968</v>
      </c>
      <c r="F937" s="32" t="s">
        <v>2180</v>
      </c>
      <c r="G937" s="36" t="e">
        <v>#N/A</v>
      </c>
      <c r="H937" s="33"/>
      <c r="I937" s="33"/>
      <c r="J937" s="33"/>
      <c r="K937" s="33"/>
      <c r="L937" s="33"/>
      <c r="M937" s="33"/>
    </row>
    <row r="938">
      <c r="A938" s="32" t="s">
        <v>100</v>
      </c>
      <c r="B938" s="32" t="s">
        <v>2181</v>
      </c>
      <c r="C938" s="35">
        <v>48.61277771</v>
      </c>
      <c r="D938" s="35">
        <v>9.477222443</v>
      </c>
      <c r="E938" s="32" t="s">
        <v>109</v>
      </c>
      <c r="F938" s="32" t="s">
        <v>2182</v>
      </c>
      <c r="G938" s="39" t="s">
        <v>110</v>
      </c>
      <c r="H938" s="33"/>
      <c r="I938" s="33"/>
      <c r="J938" s="33"/>
      <c r="K938" s="33"/>
      <c r="L938" s="33"/>
      <c r="M938" s="33"/>
    </row>
    <row r="939">
      <c r="A939" s="32" t="s">
        <v>100</v>
      </c>
      <c r="B939" s="32" t="s">
        <v>2183</v>
      </c>
      <c r="C939" s="35">
        <v>55.913898</v>
      </c>
      <c r="D939" s="35">
        <v>-61.184399</v>
      </c>
      <c r="E939" s="32" t="s">
        <v>94</v>
      </c>
      <c r="F939" s="32" t="s">
        <v>2184</v>
      </c>
      <c r="G939" s="36" t="e">
        <v>#N/A</v>
      </c>
      <c r="H939" s="33"/>
      <c r="I939" s="33"/>
      <c r="J939" s="33"/>
      <c r="K939" s="33"/>
      <c r="L939" s="33"/>
      <c r="M939" s="33"/>
    </row>
    <row r="940">
      <c r="A940" s="32" t="s">
        <v>100</v>
      </c>
      <c r="B940" s="32" t="s">
        <v>2185</v>
      </c>
      <c r="C940" s="35">
        <v>49.10079956</v>
      </c>
      <c r="D940" s="35">
        <v>-122.6309967</v>
      </c>
      <c r="E940" s="32" t="s">
        <v>94</v>
      </c>
      <c r="F940" s="32" t="s">
        <v>2186</v>
      </c>
      <c r="G940" s="36" t="e">
        <v>#N/A</v>
      </c>
      <c r="H940" s="33"/>
      <c r="I940" s="33"/>
      <c r="J940" s="33"/>
      <c r="K940" s="33"/>
      <c r="L940" s="33"/>
      <c r="M940" s="33"/>
    </row>
    <row r="941">
      <c r="A941" s="32" t="s">
        <v>100</v>
      </c>
      <c r="B941" s="32" t="s">
        <v>2187</v>
      </c>
      <c r="C941" s="35">
        <v>25.6522007</v>
      </c>
      <c r="D941" s="35">
        <v>-108.538002</v>
      </c>
      <c r="E941" s="32" t="s">
        <v>186</v>
      </c>
      <c r="F941" s="32" t="s">
        <v>2188</v>
      </c>
      <c r="G941" s="39" t="s">
        <v>187</v>
      </c>
      <c r="H941" s="33"/>
      <c r="I941" s="33"/>
      <c r="J941" s="33"/>
      <c r="K941" s="33"/>
      <c r="L941" s="33"/>
      <c r="M941" s="33"/>
    </row>
    <row r="942">
      <c r="A942" s="32" t="s">
        <v>100</v>
      </c>
      <c r="B942" s="32" t="s">
        <v>2189</v>
      </c>
      <c r="C942" s="35">
        <v>22.9477005</v>
      </c>
      <c r="D942" s="35">
        <v>-109.9369965</v>
      </c>
      <c r="E942" s="32" t="s">
        <v>186</v>
      </c>
      <c r="F942" s="32" t="s">
        <v>2190</v>
      </c>
      <c r="G942" s="39" t="s">
        <v>187</v>
      </c>
      <c r="H942" s="33"/>
      <c r="I942" s="33"/>
      <c r="J942" s="33"/>
      <c r="K942" s="33"/>
      <c r="L942" s="33"/>
      <c r="M942" s="33"/>
    </row>
    <row r="943">
      <c r="A943" s="32" t="s">
        <v>100</v>
      </c>
      <c r="B943" s="32" t="s">
        <v>1790</v>
      </c>
      <c r="C943" s="35">
        <v>11.13339996</v>
      </c>
      <c r="D943" s="35">
        <v>-84.76999664</v>
      </c>
      <c r="E943" s="32" t="s">
        <v>1260</v>
      </c>
      <c r="F943" s="32" t="s">
        <v>1790</v>
      </c>
      <c r="G943" s="36" t="e">
        <v>#N/A</v>
      </c>
      <c r="H943" s="33"/>
      <c r="I943" s="33"/>
      <c r="J943" s="33"/>
      <c r="K943" s="33"/>
      <c r="L943" s="33"/>
      <c r="M943" s="33"/>
    </row>
    <row r="944">
      <c r="A944" s="32" t="s">
        <v>100</v>
      </c>
      <c r="B944" s="32" t="s">
        <v>2191</v>
      </c>
      <c r="C944" s="35">
        <v>4.998505</v>
      </c>
      <c r="D944" s="35">
        <v>-54.992033</v>
      </c>
      <c r="E944" s="32" t="s">
        <v>2192</v>
      </c>
      <c r="F944" s="32" t="s">
        <v>2193</v>
      </c>
      <c r="G944" s="36" t="e">
        <v>#N/A</v>
      </c>
      <c r="H944" s="33"/>
      <c r="I944" s="33"/>
      <c r="J944" s="33"/>
      <c r="K944" s="33"/>
      <c r="L944" s="33"/>
      <c r="M944" s="33"/>
    </row>
    <row r="945">
      <c r="A945" s="32" t="s">
        <v>100</v>
      </c>
      <c r="B945" s="32" t="s">
        <v>2194</v>
      </c>
      <c r="C945" s="35">
        <v>2.5235</v>
      </c>
      <c r="D945" s="35">
        <v>-56.3247</v>
      </c>
      <c r="E945" s="32" t="s">
        <v>2192</v>
      </c>
      <c r="F945" s="32" t="s">
        <v>2195</v>
      </c>
      <c r="G945" s="36" t="e">
        <v>#N/A</v>
      </c>
      <c r="H945" s="33"/>
      <c r="I945" s="33"/>
      <c r="J945" s="33"/>
      <c r="K945" s="33"/>
      <c r="L945" s="33"/>
      <c r="M945" s="33"/>
    </row>
    <row r="946">
      <c r="A946" s="32" t="s">
        <v>100</v>
      </c>
      <c r="B946" s="32" t="s">
        <v>2196</v>
      </c>
      <c r="C946" s="35">
        <v>4.406000137</v>
      </c>
      <c r="D946" s="35">
        <v>-57.22299957</v>
      </c>
      <c r="E946" s="32" t="s">
        <v>2192</v>
      </c>
      <c r="F946" s="32" t="s">
        <v>2197</v>
      </c>
      <c r="G946" s="36" t="e">
        <v>#N/A</v>
      </c>
      <c r="H946" s="33"/>
      <c r="I946" s="33"/>
      <c r="J946" s="33"/>
      <c r="K946" s="33"/>
      <c r="L946" s="33"/>
      <c r="M946" s="33"/>
    </row>
    <row r="947">
      <c r="A947" s="32" t="s">
        <v>100</v>
      </c>
      <c r="B947" s="32" t="s">
        <v>2198</v>
      </c>
      <c r="C947" s="35">
        <v>3.099999905</v>
      </c>
      <c r="D947" s="35">
        <v>-56.48300171</v>
      </c>
      <c r="E947" s="32" t="s">
        <v>2192</v>
      </c>
      <c r="F947" s="32" t="s">
        <v>2199</v>
      </c>
      <c r="G947" s="36" t="e">
        <v>#N/A</v>
      </c>
      <c r="H947" s="33"/>
      <c r="I947" s="33"/>
      <c r="J947" s="33"/>
      <c r="K947" s="33"/>
      <c r="L947" s="33"/>
      <c r="M947" s="33"/>
    </row>
    <row r="948">
      <c r="A948" s="32" t="s">
        <v>100</v>
      </c>
      <c r="B948" s="32" t="s">
        <v>2200</v>
      </c>
      <c r="C948" s="35">
        <v>2.333329916</v>
      </c>
      <c r="D948" s="35">
        <v>-56.78333282</v>
      </c>
      <c r="E948" s="32" t="s">
        <v>2192</v>
      </c>
      <c r="F948" s="32" t="s">
        <v>2201</v>
      </c>
      <c r="G948" s="36" t="e">
        <v>#N/A</v>
      </c>
      <c r="H948" s="33"/>
      <c r="I948" s="33"/>
      <c r="J948" s="33"/>
      <c r="K948" s="33"/>
      <c r="L948" s="33"/>
      <c r="M948" s="33"/>
    </row>
    <row r="949">
      <c r="A949" s="32" t="s">
        <v>100</v>
      </c>
      <c r="B949" s="32" t="s">
        <v>2202</v>
      </c>
      <c r="C949" s="35">
        <v>5.6076</v>
      </c>
      <c r="D949" s="35">
        <v>-54.4003</v>
      </c>
      <c r="E949" s="32" t="s">
        <v>2192</v>
      </c>
      <c r="F949" s="32" t="s">
        <v>2203</v>
      </c>
      <c r="G949" s="36" t="e">
        <v>#N/A</v>
      </c>
      <c r="H949" s="33"/>
      <c r="I949" s="33"/>
      <c r="J949" s="33"/>
      <c r="K949" s="33"/>
      <c r="L949" s="33"/>
      <c r="M949" s="33"/>
    </row>
    <row r="950">
      <c r="A950" s="32" t="s">
        <v>100</v>
      </c>
      <c r="B950" s="32" t="s">
        <v>2204</v>
      </c>
      <c r="C950" s="35">
        <v>1.966050029</v>
      </c>
      <c r="D950" s="35">
        <v>-56.00350189</v>
      </c>
      <c r="E950" s="32" t="s">
        <v>2192</v>
      </c>
      <c r="F950" s="32" t="s">
        <v>2205</v>
      </c>
      <c r="G950" s="36" t="e">
        <v>#N/A</v>
      </c>
      <c r="H950" s="33"/>
      <c r="I950" s="33"/>
      <c r="J950" s="33"/>
      <c r="K950" s="33"/>
      <c r="L950" s="33"/>
      <c r="M950" s="33"/>
    </row>
    <row r="951">
      <c r="A951" s="32" t="s">
        <v>100</v>
      </c>
      <c r="B951" s="32" t="s">
        <v>2206</v>
      </c>
      <c r="C951" s="35">
        <v>4.013879776</v>
      </c>
      <c r="D951" s="35">
        <v>-58.60499954</v>
      </c>
      <c r="E951" s="32" t="s">
        <v>1822</v>
      </c>
      <c r="F951" s="32" t="s">
        <v>2207</v>
      </c>
      <c r="G951" s="36" t="e">
        <v>#N/A</v>
      </c>
      <c r="H951" s="33"/>
      <c r="I951" s="33"/>
      <c r="J951" s="33"/>
      <c r="K951" s="33"/>
      <c r="L951" s="33"/>
      <c r="M951" s="33"/>
    </row>
    <row r="952">
      <c r="A952" s="32" t="s">
        <v>100</v>
      </c>
      <c r="B952" s="32" t="s">
        <v>2208</v>
      </c>
      <c r="C952" s="35">
        <v>67.64800262</v>
      </c>
      <c r="D952" s="35">
        <v>134.6950073</v>
      </c>
      <c r="E952" s="32" t="s">
        <v>2040</v>
      </c>
      <c r="F952" s="32" t="s">
        <v>2209</v>
      </c>
      <c r="G952" s="36" t="e">
        <v>#N/A</v>
      </c>
      <c r="H952" s="33"/>
      <c r="I952" s="33"/>
      <c r="J952" s="33"/>
      <c r="K952" s="33"/>
      <c r="L952" s="33"/>
      <c r="M952" s="33"/>
    </row>
    <row r="953">
      <c r="A953" s="32" t="s">
        <v>100</v>
      </c>
      <c r="B953" s="32" t="s">
        <v>2210</v>
      </c>
      <c r="C953" s="35">
        <v>0.229567</v>
      </c>
      <c r="D953" s="35">
        <v>38.171412</v>
      </c>
      <c r="E953" s="32" t="s">
        <v>21</v>
      </c>
      <c r="F953" s="32" t="s">
        <v>2211</v>
      </c>
      <c r="G953" s="36" t="e">
        <v>#N/A</v>
      </c>
      <c r="H953" s="33"/>
      <c r="I953" s="33"/>
      <c r="J953" s="33"/>
      <c r="K953" s="33"/>
      <c r="L953" s="33"/>
      <c r="M953" s="33"/>
    </row>
    <row r="954">
      <c r="A954" s="32" t="s">
        <v>100</v>
      </c>
      <c r="B954" s="32" t="s">
        <v>2212</v>
      </c>
      <c r="C954" s="35">
        <v>4.130281601</v>
      </c>
      <c r="D954" s="35">
        <v>30.72807312</v>
      </c>
      <c r="E954" s="32" t="s">
        <v>844</v>
      </c>
      <c r="F954" s="32" t="s">
        <v>2213</v>
      </c>
      <c r="G954" s="36" t="e">
        <v>#N/A</v>
      </c>
      <c r="H954" s="33"/>
      <c r="I954" s="33"/>
      <c r="J954" s="33"/>
      <c r="K954" s="33"/>
      <c r="L954" s="33"/>
      <c r="M954" s="33"/>
    </row>
    <row r="955">
      <c r="A955" s="32" t="s">
        <v>100</v>
      </c>
      <c r="B955" s="32" t="s">
        <v>2214</v>
      </c>
      <c r="C955" s="35">
        <v>46.75500107</v>
      </c>
      <c r="D955" s="35">
        <v>7.076109886</v>
      </c>
      <c r="E955" s="32" t="s">
        <v>1180</v>
      </c>
      <c r="F955" s="32" t="s">
        <v>2215</v>
      </c>
      <c r="G955" s="36" t="e">
        <v>#N/A</v>
      </c>
      <c r="H955" s="33"/>
      <c r="I955" s="33"/>
      <c r="J955" s="33"/>
      <c r="K955" s="33"/>
      <c r="L955" s="33"/>
      <c r="M955" s="33"/>
    </row>
    <row r="956">
      <c r="A956" s="32" t="s">
        <v>100</v>
      </c>
      <c r="B956" s="32" t="s">
        <v>2216</v>
      </c>
      <c r="C956" s="35">
        <v>-25.9971447</v>
      </c>
      <c r="D956" s="35">
        <v>32.92935181</v>
      </c>
      <c r="E956" s="32" t="s">
        <v>767</v>
      </c>
      <c r="F956" s="32" t="s">
        <v>2217</v>
      </c>
      <c r="G956" s="36" t="e">
        <v>#N/A</v>
      </c>
      <c r="H956" s="33"/>
      <c r="I956" s="33"/>
      <c r="J956" s="33"/>
      <c r="K956" s="33"/>
      <c r="L956" s="33"/>
      <c r="M956" s="33"/>
    </row>
    <row r="957">
      <c r="A957" s="32" t="s">
        <v>100</v>
      </c>
      <c r="B957" s="32" t="s">
        <v>2218</v>
      </c>
      <c r="C957" s="35">
        <v>3.7176</v>
      </c>
      <c r="D957" s="35">
        <v>33.7487</v>
      </c>
      <c r="E957" s="32" t="s">
        <v>2219</v>
      </c>
      <c r="F957" s="32" t="s">
        <v>2220</v>
      </c>
      <c r="G957" s="36" t="e">
        <v>#N/A</v>
      </c>
      <c r="H957" s="33"/>
      <c r="I957" s="33"/>
      <c r="J957" s="33"/>
      <c r="K957" s="33"/>
      <c r="L957" s="33"/>
      <c r="M957" s="33"/>
    </row>
    <row r="958">
      <c r="A958" s="32" t="s">
        <v>100</v>
      </c>
      <c r="B958" s="32" t="s">
        <v>2221</v>
      </c>
      <c r="C958" s="35">
        <v>3.2817</v>
      </c>
      <c r="D958" s="35">
        <v>32.8882</v>
      </c>
      <c r="E958" s="32" t="s">
        <v>2219</v>
      </c>
      <c r="F958" s="32" t="s">
        <v>2222</v>
      </c>
      <c r="G958" s="36" t="e">
        <v>#N/A</v>
      </c>
      <c r="H958" s="33"/>
      <c r="I958" s="33"/>
      <c r="J958" s="33"/>
      <c r="K958" s="33"/>
      <c r="L958" s="33"/>
      <c r="M958" s="33"/>
    </row>
    <row r="959">
      <c r="A959" s="32" t="s">
        <v>100</v>
      </c>
      <c r="B959" s="32" t="s">
        <v>2223</v>
      </c>
      <c r="C959" s="35">
        <v>77.8969444</v>
      </c>
      <c r="D959" s="35">
        <v>16.725</v>
      </c>
      <c r="E959" s="32" t="s">
        <v>2224</v>
      </c>
      <c r="F959" s="32" t="s">
        <v>2225</v>
      </c>
      <c r="G959" s="36" t="e">
        <v>#N/A</v>
      </c>
      <c r="H959" s="33"/>
      <c r="I959" s="33"/>
      <c r="J959" s="33"/>
      <c r="K959" s="33"/>
      <c r="L959" s="33"/>
      <c r="M959" s="33"/>
    </row>
    <row r="960">
      <c r="A960" s="32" t="s">
        <v>100</v>
      </c>
      <c r="B960" s="32" t="s">
        <v>2226</v>
      </c>
      <c r="C960" s="35">
        <v>78.92749786</v>
      </c>
      <c r="D960" s="35">
        <v>11.8743</v>
      </c>
      <c r="E960" s="32" t="s">
        <v>2224</v>
      </c>
      <c r="F960" s="32" t="s">
        <v>2227</v>
      </c>
      <c r="G960" s="36" t="e">
        <v>#N/A</v>
      </c>
      <c r="H960" s="33"/>
      <c r="I960" s="33"/>
      <c r="J960" s="33"/>
      <c r="K960" s="33"/>
      <c r="L960" s="33"/>
      <c r="M960" s="33"/>
    </row>
    <row r="961">
      <c r="A961" s="32" t="s">
        <v>100</v>
      </c>
      <c r="B961" s="32" t="s">
        <v>2228</v>
      </c>
      <c r="C961" s="35">
        <v>58.14830017</v>
      </c>
      <c r="D961" s="35">
        <v>24.00250053</v>
      </c>
      <c r="E961" s="32" t="s">
        <v>405</v>
      </c>
      <c r="F961" s="32" t="s">
        <v>2229</v>
      </c>
      <c r="G961" s="36" t="e">
        <v>#N/A</v>
      </c>
      <c r="H961" s="33"/>
      <c r="I961" s="33"/>
      <c r="J961" s="33"/>
      <c r="K961" s="33"/>
      <c r="L961" s="33"/>
      <c r="M961" s="33"/>
    </row>
    <row r="962">
      <c r="A962" s="32" t="s">
        <v>100</v>
      </c>
      <c r="B962" s="32" t="s">
        <v>2230</v>
      </c>
      <c r="C962" s="35">
        <v>57.78390121</v>
      </c>
      <c r="D962" s="35">
        <v>23.26609993</v>
      </c>
      <c r="E962" s="32" t="s">
        <v>405</v>
      </c>
      <c r="F962" s="32" t="s">
        <v>2231</v>
      </c>
      <c r="G962" s="36" t="e">
        <v>#N/A</v>
      </c>
      <c r="H962" s="33"/>
      <c r="I962" s="33"/>
      <c r="J962" s="33"/>
      <c r="K962" s="33"/>
      <c r="L962" s="33"/>
      <c r="M962" s="33"/>
    </row>
    <row r="963">
      <c r="A963" s="32" t="s">
        <v>100</v>
      </c>
      <c r="B963" s="32" t="s">
        <v>2232</v>
      </c>
      <c r="C963" s="35">
        <v>48.46319962</v>
      </c>
      <c r="D963" s="35">
        <v>-5.063580036</v>
      </c>
      <c r="E963" s="32" t="s">
        <v>96</v>
      </c>
      <c r="F963" s="32" t="s">
        <v>2233</v>
      </c>
      <c r="G963" s="39" t="s">
        <v>97</v>
      </c>
      <c r="H963" s="33"/>
      <c r="I963" s="33"/>
      <c r="J963" s="33"/>
      <c r="K963" s="33"/>
      <c r="L963" s="33"/>
      <c r="M963" s="33"/>
    </row>
    <row r="964">
      <c r="A964" s="32" t="s">
        <v>100</v>
      </c>
      <c r="B964" s="32" t="s">
        <v>2234</v>
      </c>
      <c r="C964" s="35">
        <v>63.92919922</v>
      </c>
      <c r="D964" s="35">
        <v>-21.03779984</v>
      </c>
      <c r="E964" s="32" t="s">
        <v>2037</v>
      </c>
      <c r="F964" s="32" t="s">
        <v>2235</v>
      </c>
      <c r="G964" s="36" t="e">
        <v>#N/A</v>
      </c>
      <c r="H964" s="33"/>
      <c r="I964" s="33"/>
      <c r="J964" s="33"/>
      <c r="K964" s="33"/>
      <c r="L964" s="33"/>
      <c r="M964" s="33"/>
    </row>
    <row r="965">
      <c r="A965" s="32" t="s">
        <v>100</v>
      </c>
      <c r="B965" s="32" t="s">
        <v>2236</v>
      </c>
      <c r="C965" s="35">
        <v>37.86640167</v>
      </c>
      <c r="D965" s="35">
        <v>68.86470032</v>
      </c>
      <c r="E965" s="32" t="s">
        <v>2237</v>
      </c>
      <c r="F965" s="32" t="s">
        <v>2238</v>
      </c>
      <c r="G965" s="36" t="e">
        <v>#N/A</v>
      </c>
      <c r="H965" s="33"/>
      <c r="I965" s="33"/>
      <c r="J965" s="33"/>
      <c r="K965" s="33"/>
      <c r="L965" s="33"/>
      <c r="M965" s="33"/>
    </row>
    <row r="966">
      <c r="A966" s="32" t="s">
        <v>100</v>
      </c>
      <c r="B966" s="32" t="s">
        <v>2239</v>
      </c>
      <c r="C966" s="35">
        <v>61.92166519</v>
      </c>
      <c r="D966" s="35">
        <v>159.2299957</v>
      </c>
      <c r="E966" s="32" t="s">
        <v>2040</v>
      </c>
      <c r="F966" s="32" t="s">
        <v>2240</v>
      </c>
      <c r="G966" s="36" t="e">
        <v>#N/A</v>
      </c>
      <c r="H966" s="33"/>
      <c r="I966" s="33"/>
      <c r="J966" s="33"/>
      <c r="K966" s="33"/>
      <c r="L966" s="33"/>
      <c r="M966" s="33"/>
    </row>
    <row r="967">
      <c r="A967" s="32" t="s">
        <v>100</v>
      </c>
      <c r="B967" s="32" t="s">
        <v>2241</v>
      </c>
      <c r="C967" s="35">
        <v>68.51499939</v>
      </c>
      <c r="D967" s="35">
        <v>112.4800034</v>
      </c>
      <c r="E967" s="32" t="s">
        <v>2040</v>
      </c>
      <c r="F967" s="32" t="s">
        <v>2242</v>
      </c>
      <c r="G967" s="36" t="e">
        <v>#N/A</v>
      </c>
      <c r="H967" s="33"/>
      <c r="I967" s="33"/>
      <c r="J967" s="33"/>
      <c r="K967" s="33"/>
      <c r="L967" s="33"/>
      <c r="M967" s="33"/>
    </row>
    <row r="968">
      <c r="A968" s="32" t="s">
        <v>100</v>
      </c>
      <c r="B968" s="32" t="s">
        <v>2243</v>
      </c>
      <c r="C968" s="35">
        <v>71.92790221999999</v>
      </c>
      <c r="D968" s="35">
        <v>114.0800018</v>
      </c>
      <c r="E968" s="32" t="s">
        <v>2040</v>
      </c>
      <c r="F968" s="32" t="s">
        <v>2244</v>
      </c>
      <c r="G968" s="36" t="e">
        <v>#N/A</v>
      </c>
      <c r="H968" s="33"/>
      <c r="I968" s="33"/>
      <c r="J968" s="33"/>
      <c r="K968" s="33"/>
      <c r="L968" s="33"/>
      <c r="M968" s="33"/>
    </row>
    <row r="969">
      <c r="A969" s="32" t="s">
        <v>100</v>
      </c>
      <c r="B969" s="32" t="s">
        <v>2245</v>
      </c>
      <c r="C969" s="35">
        <v>55.80080032</v>
      </c>
      <c r="D969" s="35">
        <v>109.5950012</v>
      </c>
      <c r="E969" s="32" t="s">
        <v>2040</v>
      </c>
      <c r="F969" s="32" t="s">
        <v>2246</v>
      </c>
      <c r="G969" s="36" t="e">
        <v>#N/A</v>
      </c>
      <c r="H969" s="33"/>
      <c r="I969" s="33"/>
      <c r="J969" s="33"/>
      <c r="K969" s="33"/>
      <c r="L969" s="33"/>
      <c r="M969" s="33"/>
    </row>
    <row r="970">
      <c r="A970" s="32" t="s">
        <v>100</v>
      </c>
      <c r="B970" s="32" t="s">
        <v>2247</v>
      </c>
      <c r="C970" s="35">
        <v>60.35969925</v>
      </c>
      <c r="D970" s="35">
        <v>102.3239975</v>
      </c>
      <c r="E970" s="32" t="s">
        <v>2040</v>
      </c>
      <c r="F970" s="32" t="s">
        <v>2248</v>
      </c>
      <c r="G970" s="36" t="e">
        <v>#N/A</v>
      </c>
      <c r="H970" s="33"/>
      <c r="I970" s="33"/>
      <c r="J970" s="33"/>
      <c r="K970" s="33"/>
      <c r="L970" s="33"/>
      <c r="M970" s="33"/>
    </row>
    <row r="971">
      <c r="A971" s="32" t="s">
        <v>100</v>
      </c>
      <c r="B971" s="32" t="s">
        <v>2249</v>
      </c>
      <c r="C971" s="35">
        <v>65.959198</v>
      </c>
      <c r="D971" s="35">
        <v>111.5465012</v>
      </c>
      <c r="E971" s="32" t="s">
        <v>2040</v>
      </c>
      <c r="F971" s="32" t="s">
        <v>2250</v>
      </c>
      <c r="G971" s="36" t="e">
        <v>#N/A</v>
      </c>
      <c r="H971" s="33"/>
      <c r="I971" s="33"/>
      <c r="J971" s="33"/>
      <c r="K971" s="33"/>
      <c r="L971" s="33"/>
      <c r="M971" s="33"/>
    </row>
    <row r="972">
      <c r="A972" s="32" t="s">
        <v>100</v>
      </c>
      <c r="B972" s="32" t="s">
        <v>2251</v>
      </c>
      <c r="C972" s="35">
        <v>56.7016983</v>
      </c>
      <c r="D972" s="35">
        <v>60.79000092</v>
      </c>
      <c r="E972" s="32" t="s">
        <v>2040</v>
      </c>
      <c r="F972" s="32" t="s">
        <v>2252</v>
      </c>
      <c r="G972" s="36" t="e">
        <v>#N/A</v>
      </c>
      <c r="H972" s="33"/>
      <c r="I972" s="33"/>
      <c r="J972" s="33"/>
      <c r="K972" s="33"/>
      <c r="L972" s="33"/>
      <c r="M972" s="33"/>
    </row>
    <row r="973">
      <c r="A973" s="32" t="s">
        <v>100</v>
      </c>
      <c r="B973" s="32" t="s">
        <v>2253</v>
      </c>
      <c r="C973" s="35">
        <v>61.67670059</v>
      </c>
      <c r="D973" s="35">
        <v>96.35500336</v>
      </c>
      <c r="E973" s="32" t="s">
        <v>2040</v>
      </c>
      <c r="F973" s="32" t="s">
        <v>2254</v>
      </c>
      <c r="G973" s="36" t="e">
        <v>#N/A</v>
      </c>
      <c r="H973" s="33"/>
      <c r="I973" s="33"/>
      <c r="J973" s="33"/>
      <c r="K973" s="33"/>
      <c r="L973" s="33"/>
      <c r="M973" s="33"/>
    </row>
    <row r="974">
      <c r="A974" s="32" t="s">
        <v>100</v>
      </c>
      <c r="B974" s="32" t="s">
        <v>2255</v>
      </c>
      <c r="C974" s="35">
        <v>52.47999954</v>
      </c>
      <c r="D974" s="35">
        <v>85.33999634</v>
      </c>
      <c r="E974" s="32" t="s">
        <v>2040</v>
      </c>
      <c r="F974" s="32" t="s">
        <v>2256</v>
      </c>
      <c r="G974" s="36" t="e">
        <v>#N/A</v>
      </c>
      <c r="H974" s="33"/>
      <c r="I974" s="33"/>
      <c r="J974" s="33"/>
      <c r="K974" s="33"/>
      <c r="L974" s="33"/>
      <c r="M974" s="33"/>
    </row>
    <row r="975">
      <c r="A975" s="32" t="s">
        <v>100</v>
      </c>
      <c r="B975" s="32" t="s">
        <v>2257</v>
      </c>
      <c r="C975" s="35">
        <v>30.21870041</v>
      </c>
      <c r="D975" s="35">
        <v>-81.87670136</v>
      </c>
      <c r="E975" s="32" t="s">
        <v>180</v>
      </c>
      <c r="F975" s="32" t="s">
        <v>1994</v>
      </c>
      <c r="G975" s="39" t="s">
        <v>181</v>
      </c>
      <c r="H975" s="33"/>
      <c r="I975" s="33"/>
      <c r="J975" s="33"/>
      <c r="K975" s="33"/>
      <c r="L975" s="33"/>
      <c r="M975" s="33"/>
    </row>
    <row r="976">
      <c r="A976" s="32" t="s">
        <v>100</v>
      </c>
      <c r="B976" s="32" t="s">
        <v>2258</v>
      </c>
      <c r="C976" s="35">
        <v>39.90140152</v>
      </c>
      <c r="D976" s="35">
        <v>46.78699875</v>
      </c>
      <c r="E976" s="32" t="s">
        <v>2259</v>
      </c>
      <c r="F976" s="32" t="s">
        <v>2260</v>
      </c>
      <c r="G976" s="36" t="e">
        <v>#N/A</v>
      </c>
      <c r="H976" s="33"/>
      <c r="I976" s="33"/>
      <c r="J976" s="33"/>
      <c r="K976" s="33"/>
      <c r="L976" s="33"/>
      <c r="M976" s="33"/>
    </row>
    <row r="977">
      <c r="A977" s="32" t="s">
        <v>100</v>
      </c>
      <c r="B977" s="32" t="s">
        <v>2261</v>
      </c>
      <c r="C977" s="35">
        <v>-9.74222</v>
      </c>
      <c r="D977" s="35">
        <v>46.506802</v>
      </c>
      <c r="E977" s="32" t="s">
        <v>778</v>
      </c>
      <c r="F977" s="32" t="s">
        <v>2262</v>
      </c>
      <c r="G977" s="36" t="e">
        <v>#N/A</v>
      </c>
      <c r="H977" s="33"/>
      <c r="I977" s="33"/>
      <c r="J977" s="33"/>
      <c r="K977" s="33"/>
      <c r="L977" s="33"/>
      <c r="M977" s="33"/>
    </row>
    <row r="978">
      <c r="A978" s="32" t="s">
        <v>100</v>
      </c>
      <c r="B978" s="32" t="s">
        <v>2263</v>
      </c>
      <c r="C978" s="35">
        <v>0.628269017</v>
      </c>
      <c r="D978" s="35">
        <v>-66.11509705</v>
      </c>
      <c r="E978" s="32" t="s">
        <v>288</v>
      </c>
      <c r="F978" s="32" t="s">
        <v>2264</v>
      </c>
      <c r="G978" s="36" t="e">
        <v>#N/A</v>
      </c>
      <c r="H978" s="33"/>
      <c r="I978" s="33"/>
      <c r="J978" s="33"/>
      <c r="K978" s="33"/>
      <c r="L978" s="33"/>
      <c r="M978" s="33"/>
    </row>
    <row r="979">
      <c r="A979" s="32" t="s">
        <v>100</v>
      </c>
      <c r="B979" s="32" t="s">
        <v>2265</v>
      </c>
      <c r="C979" s="35">
        <v>-2.372999907</v>
      </c>
      <c r="D979" s="35">
        <v>-44.39640045</v>
      </c>
      <c r="E979" s="32" t="s">
        <v>288</v>
      </c>
      <c r="F979" s="32" t="s">
        <v>2266</v>
      </c>
      <c r="G979" s="36" t="e">
        <v>#N/A</v>
      </c>
      <c r="H979" s="33"/>
      <c r="I979" s="33"/>
      <c r="J979" s="33"/>
      <c r="K979" s="33"/>
      <c r="L979" s="33"/>
      <c r="M979" s="33"/>
    </row>
    <row r="980">
      <c r="A980" s="32" t="s">
        <v>100</v>
      </c>
      <c r="B980" s="32" t="s">
        <v>2267</v>
      </c>
      <c r="C980" s="35">
        <v>49.81777954</v>
      </c>
      <c r="D980" s="35">
        <v>9.897500038</v>
      </c>
      <c r="E980" s="32" t="s">
        <v>109</v>
      </c>
      <c r="F980" s="32" t="s">
        <v>2268</v>
      </c>
      <c r="G980" s="39" t="s">
        <v>110</v>
      </c>
      <c r="H980" s="33"/>
      <c r="I980" s="33"/>
      <c r="J980" s="33"/>
      <c r="K980" s="33"/>
      <c r="L980" s="33"/>
      <c r="M980" s="33"/>
    </row>
    <row r="981">
      <c r="A981" s="32" t="s">
        <v>100</v>
      </c>
      <c r="B981" s="32" t="s">
        <v>2269</v>
      </c>
      <c r="C981" s="35">
        <v>40.656741</v>
      </c>
      <c r="D981" s="35">
        <v>-8.741544</v>
      </c>
      <c r="E981" s="32" t="s">
        <v>121</v>
      </c>
      <c r="F981" s="32" t="s">
        <v>2270</v>
      </c>
      <c r="G981" s="39" t="s">
        <v>122</v>
      </c>
      <c r="H981" s="33"/>
      <c r="I981" s="33"/>
      <c r="J981" s="33"/>
      <c r="K981" s="33"/>
      <c r="L981" s="33"/>
      <c r="M981" s="33"/>
    </row>
    <row r="982">
      <c r="A982" s="32" t="s">
        <v>100</v>
      </c>
      <c r="B982" s="32" t="s">
        <v>2271</v>
      </c>
      <c r="C982" s="35">
        <v>52.33869934</v>
      </c>
      <c r="D982" s="35">
        <v>7.541329861</v>
      </c>
      <c r="E982" s="32" t="s">
        <v>109</v>
      </c>
      <c r="F982" s="32" t="s">
        <v>2272</v>
      </c>
      <c r="G982" s="39" t="s">
        <v>110</v>
      </c>
      <c r="H982" s="33"/>
      <c r="I982" s="33"/>
      <c r="J982" s="33"/>
      <c r="K982" s="33"/>
      <c r="L982" s="33"/>
      <c r="M982" s="33"/>
    </row>
    <row r="983">
      <c r="A983" s="32" t="s">
        <v>100</v>
      </c>
      <c r="B983" s="32" t="s">
        <v>2273</v>
      </c>
      <c r="C983" s="35">
        <v>47.7093</v>
      </c>
      <c r="D983" s="35">
        <v>96.5258</v>
      </c>
      <c r="E983" s="32" t="s">
        <v>2274</v>
      </c>
      <c r="F983" s="32" t="s">
        <v>2275</v>
      </c>
      <c r="G983" s="36" t="e">
        <v>#N/A</v>
      </c>
      <c r="H983" s="33"/>
      <c r="I983" s="33"/>
      <c r="J983" s="33"/>
      <c r="K983" s="33"/>
      <c r="L983" s="33"/>
      <c r="M983" s="33"/>
    </row>
    <row r="984">
      <c r="A984" s="32" t="s">
        <v>100</v>
      </c>
      <c r="B984" s="32" t="s">
        <v>2276</v>
      </c>
      <c r="C984" s="35">
        <v>-66.690833</v>
      </c>
      <c r="D984" s="35">
        <v>111.523611</v>
      </c>
      <c r="E984" s="32" t="s">
        <v>1337</v>
      </c>
      <c r="F984" s="32" t="s">
        <v>2277</v>
      </c>
      <c r="G984" s="36" t="e">
        <v>#N/A</v>
      </c>
      <c r="H984" s="33"/>
      <c r="I984" s="33"/>
      <c r="J984" s="33"/>
      <c r="K984" s="33"/>
      <c r="L984" s="33"/>
      <c r="M984" s="33"/>
    </row>
    <row r="985">
      <c r="A985" s="32" t="s">
        <v>100</v>
      </c>
      <c r="B985" s="32" t="s">
        <v>2278</v>
      </c>
      <c r="C985" s="35">
        <v>54.6446991</v>
      </c>
      <c r="D985" s="35">
        <v>39.57040024</v>
      </c>
      <c r="E985" s="32" t="s">
        <v>2040</v>
      </c>
      <c r="F985" s="32" t="s">
        <v>2279</v>
      </c>
      <c r="G985" s="36" t="e">
        <v>#N/A</v>
      </c>
      <c r="H985" s="33"/>
      <c r="I985" s="33"/>
      <c r="J985" s="33"/>
      <c r="K985" s="33"/>
      <c r="L985" s="33"/>
      <c r="M985" s="33"/>
    </row>
    <row r="986">
      <c r="A986" s="32" t="s">
        <v>100</v>
      </c>
      <c r="B986" s="32" t="s">
        <v>2280</v>
      </c>
      <c r="C986" s="35">
        <v>47.20470047</v>
      </c>
      <c r="D986" s="35">
        <v>8.867500305</v>
      </c>
      <c r="E986" s="32" t="s">
        <v>1180</v>
      </c>
      <c r="F986" s="32" t="s">
        <v>2281</v>
      </c>
      <c r="G986" s="36" t="e">
        <v>#N/A</v>
      </c>
      <c r="H986" s="33"/>
      <c r="I986" s="33"/>
      <c r="J986" s="33"/>
      <c r="K986" s="33"/>
      <c r="L986" s="33"/>
      <c r="M986" s="33"/>
    </row>
    <row r="987">
      <c r="A987" s="32" t="s">
        <v>100</v>
      </c>
      <c r="B987" s="32" t="s">
        <v>2282</v>
      </c>
      <c r="C987" s="35">
        <v>47.18360138</v>
      </c>
      <c r="D987" s="35">
        <v>7.090829849</v>
      </c>
      <c r="E987" s="32" t="s">
        <v>1180</v>
      </c>
      <c r="F987" s="32" t="s">
        <v>2283</v>
      </c>
      <c r="G987" s="36" t="e">
        <v>#N/A</v>
      </c>
      <c r="H987" s="33"/>
      <c r="I987" s="33"/>
      <c r="J987" s="33"/>
      <c r="K987" s="33"/>
      <c r="L987" s="33"/>
      <c r="M987" s="33"/>
    </row>
    <row r="988">
      <c r="A988" s="32" t="s">
        <v>100</v>
      </c>
      <c r="B988" s="32" t="s">
        <v>2284</v>
      </c>
      <c r="C988" s="35">
        <v>-19.131115</v>
      </c>
      <c r="D988" s="35">
        <v>23.102505</v>
      </c>
      <c r="E988" s="32" t="s">
        <v>2285</v>
      </c>
      <c r="F988" s="32" t="s">
        <v>2286</v>
      </c>
      <c r="G988" s="36" t="e">
        <v>#N/A</v>
      </c>
      <c r="H988" s="33"/>
      <c r="I988" s="33"/>
      <c r="J988" s="33"/>
      <c r="K988" s="33"/>
      <c r="L988" s="33"/>
      <c r="M988" s="33"/>
    </row>
    <row r="989">
      <c r="A989" s="32" t="s">
        <v>100</v>
      </c>
      <c r="B989" s="32" t="s">
        <v>2287</v>
      </c>
      <c r="C989" s="35">
        <v>60.77719879</v>
      </c>
      <c r="D989" s="35">
        <v>-148.7220001</v>
      </c>
      <c r="E989" s="32" t="s">
        <v>180</v>
      </c>
      <c r="F989" s="32" t="s">
        <v>2288</v>
      </c>
      <c r="G989" s="39" t="s">
        <v>181</v>
      </c>
      <c r="H989" s="33"/>
      <c r="I989" s="33"/>
      <c r="J989" s="33"/>
      <c r="K989" s="33"/>
      <c r="L989" s="33"/>
      <c r="M989" s="33"/>
    </row>
    <row r="990">
      <c r="A990" s="32" t="s">
        <v>100</v>
      </c>
      <c r="B990" s="32" t="s">
        <v>2289</v>
      </c>
      <c r="C990" s="35">
        <v>33.02270126</v>
      </c>
      <c r="D990" s="35">
        <v>-118.5879974</v>
      </c>
      <c r="E990" s="32" t="s">
        <v>180</v>
      </c>
      <c r="F990" s="32" t="s">
        <v>2290</v>
      </c>
      <c r="G990" s="39" t="s">
        <v>181</v>
      </c>
      <c r="H990" s="33"/>
      <c r="I990" s="33"/>
      <c r="J990" s="33"/>
      <c r="K990" s="33"/>
      <c r="L990" s="33"/>
      <c r="M990" s="33"/>
    </row>
    <row r="991">
      <c r="A991" s="32" t="s">
        <v>100</v>
      </c>
      <c r="B991" s="32" t="s">
        <v>2291</v>
      </c>
      <c r="C991" s="35">
        <v>65.87833405</v>
      </c>
      <c r="D991" s="35">
        <v>44.21500015</v>
      </c>
      <c r="E991" s="32" t="s">
        <v>2040</v>
      </c>
      <c r="F991" s="32" t="s">
        <v>2292</v>
      </c>
      <c r="G991" s="36" t="e">
        <v>#N/A</v>
      </c>
      <c r="H991" s="33"/>
      <c r="I991" s="33"/>
      <c r="J991" s="33"/>
      <c r="K991" s="33"/>
      <c r="L991" s="33"/>
      <c r="M991" s="33"/>
    </row>
    <row r="992">
      <c r="A992" s="32" t="s">
        <v>100</v>
      </c>
      <c r="B992" s="32" t="s">
        <v>2293</v>
      </c>
      <c r="C992" s="35">
        <v>64.4417038</v>
      </c>
      <c r="D992" s="35">
        <v>40.42169952</v>
      </c>
      <c r="E992" s="32" t="s">
        <v>2040</v>
      </c>
      <c r="F992" s="32" t="s">
        <v>2294</v>
      </c>
      <c r="G992" s="36" t="e">
        <v>#N/A</v>
      </c>
      <c r="H992" s="33"/>
      <c r="I992" s="33"/>
      <c r="J992" s="33"/>
      <c r="K992" s="33"/>
      <c r="L992" s="33"/>
      <c r="M992" s="33"/>
    </row>
    <row r="993">
      <c r="A993" s="32" t="s">
        <v>100</v>
      </c>
      <c r="B993" s="32" t="s">
        <v>2295</v>
      </c>
      <c r="C993" s="35">
        <v>48.3167</v>
      </c>
      <c r="D993" s="35">
        <v>16.116699</v>
      </c>
      <c r="E993" s="32" t="s">
        <v>1145</v>
      </c>
      <c r="F993" s="32" t="s">
        <v>2296</v>
      </c>
      <c r="G993" s="36" t="e">
        <v>#N/A</v>
      </c>
      <c r="H993" s="33"/>
      <c r="I993" s="33"/>
      <c r="J993" s="33"/>
      <c r="K993" s="33"/>
      <c r="L993" s="33"/>
      <c r="M993" s="33"/>
    </row>
    <row r="994">
      <c r="A994" s="32" t="s">
        <v>100</v>
      </c>
      <c r="B994" s="32" t="s">
        <v>2297</v>
      </c>
      <c r="C994" s="35">
        <v>51.46972275</v>
      </c>
      <c r="D994" s="35">
        <v>-0.179444</v>
      </c>
      <c r="E994" s="32" t="s">
        <v>90</v>
      </c>
      <c r="F994" s="32" t="s">
        <v>2298</v>
      </c>
      <c r="G994" s="39" t="s">
        <v>91</v>
      </c>
      <c r="H994" s="33"/>
      <c r="I994" s="33"/>
      <c r="J994" s="33"/>
      <c r="K994" s="33"/>
      <c r="L994" s="33"/>
      <c r="M994" s="33"/>
    </row>
    <row r="995">
      <c r="A995" s="32" t="s">
        <v>100</v>
      </c>
      <c r="B995" s="32" t="s">
        <v>2299</v>
      </c>
      <c r="C995" s="35">
        <v>45.428299</v>
      </c>
      <c r="D995" s="35">
        <v>12.3881</v>
      </c>
      <c r="E995" s="32" t="s">
        <v>103</v>
      </c>
      <c r="F995" s="32" t="s">
        <v>2300</v>
      </c>
      <c r="G995" s="39" t="s">
        <v>104</v>
      </c>
      <c r="H995" s="33"/>
      <c r="I995" s="33"/>
      <c r="J995" s="33"/>
      <c r="K995" s="33"/>
      <c r="L995" s="33"/>
      <c r="M995" s="33"/>
    </row>
    <row r="996">
      <c r="A996" s="32" t="s">
        <v>100</v>
      </c>
      <c r="B996" s="32" t="s">
        <v>2301</v>
      </c>
      <c r="C996" s="35">
        <v>59.44861984</v>
      </c>
      <c r="D996" s="35">
        <v>24.75322723</v>
      </c>
      <c r="E996" s="32" t="s">
        <v>405</v>
      </c>
      <c r="F996" s="32" t="s">
        <v>2302</v>
      </c>
      <c r="G996" s="36" t="e">
        <v>#N/A</v>
      </c>
      <c r="H996" s="33"/>
      <c r="I996" s="33"/>
      <c r="J996" s="33"/>
      <c r="K996" s="33"/>
      <c r="L996" s="33"/>
      <c r="M996" s="33"/>
    </row>
    <row r="997">
      <c r="A997" s="32" t="s">
        <v>100</v>
      </c>
      <c r="B997" s="32" t="s">
        <v>2303</v>
      </c>
      <c r="C997" s="35">
        <v>49.14166641</v>
      </c>
      <c r="D997" s="35">
        <v>8.394721985</v>
      </c>
      <c r="E997" s="32" t="s">
        <v>109</v>
      </c>
      <c r="F997" s="32" t="s">
        <v>2304</v>
      </c>
      <c r="G997" s="39" t="s">
        <v>110</v>
      </c>
      <c r="H997" s="33"/>
      <c r="I997" s="33"/>
      <c r="J997" s="33"/>
      <c r="K997" s="33"/>
      <c r="L997" s="33"/>
      <c r="M997" s="33"/>
    </row>
    <row r="998">
      <c r="A998" s="32" t="s">
        <v>100</v>
      </c>
      <c r="B998" s="32" t="s">
        <v>2305</v>
      </c>
      <c r="C998" s="35">
        <v>37.01670074</v>
      </c>
      <c r="D998" s="35">
        <v>-110.2009964</v>
      </c>
      <c r="E998" s="32" t="s">
        <v>180</v>
      </c>
      <c r="F998" s="32" t="s">
        <v>2306</v>
      </c>
      <c r="G998" s="39" t="s">
        <v>181</v>
      </c>
      <c r="H998" s="33"/>
      <c r="I998" s="33"/>
      <c r="J998" s="33"/>
      <c r="K998" s="33"/>
      <c r="L998" s="33"/>
      <c r="M998" s="33"/>
    </row>
    <row r="999">
      <c r="A999" s="32" t="s">
        <v>100</v>
      </c>
      <c r="B999" s="32" t="s">
        <v>2307</v>
      </c>
      <c r="C999" s="35">
        <v>52.19189835</v>
      </c>
      <c r="D999" s="35">
        <v>5.146940231</v>
      </c>
      <c r="E999" s="32" t="s">
        <v>127</v>
      </c>
      <c r="F999" s="32" t="s">
        <v>2308</v>
      </c>
      <c r="G999" s="39" t="s">
        <v>128</v>
      </c>
      <c r="H999" s="33"/>
      <c r="I999" s="33"/>
      <c r="J999" s="33"/>
      <c r="K999" s="33"/>
      <c r="L999" s="33"/>
      <c r="M999" s="33"/>
    </row>
    <row r="1000">
      <c r="A1000" s="32" t="s">
        <v>100</v>
      </c>
      <c r="B1000" s="32" t="s">
        <v>2309</v>
      </c>
      <c r="C1000" s="35">
        <v>53.11529922</v>
      </c>
      <c r="D1000" s="35">
        <v>4.833610058</v>
      </c>
      <c r="E1000" s="32" t="s">
        <v>127</v>
      </c>
      <c r="F1000" s="32" t="s">
        <v>2310</v>
      </c>
      <c r="G1000" s="39" t="s">
        <v>128</v>
      </c>
      <c r="H1000" s="33"/>
      <c r="I1000" s="33"/>
      <c r="J1000" s="33"/>
      <c r="K1000" s="33"/>
      <c r="L1000" s="33"/>
      <c r="M1000" s="33"/>
    </row>
    <row r="1001">
      <c r="A1001" s="32" t="s">
        <v>100</v>
      </c>
      <c r="B1001" s="32" t="s">
        <v>2311</v>
      </c>
      <c r="C1001" s="35">
        <v>42.38639832</v>
      </c>
      <c r="D1001" s="35">
        <v>1.866670012</v>
      </c>
      <c r="E1001" s="32" t="s">
        <v>115</v>
      </c>
      <c r="F1001" s="32" t="s">
        <v>2312</v>
      </c>
      <c r="G1001" s="39" t="s">
        <v>116</v>
      </c>
      <c r="H1001" s="33"/>
      <c r="I1001" s="33"/>
      <c r="J1001" s="33"/>
      <c r="K1001" s="33"/>
      <c r="L1001" s="33"/>
      <c r="M1001" s="33"/>
    </row>
    <row r="1002">
      <c r="A1002" s="32" t="s">
        <v>100</v>
      </c>
      <c r="B1002" s="32" t="s">
        <v>2313</v>
      </c>
      <c r="C1002" s="35">
        <v>51.329216</v>
      </c>
      <c r="D1002" s="35">
        <v>37.76884842</v>
      </c>
      <c r="E1002" s="32" t="s">
        <v>2040</v>
      </c>
      <c r="F1002" s="32" t="s">
        <v>2314</v>
      </c>
      <c r="G1002" s="36" t="e">
        <v>#N/A</v>
      </c>
      <c r="H1002" s="33"/>
      <c r="I1002" s="33"/>
      <c r="J1002" s="33"/>
      <c r="K1002" s="33"/>
      <c r="L1002" s="33"/>
      <c r="M1002" s="33"/>
    </row>
    <row r="1003">
      <c r="A1003" s="32" t="s">
        <v>100</v>
      </c>
      <c r="B1003" s="32" t="s">
        <v>2315</v>
      </c>
      <c r="C1003" s="35">
        <v>56.17699814</v>
      </c>
      <c r="D1003" s="35">
        <v>92.54000092</v>
      </c>
      <c r="E1003" s="32" t="s">
        <v>2040</v>
      </c>
      <c r="F1003" s="32" t="s">
        <v>2316</v>
      </c>
      <c r="G1003" s="36" t="e">
        <v>#N/A</v>
      </c>
      <c r="H1003" s="33"/>
      <c r="I1003" s="33"/>
      <c r="J1003" s="33"/>
      <c r="K1003" s="33"/>
      <c r="L1003" s="33"/>
      <c r="M1003" s="33"/>
    </row>
    <row r="1004">
      <c r="A1004" s="32" t="s">
        <v>100</v>
      </c>
      <c r="B1004" s="32" t="s">
        <v>2317</v>
      </c>
      <c r="C1004" s="35">
        <v>51.50080109</v>
      </c>
      <c r="D1004" s="35">
        <v>-0.774443984</v>
      </c>
      <c r="E1004" s="32" t="s">
        <v>90</v>
      </c>
      <c r="F1004" s="32" t="s">
        <v>2318</v>
      </c>
      <c r="G1004" s="39" t="s">
        <v>91</v>
      </c>
      <c r="H1004" s="33"/>
      <c r="I1004" s="33"/>
      <c r="J1004" s="33"/>
      <c r="K1004" s="33"/>
      <c r="L1004" s="33"/>
      <c r="M1004" s="33"/>
    </row>
    <row r="1005">
      <c r="A1005" s="32" t="s">
        <v>100</v>
      </c>
      <c r="B1005" s="32" t="s">
        <v>2319</v>
      </c>
      <c r="C1005" s="35">
        <v>43.44145315</v>
      </c>
      <c r="D1005" s="35">
        <v>-79.85010266</v>
      </c>
      <c r="E1005" s="32" t="s">
        <v>94</v>
      </c>
      <c r="F1005" s="32" t="s">
        <v>2320</v>
      </c>
      <c r="G1005" s="36" t="e">
        <v>#N/A</v>
      </c>
      <c r="H1005" s="33"/>
      <c r="I1005" s="33"/>
      <c r="J1005" s="33"/>
      <c r="K1005" s="33"/>
      <c r="L1005" s="33"/>
      <c r="M1005" s="33"/>
    </row>
    <row r="1006">
      <c r="A1006" s="32" t="s">
        <v>100</v>
      </c>
      <c r="B1006" s="32" t="s">
        <v>2321</v>
      </c>
      <c r="C1006" s="35">
        <v>51.61169815</v>
      </c>
      <c r="D1006" s="35">
        <v>-0.80833298</v>
      </c>
      <c r="E1006" s="32" t="s">
        <v>90</v>
      </c>
      <c r="F1006" s="32" t="s">
        <v>2322</v>
      </c>
      <c r="G1006" s="39" t="s">
        <v>91</v>
      </c>
      <c r="H1006" s="33"/>
      <c r="I1006" s="33"/>
      <c r="J1006" s="33"/>
      <c r="K1006" s="33"/>
      <c r="L1006" s="33"/>
      <c r="M1006" s="33"/>
    </row>
    <row r="1007">
      <c r="A1007" s="32" t="s">
        <v>100</v>
      </c>
      <c r="B1007" s="32" t="s">
        <v>2323</v>
      </c>
      <c r="C1007" s="35">
        <v>45.05189896</v>
      </c>
      <c r="D1007" s="35">
        <v>-64.65170288</v>
      </c>
      <c r="E1007" s="32" t="s">
        <v>94</v>
      </c>
      <c r="F1007" s="32" t="s">
        <v>2324</v>
      </c>
      <c r="G1007" s="36" t="e">
        <v>#N/A</v>
      </c>
      <c r="H1007" s="33"/>
      <c r="I1007" s="33"/>
      <c r="J1007" s="33"/>
      <c r="K1007" s="33"/>
      <c r="L1007" s="33"/>
      <c r="M1007" s="33"/>
    </row>
    <row r="1008">
      <c r="A1008" s="32" t="s">
        <v>100</v>
      </c>
      <c r="B1008" s="32" t="s">
        <v>2325</v>
      </c>
      <c r="C1008" s="35">
        <v>51.32222366</v>
      </c>
      <c r="D1008" s="35">
        <v>3.293056011</v>
      </c>
      <c r="E1008" s="32" t="s">
        <v>197</v>
      </c>
      <c r="F1008" s="32" t="s">
        <v>2326</v>
      </c>
      <c r="G1008" s="36" t="e">
        <v>#N/A</v>
      </c>
      <c r="H1008" s="33"/>
      <c r="I1008" s="33"/>
      <c r="J1008" s="33"/>
      <c r="K1008" s="33"/>
      <c r="L1008" s="33"/>
      <c r="M1008" s="33"/>
    </row>
    <row r="1009">
      <c r="A1009" s="32" t="s">
        <v>100</v>
      </c>
      <c r="B1009" s="32" t="s">
        <v>2327</v>
      </c>
      <c r="C1009" s="35">
        <v>-27.20669937</v>
      </c>
      <c r="D1009" s="35">
        <v>153.0679932</v>
      </c>
      <c r="E1009" s="32" t="s">
        <v>1968</v>
      </c>
      <c r="F1009" s="32" t="s">
        <v>2328</v>
      </c>
      <c r="G1009" s="36" t="e">
        <v>#N/A</v>
      </c>
      <c r="H1009" s="33"/>
      <c r="I1009" s="33"/>
      <c r="J1009" s="33"/>
      <c r="K1009" s="33"/>
      <c r="L1009" s="33"/>
      <c r="M1009" s="33"/>
    </row>
    <row r="1010">
      <c r="A1010" s="32" t="s">
        <v>100</v>
      </c>
      <c r="B1010" s="32" t="s">
        <v>2329</v>
      </c>
      <c r="C1010" s="35">
        <v>54.02690125</v>
      </c>
      <c r="D1010" s="35">
        <v>19.13419914</v>
      </c>
      <c r="E1010" s="32" t="s">
        <v>192</v>
      </c>
      <c r="F1010" s="32" t="s">
        <v>2330</v>
      </c>
      <c r="G1010" s="39" t="s">
        <v>193</v>
      </c>
      <c r="H1010" s="33"/>
      <c r="I1010" s="33"/>
      <c r="J1010" s="33"/>
      <c r="K1010" s="33"/>
      <c r="L1010" s="33"/>
      <c r="M1010" s="33"/>
    </row>
    <row r="1011">
      <c r="A1011" s="32" t="s">
        <v>100</v>
      </c>
      <c r="B1011" s="32" t="s">
        <v>2331</v>
      </c>
      <c r="C1011" s="35">
        <v>51.55170059</v>
      </c>
      <c r="D1011" s="35">
        <v>19.17910004</v>
      </c>
      <c r="E1011" s="32" t="s">
        <v>192</v>
      </c>
      <c r="F1011" s="32" t="s">
        <v>2332</v>
      </c>
      <c r="G1011" s="39" t="s">
        <v>193</v>
      </c>
      <c r="H1011" s="33"/>
      <c r="I1011" s="33"/>
      <c r="J1011" s="33"/>
      <c r="K1011" s="33"/>
      <c r="L1011" s="33"/>
      <c r="M1011" s="33"/>
    </row>
    <row r="1012">
      <c r="A1012" s="32" t="s">
        <v>100</v>
      </c>
      <c r="B1012" s="32" t="s">
        <v>2333</v>
      </c>
      <c r="C1012" s="35">
        <v>53.39509964</v>
      </c>
      <c r="D1012" s="35">
        <v>16.08279991</v>
      </c>
      <c r="E1012" s="32" t="s">
        <v>192</v>
      </c>
      <c r="F1012" s="32" t="s">
        <v>2334</v>
      </c>
      <c r="G1012" s="39" t="s">
        <v>193</v>
      </c>
      <c r="H1012" s="33"/>
      <c r="I1012" s="33"/>
      <c r="J1012" s="33"/>
      <c r="K1012" s="33"/>
      <c r="L1012" s="33"/>
      <c r="M1012" s="33"/>
    </row>
    <row r="1013">
      <c r="A1013" s="32" t="s">
        <v>100</v>
      </c>
      <c r="B1013" s="32" t="s">
        <v>2335</v>
      </c>
      <c r="C1013" s="35">
        <v>52.33169937</v>
      </c>
      <c r="D1013" s="35">
        <v>16.96640015</v>
      </c>
      <c r="E1013" s="32" t="s">
        <v>192</v>
      </c>
      <c r="F1013" s="32" t="s">
        <v>2336</v>
      </c>
      <c r="G1013" s="39" t="s">
        <v>193</v>
      </c>
      <c r="H1013" s="33"/>
      <c r="I1013" s="33"/>
      <c r="J1013" s="33"/>
      <c r="K1013" s="33"/>
      <c r="L1013" s="33"/>
      <c r="M1013" s="33"/>
    </row>
    <row r="1014">
      <c r="A1014" s="32" t="s">
        <v>100</v>
      </c>
      <c r="B1014" s="32" t="s">
        <v>2337</v>
      </c>
      <c r="C1014" s="35">
        <v>-32.9496</v>
      </c>
      <c r="D1014" s="35">
        <v>-71.4786</v>
      </c>
      <c r="E1014" s="32" t="s">
        <v>300</v>
      </c>
      <c r="F1014" s="32" t="s">
        <v>2338</v>
      </c>
      <c r="G1014" s="36" t="e">
        <v>#N/A</v>
      </c>
      <c r="H1014" s="33"/>
      <c r="I1014" s="33"/>
      <c r="J1014" s="33"/>
      <c r="K1014" s="33"/>
      <c r="L1014" s="33"/>
      <c r="M1014" s="33"/>
    </row>
    <row r="1015">
      <c r="A1015" s="32" t="s">
        <v>100</v>
      </c>
      <c r="B1015" s="32" t="s">
        <v>2339</v>
      </c>
      <c r="C1015" s="35">
        <v>43.76029968</v>
      </c>
      <c r="D1015" s="35">
        <v>-79.875</v>
      </c>
      <c r="E1015" s="32" t="s">
        <v>94</v>
      </c>
      <c r="F1015" s="32" t="s">
        <v>2340</v>
      </c>
      <c r="G1015" s="36" t="e">
        <v>#N/A</v>
      </c>
      <c r="H1015" s="33"/>
      <c r="I1015" s="33"/>
      <c r="J1015" s="33"/>
      <c r="K1015" s="33"/>
      <c r="L1015" s="33"/>
      <c r="M1015" s="33"/>
    </row>
    <row r="1016">
      <c r="A1016" s="32" t="s">
        <v>100</v>
      </c>
      <c r="B1016" s="32" t="s">
        <v>2341</v>
      </c>
      <c r="C1016" s="35">
        <v>40.042899</v>
      </c>
      <c r="D1016" s="35">
        <v>70.83784</v>
      </c>
      <c r="E1016" s="32" t="s">
        <v>2342</v>
      </c>
      <c r="F1016" s="32" t="s">
        <v>2343</v>
      </c>
      <c r="G1016" s="36" t="e">
        <v>#N/A</v>
      </c>
      <c r="H1016" s="33"/>
      <c r="I1016" s="33"/>
      <c r="J1016" s="33"/>
      <c r="K1016" s="33"/>
      <c r="L1016" s="33"/>
      <c r="M1016" s="33"/>
    </row>
    <row r="1017">
      <c r="A1017" s="32" t="s">
        <v>100</v>
      </c>
      <c r="B1017" s="32" t="s">
        <v>2344</v>
      </c>
      <c r="C1017" s="35">
        <v>52.73080063</v>
      </c>
      <c r="D1017" s="35">
        <v>6.516109943</v>
      </c>
      <c r="E1017" s="32" t="s">
        <v>127</v>
      </c>
      <c r="F1017" s="32" t="s">
        <v>2345</v>
      </c>
      <c r="G1017" s="39" t="s">
        <v>128</v>
      </c>
      <c r="H1017" s="33"/>
      <c r="I1017" s="33"/>
      <c r="J1017" s="33"/>
      <c r="K1017" s="33"/>
      <c r="L1017" s="33"/>
      <c r="M1017" s="33"/>
    </row>
    <row r="1018">
      <c r="A1018" s="32" t="s">
        <v>100</v>
      </c>
      <c r="B1018" s="32" t="s">
        <v>2346</v>
      </c>
      <c r="C1018" s="35">
        <v>52.24470139</v>
      </c>
      <c r="D1018" s="35">
        <v>6.04666996</v>
      </c>
      <c r="E1018" s="32" t="s">
        <v>127</v>
      </c>
      <c r="F1018" s="32" t="s">
        <v>2347</v>
      </c>
      <c r="G1018" s="39" t="s">
        <v>128</v>
      </c>
      <c r="H1018" s="33"/>
      <c r="I1018" s="33"/>
      <c r="J1018" s="33"/>
      <c r="K1018" s="33"/>
      <c r="L1018" s="33"/>
      <c r="M1018" s="33"/>
    </row>
    <row r="1019">
      <c r="A1019" s="32" t="s">
        <v>100</v>
      </c>
      <c r="B1019" s="32" t="s">
        <v>2348</v>
      </c>
      <c r="C1019" s="35">
        <v>51.5121994</v>
      </c>
      <c r="D1019" s="35">
        <v>3.731110096</v>
      </c>
      <c r="E1019" s="32" t="s">
        <v>127</v>
      </c>
      <c r="F1019" s="32" t="s">
        <v>702</v>
      </c>
      <c r="G1019" s="39" t="s">
        <v>128</v>
      </c>
      <c r="H1019" s="33"/>
      <c r="I1019" s="33"/>
      <c r="J1019" s="33"/>
      <c r="K1019" s="33"/>
      <c r="L1019" s="33"/>
      <c r="M1019" s="33"/>
    </row>
    <row r="1020">
      <c r="A1020" s="32" t="s">
        <v>100</v>
      </c>
      <c r="B1020" s="32" t="s">
        <v>2349</v>
      </c>
      <c r="C1020" s="35">
        <v>53.4516983</v>
      </c>
      <c r="D1020" s="35">
        <v>5.677219868</v>
      </c>
      <c r="E1020" s="32" t="s">
        <v>127</v>
      </c>
      <c r="F1020" s="32" t="s">
        <v>2350</v>
      </c>
      <c r="G1020" s="39" t="s">
        <v>128</v>
      </c>
      <c r="H1020" s="33"/>
      <c r="I1020" s="33"/>
      <c r="J1020" s="33"/>
      <c r="K1020" s="33"/>
      <c r="L1020" s="33"/>
      <c r="M1020" s="33"/>
    </row>
    <row r="1021">
      <c r="A1021" s="32" t="s">
        <v>100</v>
      </c>
      <c r="B1021" s="32" t="s">
        <v>2351</v>
      </c>
      <c r="C1021" s="35">
        <v>48.81140137</v>
      </c>
      <c r="D1021" s="35">
        <v>2.074719906</v>
      </c>
      <c r="E1021" s="32" t="s">
        <v>96</v>
      </c>
      <c r="F1021" s="32" t="s">
        <v>2352</v>
      </c>
      <c r="G1021" s="39" t="s">
        <v>97</v>
      </c>
      <c r="H1021" s="33"/>
      <c r="I1021" s="33"/>
      <c r="J1021" s="33"/>
      <c r="K1021" s="33"/>
      <c r="L1021" s="33"/>
      <c r="M1021" s="33"/>
    </row>
    <row r="1022">
      <c r="A1022" s="32" t="s">
        <v>100</v>
      </c>
      <c r="B1022" s="32" t="s">
        <v>2353</v>
      </c>
      <c r="C1022" s="35">
        <v>-29.54610062</v>
      </c>
      <c r="D1022" s="35">
        <v>28.27099991</v>
      </c>
      <c r="E1022" s="32" t="s">
        <v>797</v>
      </c>
      <c r="F1022" s="32" t="s">
        <v>2354</v>
      </c>
      <c r="G1022" s="36" t="e">
        <v>#N/A</v>
      </c>
      <c r="H1022" s="33"/>
      <c r="I1022" s="33"/>
      <c r="J1022" s="33"/>
      <c r="K1022" s="33"/>
      <c r="L1022" s="33"/>
      <c r="M1022" s="33"/>
    </row>
    <row r="1023">
      <c r="A1023" s="32" t="s">
        <v>100</v>
      </c>
      <c r="B1023" s="32" t="s">
        <v>2355</v>
      </c>
      <c r="C1023" s="35">
        <v>51.57777786</v>
      </c>
      <c r="D1023" s="35">
        <v>12.49444389</v>
      </c>
      <c r="E1023" s="32" t="s">
        <v>109</v>
      </c>
      <c r="F1023" s="32" t="s">
        <v>2356</v>
      </c>
      <c r="G1023" s="39" t="s">
        <v>110</v>
      </c>
      <c r="H1023" s="33"/>
      <c r="I1023" s="33"/>
      <c r="J1023" s="33"/>
      <c r="K1023" s="33"/>
      <c r="L1023" s="33"/>
      <c r="M1023" s="33"/>
    </row>
    <row r="1024">
      <c r="A1024" s="32" t="s">
        <v>100</v>
      </c>
      <c r="B1024" s="32" t="s">
        <v>2357</v>
      </c>
      <c r="C1024" s="35">
        <v>36.04850006</v>
      </c>
      <c r="D1024" s="35">
        <v>-79.47489929</v>
      </c>
      <c r="E1024" s="32" t="s">
        <v>180</v>
      </c>
      <c r="F1024" s="32" t="s">
        <v>2320</v>
      </c>
      <c r="G1024" s="39" t="s">
        <v>181</v>
      </c>
      <c r="H1024" s="33"/>
      <c r="I1024" s="33"/>
      <c r="J1024" s="33"/>
      <c r="K1024" s="33"/>
      <c r="L1024" s="33"/>
      <c r="M1024" s="33"/>
    </row>
    <row r="1025">
      <c r="A1025" s="32" t="s">
        <v>100</v>
      </c>
      <c r="B1025" s="32" t="s">
        <v>2358</v>
      </c>
      <c r="C1025" s="35">
        <v>51.51729965</v>
      </c>
      <c r="D1025" s="35">
        <v>5.855720043</v>
      </c>
      <c r="E1025" s="32" t="s">
        <v>127</v>
      </c>
      <c r="F1025" s="32" t="s">
        <v>2359</v>
      </c>
      <c r="G1025" s="39" t="s">
        <v>128</v>
      </c>
      <c r="H1025" s="33"/>
      <c r="I1025" s="33"/>
      <c r="J1025" s="33"/>
      <c r="K1025" s="33"/>
      <c r="L1025" s="33"/>
      <c r="M1025" s="33"/>
    </row>
    <row r="1026">
      <c r="A1026" s="32" t="s">
        <v>100</v>
      </c>
      <c r="B1026" s="32" t="s">
        <v>2360</v>
      </c>
      <c r="C1026" s="35">
        <v>31.86380005</v>
      </c>
      <c r="D1026" s="35">
        <v>64.22460175</v>
      </c>
      <c r="E1026" s="32" t="s">
        <v>1350</v>
      </c>
      <c r="F1026" s="32" t="s">
        <v>2361</v>
      </c>
      <c r="G1026" s="36" t="e">
        <v>#N/A</v>
      </c>
      <c r="H1026" s="33"/>
      <c r="I1026" s="33"/>
      <c r="J1026" s="33"/>
      <c r="K1026" s="33"/>
      <c r="L1026" s="33"/>
      <c r="M1026" s="33"/>
    </row>
    <row r="1027">
      <c r="A1027" s="32" t="s">
        <v>100</v>
      </c>
      <c r="B1027" s="32" t="s">
        <v>2362</v>
      </c>
      <c r="C1027" s="35">
        <v>61.54544067</v>
      </c>
      <c r="D1027" s="35">
        <v>10.06158829</v>
      </c>
      <c r="E1027" s="32" t="s">
        <v>343</v>
      </c>
      <c r="F1027" s="32" t="s">
        <v>2363</v>
      </c>
      <c r="G1027" s="36" t="e">
        <v>#N/A</v>
      </c>
      <c r="H1027" s="33"/>
      <c r="I1027" s="33"/>
      <c r="J1027" s="33"/>
      <c r="K1027" s="33"/>
      <c r="L1027" s="33"/>
      <c r="M1027" s="33"/>
    </row>
    <row r="1028">
      <c r="A1028" s="32" t="s">
        <v>100</v>
      </c>
      <c r="B1028" s="32" t="s">
        <v>2364</v>
      </c>
      <c r="C1028" s="35">
        <v>-38.52330017</v>
      </c>
      <c r="D1028" s="35">
        <v>145.3269958</v>
      </c>
      <c r="E1028" s="32" t="s">
        <v>1968</v>
      </c>
      <c r="F1028" s="32" t="s">
        <v>2365</v>
      </c>
      <c r="G1028" s="36" t="e">
        <v>#N/A</v>
      </c>
      <c r="H1028" s="33"/>
      <c r="I1028" s="33"/>
      <c r="J1028" s="33"/>
      <c r="K1028" s="33"/>
      <c r="L1028" s="33"/>
      <c r="M1028" s="33"/>
    </row>
    <row r="1029">
      <c r="A1029" s="32" t="s">
        <v>100</v>
      </c>
      <c r="B1029" s="32" t="s">
        <v>2366</v>
      </c>
      <c r="C1029" s="35">
        <v>48.5544014</v>
      </c>
      <c r="D1029" s="35">
        <v>7.778059959</v>
      </c>
      <c r="E1029" s="32" t="s">
        <v>96</v>
      </c>
      <c r="F1029" s="32" t="s">
        <v>2367</v>
      </c>
      <c r="G1029" s="39" t="s">
        <v>97</v>
      </c>
      <c r="H1029" s="33"/>
      <c r="I1029" s="33"/>
      <c r="J1029" s="33"/>
      <c r="K1029" s="33"/>
      <c r="L1029" s="33"/>
      <c r="M1029" s="33"/>
    </row>
    <row r="1030">
      <c r="A1030" s="32" t="s">
        <v>100</v>
      </c>
      <c r="B1030" s="32" t="s">
        <v>2368</v>
      </c>
      <c r="C1030" s="35">
        <v>49.97027969</v>
      </c>
      <c r="D1030" s="35">
        <v>7.479166985</v>
      </c>
      <c r="E1030" s="32" t="s">
        <v>109</v>
      </c>
      <c r="F1030" s="32" t="s">
        <v>2369</v>
      </c>
      <c r="G1030" s="39" t="s">
        <v>110</v>
      </c>
      <c r="H1030" s="33"/>
      <c r="I1030" s="33"/>
      <c r="J1030" s="33"/>
      <c r="K1030" s="33"/>
      <c r="L1030" s="33"/>
      <c r="M1030" s="33"/>
    </row>
    <row r="1031">
      <c r="A1031" s="32" t="s">
        <v>100</v>
      </c>
      <c r="B1031" s="32" t="s">
        <v>2370</v>
      </c>
      <c r="C1031" s="35">
        <v>51.647202</v>
      </c>
      <c r="D1031" s="35">
        <v>7.16333</v>
      </c>
      <c r="E1031" s="32" t="s">
        <v>109</v>
      </c>
      <c r="F1031" s="32" t="s">
        <v>2371</v>
      </c>
      <c r="G1031" s="39" t="s">
        <v>110</v>
      </c>
      <c r="H1031" s="33"/>
      <c r="I1031" s="33"/>
      <c r="J1031" s="33"/>
      <c r="K1031" s="33"/>
      <c r="L1031" s="33"/>
      <c r="M1031" s="33"/>
    </row>
    <row r="1032">
      <c r="A1032" s="32" t="s">
        <v>100</v>
      </c>
      <c r="B1032" s="32" t="s">
        <v>2372</v>
      </c>
      <c r="C1032" s="35">
        <v>61.89799881</v>
      </c>
      <c r="D1032" s="35">
        <v>15.70530033</v>
      </c>
      <c r="E1032" s="32" t="s">
        <v>347</v>
      </c>
      <c r="F1032" s="32" t="s">
        <v>2373</v>
      </c>
      <c r="G1032" s="36" t="e">
        <v>#N/A</v>
      </c>
      <c r="H1032" s="33"/>
      <c r="I1032" s="33"/>
      <c r="J1032" s="33"/>
      <c r="K1032" s="33"/>
      <c r="L1032" s="33"/>
      <c r="M1032" s="33"/>
    </row>
    <row r="1033">
      <c r="A1033" s="32" t="s">
        <v>100</v>
      </c>
      <c r="B1033" s="32" t="s">
        <v>2374</v>
      </c>
      <c r="C1033" s="35">
        <v>22.2329998</v>
      </c>
      <c r="D1033" s="35">
        <v>95.11699677</v>
      </c>
      <c r="E1033" s="32" t="s">
        <v>1918</v>
      </c>
      <c r="F1033" s="32" t="s">
        <v>2375</v>
      </c>
      <c r="G1033" s="36" t="e">
        <v>#N/A</v>
      </c>
      <c r="H1033" s="33"/>
      <c r="I1033" s="33"/>
      <c r="J1033" s="33"/>
      <c r="K1033" s="33"/>
      <c r="L1033" s="33"/>
      <c r="M1033" s="33"/>
    </row>
    <row r="1034">
      <c r="A1034" s="32" t="s">
        <v>100</v>
      </c>
      <c r="B1034" s="32" t="s">
        <v>2376</v>
      </c>
      <c r="C1034" s="35">
        <v>39.21099854</v>
      </c>
      <c r="D1034" s="35">
        <v>-82.23139954</v>
      </c>
      <c r="E1034" s="32" t="s">
        <v>180</v>
      </c>
      <c r="F1034" s="32" t="s">
        <v>2377</v>
      </c>
      <c r="G1034" s="39" t="s">
        <v>181</v>
      </c>
      <c r="H1034" s="33"/>
      <c r="I1034" s="33"/>
      <c r="J1034" s="33"/>
      <c r="K1034" s="33"/>
      <c r="L1034" s="33"/>
      <c r="M1034" s="33"/>
    </row>
    <row r="1035">
      <c r="A1035" s="32" t="s">
        <v>100</v>
      </c>
      <c r="B1035" s="32" t="s">
        <v>2378</v>
      </c>
      <c r="C1035" s="35">
        <v>34.0080986</v>
      </c>
      <c r="D1035" s="35">
        <v>-4.965559959</v>
      </c>
      <c r="E1035" s="32" t="s">
        <v>17</v>
      </c>
      <c r="F1035" s="32" t="s">
        <v>2379</v>
      </c>
      <c r="G1035" s="36" t="e">
        <v>#N/A</v>
      </c>
      <c r="H1035" s="33"/>
      <c r="I1035" s="33"/>
      <c r="J1035" s="33"/>
      <c r="K1035" s="33"/>
      <c r="L1035" s="33"/>
      <c r="M1035" s="33"/>
    </row>
    <row r="1036">
      <c r="A1036" s="32" t="s">
        <v>100</v>
      </c>
      <c r="B1036" s="32" t="s">
        <v>2380</v>
      </c>
      <c r="C1036" s="35">
        <v>49.14194489</v>
      </c>
      <c r="D1036" s="35">
        <v>12.08194447</v>
      </c>
      <c r="E1036" s="32" t="s">
        <v>109</v>
      </c>
      <c r="F1036" s="32" t="s">
        <v>2381</v>
      </c>
      <c r="G1036" s="39" t="s">
        <v>110</v>
      </c>
      <c r="H1036" s="33"/>
      <c r="I1036" s="33"/>
      <c r="J1036" s="33"/>
      <c r="K1036" s="33"/>
      <c r="L1036" s="33"/>
      <c r="M1036" s="33"/>
    </row>
    <row r="1037">
      <c r="A1037" s="32" t="s">
        <v>100</v>
      </c>
      <c r="B1037" s="32" t="s">
        <v>2382</v>
      </c>
      <c r="C1037" s="35">
        <v>29.22940063</v>
      </c>
      <c r="D1037" s="35">
        <v>-99.82389832</v>
      </c>
      <c r="E1037" s="32" t="s">
        <v>180</v>
      </c>
      <c r="F1037" s="32" t="s">
        <v>2383</v>
      </c>
      <c r="G1037" s="39" t="s">
        <v>181</v>
      </c>
      <c r="H1037" s="33"/>
      <c r="I1037" s="33"/>
      <c r="J1037" s="33"/>
      <c r="K1037" s="33"/>
      <c r="L1037" s="33"/>
      <c r="M1037" s="33"/>
    </row>
    <row r="1038">
      <c r="A1038" s="32" t="s">
        <v>100</v>
      </c>
      <c r="B1038" s="32" t="s">
        <v>2384</v>
      </c>
      <c r="C1038" s="35">
        <v>37.610022</v>
      </c>
      <c r="D1038" s="35">
        <v>-86.507262</v>
      </c>
      <c r="E1038" s="32" t="s">
        <v>180</v>
      </c>
      <c r="F1038" s="32" t="s">
        <v>2151</v>
      </c>
      <c r="G1038" s="39" t="s">
        <v>181</v>
      </c>
      <c r="H1038" s="33"/>
      <c r="I1038" s="33"/>
      <c r="J1038" s="33"/>
      <c r="K1038" s="33"/>
      <c r="L1038" s="33"/>
      <c r="M1038" s="33"/>
    </row>
    <row r="1039">
      <c r="A1039" s="32" t="s">
        <v>100</v>
      </c>
      <c r="B1039" s="32" t="s">
        <v>2385</v>
      </c>
      <c r="C1039" s="35">
        <v>36.00899887</v>
      </c>
      <c r="D1039" s="35">
        <v>-86.52010345</v>
      </c>
      <c r="E1039" s="32" t="s">
        <v>180</v>
      </c>
      <c r="F1039" s="32" t="s">
        <v>2386</v>
      </c>
      <c r="G1039" s="39" t="s">
        <v>181</v>
      </c>
      <c r="H1039" s="33"/>
      <c r="I1039" s="33"/>
      <c r="J1039" s="33"/>
      <c r="K1039" s="33"/>
      <c r="L1039" s="33"/>
      <c r="M1039" s="33"/>
    </row>
    <row r="1040">
      <c r="A1040" s="32" t="s">
        <v>100</v>
      </c>
      <c r="B1040" s="32" t="s">
        <v>2387</v>
      </c>
      <c r="C1040" s="35">
        <v>35.20510101</v>
      </c>
      <c r="D1040" s="35">
        <v>-85.89810181</v>
      </c>
      <c r="E1040" s="32" t="s">
        <v>180</v>
      </c>
      <c r="F1040" s="32" t="s">
        <v>2388</v>
      </c>
      <c r="G1040" s="39" t="s">
        <v>181</v>
      </c>
      <c r="H1040" s="33"/>
      <c r="I1040" s="33"/>
      <c r="J1040" s="33"/>
      <c r="K1040" s="33"/>
      <c r="L1040" s="33"/>
      <c r="M1040" s="33"/>
    </row>
    <row r="1041">
      <c r="A1041" s="32" t="s">
        <v>100</v>
      </c>
      <c r="B1041" s="32" t="s">
        <v>2389</v>
      </c>
      <c r="C1041" s="35">
        <v>49.74079895</v>
      </c>
      <c r="D1041" s="35">
        <v>14.64470005</v>
      </c>
      <c r="E1041" s="32" t="s">
        <v>1104</v>
      </c>
      <c r="F1041" s="32" t="s">
        <v>2390</v>
      </c>
      <c r="G1041" s="36" t="e">
        <v>#N/A</v>
      </c>
      <c r="H1041" s="33"/>
      <c r="I1041" s="33"/>
      <c r="J1041" s="33"/>
      <c r="K1041" s="33"/>
      <c r="L1041" s="33"/>
      <c r="M1041" s="33"/>
    </row>
    <row r="1042">
      <c r="A1042" s="32" t="s">
        <v>100</v>
      </c>
      <c r="B1042" s="32" t="s">
        <v>2391</v>
      </c>
      <c r="C1042" s="35">
        <v>11.44999981</v>
      </c>
      <c r="D1042" s="35">
        <v>-7.517000198</v>
      </c>
      <c r="E1042" s="32" t="s">
        <v>807</v>
      </c>
      <c r="F1042" s="32" t="s">
        <v>2392</v>
      </c>
      <c r="G1042" s="36" t="e">
        <v>#N/A</v>
      </c>
      <c r="H1042" s="33"/>
      <c r="I1042" s="33"/>
      <c r="J1042" s="33"/>
      <c r="K1042" s="33"/>
      <c r="L1042" s="33"/>
      <c r="M1042" s="33"/>
    </row>
    <row r="1043">
      <c r="A1043" s="32" t="s">
        <v>100</v>
      </c>
      <c r="B1043" s="32" t="s">
        <v>2393</v>
      </c>
      <c r="C1043" s="35">
        <v>-77.85399628</v>
      </c>
      <c r="D1043" s="35">
        <v>166.4689941</v>
      </c>
      <c r="E1043" s="32" t="s">
        <v>1337</v>
      </c>
      <c r="F1043" s="32" t="s">
        <v>2394</v>
      </c>
      <c r="G1043" s="36" t="e">
        <v>#N/A</v>
      </c>
      <c r="H1043" s="33"/>
      <c r="I1043" s="33"/>
      <c r="J1043" s="33"/>
      <c r="K1043" s="33"/>
      <c r="L1043" s="33"/>
      <c r="M1043" s="33"/>
    </row>
    <row r="1044">
      <c r="A1044" s="32" t="s">
        <v>100</v>
      </c>
      <c r="B1044" s="32" t="s">
        <v>2395</v>
      </c>
      <c r="C1044" s="35">
        <v>-1.582999945</v>
      </c>
      <c r="D1044" s="35">
        <v>35.25</v>
      </c>
      <c r="E1044" s="32" t="s">
        <v>21</v>
      </c>
      <c r="F1044" s="32" t="s">
        <v>2396</v>
      </c>
      <c r="G1044" s="36" t="e">
        <v>#N/A</v>
      </c>
      <c r="H1044" s="33"/>
      <c r="I1044" s="33"/>
      <c r="J1044" s="33"/>
      <c r="K1044" s="33"/>
      <c r="L1044" s="33"/>
      <c r="M1044" s="33"/>
    </row>
    <row r="1045">
      <c r="A1045" s="32" t="s">
        <v>100</v>
      </c>
      <c r="B1045" s="32" t="s">
        <v>2397</v>
      </c>
      <c r="C1045" s="35">
        <v>33.11190033</v>
      </c>
      <c r="D1045" s="35">
        <v>-112.2689972</v>
      </c>
      <c r="E1045" s="32" t="s">
        <v>180</v>
      </c>
      <c r="F1045" s="32" t="s">
        <v>2398</v>
      </c>
      <c r="G1045" s="39" t="s">
        <v>181</v>
      </c>
      <c r="H1045" s="33"/>
      <c r="I1045" s="33"/>
      <c r="J1045" s="33"/>
      <c r="K1045" s="33"/>
      <c r="L1045" s="33"/>
      <c r="M1045" s="33"/>
    </row>
    <row r="1046">
      <c r="A1046" s="32" t="s">
        <v>100</v>
      </c>
      <c r="B1046" s="32" t="s">
        <v>2399</v>
      </c>
      <c r="C1046" s="35">
        <v>48.51166534</v>
      </c>
      <c r="D1046" s="35">
        <v>12.03333282</v>
      </c>
      <c r="E1046" s="32" t="s">
        <v>109</v>
      </c>
      <c r="F1046" s="32" t="s">
        <v>2400</v>
      </c>
      <c r="G1046" s="39" t="s">
        <v>110</v>
      </c>
      <c r="H1046" s="33"/>
      <c r="I1046" s="33"/>
      <c r="J1046" s="33"/>
      <c r="K1046" s="33"/>
      <c r="L1046" s="33"/>
      <c r="M1046" s="33"/>
    </row>
    <row r="1047">
      <c r="A1047" s="32" t="s">
        <v>100</v>
      </c>
      <c r="B1047" s="32" t="s">
        <v>2401</v>
      </c>
      <c r="C1047" s="35">
        <v>53.9944458</v>
      </c>
      <c r="D1047" s="35">
        <v>9.578611374</v>
      </c>
      <c r="E1047" s="32" t="s">
        <v>109</v>
      </c>
      <c r="F1047" s="32" t="s">
        <v>2402</v>
      </c>
      <c r="G1047" s="39" t="s">
        <v>110</v>
      </c>
      <c r="H1047" s="33"/>
      <c r="I1047" s="33"/>
      <c r="J1047" s="33"/>
      <c r="K1047" s="33"/>
      <c r="L1047" s="33"/>
      <c r="M1047" s="33"/>
    </row>
    <row r="1048">
      <c r="A1048" s="32" t="s">
        <v>100</v>
      </c>
      <c r="B1048" s="32" t="s">
        <v>2403</v>
      </c>
      <c r="C1048" s="35">
        <v>51.10309982</v>
      </c>
      <c r="D1048" s="35">
        <v>-114.3740005</v>
      </c>
      <c r="E1048" s="32" t="s">
        <v>94</v>
      </c>
      <c r="F1048" s="32" t="s">
        <v>2404</v>
      </c>
      <c r="G1048" s="36" t="e">
        <v>#N/A</v>
      </c>
      <c r="H1048" s="33"/>
      <c r="I1048" s="33"/>
      <c r="J1048" s="33"/>
      <c r="K1048" s="33"/>
      <c r="L1048" s="33"/>
      <c r="M1048" s="33"/>
    </row>
    <row r="1049">
      <c r="A1049" s="32" t="s">
        <v>100</v>
      </c>
      <c r="B1049" s="32" t="s">
        <v>2405</v>
      </c>
      <c r="C1049" s="35">
        <v>40.72880173</v>
      </c>
      <c r="D1049" s="35">
        <v>-73.41339874</v>
      </c>
      <c r="E1049" s="32" t="s">
        <v>180</v>
      </c>
      <c r="F1049" s="32" t="s">
        <v>2406</v>
      </c>
      <c r="G1049" s="39" t="s">
        <v>181</v>
      </c>
      <c r="H1049" s="33"/>
      <c r="I1049" s="33"/>
      <c r="J1049" s="33"/>
      <c r="K1049" s="33"/>
      <c r="L1049" s="33"/>
      <c r="M1049" s="33"/>
    </row>
    <row r="1050">
      <c r="A1050" s="32" t="s">
        <v>100</v>
      </c>
      <c r="B1050" s="32" t="s">
        <v>2407</v>
      </c>
      <c r="C1050" s="35">
        <v>51.3805542</v>
      </c>
      <c r="D1050" s="35">
        <v>11.44666672</v>
      </c>
      <c r="E1050" s="32" t="s">
        <v>109</v>
      </c>
      <c r="F1050" s="32" t="s">
        <v>2408</v>
      </c>
      <c r="G1050" s="39" t="s">
        <v>110</v>
      </c>
      <c r="H1050" s="33"/>
      <c r="I1050" s="33"/>
      <c r="J1050" s="33"/>
      <c r="K1050" s="33"/>
      <c r="L1050" s="33"/>
      <c r="M1050" s="33"/>
    </row>
    <row r="1051">
      <c r="A1051" s="32" t="s">
        <v>100</v>
      </c>
      <c r="B1051" s="32" t="s">
        <v>2409</v>
      </c>
      <c r="C1051" s="35">
        <v>-34.96666718</v>
      </c>
      <c r="D1051" s="35">
        <v>-71.21639252</v>
      </c>
      <c r="E1051" s="32" t="s">
        <v>300</v>
      </c>
      <c r="F1051" s="32" t="s">
        <v>2410</v>
      </c>
      <c r="G1051" s="36" t="e">
        <v>#N/A</v>
      </c>
      <c r="H1051" s="33"/>
      <c r="I1051" s="33"/>
      <c r="J1051" s="33"/>
      <c r="K1051" s="33"/>
      <c r="L1051" s="33"/>
      <c r="M1051" s="33"/>
    </row>
    <row r="1052">
      <c r="A1052" s="32" t="s">
        <v>100</v>
      </c>
      <c r="B1052" s="32" t="s">
        <v>2411</v>
      </c>
      <c r="C1052" s="35">
        <v>52.40250015</v>
      </c>
      <c r="D1052" s="35">
        <v>10.22888947</v>
      </c>
      <c r="E1052" s="32" t="s">
        <v>109</v>
      </c>
      <c r="F1052" s="32" t="s">
        <v>2412</v>
      </c>
      <c r="G1052" s="39" t="s">
        <v>110</v>
      </c>
      <c r="H1052" s="33"/>
      <c r="I1052" s="33"/>
      <c r="J1052" s="33"/>
      <c r="K1052" s="33"/>
      <c r="L1052" s="33"/>
      <c r="M1052" s="33"/>
    </row>
    <row r="1053">
      <c r="A1053" s="32" t="s">
        <v>100</v>
      </c>
      <c r="B1053" s="32" t="s">
        <v>2413</v>
      </c>
      <c r="C1053" s="35">
        <v>51.57555771</v>
      </c>
      <c r="D1053" s="35">
        <v>14.13694382</v>
      </c>
      <c r="E1053" s="32" t="s">
        <v>109</v>
      </c>
      <c r="F1053" s="32" t="s">
        <v>2414</v>
      </c>
      <c r="G1053" s="39" t="s">
        <v>110</v>
      </c>
      <c r="H1053" s="33"/>
      <c r="I1053" s="33"/>
      <c r="J1053" s="33"/>
      <c r="K1053" s="33"/>
      <c r="L1053" s="33"/>
      <c r="M1053" s="33"/>
    </row>
    <row r="1054">
      <c r="A1054" s="32" t="s">
        <v>100</v>
      </c>
      <c r="B1054" s="32" t="s">
        <v>2415</v>
      </c>
      <c r="C1054" s="35">
        <v>-26.29389954</v>
      </c>
      <c r="D1054" s="35">
        <v>-80.09619904</v>
      </c>
      <c r="E1054" s="32" t="s">
        <v>300</v>
      </c>
      <c r="F1054" s="32" t="s">
        <v>2416</v>
      </c>
      <c r="G1054" s="36" t="e">
        <v>#N/A</v>
      </c>
      <c r="H1054" s="33"/>
      <c r="I1054" s="33"/>
      <c r="J1054" s="33"/>
      <c r="K1054" s="33"/>
      <c r="L1054" s="33"/>
      <c r="M1054" s="33"/>
    </row>
    <row r="1055">
      <c r="A1055" s="32" t="s">
        <v>100</v>
      </c>
      <c r="B1055" s="32" t="s">
        <v>2417</v>
      </c>
      <c r="C1055" s="35">
        <v>22.51449966</v>
      </c>
      <c r="D1055" s="35">
        <v>53.96409988</v>
      </c>
      <c r="E1055" s="32" t="s">
        <v>223</v>
      </c>
      <c r="F1055" s="32" t="s">
        <v>2418</v>
      </c>
      <c r="G1055" s="36" t="e">
        <v>#N/A</v>
      </c>
      <c r="H1055" s="33"/>
      <c r="I1055" s="33"/>
      <c r="J1055" s="33"/>
      <c r="K1055" s="33"/>
      <c r="L1055" s="33"/>
      <c r="M1055" s="33"/>
    </row>
    <row r="1056">
      <c r="A1056" s="32" t="s">
        <v>100</v>
      </c>
      <c r="B1056" s="32" t="s">
        <v>2419</v>
      </c>
      <c r="C1056" s="35">
        <v>53.12833405</v>
      </c>
      <c r="D1056" s="35">
        <v>9.348610878</v>
      </c>
      <c r="E1056" s="32" t="s">
        <v>109</v>
      </c>
      <c r="F1056" s="32" t="s">
        <v>2420</v>
      </c>
      <c r="G1056" s="39" t="s">
        <v>110</v>
      </c>
      <c r="H1056" s="33"/>
      <c r="I1056" s="33"/>
      <c r="J1056" s="33"/>
      <c r="K1056" s="33"/>
      <c r="L1056" s="33"/>
      <c r="M1056" s="33"/>
    </row>
    <row r="1057">
      <c r="A1057" s="32" t="s">
        <v>100</v>
      </c>
      <c r="B1057" s="32" t="s">
        <v>2421</v>
      </c>
      <c r="C1057" s="35">
        <v>51.1241684</v>
      </c>
      <c r="D1057" s="35">
        <v>7.373610973</v>
      </c>
      <c r="E1057" s="32" t="s">
        <v>109</v>
      </c>
      <c r="F1057" s="32" t="s">
        <v>2422</v>
      </c>
      <c r="G1057" s="39" t="s">
        <v>110</v>
      </c>
      <c r="H1057" s="33"/>
      <c r="I1057" s="33"/>
      <c r="J1057" s="33"/>
      <c r="K1057" s="33"/>
      <c r="L1057" s="33"/>
      <c r="M1057" s="33"/>
    </row>
    <row r="1058">
      <c r="A1058" s="32" t="s">
        <v>100</v>
      </c>
      <c r="B1058" s="32" t="s">
        <v>2423</v>
      </c>
      <c r="C1058" s="35">
        <v>52.2863884</v>
      </c>
      <c r="D1058" s="35">
        <v>7.969721794</v>
      </c>
      <c r="E1058" s="32" t="s">
        <v>109</v>
      </c>
      <c r="F1058" s="32" t="s">
        <v>2424</v>
      </c>
      <c r="G1058" s="39" t="s">
        <v>110</v>
      </c>
      <c r="H1058" s="33"/>
      <c r="I1058" s="33"/>
      <c r="J1058" s="33"/>
      <c r="K1058" s="33"/>
      <c r="L1058" s="33"/>
      <c r="M1058" s="33"/>
    </row>
    <row r="1059">
      <c r="A1059" s="32" t="s">
        <v>100</v>
      </c>
      <c r="B1059" s="32" t="s">
        <v>2425</v>
      </c>
      <c r="C1059" s="35">
        <v>51.745834</v>
      </c>
      <c r="D1059" s="35">
        <v>11.229722</v>
      </c>
      <c r="E1059" s="32" t="s">
        <v>109</v>
      </c>
      <c r="F1059" s="32" t="s">
        <v>2426</v>
      </c>
      <c r="G1059" s="39" t="s">
        <v>110</v>
      </c>
      <c r="H1059" s="33"/>
      <c r="I1059" s="33"/>
      <c r="J1059" s="33"/>
      <c r="K1059" s="33"/>
      <c r="L1059" s="33"/>
      <c r="M1059" s="33"/>
    </row>
    <row r="1060">
      <c r="A1060" s="32" t="s">
        <v>100</v>
      </c>
      <c r="B1060" s="32" t="s">
        <v>2427</v>
      </c>
      <c r="C1060" s="35">
        <v>53.91500092</v>
      </c>
      <c r="D1060" s="35">
        <v>10.03555584</v>
      </c>
      <c r="E1060" s="32" t="s">
        <v>109</v>
      </c>
      <c r="F1060" s="32" t="s">
        <v>2428</v>
      </c>
      <c r="G1060" s="39" t="s">
        <v>110</v>
      </c>
      <c r="H1060" s="33"/>
      <c r="I1060" s="33"/>
      <c r="J1060" s="33"/>
      <c r="K1060" s="33"/>
      <c r="L1060" s="33"/>
      <c r="M1060" s="33"/>
    </row>
    <row r="1061">
      <c r="A1061" s="32" t="s">
        <v>100</v>
      </c>
      <c r="B1061" s="32" t="s">
        <v>2429</v>
      </c>
      <c r="C1061" s="35">
        <v>53.03610992</v>
      </c>
      <c r="D1061" s="35">
        <v>8.505556107</v>
      </c>
      <c r="E1061" s="32" t="s">
        <v>109</v>
      </c>
      <c r="F1061" s="32" t="s">
        <v>2430</v>
      </c>
      <c r="G1061" s="39" t="s">
        <v>110</v>
      </c>
      <c r="H1061" s="33"/>
      <c r="I1061" s="33"/>
      <c r="J1061" s="33"/>
      <c r="K1061" s="33"/>
      <c r="L1061" s="33"/>
      <c r="M1061" s="33"/>
    </row>
    <row r="1062">
      <c r="A1062" s="32" t="s">
        <v>100</v>
      </c>
      <c r="B1062" s="32" t="s">
        <v>2431</v>
      </c>
      <c r="C1062" s="35">
        <v>52.70972061</v>
      </c>
      <c r="D1062" s="35">
        <v>9.162500381</v>
      </c>
      <c r="E1062" s="32" t="s">
        <v>109</v>
      </c>
      <c r="F1062" s="32" t="s">
        <v>2432</v>
      </c>
      <c r="G1062" s="39" t="s">
        <v>110</v>
      </c>
      <c r="H1062" s="33"/>
      <c r="I1062" s="33"/>
      <c r="J1062" s="33"/>
      <c r="K1062" s="33"/>
      <c r="L1062" s="33"/>
      <c r="M1062" s="33"/>
    </row>
    <row r="1063">
      <c r="A1063" s="32" t="s">
        <v>100</v>
      </c>
      <c r="B1063" s="32" t="s">
        <v>2433</v>
      </c>
      <c r="C1063" s="35">
        <v>52.48749924</v>
      </c>
      <c r="D1063" s="35">
        <v>8.185556412</v>
      </c>
      <c r="E1063" s="32" t="s">
        <v>109</v>
      </c>
      <c r="F1063" s="32" t="s">
        <v>2434</v>
      </c>
      <c r="G1063" s="39" t="s">
        <v>110</v>
      </c>
      <c r="H1063" s="33"/>
      <c r="I1063" s="33"/>
      <c r="J1063" s="33"/>
      <c r="K1063" s="33"/>
      <c r="L1063" s="33"/>
      <c r="M1063" s="33"/>
    </row>
    <row r="1064">
      <c r="A1064" s="32" t="s">
        <v>100</v>
      </c>
      <c r="B1064" s="32" t="s">
        <v>2435</v>
      </c>
      <c r="C1064" s="35">
        <v>51.77999878</v>
      </c>
      <c r="D1064" s="35">
        <v>7.288055897</v>
      </c>
      <c r="E1064" s="32" t="s">
        <v>109</v>
      </c>
      <c r="F1064" s="32" t="s">
        <v>2436</v>
      </c>
      <c r="G1064" s="39" t="s">
        <v>110</v>
      </c>
      <c r="H1064" s="33"/>
      <c r="I1064" s="33"/>
      <c r="J1064" s="33"/>
      <c r="K1064" s="33"/>
      <c r="L1064" s="33"/>
      <c r="M1064" s="33"/>
    </row>
    <row r="1065">
      <c r="A1065" s="32" t="s">
        <v>100</v>
      </c>
      <c r="B1065" s="32" t="s">
        <v>2437</v>
      </c>
      <c r="C1065" s="35">
        <v>51.26777649</v>
      </c>
      <c r="D1065" s="35">
        <v>10.63472176</v>
      </c>
      <c r="E1065" s="32" t="s">
        <v>109</v>
      </c>
      <c r="F1065" s="32" t="s">
        <v>2438</v>
      </c>
      <c r="G1065" s="39" t="s">
        <v>110</v>
      </c>
      <c r="H1065" s="33"/>
      <c r="I1065" s="33"/>
      <c r="J1065" s="33"/>
      <c r="K1065" s="33"/>
      <c r="L1065" s="33"/>
      <c r="M1065" s="33"/>
    </row>
    <row r="1066">
      <c r="A1066" s="32" t="s">
        <v>100</v>
      </c>
      <c r="B1066" s="32" t="s">
        <v>2439</v>
      </c>
      <c r="C1066" s="35">
        <v>52.76111221</v>
      </c>
      <c r="D1066" s="35">
        <v>9.605555534</v>
      </c>
      <c r="E1066" s="32" t="s">
        <v>109</v>
      </c>
      <c r="F1066" s="32" t="s">
        <v>2440</v>
      </c>
      <c r="G1066" s="39" t="s">
        <v>110</v>
      </c>
      <c r="H1066" s="33"/>
      <c r="I1066" s="33"/>
      <c r="J1066" s="33"/>
      <c r="K1066" s="33"/>
      <c r="L1066" s="33"/>
      <c r="M1066" s="33"/>
    </row>
    <row r="1067">
      <c r="A1067" s="32" t="s">
        <v>100</v>
      </c>
      <c r="B1067" s="32" t="s">
        <v>2441</v>
      </c>
      <c r="C1067" s="35">
        <v>54.2444458</v>
      </c>
      <c r="D1067" s="35">
        <v>11.0247221</v>
      </c>
      <c r="E1067" s="32" t="s">
        <v>109</v>
      </c>
      <c r="F1067" s="32" t="s">
        <v>2442</v>
      </c>
      <c r="G1067" s="39" t="s">
        <v>110</v>
      </c>
      <c r="H1067" s="33"/>
      <c r="I1067" s="33"/>
      <c r="J1067" s="33"/>
      <c r="K1067" s="33"/>
      <c r="L1067" s="33"/>
      <c r="M1067" s="33"/>
    </row>
    <row r="1068">
      <c r="A1068" s="32" t="s">
        <v>100</v>
      </c>
      <c r="B1068" s="32" t="s">
        <v>2443</v>
      </c>
      <c r="C1068" s="35">
        <v>54.92969894</v>
      </c>
      <c r="D1068" s="35">
        <v>8.84057045</v>
      </c>
      <c r="E1068" s="32" t="s">
        <v>533</v>
      </c>
      <c r="F1068" s="32" t="s">
        <v>2444</v>
      </c>
      <c r="G1068" s="36" t="e">
        <v>#N/A</v>
      </c>
      <c r="H1068" s="33"/>
      <c r="I1068" s="33"/>
      <c r="J1068" s="33"/>
      <c r="K1068" s="33"/>
      <c r="L1068" s="33"/>
      <c r="M1068" s="33"/>
    </row>
    <row r="1069">
      <c r="A1069" s="32" t="s">
        <v>100</v>
      </c>
      <c r="B1069" s="32" t="s">
        <v>2445</v>
      </c>
      <c r="C1069" s="35">
        <v>52.68722153</v>
      </c>
      <c r="D1069" s="35">
        <v>10.11138916</v>
      </c>
      <c r="E1069" s="32" t="s">
        <v>109</v>
      </c>
      <c r="F1069" s="32" t="s">
        <v>2446</v>
      </c>
      <c r="G1069" s="39" t="s">
        <v>110</v>
      </c>
      <c r="H1069" s="33"/>
      <c r="I1069" s="33"/>
      <c r="J1069" s="33"/>
      <c r="K1069" s="33"/>
      <c r="L1069" s="33"/>
      <c r="M1069" s="33"/>
    </row>
    <row r="1070">
      <c r="A1070" s="32" t="s">
        <v>100</v>
      </c>
      <c r="B1070" s="32" t="s">
        <v>2447</v>
      </c>
      <c r="C1070" s="35">
        <v>52.98389053</v>
      </c>
      <c r="D1070" s="35">
        <v>10.46500015</v>
      </c>
      <c r="E1070" s="32" t="s">
        <v>109</v>
      </c>
      <c r="F1070" s="32" t="s">
        <v>2448</v>
      </c>
      <c r="G1070" s="39" t="s">
        <v>110</v>
      </c>
      <c r="H1070" s="33"/>
      <c r="I1070" s="33"/>
      <c r="J1070" s="33"/>
      <c r="K1070" s="33"/>
      <c r="L1070" s="33"/>
      <c r="M1070" s="33"/>
    </row>
    <row r="1071">
      <c r="A1071" s="32" t="s">
        <v>100</v>
      </c>
      <c r="B1071" s="32" t="s">
        <v>2449</v>
      </c>
      <c r="C1071" s="35">
        <v>51.68972015</v>
      </c>
      <c r="D1071" s="35">
        <v>7.816111088</v>
      </c>
      <c r="E1071" s="32" t="s">
        <v>109</v>
      </c>
      <c r="F1071" s="32" t="s">
        <v>2450</v>
      </c>
      <c r="G1071" s="39" t="s">
        <v>110</v>
      </c>
      <c r="H1071" s="33"/>
      <c r="I1071" s="33"/>
      <c r="J1071" s="33"/>
      <c r="K1071" s="33"/>
      <c r="L1071" s="33"/>
      <c r="M1071" s="33"/>
    </row>
    <row r="1072">
      <c r="A1072" s="32" t="s">
        <v>100</v>
      </c>
      <c r="B1072" s="32" t="s">
        <v>2451</v>
      </c>
      <c r="C1072" s="35">
        <v>52.14110947</v>
      </c>
      <c r="D1072" s="35">
        <v>12.66472244</v>
      </c>
      <c r="E1072" s="32" t="s">
        <v>109</v>
      </c>
      <c r="F1072" s="32" t="s">
        <v>2452</v>
      </c>
      <c r="G1072" s="39" t="s">
        <v>110</v>
      </c>
      <c r="H1072" s="33"/>
      <c r="I1072" s="33"/>
      <c r="J1072" s="33"/>
      <c r="K1072" s="33"/>
      <c r="L1072" s="33"/>
      <c r="M1072" s="33"/>
    </row>
    <row r="1073">
      <c r="A1073" s="32" t="s">
        <v>100</v>
      </c>
      <c r="B1073" s="32" t="s">
        <v>2453</v>
      </c>
      <c r="C1073" s="35">
        <v>52.22083282</v>
      </c>
      <c r="D1073" s="35">
        <v>8.859167099</v>
      </c>
      <c r="E1073" s="32" t="s">
        <v>109</v>
      </c>
      <c r="F1073" s="32" t="s">
        <v>2454</v>
      </c>
      <c r="G1073" s="39" t="s">
        <v>110</v>
      </c>
      <c r="H1073" s="33"/>
      <c r="I1073" s="33"/>
      <c r="J1073" s="33"/>
      <c r="K1073" s="33"/>
      <c r="L1073" s="33"/>
      <c r="M1073" s="33"/>
    </row>
    <row r="1074">
      <c r="A1074" s="32" t="s">
        <v>100</v>
      </c>
      <c r="B1074" s="32" t="s">
        <v>2455</v>
      </c>
      <c r="C1074" s="35">
        <v>51.40250015</v>
      </c>
      <c r="D1074" s="35">
        <v>8.641667366</v>
      </c>
      <c r="E1074" s="32" t="s">
        <v>109</v>
      </c>
      <c r="F1074" s="32" t="s">
        <v>2456</v>
      </c>
      <c r="G1074" s="39" t="s">
        <v>110</v>
      </c>
      <c r="H1074" s="33"/>
      <c r="I1074" s="33"/>
      <c r="J1074" s="33"/>
      <c r="K1074" s="33"/>
      <c r="L1074" s="33"/>
      <c r="M1074" s="33"/>
    </row>
    <row r="1075">
      <c r="A1075" s="32" t="s">
        <v>100</v>
      </c>
      <c r="B1075" s="32" t="s">
        <v>2457</v>
      </c>
      <c r="C1075" s="35">
        <v>51.96666718</v>
      </c>
      <c r="D1075" s="35">
        <v>9.291666985</v>
      </c>
      <c r="E1075" s="32" t="s">
        <v>109</v>
      </c>
      <c r="F1075" s="32" t="s">
        <v>2458</v>
      </c>
      <c r="G1075" s="39" t="s">
        <v>110</v>
      </c>
      <c r="H1075" s="33"/>
      <c r="I1075" s="33"/>
      <c r="J1075" s="33"/>
      <c r="K1075" s="33"/>
      <c r="L1075" s="33"/>
      <c r="M1075" s="33"/>
    </row>
    <row r="1076">
      <c r="A1076" s="32" t="s">
        <v>100</v>
      </c>
      <c r="B1076" s="32" t="s">
        <v>2459</v>
      </c>
      <c r="C1076" s="35">
        <v>53.767223</v>
      </c>
      <c r="D1076" s="35">
        <v>8.643611</v>
      </c>
      <c r="E1076" s="32" t="s">
        <v>109</v>
      </c>
      <c r="F1076" s="32" t="s">
        <v>2460</v>
      </c>
      <c r="G1076" s="39" t="s">
        <v>110</v>
      </c>
      <c r="H1076" s="33"/>
      <c r="I1076" s="33"/>
      <c r="J1076" s="33"/>
      <c r="K1076" s="33"/>
      <c r="L1076" s="33"/>
      <c r="M1076" s="33"/>
    </row>
    <row r="1077">
      <c r="A1077" s="32" t="s">
        <v>100</v>
      </c>
      <c r="B1077" s="32" t="s">
        <v>2461</v>
      </c>
      <c r="C1077" s="35">
        <v>51.7211113</v>
      </c>
      <c r="D1077" s="35">
        <v>11.95277786</v>
      </c>
      <c r="E1077" s="32" t="s">
        <v>109</v>
      </c>
      <c r="F1077" s="32" t="s">
        <v>2462</v>
      </c>
      <c r="G1077" s="39" t="s">
        <v>110</v>
      </c>
      <c r="H1077" s="33"/>
      <c r="I1077" s="33"/>
      <c r="J1077" s="33"/>
      <c r="K1077" s="33"/>
      <c r="L1077" s="33"/>
      <c r="M1077" s="33"/>
    </row>
    <row r="1078">
      <c r="A1078" s="32" t="s">
        <v>100</v>
      </c>
      <c r="B1078" s="32" t="s">
        <v>2463</v>
      </c>
      <c r="C1078" s="35">
        <v>53.97805786</v>
      </c>
      <c r="D1078" s="35">
        <v>9.144721985</v>
      </c>
      <c r="E1078" s="32" t="s">
        <v>109</v>
      </c>
      <c r="F1078" s="32" t="s">
        <v>2464</v>
      </c>
      <c r="G1078" s="39" t="s">
        <v>110</v>
      </c>
      <c r="H1078" s="33"/>
      <c r="I1078" s="33"/>
      <c r="J1078" s="33"/>
      <c r="K1078" s="33"/>
      <c r="L1078" s="33"/>
      <c r="M1078" s="33"/>
    </row>
    <row r="1079">
      <c r="A1079" s="32" t="s">
        <v>100</v>
      </c>
      <c r="B1079" s="32" t="s">
        <v>2465</v>
      </c>
      <c r="C1079" s="35">
        <v>52.15444565</v>
      </c>
      <c r="D1079" s="35">
        <v>10.42666721</v>
      </c>
      <c r="E1079" s="32" t="s">
        <v>109</v>
      </c>
      <c r="F1079" s="32" t="s">
        <v>2466</v>
      </c>
      <c r="G1079" s="39" t="s">
        <v>110</v>
      </c>
      <c r="H1079" s="33"/>
      <c r="I1079" s="33"/>
      <c r="J1079" s="33"/>
      <c r="K1079" s="33"/>
      <c r="L1079" s="33"/>
      <c r="M1079" s="33"/>
    </row>
    <row r="1080">
      <c r="A1080" s="32" t="s">
        <v>100</v>
      </c>
      <c r="B1080" s="32" t="s">
        <v>2467</v>
      </c>
      <c r="C1080" s="35">
        <v>53.33277893</v>
      </c>
      <c r="D1080" s="35">
        <v>9.02833271</v>
      </c>
      <c r="E1080" s="32" t="s">
        <v>109</v>
      </c>
      <c r="F1080" s="32" t="s">
        <v>2468</v>
      </c>
      <c r="G1080" s="39" t="s">
        <v>110</v>
      </c>
      <c r="H1080" s="33"/>
      <c r="I1080" s="33"/>
      <c r="J1080" s="33"/>
      <c r="K1080" s="33"/>
      <c r="L1080" s="33"/>
      <c r="M1080" s="33"/>
    </row>
    <row r="1081">
      <c r="A1081" s="32" t="s">
        <v>100</v>
      </c>
      <c r="B1081" s="32" t="s">
        <v>2469</v>
      </c>
      <c r="C1081" s="35">
        <v>53.06888962</v>
      </c>
      <c r="D1081" s="35">
        <v>8.313611031</v>
      </c>
      <c r="E1081" s="32" t="s">
        <v>109</v>
      </c>
      <c r="F1081" s="32" t="s">
        <v>2470</v>
      </c>
      <c r="G1081" s="39" t="s">
        <v>110</v>
      </c>
      <c r="H1081" s="33"/>
      <c r="I1081" s="33"/>
      <c r="J1081" s="33"/>
      <c r="K1081" s="33"/>
      <c r="L1081" s="33"/>
      <c r="M1081" s="33"/>
    </row>
    <row r="1082">
      <c r="A1082" s="32" t="s">
        <v>100</v>
      </c>
      <c r="B1082" s="32" t="s">
        <v>2471</v>
      </c>
      <c r="C1082" s="35">
        <v>52.17527771</v>
      </c>
      <c r="D1082" s="35">
        <v>9.053333282</v>
      </c>
      <c r="E1082" s="32" t="s">
        <v>109</v>
      </c>
      <c r="F1082" s="32" t="s">
        <v>2472</v>
      </c>
      <c r="G1082" s="39" t="s">
        <v>110</v>
      </c>
      <c r="H1082" s="33"/>
      <c r="I1082" s="33"/>
      <c r="J1082" s="33"/>
      <c r="K1082" s="33"/>
      <c r="L1082" s="33"/>
      <c r="M1082" s="33"/>
    </row>
    <row r="1083">
      <c r="A1083" s="32" t="s">
        <v>100</v>
      </c>
      <c r="B1083" s="32" t="s">
        <v>2473</v>
      </c>
      <c r="C1083" s="35">
        <v>51.94444275</v>
      </c>
      <c r="D1083" s="35">
        <v>7.773889065</v>
      </c>
      <c r="E1083" s="32" t="s">
        <v>109</v>
      </c>
      <c r="F1083" s="32" t="s">
        <v>2474</v>
      </c>
      <c r="G1083" s="39" t="s">
        <v>110</v>
      </c>
      <c r="H1083" s="33"/>
      <c r="I1083" s="33"/>
      <c r="J1083" s="33"/>
      <c r="K1083" s="33"/>
      <c r="L1083" s="33"/>
      <c r="M1083" s="33"/>
    </row>
    <row r="1084">
      <c r="A1084" s="32" t="s">
        <v>100</v>
      </c>
      <c r="B1084" s="32" t="s">
        <v>2475</v>
      </c>
      <c r="C1084" s="35">
        <v>53.01610947</v>
      </c>
      <c r="D1084" s="35">
        <v>11.14444447</v>
      </c>
      <c r="E1084" s="32" t="s">
        <v>109</v>
      </c>
      <c r="F1084" s="32" t="s">
        <v>2476</v>
      </c>
      <c r="G1084" s="39" t="s">
        <v>110</v>
      </c>
      <c r="H1084" s="33"/>
      <c r="I1084" s="33"/>
      <c r="J1084" s="33"/>
      <c r="K1084" s="33"/>
      <c r="L1084" s="33"/>
      <c r="M1084" s="33"/>
    </row>
    <row r="1085">
      <c r="A1085" s="32" t="s">
        <v>100</v>
      </c>
      <c r="B1085" s="32" t="s">
        <v>2477</v>
      </c>
      <c r="C1085" s="35">
        <v>52.70944214</v>
      </c>
      <c r="D1085" s="35">
        <v>12.07333279</v>
      </c>
      <c r="E1085" s="32" t="s">
        <v>109</v>
      </c>
      <c r="F1085" s="32" t="s">
        <v>2478</v>
      </c>
      <c r="G1085" s="39" t="s">
        <v>110</v>
      </c>
      <c r="H1085" s="33"/>
      <c r="I1085" s="33"/>
      <c r="J1085" s="33"/>
      <c r="K1085" s="33"/>
      <c r="L1085" s="33"/>
      <c r="M1085" s="33"/>
    </row>
    <row r="1086">
      <c r="A1086" s="32" t="s">
        <v>100</v>
      </c>
      <c r="B1086" s="32" t="s">
        <v>2479</v>
      </c>
      <c r="C1086" s="35">
        <v>52.2416687</v>
      </c>
      <c r="D1086" s="35">
        <v>11.85611057</v>
      </c>
      <c r="E1086" s="32" t="s">
        <v>109</v>
      </c>
      <c r="F1086" s="32" t="s">
        <v>2480</v>
      </c>
      <c r="G1086" s="39" t="s">
        <v>110</v>
      </c>
      <c r="H1086" s="33"/>
      <c r="I1086" s="33"/>
      <c r="J1086" s="33"/>
      <c r="K1086" s="33"/>
      <c r="L1086" s="33"/>
      <c r="M1086" s="33"/>
    </row>
    <row r="1087">
      <c r="A1087" s="32" t="s">
        <v>100</v>
      </c>
      <c r="B1087" s="32" t="s">
        <v>2481</v>
      </c>
      <c r="C1087" s="35">
        <v>50.5577774</v>
      </c>
      <c r="D1087" s="35">
        <v>7.136388779</v>
      </c>
      <c r="E1087" s="32" t="s">
        <v>109</v>
      </c>
      <c r="F1087" s="32" t="s">
        <v>2482</v>
      </c>
      <c r="G1087" s="39" t="s">
        <v>110</v>
      </c>
      <c r="H1087" s="33"/>
      <c r="I1087" s="33"/>
      <c r="J1087" s="33"/>
      <c r="K1087" s="33"/>
      <c r="L1087" s="33"/>
      <c r="M1087" s="33"/>
    </row>
    <row r="1088">
      <c r="A1088" s="32" t="s">
        <v>100</v>
      </c>
      <c r="B1088" s="32" t="s">
        <v>2483</v>
      </c>
      <c r="C1088" s="35">
        <v>49.47305679</v>
      </c>
      <c r="D1088" s="35">
        <v>8.196389198</v>
      </c>
      <c r="E1088" s="32" t="s">
        <v>109</v>
      </c>
      <c r="F1088" s="32" t="s">
        <v>2484</v>
      </c>
      <c r="G1088" s="39" t="s">
        <v>110</v>
      </c>
      <c r="H1088" s="33"/>
      <c r="I1088" s="33"/>
      <c r="J1088" s="33"/>
      <c r="K1088" s="33"/>
      <c r="L1088" s="33"/>
      <c r="M1088" s="33"/>
    </row>
    <row r="1089">
      <c r="A1089" s="32" t="s">
        <v>100</v>
      </c>
      <c r="B1089" s="32" t="s">
        <v>2485</v>
      </c>
      <c r="C1089" s="35">
        <v>40.71260071</v>
      </c>
      <c r="D1089" s="35">
        <v>-73.99960327</v>
      </c>
      <c r="E1089" s="32" t="s">
        <v>180</v>
      </c>
      <c r="F1089" s="32" t="s">
        <v>2486</v>
      </c>
      <c r="G1089" s="39" t="s">
        <v>181</v>
      </c>
      <c r="H1089" s="33"/>
      <c r="I1089" s="33"/>
      <c r="J1089" s="33"/>
      <c r="K1089" s="33"/>
      <c r="L1089" s="33"/>
      <c r="M1089" s="33"/>
    </row>
    <row r="1090">
      <c r="A1090" s="32" t="s">
        <v>100</v>
      </c>
      <c r="B1090" s="32" t="s">
        <v>2487</v>
      </c>
      <c r="C1090" s="35">
        <v>51.01527786</v>
      </c>
      <c r="D1090" s="35">
        <v>7.005556107</v>
      </c>
      <c r="E1090" s="32" t="s">
        <v>109</v>
      </c>
      <c r="F1090" s="32" t="s">
        <v>2488</v>
      </c>
      <c r="G1090" s="39" t="s">
        <v>110</v>
      </c>
      <c r="H1090" s="33"/>
      <c r="I1090" s="33"/>
      <c r="J1090" s="33"/>
      <c r="K1090" s="33"/>
      <c r="L1090" s="33"/>
      <c r="M1090" s="33"/>
    </row>
    <row r="1091">
      <c r="A1091" s="32" t="s">
        <v>100</v>
      </c>
      <c r="B1091" s="32" t="s">
        <v>2489</v>
      </c>
      <c r="C1091" s="35">
        <v>50.45138931</v>
      </c>
      <c r="D1091" s="35">
        <v>6.783332825</v>
      </c>
      <c r="E1091" s="32" t="s">
        <v>109</v>
      </c>
      <c r="F1091" s="32" t="s">
        <v>2490</v>
      </c>
      <c r="G1091" s="39" t="s">
        <v>110</v>
      </c>
      <c r="H1091" s="33"/>
      <c r="I1091" s="33"/>
      <c r="J1091" s="33"/>
      <c r="K1091" s="33"/>
      <c r="L1091" s="33"/>
      <c r="M1091" s="33"/>
    </row>
    <row r="1092">
      <c r="A1092" s="32" t="s">
        <v>100</v>
      </c>
      <c r="B1092" s="32" t="s">
        <v>2491</v>
      </c>
      <c r="C1092" s="35">
        <v>23.08300018</v>
      </c>
      <c r="D1092" s="35">
        <v>97.38300323</v>
      </c>
      <c r="E1092" s="32" t="s">
        <v>1918</v>
      </c>
      <c r="F1092" s="32" t="s">
        <v>2492</v>
      </c>
      <c r="G1092" s="36" t="e">
        <v>#N/A</v>
      </c>
      <c r="H1092" s="33"/>
      <c r="I1092" s="33"/>
      <c r="J1092" s="33"/>
      <c r="K1092" s="33"/>
      <c r="L1092" s="33"/>
      <c r="M1092" s="33"/>
    </row>
    <row r="1093">
      <c r="A1093" s="32" t="s">
        <v>100</v>
      </c>
      <c r="B1093" s="32" t="s">
        <v>2493</v>
      </c>
      <c r="C1093" s="35">
        <v>44.09479904</v>
      </c>
      <c r="D1093" s="35">
        <v>-121.2009964</v>
      </c>
      <c r="E1093" s="32" t="s">
        <v>180</v>
      </c>
      <c r="F1093" s="32" t="s">
        <v>2494</v>
      </c>
      <c r="G1093" s="39" t="s">
        <v>181</v>
      </c>
      <c r="H1093" s="33"/>
      <c r="I1093" s="33"/>
      <c r="J1093" s="33"/>
      <c r="K1093" s="33"/>
      <c r="L1093" s="33"/>
      <c r="M1093" s="33"/>
    </row>
    <row r="1094">
      <c r="A1094" s="32" t="s">
        <v>100</v>
      </c>
      <c r="B1094" s="32" t="s">
        <v>2495</v>
      </c>
      <c r="C1094" s="35">
        <v>43.23649979</v>
      </c>
      <c r="D1094" s="35">
        <v>-120.6660004</v>
      </c>
      <c r="E1094" s="32" t="s">
        <v>180</v>
      </c>
      <c r="F1094" s="32" t="s">
        <v>2496</v>
      </c>
      <c r="G1094" s="39" t="s">
        <v>181</v>
      </c>
      <c r="H1094" s="33"/>
      <c r="I1094" s="33"/>
      <c r="J1094" s="33"/>
      <c r="K1094" s="33"/>
      <c r="L1094" s="33"/>
      <c r="M1094" s="33"/>
    </row>
    <row r="1095">
      <c r="A1095" s="32" t="s">
        <v>100</v>
      </c>
      <c r="B1095" s="32" t="s">
        <v>2497</v>
      </c>
      <c r="C1095" s="35">
        <v>43.59189987</v>
      </c>
      <c r="D1095" s="35">
        <v>-118.9550018</v>
      </c>
      <c r="E1095" s="32" t="s">
        <v>180</v>
      </c>
      <c r="F1095" s="32" t="s">
        <v>2498</v>
      </c>
      <c r="G1095" s="39" t="s">
        <v>181</v>
      </c>
      <c r="H1095" s="33"/>
      <c r="I1095" s="33"/>
      <c r="J1095" s="33"/>
      <c r="K1095" s="33"/>
      <c r="L1095" s="33"/>
      <c r="M1095" s="33"/>
    </row>
    <row r="1096">
      <c r="A1096" s="32" t="s">
        <v>100</v>
      </c>
      <c r="B1096" s="32" t="s">
        <v>2499</v>
      </c>
      <c r="C1096" s="35">
        <v>44.28699875</v>
      </c>
      <c r="D1096" s="35">
        <v>-120.9039993</v>
      </c>
      <c r="E1096" s="32" t="s">
        <v>180</v>
      </c>
      <c r="F1096" s="32" t="s">
        <v>2500</v>
      </c>
      <c r="G1096" s="39" t="s">
        <v>181</v>
      </c>
      <c r="H1096" s="33"/>
      <c r="I1096" s="33"/>
      <c r="J1096" s="33"/>
      <c r="K1096" s="33"/>
      <c r="L1096" s="33"/>
      <c r="M1096" s="33"/>
    </row>
    <row r="1097">
      <c r="A1097" s="32" t="s">
        <v>100</v>
      </c>
      <c r="B1097" s="32" t="s">
        <v>2501</v>
      </c>
      <c r="C1097" s="35">
        <v>40.15069962</v>
      </c>
      <c r="D1097" s="35">
        <v>-122.2519989</v>
      </c>
      <c r="E1097" s="32" t="s">
        <v>180</v>
      </c>
      <c r="F1097" s="32" t="s">
        <v>2502</v>
      </c>
      <c r="G1097" s="39" t="s">
        <v>181</v>
      </c>
      <c r="H1097" s="33"/>
      <c r="I1097" s="33"/>
      <c r="J1097" s="33"/>
      <c r="K1097" s="33"/>
      <c r="L1097" s="33"/>
      <c r="M1097" s="33"/>
    </row>
    <row r="1098">
      <c r="A1098" s="32" t="s">
        <v>100</v>
      </c>
      <c r="B1098" s="32" t="s">
        <v>2503</v>
      </c>
      <c r="C1098" s="35">
        <v>38.14360046</v>
      </c>
      <c r="D1098" s="35">
        <v>-122.5559998</v>
      </c>
      <c r="E1098" s="32" t="s">
        <v>180</v>
      </c>
      <c r="F1098" s="32" t="s">
        <v>2504</v>
      </c>
      <c r="G1098" s="39" t="s">
        <v>181</v>
      </c>
      <c r="H1098" s="33"/>
      <c r="I1098" s="33"/>
      <c r="J1098" s="33"/>
      <c r="K1098" s="33"/>
      <c r="L1098" s="33"/>
      <c r="M1098" s="33"/>
    </row>
    <row r="1099">
      <c r="A1099" s="32" t="s">
        <v>100</v>
      </c>
      <c r="B1099" s="32" t="s">
        <v>2505</v>
      </c>
      <c r="C1099" s="35">
        <v>42.16109848</v>
      </c>
      <c r="D1099" s="35">
        <v>-120.3990021</v>
      </c>
      <c r="E1099" s="32" t="s">
        <v>180</v>
      </c>
      <c r="F1099" s="32" t="s">
        <v>2506</v>
      </c>
      <c r="G1099" s="39" t="s">
        <v>181</v>
      </c>
      <c r="H1099" s="33"/>
      <c r="I1099" s="33"/>
      <c r="J1099" s="33"/>
      <c r="K1099" s="33"/>
      <c r="L1099" s="33"/>
      <c r="M1099" s="33"/>
    </row>
    <row r="1100">
      <c r="A1100" s="32" t="s">
        <v>100</v>
      </c>
      <c r="B1100" s="32" t="s">
        <v>2507</v>
      </c>
      <c r="C1100" s="35">
        <v>45.41820145</v>
      </c>
      <c r="D1100" s="35">
        <v>-123.814003</v>
      </c>
      <c r="E1100" s="32" t="s">
        <v>180</v>
      </c>
      <c r="F1100" s="32" t="s">
        <v>2508</v>
      </c>
      <c r="G1100" s="39" t="s">
        <v>181</v>
      </c>
      <c r="H1100" s="33"/>
      <c r="I1100" s="33"/>
      <c r="J1100" s="33"/>
      <c r="K1100" s="33"/>
      <c r="L1100" s="33"/>
      <c r="M1100" s="33"/>
    </row>
    <row r="1101">
      <c r="A1101" s="32" t="s">
        <v>100</v>
      </c>
      <c r="B1101" s="32" t="s">
        <v>2509</v>
      </c>
      <c r="C1101" s="35">
        <v>44.02050018</v>
      </c>
      <c r="D1101" s="35">
        <v>-117.0139999</v>
      </c>
      <c r="E1101" s="32" t="s">
        <v>180</v>
      </c>
      <c r="F1101" s="32" t="s">
        <v>2510</v>
      </c>
      <c r="G1101" s="39" t="s">
        <v>181</v>
      </c>
      <c r="H1101" s="33"/>
      <c r="I1101" s="33"/>
      <c r="J1101" s="33"/>
      <c r="K1101" s="33"/>
      <c r="L1101" s="33"/>
      <c r="M1101" s="33"/>
    </row>
    <row r="1102">
      <c r="A1102" s="32" t="s">
        <v>100</v>
      </c>
      <c r="B1102" s="32" t="s">
        <v>2511</v>
      </c>
      <c r="C1102" s="35">
        <v>45.61849976</v>
      </c>
      <c r="D1102" s="35">
        <v>-121.1669998</v>
      </c>
      <c r="E1102" s="32" t="s">
        <v>180</v>
      </c>
      <c r="F1102" s="32" t="s">
        <v>2512</v>
      </c>
      <c r="G1102" s="39" t="s">
        <v>181</v>
      </c>
      <c r="H1102" s="33"/>
      <c r="I1102" s="33"/>
      <c r="J1102" s="33"/>
      <c r="K1102" s="33"/>
      <c r="L1102" s="33"/>
      <c r="M1102" s="33"/>
    </row>
    <row r="1103">
      <c r="A1103" s="32" t="s">
        <v>100</v>
      </c>
      <c r="B1103" s="32" t="s">
        <v>2513</v>
      </c>
      <c r="C1103" s="35">
        <v>62.10210037</v>
      </c>
      <c r="D1103" s="35">
        <v>-7.6459198</v>
      </c>
      <c r="E1103" s="32" t="s">
        <v>2514</v>
      </c>
      <c r="F1103" s="32" t="s">
        <v>2515</v>
      </c>
      <c r="G1103" s="36" t="e">
        <v>#N/A</v>
      </c>
      <c r="H1103" s="33"/>
      <c r="I1103" s="33"/>
      <c r="J1103" s="33"/>
      <c r="K1103" s="33"/>
      <c r="L1103" s="33"/>
      <c r="M1103" s="33"/>
    </row>
    <row r="1104">
      <c r="A1104" s="32" t="s">
        <v>100</v>
      </c>
      <c r="B1104" s="32" t="s">
        <v>2516</v>
      </c>
      <c r="C1104" s="35">
        <v>51.55469894</v>
      </c>
      <c r="D1104" s="35">
        <v>4.552499771</v>
      </c>
      <c r="E1104" s="32" t="s">
        <v>127</v>
      </c>
      <c r="F1104" s="32" t="s">
        <v>2517</v>
      </c>
      <c r="G1104" s="39" t="s">
        <v>128</v>
      </c>
      <c r="H1104" s="33"/>
      <c r="I1104" s="33"/>
      <c r="J1104" s="33"/>
      <c r="K1104" s="33"/>
      <c r="L1104" s="33"/>
      <c r="M1104" s="33"/>
    </row>
    <row r="1105">
      <c r="A1105" s="32" t="s">
        <v>100</v>
      </c>
      <c r="B1105" s="32" t="s">
        <v>2518</v>
      </c>
      <c r="C1105" s="35">
        <v>46.49739838</v>
      </c>
      <c r="D1105" s="35">
        <v>7.41257</v>
      </c>
      <c r="E1105" s="32" t="s">
        <v>1180</v>
      </c>
      <c r="F1105" s="32" t="s">
        <v>2519</v>
      </c>
      <c r="G1105" s="36" t="e">
        <v>#N/A</v>
      </c>
      <c r="H1105" s="33"/>
      <c r="I1105" s="33"/>
      <c r="J1105" s="33"/>
      <c r="K1105" s="33"/>
      <c r="L1105" s="33"/>
      <c r="M1105" s="33"/>
    </row>
    <row r="1106">
      <c r="A1106" s="32" t="s">
        <v>100</v>
      </c>
      <c r="B1106" s="32" t="s">
        <v>2520</v>
      </c>
      <c r="C1106" s="35">
        <v>45.814701</v>
      </c>
      <c r="D1106" s="35">
        <v>9.06972</v>
      </c>
      <c r="E1106" s="32" t="s">
        <v>103</v>
      </c>
      <c r="F1106" s="32" t="s">
        <v>2521</v>
      </c>
      <c r="G1106" s="39" t="s">
        <v>104</v>
      </c>
      <c r="H1106" s="33"/>
      <c r="I1106" s="33"/>
      <c r="J1106" s="33"/>
      <c r="K1106" s="33"/>
      <c r="L1106" s="33"/>
      <c r="M1106" s="33"/>
    </row>
    <row r="1107">
      <c r="A1107" s="32" t="s">
        <v>100</v>
      </c>
      <c r="B1107" s="32" t="s">
        <v>2522</v>
      </c>
      <c r="C1107" s="35">
        <v>50.25970078</v>
      </c>
      <c r="D1107" s="35">
        <v>-60.6794014</v>
      </c>
      <c r="E1107" s="32" t="s">
        <v>94</v>
      </c>
      <c r="F1107" s="32" t="s">
        <v>2523</v>
      </c>
      <c r="G1107" s="36" t="e">
        <v>#N/A</v>
      </c>
      <c r="H1107" s="33"/>
      <c r="I1107" s="33"/>
      <c r="J1107" s="33"/>
      <c r="K1107" s="33"/>
      <c r="L1107" s="33"/>
      <c r="M1107" s="33"/>
    </row>
    <row r="1108">
      <c r="A1108" s="32" t="s">
        <v>100</v>
      </c>
      <c r="B1108" s="32" t="s">
        <v>2524</v>
      </c>
      <c r="C1108" s="35">
        <v>48.65389205</v>
      </c>
      <c r="D1108" s="35">
        <v>-123.4504509</v>
      </c>
      <c r="E1108" s="32" t="s">
        <v>94</v>
      </c>
      <c r="F1108" s="32" t="s">
        <v>2525</v>
      </c>
      <c r="G1108" s="36" t="e">
        <v>#N/A</v>
      </c>
      <c r="H1108" s="33"/>
      <c r="I1108" s="33"/>
      <c r="J1108" s="33"/>
      <c r="K1108" s="33"/>
      <c r="L1108" s="33"/>
      <c r="M1108" s="33"/>
    </row>
    <row r="1109">
      <c r="A1109" s="32" t="s">
        <v>100</v>
      </c>
      <c r="B1109" s="32" t="s">
        <v>2526</v>
      </c>
      <c r="C1109" s="35">
        <v>4.285833</v>
      </c>
      <c r="D1109" s="35">
        <v>-54.373056</v>
      </c>
      <c r="E1109" s="32" t="s">
        <v>1754</v>
      </c>
      <c r="F1109" s="32" t="s">
        <v>2527</v>
      </c>
      <c r="G1109" s="36" t="e">
        <v>#N/A</v>
      </c>
      <c r="H1109" s="33"/>
      <c r="I1109" s="33"/>
      <c r="J1109" s="33"/>
      <c r="K1109" s="33"/>
      <c r="L1109" s="33"/>
      <c r="M1109" s="33"/>
    </row>
    <row r="1110">
      <c r="A1110" s="32" t="s">
        <v>100</v>
      </c>
      <c r="B1110" s="32" t="s">
        <v>2528</v>
      </c>
      <c r="C1110" s="35">
        <v>-4.884220123</v>
      </c>
      <c r="D1110" s="35">
        <v>-65.35540009</v>
      </c>
      <c r="E1110" s="32" t="s">
        <v>288</v>
      </c>
      <c r="F1110" s="32" t="s">
        <v>2529</v>
      </c>
      <c r="G1110" s="36" t="e">
        <v>#N/A</v>
      </c>
      <c r="H1110" s="33"/>
      <c r="I1110" s="33"/>
      <c r="J1110" s="33"/>
      <c r="K1110" s="33"/>
      <c r="L1110" s="33"/>
      <c r="M1110" s="33"/>
    </row>
    <row r="1111">
      <c r="A1111" s="32" t="s">
        <v>100</v>
      </c>
      <c r="B1111" s="32" t="s">
        <v>2530</v>
      </c>
      <c r="C1111" s="35">
        <v>33.75650024</v>
      </c>
      <c r="D1111" s="35">
        <v>-84.88469696</v>
      </c>
      <c r="E1111" s="32" t="s">
        <v>180</v>
      </c>
      <c r="F1111" s="32" t="s">
        <v>2531</v>
      </c>
      <c r="G1111" s="39" t="s">
        <v>181</v>
      </c>
      <c r="H1111" s="33"/>
      <c r="I1111" s="33"/>
      <c r="J1111" s="33"/>
      <c r="K1111" s="33"/>
      <c r="L1111" s="33"/>
      <c r="M1111" s="33"/>
    </row>
    <row r="1112">
      <c r="A1112" s="32" t="s">
        <v>100</v>
      </c>
      <c r="B1112" s="32" t="s">
        <v>2532</v>
      </c>
      <c r="C1112" s="35">
        <v>33.36569977</v>
      </c>
      <c r="D1112" s="35">
        <v>-84.16519928</v>
      </c>
      <c r="E1112" s="32" t="s">
        <v>180</v>
      </c>
      <c r="F1112" s="32" t="s">
        <v>2533</v>
      </c>
      <c r="G1112" s="39" t="s">
        <v>181</v>
      </c>
      <c r="H1112" s="33"/>
      <c r="I1112" s="33"/>
      <c r="J1112" s="33"/>
      <c r="K1112" s="33"/>
      <c r="L1112" s="33"/>
      <c r="M1112" s="33"/>
    </row>
    <row r="1113">
      <c r="A1113" s="32" t="s">
        <v>100</v>
      </c>
      <c r="B1113" s="32" t="s">
        <v>2534</v>
      </c>
      <c r="C1113" s="35">
        <v>50.96720123</v>
      </c>
      <c r="D1113" s="35">
        <v>-2.153609991</v>
      </c>
      <c r="E1113" s="32" t="s">
        <v>90</v>
      </c>
      <c r="F1113" s="32" t="s">
        <v>2535</v>
      </c>
      <c r="G1113" s="39" t="s">
        <v>91</v>
      </c>
      <c r="H1113" s="33"/>
      <c r="I1113" s="33"/>
      <c r="J1113" s="33"/>
      <c r="K1113" s="33"/>
      <c r="L1113" s="33"/>
      <c r="M1113" s="33"/>
    </row>
    <row r="1114">
      <c r="A1114" s="32" t="s">
        <v>100</v>
      </c>
      <c r="B1114" s="32" t="s">
        <v>2536</v>
      </c>
      <c r="C1114" s="35">
        <v>8.767000198</v>
      </c>
      <c r="D1114" s="35">
        <v>27.39999962</v>
      </c>
      <c r="E1114" s="32" t="s">
        <v>844</v>
      </c>
      <c r="F1114" s="32" t="s">
        <v>2537</v>
      </c>
      <c r="G1114" s="36" t="e">
        <v>#N/A</v>
      </c>
      <c r="H1114" s="33"/>
      <c r="I1114" s="33"/>
      <c r="J1114" s="33"/>
      <c r="K1114" s="33"/>
      <c r="L1114" s="33"/>
      <c r="M1114" s="33"/>
    </row>
    <row r="1115">
      <c r="A1115" s="32" t="s">
        <v>100</v>
      </c>
      <c r="B1115" s="32" t="s">
        <v>2538</v>
      </c>
      <c r="C1115" s="35">
        <v>30.32029915</v>
      </c>
      <c r="D1115" s="35">
        <v>-5.866670132</v>
      </c>
      <c r="E1115" s="32" t="s">
        <v>17</v>
      </c>
      <c r="F1115" s="32" t="s">
        <v>2539</v>
      </c>
      <c r="G1115" s="36" t="e">
        <v>#N/A</v>
      </c>
      <c r="H1115" s="33"/>
      <c r="I1115" s="33"/>
      <c r="J1115" s="33"/>
      <c r="K1115" s="33"/>
      <c r="L1115" s="33"/>
      <c r="M1115" s="33"/>
    </row>
    <row r="1116">
      <c r="A1116" s="32" t="s">
        <v>100</v>
      </c>
      <c r="B1116" s="32" t="s">
        <v>2540</v>
      </c>
      <c r="C1116" s="35">
        <v>65.79720306</v>
      </c>
      <c r="D1116" s="35">
        <v>87.93530273</v>
      </c>
      <c r="E1116" s="32" t="s">
        <v>2040</v>
      </c>
      <c r="F1116" s="32" t="s">
        <v>2541</v>
      </c>
      <c r="G1116" s="36" t="e">
        <v>#N/A</v>
      </c>
      <c r="H1116" s="33"/>
      <c r="I1116" s="33"/>
      <c r="J1116" s="33"/>
      <c r="K1116" s="33"/>
      <c r="L1116" s="33"/>
      <c r="M1116" s="33"/>
    </row>
    <row r="1117">
      <c r="A1117" s="32" t="s">
        <v>100</v>
      </c>
      <c r="B1117" s="32" t="s">
        <v>2542</v>
      </c>
      <c r="C1117" s="35">
        <v>61.58969879</v>
      </c>
      <c r="D1117" s="35">
        <v>89.9940033</v>
      </c>
      <c r="E1117" s="32" t="s">
        <v>2040</v>
      </c>
      <c r="F1117" s="32" t="s">
        <v>2543</v>
      </c>
      <c r="G1117" s="36" t="e">
        <v>#N/A</v>
      </c>
      <c r="H1117" s="33"/>
      <c r="I1117" s="33"/>
      <c r="J1117" s="33"/>
      <c r="K1117" s="33"/>
      <c r="L1117" s="33"/>
      <c r="M1117" s="33"/>
    </row>
    <row r="1118">
      <c r="A1118" s="32" t="s">
        <v>100</v>
      </c>
      <c r="B1118" s="32" t="s">
        <v>2544</v>
      </c>
      <c r="C1118" s="35">
        <v>58.32529831</v>
      </c>
      <c r="D1118" s="35">
        <v>82.93250275</v>
      </c>
      <c r="E1118" s="32" t="s">
        <v>2040</v>
      </c>
      <c r="F1118" s="32" t="s">
        <v>2545</v>
      </c>
      <c r="G1118" s="36" t="e">
        <v>#N/A</v>
      </c>
      <c r="H1118" s="33"/>
      <c r="I1118" s="33"/>
      <c r="J1118" s="33"/>
      <c r="K1118" s="33"/>
      <c r="L1118" s="33"/>
      <c r="M1118" s="33"/>
    </row>
    <row r="1119">
      <c r="A1119" s="32" t="s">
        <v>100</v>
      </c>
      <c r="B1119" s="32" t="s">
        <v>2546</v>
      </c>
      <c r="C1119" s="35">
        <v>29.34670067</v>
      </c>
      <c r="D1119" s="35">
        <v>47.52080154</v>
      </c>
      <c r="E1119" s="32" t="s">
        <v>233</v>
      </c>
      <c r="F1119" s="32" t="s">
        <v>233</v>
      </c>
      <c r="G1119" s="36" t="e">
        <v>#N/A</v>
      </c>
      <c r="H1119" s="33"/>
      <c r="I1119" s="33"/>
      <c r="J1119" s="33"/>
      <c r="K1119" s="33"/>
      <c r="L1119" s="33"/>
      <c r="M1119" s="33"/>
    </row>
    <row r="1120">
      <c r="A1120" s="32" t="s">
        <v>100</v>
      </c>
      <c r="B1120" s="32" t="s">
        <v>2547</v>
      </c>
      <c r="C1120" s="35">
        <v>-26.12829971</v>
      </c>
      <c r="D1120" s="35">
        <v>126.5830002</v>
      </c>
      <c r="E1120" s="32" t="s">
        <v>1968</v>
      </c>
      <c r="F1120" s="32" t="s">
        <v>2548</v>
      </c>
      <c r="G1120" s="36" t="e">
        <v>#N/A</v>
      </c>
      <c r="H1120" s="33"/>
      <c r="I1120" s="33"/>
      <c r="J1120" s="33"/>
      <c r="K1120" s="33"/>
      <c r="L1120" s="33"/>
      <c r="M1120" s="33"/>
    </row>
    <row r="1121">
      <c r="A1121" s="32" t="s">
        <v>100</v>
      </c>
      <c r="B1121" s="32" t="s">
        <v>2549</v>
      </c>
      <c r="C1121" s="35">
        <v>-31.62220001</v>
      </c>
      <c r="D1121" s="35">
        <v>117.2170029</v>
      </c>
      <c r="E1121" s="32" t="s">
        <v>1968</v>
      </c>
      <c r="F1121" s="32" t="s">
        <v>2550</v>
      </c>
      <c r="G1121" s="36" t="e">
        <v>#N/A</v>
      </c>
      <c r="H1121" s="33"/>
      <c r="I1121" s="33"/>
      <c r="J1121" s="33"/>
      <c r="K1121" s="33"/>
      <c r="L1121" s="33"/>
      <c r="M1121" s="33"/>
    </row>
    <row r="1122">
      <c r="A1122" s="32" t="s">
        <v>100</v>
      </c>
      <c r="B1122" s="32" t="s">
        <v>2551</v>
      </c>
      <c r="C1122" s="35">
        <v>-30.83810043</v>
      </c>
      <c r="D1122" s="35">
        <v>128.1150055</v>
      </c>
      <c r="E1122" s="32" t="s">
        <v>1968</v>
      </c>
      <c r="F1122" s="32" t="s">
        <v>2552</v>
      </c>
      <c r="G1122" s="36" t="e">
        <v>#N/A</v>
      </c>
      <c r="H1122" s="33"/>
      <c r="I1122" s="33"/>
      <c r="J1122" s="33"/>
      <c r="K1122" s="33"/>
      <c r="L1122" s="33"/>
      <c r="M1122" s="33"/>
    </row>
    <row r="1123">
      <c r="A1123" s="32" t="s">
        <v>100</v>
      </c>
      <c r="B1123" s="32" t="s">
        <v>2553</v>
      </c>
      <c r="C1123" s="35">
        <v>-37.51169968</v>
      </c>
      <c r="D1123" s="35">
        <v>143.7910004</v>
      </c>
      <c r="E1123" s="32" t="s">
        <v>1968</v>
      </c>
      <c r="F1123" s="32" t="s">
        <v>2554</v>
      </c>
      <c r="G1123" s="36" t="e">
        <v>#N/A</v>
      </c>
      <c r="H1123" s="33"/>
      <c r="I1123" s="33"/>
      <c r="J1123" s="33"/>
      <c r="K1123" s="33"/>
      <c r="L1123" s="33"/>
      <c r="M1123" s="33"/>
    </row>
    <row r="1124">
      <c r="A1124" s="32" t="s">
        <v>100</v>
      </c>
      <c r="B1124" s="32" t="s">
        <v>2555</v>
      </c>
      <c r="C1124" s="35">
        <v>51.13000107</v>
      </c>
      <c r="D1124" s="35">
        <v>-91.66560364</v>
      </c>
      <c r="E1124" s="32" t="s">
        <v>94</v>
      </c>
      <c r="F1124" s="32" t="s">
        <v>2556</v>
      </c>
      <c r="G1124" s="36" t="e">
        <v>#N/A</v>
      </c>
      <c r="H1124" s="33"/>
      <c r="I1124" s="33"/>
      <c r="J1124" s="33"/>
      <c r="K1124" s="33"/>
      <c r="L1124" s="33"/>
      <c r="M1124" s="33"/>
    </row>
    <row r="1125">
      <c r="A1125" s="32" t="s">
        <v>100</v>
      </c>
      <c r="B1125" s="32" t="s">
        <v>2557</v>
      </c>
      <c r="C1125" s="35">
        <v>44.44919968</v>
      </c>
      <c r="D1125" s="35">
        <v>-80.15830231</v>
      </c>
      <c r="E1125" s="32" t="s">
        <v>94</v>
      </c>
      <c r="F1125" s="32" t="s">
        <v>2558</v>
      </c>
      <c r="G1125" s="36" t="e">
        <v>#N/A</v>
      </c>
      <c r="H1125" s="33"/>
      <c r="I1125" s="33"/>
      <c r="J1125" s="33"/>
      <c r="K1125" s="33"/>
      <c r="L1125" s="33"/>
      <c r="M1125" s="33"/>
    </row>
    <row r="1126">
      <c r="A1126" s="32" t="s">
        <v>100</v>
      </c>
      <c r="B1126" s="32" t="s">
        <v>2559</v>
      </c>
      <c r="C1126" s="35">
        <v>33.81809998</v>
      </c>
      <c r="D1126" s="35">
        <v>-111.8980026</v>
      </c>
      <c r="E1126" s="32" t="s">
        <v>180</v>
      </c>
      <c r="F1126" s="32" t="s">
        <v>2560</v>
      </c>
      <c r="G1126" s="39" t="s">
        <v>181</v>
      </c>
      <c r="H1126" s="33"/>
      <c r="I1126" s="33"/>
      <c r="J1126" s="33"/>
      <c r="K1126" s="33"/>
      <c r="L1126" s="33"/>
      <c r="M1126" s="33"/>
    </row>
    <row r="1127">
      <c r="A1127" s="32" t="s">
        <v>100</v>
      </c>
      <c r="B1127" s="32" t="s">
        <v>2561</v>
      </c>
      <c r="C1127" s="35">
        <v>51.64250183</v>
      </c>
      <c r="D1127" s="35">
        <v>-121.3069992</v>
      </c>
      <c r="E1127" s="32" t="s">
        <v>94</v>
      </c>
      <c r="F1127" s="32" t="s">
        <v>2562</v>
      </c>
      <c r="G1127" s="36" t="e">
        <v>#N/A</v>
      </c>
      <c r="H1127" s="33"/>
      <c r="I1127" s="33"/>
      <c r="J1127" s="33"/>
      <c r="K1127" s="33"/>
      <c r="L1127" s="33"/>
      <c r="M1127" s="33"/>
    </row>
    <row r="1128">
      <c r="A1128" s="32" t="s">
        <v>100</v>
      </c>
      <c r="B1128" s="32" t="s">
        <v>2563</v>
      </c>
      <c r="C1128" s="35">
        <v>55.86138916</v>
      </c>
      <c r="D1128" s="35">
        <v>-4.296944141</v>
      </c>
      <c r="E1128" s="32" t="s">
        <v>90</v>
      </c>
      <c r="F1128" s="32" t="s">
        <v>2564</v>
      </c>
      <c r="G1128" s="39" t="s">
        <v>91</v>
      </c>
      <c r="H1128" s="33"/>
      <c r="I1128" s="33"/>
      <c r="J1128" s="33"/>
      <c r="K1128" s="33"/>
      <c r="L1128" s="33"/>
      <c r="M1128" s="33"/>
    </row>
    <row r="1129">
      <c r="A1129" s="32" t="s">
        <v>100</v>
      </c>
      <c r="B1129" s="32" t="s">
        <v>2565</v>
      </c>
      <c r="C1129" s="35">
        <v>-38.56669998</v>
      </c>
      <c r="D1129" s="35">
        <v>146.7550049</v>
      </c>
      <c r="E1129" s="32" t="s">
        <v>1968</v>
      </c>
      <c r="F1129" s="32" t="s">
        <v>2566</v>
      </c>
      <c r="G1129" s="36" t="e">
        <v>#N/A</v>
      </c>
      <c r="H1129" s="33"/>
      <c r="I1129" s="33"/>
      <c r="J1129" s="33"/>
      <c r="K1129" s="33"/>
      <c r="L1129" s="33"/>
      <c r="M1129" s="33"/>
    </row>
    <row r="1130">
      <c r="A1130" s="32" t="s">
        <v>100</v>
      </c>
      <c r="B1130" s="32" t="s">
        <v>2567</v>
      </c>
      <c r="C1130" s="35">
        <v>33.39960098</v>
      </c>
      <c r="D1130" s="35">
        <v>126.711998</v>
      </c>
      <c r="E1130" s="32" t="s">
        <v>151</v>
      </c>
      <c r="F1130" s="32" t="s">
        <v>2568</v>
      </c>
      <c r="G1130" s="39" t="s">
        <v>152</v>
      </c>
      <c r="H1130" s="33"/>
      <c r="I1130" s="33"/>
      <c r="J1130" s="33"/>
      <c r="K1130" s="33"/>
      <c r="L1130" s="33"/>
      <c r="M1130" s="33"/>
    </row>
    <row r="1131">
      <c r="A1131" s="32" t="s">
        <v>100</v>
      </c>
      <c r="B1131" s="32" t="s">
        <v>2569</v>
      </c>
      <c r="C1131" s="35">
        <v>51.73220062</v>
      </c>
      <c r="D1131" s="35">
        <v>-96.93440247</v>
      </c>
      <c r="E1131" s="32" t="s">
        <v>94</v>
      </c>
      <c r="F1131" s="32" t="s">
        <v>2570</v>
      </c>
      <c r="G1131" s="36" t="e">
        <v>#N/A</v>
      </c>
      <c r="H1131" s="33"/>
      <c r="I1131" s="33"/>
      <c r="J1131" s="33"/>
      <c r="K1131" s="33"/>
      <c r="L1131" s="33"/>
      <c r="M1131" s="33"/>
    </row>
    <row r="1132">
      <c r="A1132" s="32" t="s">
        <v>100</v>
      </c>
      <c r="B1132" s="32" t="s">
        <v>2571</v>
      </c>
      <c r="C1132" s="35">
        <v>64.33351135</v>
      </c>
      <c r="D1132" s="35">
        <v>100.4328918</v>
      </c>
      <c r="E1132" s="32" t="s">
        <v>2040</v>
      </c>
      <c r="F1132" s="32" t="s">
        <v>2572</v>
      </c>
      <c r="G1132" s="36" t="e">
        <v>#N/A</v>
      </c>
      <c r="H1132" s="33"/>
      <c r="I1132" s="33"/>
      <c r="J1132" s="33"/>
      <c r="K1132" s="33"/>
      <c r="L1132" s="33"/>
      <c r="M1132" s="33"/>
    </row>
    <row r="1133">
      <c r="A1133" s="32" t="s">
        <v>100</v>
      </c>
      <c r="B1133" s="32" t="s">
        <v>2573</v>
      </c>
      <c r="C1133" s="35">
        <v>50.88166809</v>
      </c>
      <c r="D1133" s="35">
        <v>12.13583279</v>
      </c>
      <c r="E1133" s="32" t="s">
        <v>109</v>
      </c>
      <c r="F1133" s="32" t="s">
        <v>2574</v>
      </c>
      <c r="G1133" s="39" t="s">
        <v>110</v>
      </c>
      <c r="H1133" s="33"/>
      <c r="I1133" s="33"/>
      <c r="J1133" s="33"/>
      <c r="K1133" s="33"/>
      <c r="L1133" s="33"/>
      <c r="M1133" s="33"/>
    </row>
    <row r="1134">
      <c r="A1134" s="32" t="s">
        <v>100</v>
      </c>
      <c r="B1134" s="32" t="s">
        <v>2575</v>
      </c>
      <c r="C1134" s="35">
        <v>60.19829941</v>
      </c>
      <c r="D1134" s="35">
        <v>30.33499908</v>
      </c>
      <c r="E1134" s="32" t="s">
        <v>2040</v>
      </c>
      <c r="F1134" s="32" t="s">
        <v>2576</v>
      </c>
      <c r="G1134" s="36" t="e">
        <v>#N/A</v>
      </c>
      <c r="H1134" s="33"/>
      <c r="I1134" s="33"/>
      <c r="J1134" s="33"/>
      <c r="K1134" s="33"/>
      <c r="L1134" s="33"/>
      <c r="M1134" s="33"/>
    </row>
    <row r="1135">
      <c r="A1135" s="32" t="s">
        <v>100</v>
      </c>
      <c r="B1135" s="32" t="s">
        <v>2577</v>
      </c>
      <c r="C1135" s="35">
        <v>52.057201</v>
      </c>
      <c r="D1135" s="35">
        <v>5.92444</v>
      </c>
      <c r="E1135" s="32" t="s">
        <v>127</v>
      </c>
      <c r="F1135" s="32" t="s">
        <v>2578</v>
      </c>
      <c r="G1135" s="39" t="s">
        <v>128</v>
      </c>
      <c r="H1135" s="33"/>
      <c r="I1135" s="33"/>
      <c r="J1135" s="33"/>
      <c r="K1135" s="33"/>
      <c r="L1135" s="33"/>
      <c r="M1135" s="33"/>
    </row>
    <row r="1136">
      <c r="A1136" s="32" t="s">
        <v>100</v>
      </c>
      <c r="B1136" s="32" t="s">
        <v>2579</v>
      </c>
      <c r="C1136" s="35">
        <v>51.93222046</v>
      </c>
      <c r="D1136" s="35">
        <v>8.66166687</v>
      </c>
      <c r="E1136" s="32" t="s">
        <v>109</v>
      </c>
      <c r="F1136" s="32" t="s">
        <v>2580</v>
      </c>
      <c r="G1136" s="39" t="s">
        <v>110</v>
      </c>
      <c r="H1136" s="33"/>
      <c r="I1136" s="33"/>
      <c r="J1136" s="33"/>
      <c r="K1136" s="33"/>
      <c r="L1136" s="33"/>
      <c r="M1136" s="33"/>
    </row>
    <row r="1137">
      <c r="A1137" s="32" t="s">
        <v>100</v>
      </c>
      <c r="B1137" s="32" t="s">
        <v>2581</v>
      </c>
      <c r="C1137" s="35">
        <v>-0.942628026</v>
      </c>
      <c r="D1137" s="35">
        <v>-90.95300293</v>
      </c>
      <c r="E1137" s="32" t="s">
        <v>311</v>
      </c>
      <c r="F1137" s="32" t="s">
        <v>2582</v>
      </c>
      <c r="G1137" s="36" t="e">
        <v>#N/A</v>
      </c>
      <c r="H1137" s="33"/>
      <c r="I1137" s="33"/>
      <c r="J1137" s="33"/>
      <c r="K1137" s="33"/>
      <c r="L1137" s="33"/>
      <c r="M1137" s="33"/>
    </row>
    <row r="1138">
      <c r="A1138" s="32" t="s">
        <v>100</v>
      </c>
      <c r="B1138" s="32" t="s">
        <v>2583</v>
      </c>
      <c r="C1138" s="35">
        <v>47.0681</v>
      </c>
      <c r="D1138" s="35">
        <v>9.48111</v>
      </c>
      <c r="E1138" s="32" t="s">
        <v>1180</v>
      </c>
      <c r="F1138" s="32" t="s">
        <v>2584</v>
      </c>
      <c r="G1138" s="36" t="e">
        <v>#N/A</v>
      </c>
      <c r="H1138" s="33"/>
      <c r="I1138" s="33"/>
      <c r="J1138" s="33"/>
      <c r="K1138" s="33"/>
      <c r="L1138" s="33"/>
      <c r="M1138" s="33"/>
    </row>
    <row r="1139">
      <c r="A1139" s="32" t="s">
        <v>100</v>
      </c>
      <c r="B1139" s="32" t="s">
        <v>2585</v>
      </c>
      <c r="C1139" s="35">
        <v>47.14653</v>
      </c>
      <c r="D1139" s="35">
        <v>16.316843</v>
      </c>
      <c r="E1139" s="32" t="s">
        <v>1145</v>
      </c>
      <c r="F1139" s="32" t="s">
        <v>2586</v>
      </c>
      <c r="G1139" s="36" t="e">
        <v>#N/A</v>
      </c>
      <c r="H1139" s="33"/>
      <c r="I1139" s="33"/>
      <c r="J1139" s="33"/>
      <c r="K1139" s="33"/>
      <c r="L1139" s="33"/>
      <c r="M1139" s="33"/>
    </row>
    <row r="1140">
      <c r="A1140" s="32" t="s">
        <v>100</v>
      </c>
      <c r="B1140" s="32" t="s">
        <v>2587</v>
      </c>
      <c r="C1140" s="35">
        <v>-31.47060013</v>
      </c>
      <c r="D1140" s="35">
        <v>131.8249969</v>
      </c>
      <c r="E1140" s="32" t="s">
        <v>1968</v>
      </c>
      <c r="F1140" s="32" t="s">
        <v>2588</v>
      </c>
      <c r="G1140" s="36" t="e">
        <v>#N/A</v>
      </c>
      <c r="H1140" s="33"/>
      <c r="I1140" s="33"/>
      <c r="J1140" s="33"/>
      <c r="K1140" s="33"/>
      <c r="L1140" s="33"/>
      <c r="M1140" s="33"/>
    </row>
    <row r="1141">
      <c r="A1141" s="32" t="s">
        <v>100</v>
      </c>
      <c r="B1141" s="32" t="s">
        <v>2589</v>
      </c>
      <c r="C1141" s="35">
        <v>24.6487999</v>
      </c>
      <c r="D1141" s="35">
        <v>-81.57980347</v>
      </c>
      <c r="E1141" s="32" t="s">
        <v>180</v>
      </c>
      <c r="F1141" s="32" t="s">
        <v>2590</v>
      </c>
      <c r="G1141" s="39" t="s">
        <v>181</v>
      </c>
      <c r="H1141" s="33"/>
      <c r="I1141" s="33"/>
      <c r="J1141" s="33"/>
      <c r="K1141" s="33"/>
      <c r="L1141" s="33"/>
      <c r="M1141" s="33"/>
    </row>
    <row r="1142">
      <c r="A1142" s="32" t="s">
        <v>100</v>
      </c>
      <c r="B1142" s="32" t="s">
        <v>2591</v>
      </c>
      <c r="C1142" s="35">
        <v>-15.51140022</v>
      </c>
      <c r="D1142" s="35">
        <v>128.1529999</v>
      </c>
      <c r="E1142" s="32" t="s">
        <v>1968</v>
      </c>
      <c r="F1142" s="32" t="s">
        <v>2592</v>
      </c>
      <c r="G1142" s="36" t="e">
        <v>#N/A</v>
      </c>
      <c r="H1142" s="33"/>
      <c r="I1142" s="33"/>
      <c r="J1142" s="33"/>
      <c r="K1142" s="33"/>
      <c r="L1142" s="33"/>
      <c r="M1142" s="33"/>
    </row>
    <row r="1143">
      <c r="A1143" s="32" t="s">
        <v>100</v>
      </c>
      <c r="B1143" s="32" t="s">
        <v>2593</v>
      </c>
      <c r="C1143" s="35">
        <v>45.70899963</v>
      </c>
      <c r="D1143" s="35">
        <v>-90.40249634</v>
      </c>
      <c r="E1143" s="32" t="s">
        <v>180</v>
      </c>
      <c r="F1143" s="32" t="s">
        <v>2594</v>
      </c>
      <c r="G1143" s="39" t="s">
        <v>181</v>
      </c>
      <c r="H1143" s="33"/>
      <c r="I1143" s="33"/>
      <c r="J1143" s="33"/>
      <c r="K1143" s="33"/>
      <c r="L1143" s="33"/>
      <c r="M1143" s="33"/>
    </row>
    <row r="1144">
      <c r="A1144" s="32" t="s">
        <v>100</v>
      </c>
      <c r="B1144" s="32" t="s">
        <v>2595</v>
      </c>
      <c r="C1144" s="35">
        <v>42.61489868</v>
      </c>
      <c r="D1144" s="35">
        <v>-89.5904007</v>
      </c>
      <c r="E1144" s="32" t="s">
        <v>180</v>
      </c>
      <c r="F1144" s="32" t="s">
        <v>2596</v>
      </c>
      <c r="G1144" s="39" t="s">
        <v>181</v>
      </c>
      <c r="H1144" s="33"/>
      <c r="I1144" s="33"/>
      <c r="J1144" s="33"/>
      <c r="K1144" s="33"/>
      <c r="L1144" s="33"/>
      <c r="M1144" s="33"/>
    </row>
    <row r="1145">
      <c r="A1145" s="32" t="s">
        <v>100</v>
      </c>
      <c r="B1145" s="32" t="s">
        <v>2597</v>
      </c>
      <c r="C1145" s="35">
        <v>52.3905983</v>
      </c>
      <c r="D1145" s="35">
        <v>14.09720039</v>
      </c>
      <c r="E1145" s="32" t="s">
        <v>109</v>
      </c>
      <c r="F1145" s="32" t="s">
        <v>2598</v>
      </c>
      <c r="G1145" s="39" t="s">
        <v>110</v>
      </c>
      <c r="H1145" s="33"/>
      <c r="I1145" s="33"/>
      <c r="J1145" s="33"/>
      <c r="K1145" s="33"/>
      <c r="L1145" s="33"/>
      <c r="M1145" s="33"/>
    </row>
    <row r="1146">
      <c r="A1146" s="32" t="s">
        <v>100</v>
      </c>
      <c r="B1146" s="32" t="s">
        <v>2599</v>
      </c>
      <c r="C1146" s="35">
        <v>52.82722092</v>
      </c>
      <c r="D1146" s="35">
        <v>13.69361115</v>
      </c>
      <c r="E1146" s="32" t="s">
        <v>109</v>
      </c>
      <c r="F1146" s="32" t="s">
        <v>2600</v>
      </c>
      <c r="G1146" s="39" t="s">
        <v>110</v>
      </c>
      <c r="H1146" s="33"/>
      <c r="I1146" s="33"/>
      <c r="J1146" s="33"/>
      <c r="K1146" s="33"/>
      <c r="L1146" s="33"/>
      <c r="M1146" s="33"/>
    </row>
    <row r="1147">
      <c r="A1147" s="32" t="s">
        <v>100</v>
      </c>
      <c r="B1147" s="32" t="s">
        <v>2601</v>
      </c>
      <c r="C1147" s="35">
        <v>39.95920181</v>
      </c>
      <c r="D1147" s="35">
        <v>-79.65709686</v>
      </c>
      <c r="E1147" s="32" t="s">
        <v>180</v>
      </c>
      <c r="F1147" s="32" t="s">
        <v>2602</v>
      </c>
      <c r="G1147" s="39" t="s">
        <v>181</v>
      </c>
      <c r="H1147" s="33"/>
      <c r="I1147" s="33"/>
      <c r="J1147" s="33"/>
      <c r="K1147" s="33"/>
      <c r="L1147" s="33"/>
      <c r="M1147" s="33"/>
    </row>
    <row r="1148">
      <c r="A1148" s="32" t="s">
        <v>100</v>
      </c>
      <c r="B1148" s="32" t="s">
        <v>2603</v>
      </c>
      <c r="C1148" s="35">
        <v>40.08530045</v>
      </c>
      <c r="D1148" s="35">
        <v>-78.5121994</v>
      </c>
      <c r="E1148" s="32" t="s">
        <v>180</v>
      </c>
      <c r="F1148" s="32" t="s">
        <v>2604</v>
      </c>
      <c r="G1148" s="39" t="s">
        <v>181</v>
      </c>
      <c r="H1148" s="33"/>
      <c r="I1148" s="33"/>
      <c r="J1148" s="33"/>
      <c r="K1148" s="33"/>
      <c r="L1148" s="33"/>
      <c r="M1148" s="33"/>
    </row>
    <row r="1149">
      <c r="A1149" s="32" t="s">
        <v>100</v>
      </c>
      <c r="B1149" s="32" t="s">
        <v>2605</v>
      </c>
      <c r="C1149" s="35">
        <v>40.80160141</v>
      </c>
      <c r="D1149" s="35">
        <v>-80.16069794</v>
      </c>
      <c r="E1149" s="32" t="s">
        <v>180</v>
      </c>
      <c r="F1149" s="32" t="s">
        <v>2606</v>
      </c>
      <c r="G1149" s="39" t="s">
        <v>181</v>
      </c>
      <c r="H1149" s="33"/>
      <c r="I1149" s="33"/>
      <c r="J1149" s="33"/>
      <c r="K1149" s="33"/>
      <c r="L1149" s="33"/>
      <c r="M1149" s="33"/>
    </row>
    <row r="1150">
      <c r="A1150" s="32" t="s">
        <v>100</v>
      </c>
      <c r="B1150" s="32" t="s">
        <v>2607</v>
      </c>
      <c r="C1150" s="35">
        <v>41.27470016</v>
      </c>
      <c r="D1150" s="35">
        <v>-85.84010315</v>
      </c>
      <c r="E1150" s="32" t="s">
        <v>180</v>
      </c>
      <c r="F1150" s="32" t="s">
        <v>554</v>
      </c>
      <c r="G1150" s="39" t="s">
        <v>181</v>
      </c>
      <c r="H1150" s="33"/>
      <c r="I1150" s="33"/>
      <c r="J1150" s="33"/>
      <c r="K1150" s="33"/>
      <c r="L1150" s="33"/>
      <c r="M1150" s="33"/>
    </row>
    <row r="1151">
      <c r="A1151" s="32" t="s">
        <v>100</v>
      </c>
      <c r="B1151" s="32" t="s">
        <v>2608</v>
      </c>
      <c r="C1151" s="35">
        <v>42.25120163</v>
      </c>
      <c r="D1151" s="35">
        <v>-84.95549774</v>
      </c>
      <c r="E1151" s="32" t="s">
        <v>180</v>
      </c>
      <c r="F1151" s="32" t="s">
        <v>2609</v>
      </c>
      <c r="G1151" s="39" t="s">
        <v>181</v>
      </c>
      <c r="H1151" s="33"/>
      <c r="I1151" s="33"/>
      <c r="J1151" s="33"/>
      <c r="K1151" s="33"/>
      <c r="L1151" s="33"/>
      <c r="M1151" s="33"/>
    </row>
    <row r="1152">
      <c r="A1152" s="32" t="s">
        <v>100</v>
      </c>
      <c r="B1152" s="32" t="s">
        <v>2610</v>
      </c>
      <c r="C1152" s="35">
        <v>28.16699982</v>
      </c>
      <c r="D1152" s="35">
        <v>-81.80809784</v>
      </c>
      <c r="E1152" s="32" t="s">
        <v>90</v>
      </c>
      <c r="F1152" s="32" t="s">
        <v>2611</v>
      </c>
      <c r="G1152" s="39" t="s">
        <v>91</v>
      </c>
      <c r="H1152" s="33"/>
      <c r="I1152" s="33"/>
      <c r="J1152" s="33"/>
      <c r="K1152" s="33"/>
      <c r="L1152" s="33"/>
      <c r="M1152" s="33"/>
    </row>
    <row r="1153">
      <c r="A1153" s="32" t="s">
        <v>100</v>
      </c>
      <c r="B1153" s="32" t="s">
        <v>2612</v>
      </c>
      <c r="C1153" s="35">
        <v>52.30833435</v>
      </c>
      <c r="D1153" s="35">
        <v>13.10055637</v>
      </c>
      <c r="E1153" s="32" t="s">
        <v>109</v>
      </c>
      <c r="F1153" s="32" t="s">
        <v>2613</v>
      </c>
      <c r="G1153" s="39" t="s">
        <v>110</v>
      </c>
      <c r="H1153" s="33"/>
      <c r="I1153" s="33"/>
      <c r="J1153" s="33"/>
      <c r="K1153" s="33"/>
      <c r="L1153" s="33"/>
      <c r="M1153" s="33"/>
    </row>
    <row r="1154">
      <c r="A1154" s="32" t="s">
        <v>100</v>
      </c>
      <c r="B1154" s="32" t="s">
        <v>2614</v>
      </c>
      <c r="C1154" s="35">
        <v>48.289172</v>
      </c>
      <c r="D1154" s="35">
        <v>3.247912</v>
      </c>
      <c r="E1154" s="32" t="s">
        <v>96</v>
      </c>
      <c r="F1154" s="32" t="s">
        <v>2615</v>
      </c>
      <c r="G1154" s="39" t="s">
        <v>97</v>
      </c>
      <c r="H1154" s="33"/>
      <c r="I1154" s="33"/>
      <c r="J1154" s="33"/>
      <c r="K1154" s="33"/>
      <c r="L1154" s="33"/>
      <c r="M1154" s="33"/>
    </row>
    <row r="1155">
      <c r="A1155" s="32" t="s">
        <v>100</v>
      </c>
      <c r="B1155" s="32" t="s">
        <v>2616</v>
      </c>
      <c r="C1155" s="35">
        <v>47.98019</v>
      </c>
      <c r="D1155" s="35">
        <v>3.775583</v>
      </c>
      <c r="E1155" s="32" t="s">
        <v>96</v>
      </c>
      <c r="F1155" s="32" t="s">
        <v>2617</v>
      </c>
      <c r="G1155" s="39" t="s">
        <v>97</v>
      </c>
      <c r="H1155" s="33"/>
      <c r="I1155" s="33"/>
      <c r="J1155" s="33"/>
      <c r="K1155" s="33"/>
      <c r="L1155" s="33"/>
      <c r="M1155" s="33"/>
    </row>
    <row r="1156">
      <c r="A1156" s="32" t="s">
        <v>100</v>
      </c>
      <c r="B1156" s="32" t="s">
        <v>2618</v>
      </c>
      <c r="C1156" s="35">
        <v>47.239399</v>
      </c>
      <c r="D1156" s="35">
        <v>4.26583</v>
      </c>
      <c r="E1156" s="32" t="s">
        <v>96</v>
      </c>
      <c r="F1156" s="32" t="s">
        <v>2619</v>
      </c>
      <c r="G1156" s="39" t="s">
        <v>97</v>
      </c>
      <c r="H1156" s="33"/>
      <c r="I1156" s="33"/>
      <c r="J1156" s="33"/>
      <c r="K1156" s="33"/>
      <c r="L1156" s="33"/>
      <c r="M1156" s="33"/>
    </row>
    <row r="1157">
      <c r="A1157" s="32" t="s">
        <v>100</v>
      </c>
      <c r="B1157" s="32" t="s">
        <v>2620</v>
      </c>
      <c r="C1157" s="35">
        <v>47.3443985</v>
      </c>
      <c r="D1157" s="35">
        <v>7.88944006</v>
      </c>
      <c r="E1157" s="32" t="s">
        <v>1180</v>
      </c>
      <c r="F1157" s="32" t="s">
        <v>2621</v>
      </c>
      <c r="G1157" s="36" t="e">
        <v>#N/A</v>
      </c>
      <c r="H1157" s="33"/>
      <c r="I1157" s="33"/>
      <c r="J1157" s="33"/>
      <c r="K1157" s="33"/>
      <c r="L1157" s="33"/>
      <c r="M1157" s="33"/>
    </row>
    <row r="1158">
      <c r="A1158" s="32" t="s">
        <v>100</v>
      </c>
      <c r="B1158" s="32" t="s">
        <v>2622</v>
      </c>
      <c r="C1158" s="35">
        <v>46.512501</v>
      </c>
      <c r="D1158" s="35">
        <v>8.68978</v>
      </c>
      <c r="E1158" s="32" t="s">
        <v>1180</v>
      </c>
      <c r="F1158" s="32" t="s">
        <v>2623</v>
      </c>
      <c r="G1158" s="36" t="e">
        <v>#N/A</v>
      </c>
      <c r="H1158" s="33"/>
      <c r="I1158" s="33"/>
      <c r="J1158" s="33"/>
      <c r="K1158" s="33"/>
      <c r="L1158" s="33"/>
      <c r="M1158" s="33"/>
    </row>
    <row r="1159">
      <c r="A1159" s="32" t="s">
        <v>100</v>
      </c>
      <c r="B1159" s="32" t="s">
        <v>2624</v>
      </c>
      <c r="C1159" s="35">
        <v>46.29589844</v>
      </c>
      <c r="D1159" s="35">
        <v>8.99213028</v>
      </c>
      <c r="E1159" s="32" t="s">
        <v>1180</v>
      </c>
      <c r="F1159" s="32" t="s">
        <v>2625</v>
      </c>
      <c r="G1159" s="36" t="e">
        <v>#N/A</v>
      </c>
      <c r="H1159" s="33"/>
      <c r="I1159" s="33"/>
      <c r="J1159" s="33"/>
      <c r="K1159" s="33"/>
      <c r="L1159" s="33"/>
      <c r="M1159" s="33"/>
    </row>
    <row r="1160">
      <c r="A1160" s="32" t="s">
        <v>100</v>
      </c>
      <c r="B1160" s="32" t="s">
        <v>2626</v>
      </c>
      <c r="C1160" s="35">
        <v>50.41059875</v>
      </c>
      <c r="D1160" s="35">
        <v>14.2261</v>
      </c>
      <c r="E1160" s="32" t="s">
        <v>1104</v>
      </c>
      <c r="F1160" s="32" t="s">
        <v>2627</v>
      </c>
      <c r="G1160" s="36" t="e">
        <v>#N/A</v>
      </c>
      <c r="H1160" s="33"/>
      <c r="I1160" s="33"/>
      <c r="J1160" s="33"/>
      <c r="K1160" s="33"/>
      <c r="L1160" s="33"/>
      <c r="M1160" s="33"/>
    </row>
    <row r="1161">
      <c r="A1161" s="32" t="s">
        <v>100</v>
      </c>
      <c r="B1161" s="32" t="s">
        <v>2628</v>
      </c>
      <c r="C1161" s="35">
        <v>50.699699</v>
      </c>
      <c r="D1161" s="35">
        <v>13.9697</v>
      </c>
      <c r="E1161" s="32" t="s">
        <v>1104</v>
      </c>
      <c r="F1161" s="32" t="s">
        <v>2629</v>
      </c>
      <c r="G1161" s="36" t="e">
        <v>#N/A</v>
      </c>
      <c r="H1161" s="33"/>
      <c r="I1161" s="33"/>
      <c r="J1161" s="33"/>
      <c r="K1161" s="33"/>
      <c r="L1161" s="33"/>
      <c r="M1161" s="33"/>
    </row>
    <row r="1162">
      <c r="A1162" s="32" t="s">
        <v>100</v>
      </c>
      <c r="B1162" s="32" t="s">
        <v>2630</v>
      </c>
      <c r="C1162" s="35">
        <v>47.13249969</v>
      </c>
      <c r="D1162" s="35">
        <v>13.69690037</v>
      </c>
      <c r="E1162" s="32" t="s">
        <v>1145</v>
      </c>
      <c r="F1162" s="32" t="s">
        <v>2631</v>
      </c>
      <c r="G1162" s="36" t="e">
        <v>#N/A</v>
      </c>
      <c r="H1162" s="33"/>
      <c r="I1162" s="33"/>
      <c r="J1162" s="33"/>
      <c r="K1162" s="33"/>
      <c r="L1162" s="33"/>
      <c r="M1162" s="33"/>
    </row>
    <row r="1163">
      <c r="A1163" s="32" t="s">
        <v>100</v>
      </c>
      <c r="B1163" s="32" t="s">
        <v>2632</v>
      </c>
      <c r="C1163" s="35">
        <v>46.58110046</v>
      </c>
      <c r="D1163" s="35">
        <v>13.62919998</v>
      </c>
      <c r="E1163" s="32" t="s">
        <v>1145</v>
      </c>
      <c r="F1163" s="32" t="s">
        <v>2633</v>
      </c>
      <c r="G1163" s="36" t="e">
        <v>#N/A</v>
      </c>
      <c r="H1163" s="33"/>
      <c r="I1163" s="33"/>
      <c r="J1163" s="33"/>
      <c r="K1163" s="33"/>
      <c r="L1163" s="33"/>
      <c r="M1163" s="33"/>
    </row>
    <row r="1164">
      <c r="A1164" s="32" t="s">
        <v>100</v>
      </c>
      <c r="B1164" s="32" t="s">
        <v>2634</v>
      </c>
      <c r="C1164" s="35">
        <v>48.9843</v>
      </c>
      <c r="D1164" s="35">
        <v>8.3355</v>
      </c>
      <c r="E1164" s="32" t="s">
        <v>109</v>
      </c>
      <c r="F1164" s="32" t="s">
        <v>2635</v>
      </c>
      <c r="G1164" s="39" t="s">
        <v>110</v>
      </c>
      <c r="H1164" s="33"/>
      <c r="I1164" s="33"/>
      <c r="J1164" s="33"/>
      <c r="K1164" s="33"/>
      <c r="L1164" s="33"/>
      <c r="M1164" s="33"/>
    </row>
    <row r="1165">
      <c r="A1165" s="32" t="s">
        <v>100</v>
      </c>
      <c r="B1165" s="32" t="s">
        <v>2636</v>
      </c>
      <c r="C1165" s="35">
        <v>49.56750107</v>
      </c>
      <c r="D1165" s="35">
        <v>8.610555649</v>
      </c>
      <c r="E1165" s="32" t="s">
        <v>109</v>
      </c>
      <c r="F1165" s="32" t="s">
        <v>2637</v>
      </c>
      <c r="G1165" s="39" t="s">
        <v>110</v>
      </c>
      <c r="H1165" s="33"/>
      <c r="I1165" s="33"/>
      <c r="J1165" s="33"/>
      <c r="K1165" s="33"/>
      <c r="L1165" s="33"/>
      <c r="M1165" s="33"/>
    </row>
    <row r="1166">
      <c r="A1166" s="32" t="s">
        <v>100</v>
      </c>
      <c r="B1166" s="32" t="s">
        <v>2638</v>
      </c>
      <c r="C1166" s="35">
        <v>48.92779922</v>
      </c>
      <c r="D1166" s="35">
        <v>2.835279942</v>
      </c>
      <c r="E1166" s="32" t="s">
        <v>96</v>
      </c>
      <c r="F1166" s="32" t="s">
        <v>2639</v>
      </c>
      <c r="G1166" s="39" t="s">
        <v>97</v>
      </c>
      <c r="H1166" s="33"/>
      <c r="I1166" s="33"/>
      <c r="J1166" s="33"/>
      <c r="K1166" s="33"/>
      <c r="L1166" s="33"/>
      <c r="M1166" s="33"/>
    </row>
    <row r="1167">
      <c r="A1167" s="32" t="s">
        <v>100</v>
      </c>
      <c r="B1167" s="32" t="s">
        <v>2640</v>
      </c>
      <c r="C1167" s="35">
        <v>49.06719971</v>
      </c>
      <c r="D1167" s="35">
        <v>3.356940031</v>
      </c>
      <c r="E1167" s="32" t="s">
        <v>96</v>
      </c>
      <c r="F1167" s="32" t="s">
        <v>2641</v>
      </c>
      <c r="G1167" s="39" t="s">
        <v>97</v>
      </c>
      <c r="H1167" s="33"/>
      <c r="I1167" s="33"/>
      <c r="J1167" s="33"/>
      <c r="K1167" s="33"/>
      <c r="L1167" s="33"/>
      <c r="M1167" s="33"/>
    </row>
    <row r="1168">
      <c r="A1168" s="32" t="s">
        <v>100</v>
      </c>
      <c r="B1168" s="32" t="s">
        <v>2642</v>
      </c>
      <c r="C1168" s="35">
        <v>25.05660057</v>
      </c>
      <c r="D1168" s="35">
        <v>121.2442627</v>
      </c>
      <c r="E1168" s="32" t="s">
        <v>1497</v>
      </c>
      <c r="F1168" s="32" t="s">
        <v>2643</v>
      </c>
      <c r="G1168" s="36" t="e">
        <v>#N/A</v>
      </c>
      <c r="H1168" s="33"/>
      <c r="I1168" s="33"/>
      <c r="J1168" s="33"/>
      <c r="K1168" s="33"/>
      <c r="L1168" s="33"/>
      <c r="M1168" s="33"/>
    </row>
    <row r="1169">
      <c r="A1169" s="32" t="s">
        <v>100</v>
      </c>
      <c r="B1169" s="32" t="s">
        <v>2644</v>
      </c>
      <c r="C1169" s="35">
        <v>52.82939911</v>
      </c>
      <c r="D1169" s="35">
        <v>18.33060074</v>
      </c>
      <c r="E1169" s="32" t="s">
        <v>192</v>
      </c>
      <c r="F1169" s="32" t="s">
        <v>2645</v>
      </c>
      <c r="G1169" s="39" t="s">
        <v>193</v>
      </c>
      <c r="H1169" s="33"/>
      <c r="I1169" s="33"/>
      <c r="J1169" s="33"/>
      <c r="K1169" s="33"/>
      <c r="L1169" s="33"/>
      <c r="M1169" s="33"/>
    </row>
    <row r="1170">
      <c r="A1170" s="32" t="s">
        <v>100</v>
      </c>
      <c r="B1170" s="32" t="s">
        <v>2646</v>
      </c>
      <c r="C1170" s="35">
        <v>54.248001</v>
      </c>
      <c r="D1170" s="35">
        <v>18.6716</v>
      </c>
      <c r="E1170" s="32" t="s">
        <v>192</v>
      </c>
      <c r="F1170" s="32" t="s">
        <v>2647</v>
      </c>
      <c r="G1170" s="39" t="s">
        <v>193</v>
      </c>
      <c r="H1170" s="33"/>
      <c r="I1170" s="33"/>
      <c r="J1170" s="33"/>
      <c r="K1170" s="33"/>
      <c r="L1170" s="33"/>
      <c r="M1170" s="33"/>
    </row>
    <row r="1171">
      <c r="A1171" s="32" t="s">
        <v>100</v>
      </c>
      <c r="B1171" s="32" t="s">
        <v>2648</v>
      </c>
      <c r="C1171" s="35">
        <v>43.97499847</v>
      </c>
      <c r="D1171" s="35">
        <v>-90.48349762</v>
      </c>
      <c r="E1171" s="32" t="s">
        <v>180</v>
      </c>
      <c r="F1171" s="32" t="s">
        <v>2649</v>
      </c>
      <c r="G1171" s="39" t="s">
        <v>181</v>
      </c>
      <c r="H1171" s="33"/>
      <c r="I1171" s="33"/>
      <c r="J1171" s="33"/>
      <c r="K1171" s="33"/>
      <c r="L1171" s="33"/>
      <c r="M1171" s="33"/>
    </row>
    <row r="1172">
      <c r="A1172" s="32" t="s">
        <v>100</v>
      </c>
      <c r="B1172" s="32" t="s">
        <v>2650</v>
      </c>
      <c r="C1172" s="35">
        <v>27.20829964</v>
      </c>
      <c r="D1172" s="35">
        <v>73.71140289</v>
      </c>
      <c r="E1172" s="32" t="s">
        <v>217</v>
      </c>
      <c r="F1172" s="32" t="s">
        <v>2651</v>
      </c>
      <c r="G1172" s="39" t="s">
        <v>218</v>
      </c>
      <c r="H1172" s="33"/>
      <c r="I1172" s="33"/>
      <c r="J1172" s="33"/>
      <c r="K1172" s="33"/>
      <c r="L1172" s="33"/>
      <c r="M1172" s="33"/>
    </row>
    <row r="1173">
      <c r="A1173" s="32" t="s">
        <v>100</v>
      </c>
      <c r="B1173" s="32" t="s">
        <v>2652</v>
      </c>
      <c r="C1173" s="35">
        <v>55.51169968</v>
      </c>
      <c r="D1173" s="35">
        <v>37.50719833</v>
      </c>
      <c r="E1173" s="32" t="s">
        <v>2040</v>
      </c>
      <c r="F1173" s="32" t="s">
        <v>2653</v>
      </c>
      <c r="G1173" s="36" t="e">
        <v>#N/A</v>
      </c>
      <c r="H1173" s="33"/>
      <c r="I1173" s="33"/>
      <c r="J1173" s="33"/>
      <c r="K1173" s="33"/>
      <c r="L1173" s="33"/>
      <c r="M1173" s="33"/>
    </row>
    <row r="1174">
      <c r="A1174" s="32" t="s">
        <v>100</v>
      </c>
      <c r="B1174" s="32" t="s">
        <v>2654</v>
      </c>
      <c r="C1174" s="35">
        <v>40.62599945</v>
      </c>
      <c r="D1174" s="35">
        <v>-74.67019653</v>
      </c>
      <c r="E1174" s="32" t="s">
        <v>180</v>
      </c>
      <c r="F1174" s="32" t="s">
        <v>2655</v>
      </c>
      <c r="G1174" s="39" t="s">
        <v>181</v>
      </c>
      <c r="H1174" s="33"/>
      <c r="I1174" s="33"/>
      <c r="J1174" s="33"/>
      <c r="K1174" s="33"/>
      <c r="L1174" s="33"/>
      <c r="M1174" s="33"/>
    </row>
    <row r="1175">
      <c r="A1175" s="32" t="s">
        <v>100</v>
      </c>
      <c r="B1175" s="32" t="s">
        <v>2656</v>
      </c>
      <c r="C1175" s="35">
        <v>53.10181944</v>
      </c>
      <c r="D1175" s="35">
        <v>-4.337613889</v>
      </c>
      <c r="E1175" s="32" t="s">
        <v>90</v>
      </c>
      <c r="F1175" s="32" t="s">
        <v>2657</v>
      </c>
      <c r="G1175" s="39" t="s">
        <v>91</v>
      </c>
      <c r="H1175" s="33"/>
      <c r="I1175" s="33"/>
      <c r="J1175" s="33"/>
      <c r="K1175" s="33"/>
      <c r="L1175" s="33"/>
      <c r="M1175" s="33"/>
    </row>
    <row r="1176">
      <c r="A1176" s="32" t="s">
        <v>100</v>
      </c>
      <c r="B1176" s="32" t="s">
        <v>2658</v>
      </c>
      <c r="C1176" s="35">
        <v>51.33388901</v>
      </c>
      <c r="D1176" s="35">
        <v>6.359444141</v>
      </c>
      <c r="E1176" s="32" t="s">
        <v>109</v>
      </c>
      <c r="F1176" s="32" t="s">
        <v>2659</v>
      </c>
      <c r="G1176" s="39" t="s">
        <v>110</v>
      </c>
      <c r="H1176" s="33"/>
      <c r="I1176" s="33"/>
      <c r="J1176" s="33"/>
      <c r="K1176" s="33"/>
      <c r="L1176" s="33"/>
      <c r="M1176" s="33"/>
    </row>
    <row r="1177">
      <c r="A1177" s="32" t="s">
        <v>100</v>
      </c>
      <c r="B1177" s="32" t="s">
        <v>2660</v>
      </c>
      <c r="C1177" s="35">
        <v>53.07109833</v>
      </c>
      <c r="D1177" s="35">
        <v>-6.04527998</v>
      </c>
      <c r="E1177" s="32" t="s">
        <v>199</v>
      </c>
      <c r="F1177" s="32" t="s">
        <v>2661</v>
      </c>
      <c r="G1177" s="39" t="s">
        <v>200</v>
      </c>
      <c r="H1177" s="33"/>
      <c r="I1177" s="33"/>
      <c r="J1177" s="33"/>
      <c r="K1177" s="33"/>
      <c r="L1177" s="33"/>
      <c r="M1177" s="33"/>
    </row>
    <row r="1178">
      <c r="A1178" s="32" t="s">
        <v>100</v>
      </c>
      <c r="B1178" s="32" t="s">
        <v>2662</v>
      </c>
      <c r="C1178" s="35">
        <v>52.82666779</v>
      </c>
      <c r="D1178" s="35">
        <v>12.54194355</v>
      </c>
      <c r="E1178" s="32" t="s">
        <v>109</v>
      </c>
      <c r="F1178" s="32" t="s">
        <v>2663</v>
      </c>
      <c r="G1178" s="39" t="s">
        <v>110</v>
      </c>
      <c r="H1178" s="33"/>
      <c r="I1178" s="33"/>
      <c r="J1178" s="33"/>
      <c r="K1178" s="33"/>
      <c r="L1178" s="33"/>
      <c r="M1178" s="33"/>
    </row>
    <row r="1179">
      <c r="A1179" s="32" t="s">
        <v>100</v>
      </c>
      <c r="B1179" s="32" t="s">
        <v>2664</v>
      </c>
      <c r="C1179" s="35">
        <v>40.88861084</v>
      </c>
      <c r="D1179" s="35">
        <v>-4.237500191</v>
      </c>
      <c r="E1179" s="32" t="s">
        <v>115</v>
      </c>
      <c r="F1179" s="32" t="s">
        <v>2665</v>
      </c>
      <c r="G1179" s="39" t="s">
        <v>116</v>
      </c>
      <c r="H1179" s="33"/>
      <c r="I1179" s="33"/>
      <c r="J1179" s="33"/>
      <c r="K1179" s="33"/>
      <c r="L1179" s="33"/>
      <c r="M1179" s="33"/>
    </row>
    <row r="1180">
      <c r="A1180" s="32" t="s">
        <v>100</v>
      </c>
      <c r="B1180" s="32" t="s">
        <v>2666</v>
      </c>
      <c r="C1180" s="35">
        <v>34.53329849</v>
      </c>
      <c r="D1180" s="35">
        <v>136.6719971</v>
      </c>
      <c r="E1180" s="32" t="s">
        <v>170</v>
      </c>
      <c r="F1180" s="32" t="s">
        <v>2667</v>
      </c>
      <c r="G1180" s="39" t="s">
        <v>171</v>
      </c>
      <c r="H1180" s="33"/>
      <c r="I1180" s="33"/>
      <c r="J1180" s="33"/>
      <c r="K1180" s="33"/>
      <c r="L1180" s="33"/>
      <c r="M1180" s="33"/>
    </row>
    <row r="1181">
      <c r="A1181" s="32" t="s">
        <v>100</v>
      </c>
      <c r="B1181" s="32" t="s">
        <v>2668</v>
      </c>
      <c r="C1181" s="35">
        <v>56.23860168</v>
      </c>
      <c r="D1181" s="35">
        <v>162.6880035</v>
      </c>
      <c r="E1181" s="32" t="s">
        <v>2040</v>
      </c>
      <c r="F1181" s="32" t="s">
        <v>2669</v>
      </c>
      <c r="G1181" s="36" t="e">
        <v>#N/A</v>
      </c>
      <c r="H1181" s="33"/>
      <c r="I1181" s="33"/>
      <c r="J1181" s="33"/>
      <c r="K1181" s="33"/>
      <c r="L1181" s="33"/>
      <c r="M1181" s="33"/>
    </row>
    <row r="1182">
      <c r="A1182" s="32" t="s">
        <v>100</v>
      </c>
      <c r="B1182" s="32" t="s">
        <v>2670</v>
      </c>
      <c r="C1182" s="35">
        <v>43.13890076</v>
      </c>
      <c r="D1182" s="35">
        <v>-88.47229767</v>
      </c>
      <c r="E1182" s="32" t="s">
        <v>180</v>
      </c>
      <c r="F1182" s="32" t="s">
        <v>2671</v>
      </c>
      <c r="G1182" s="39" t="s">
        <v>181</v>
      </c>
      <c r="H1182" s="33"/>
      <c r="I1182" s="33"/>
      <c r="J1182" s="33"/>
      <c r="K1182" s="33"/>
      <c r="L1182" s="33"/>
      <c r="M1182" s="33"/>
    </row>
    <row r="1183">
      <c r="A1183" s="32" t="s">
        <v>100</v>
      </c>
      <c r="B1183" s="32" t="s">
        <v>2672</v>
      </c>
      <c r="C1183" s="35">
        <v>56.09000015</v>
      </c>
      <c r="D1183" s="35">
        <v>159.8766632</v>
      </c>
      <c r="E1183" s="32" t="s">
        <v>2040</v>
      </c>
      <c r="F1183" s="32" t="s">
        <v>2673</v>
      </c>
      <c r="G1183" s="36" t="e">
        <v>#N/A</v>
      </c>
      <c r="H1183" s="33"/>
      <c r="I1183" s="33"/>
      <c r="J1183" s="33"/>
      <c r="K1183" s="33"/>
      <c r="L1183" s="33"/>
      <c r="M1183" s="33"/>
    </row>
    <row r="1184">
      <c r="A1184" s="32" t="s">
        <v>100</v>
      </c>
      <c r="B1184" s="32" t="s">
        <v>2674</v>
      </c>
      <c r="C1184" s="35">
        <v>-30.18670082</v>
      </c>
      <c r="D1184" s="35">
        <v>139.5579987</v>
      </c>
      <c r="E1184" s="32" t="s">
        <v>1968</v>
      </c>
      <c r="F1184" s="32" t="s">
        <v>2675</v>
      </c>
      <c r="G1184" s="36" t="e">
        <v>#N/A</v>
      </c>
      <c r="H1184" s="33"/>
      <c r="I1184" s="33"/>
      <c r="J1184" s="33"/>
      <c r="K1184" s="33"/>
      <c r="L1184" s="33"/>
      <c r="M1184" s="33"/>
    </row>
    <row r="1185">
      <c r="A1185" s="32" t="s">
        <v>100</v>
      </c>
      <c r="B1185" s="32" t="s">
        <v>2676</v>
      </c>
      <c r="C1185" s="35">
        <v>-30.68000031</v>
      </c>
      <c r="D1185" s="35">
        <v>26.72999954</v>
      </c>
      <c r="E1185" s="32" t="s">
        <v>16</v>
      </c>
      <c r="F1185" s="32" t="s">
        <v>2677</v>
      </c>
      <c r="G1185" s="36" t="e">
        <v>#N/A</v>
      </c>
      <c r="H1185" s="33"/>
      <c r="I1185" s="33"/>
      <c r="J1185" s="33"/>
      <c r="K1185" s="33"/>
      <c r="L1185" s="33"/>
      <c r="M1185" s="33"/>
    </row>
    <row r="1186">
      <c r="A1186" s="32" t="s">
        <v>100</v>
      </c>
      <c r="B1186" s="32" t="s">
        <v>2678</v>
      </c>
      <c r="C1186" s="35">
        <v>-29.90640068</v>
      </c>
      <c r="D1186" s="35">
        <v>22.31669998</v>
      </c>
      <c r="E1186" s="32" t="s">
        <v>16</v>
      </c>
      <c r="F1186" s="32" t="s">
        <v>2679</v>
      </c>
      <c r="G1186" s="36" t="e">
        <v>#N/A</v>
      </c>
      <c r="H1186" s="33"/>
      <c r="I1186" s="33"/>
      <c r="J1186" s="33"/>
      <c r="K1186" s="33"/>
      <c r="L1186" s="33"/>
      <c r="M1186" s="33"/>
    </row>
    <row r="1187">
      <c r="A1187" s="32" t="s">
        <v>100</v>
      </c>
      <c r="B1187" s="32" t="s">
        <v>2680</v>
      </c>
      <c r="C1187" s="35">
        <v>-25.716869</v>
      </c>
      <c r="D1187" s="35">
        <v>30.97518</v>
      </c>
      <c r="E1187" s="32" t="s">
        <v>16</v>
      </c>
      <c r="F1187" s="32" t="s">
        <v>2681</v>
      </c>
      <c r="G1187" s="36" t="e">
        <v>#N/A</v>
      </c>
      <c r="H1187" s="33"/>
      <c r="I1187" s="33"/>
      <c r="J1187" s="33"/>
      <c r="K1187" s="33"/>
      <c r="L1187" s="33"/>
      <c r="M1187" s="33"/>
    </row>
    <row r="1188">
      <c r="A1188" s="32" t="s">
        <v>100</v>
      </c>
      <c r="B1188" s="32" t="s">
        <v>2682</v>
      </c>
      <c r="C1188" s="35">
        <v>39.36380005</v>
      </c>
      <c r="D1188" s="35">
        <v>-84.52200317</v>
      </c>
      <c r="E1188" s="32" t="s">
        <v>180</v>
      </c>
      <c r="F1188" s="32" t="s">
        <v>2683</v>
      </c>
      <c r="G1188" s="39" t="s">
        <v>181</v>
      </c>
      <c r="H1188" s="33"/>
      <c r="I1188" s="33"/>
      <c r="J1188" s="33"/>
      <c r="K1188" s="33"/>
      <c r="L1188" s="33"/>
      <c r="M1188" s="33"/>
    </row>
    <row r="1189">
      <c r="A1189" s="32" t="s">
        <v>100</v>
      </c>
      <c r="B1189" s="32" t="s">
        <v>2684</v>
      </c>
      <c r="C1189" s="35">
        <v>0.576207995</v>
      </c>
      <c r="D1189" s="35">
        <v>34.55345154</v>
      </c>
      <c r="E1189" s="32" t="s">
        <v>21</v>
      </c>
      <c r="F1189" s="32" t="s">
        <v>2685</v>
      </c>
      <c r="G1189" s="36" t="e">
        <v>#N/A</v>
      </c>
      <c r="H1189" s="33"/>
      <c r="I1189" s="33"/>
      <c r="J1189" s="33"/>
      <c r="K1189" s="33"/>
      <c r="L1189" s="33"/>
      <c r="M1189" s="33"/>
    </row>
    <row r="1190">
      <c r="A1190" s="32" t="s">
        <v>100</v>
      </c>
      <c r="B1190" s="32" t="s">
        <v>2686</v>
      </c>
      <c r="C1190" s="35">
        <v>-1.100000024</v>
      </c>
      <c r="D1190" s="35">
        <v>39.95000076</v>
      </c>
      <c r="E1190" s="32" t="s">
        <v>21</v>
      </c>
      <c r="F1190" s="32" t="s">
        <v>2687</v>
      </c>
      <c r="G1190" s="36" t="e">
        <v>#N/A</v>
      </c>
      <c r="H1190" s="33"/>
      <c r="I1190" s="33"/>
      <c r="J1190" s="33"/>
      <c r="K1190" s="33"/>
      <c r="L1190" s="33"/>
      <c r="M1190" s="33"/>
    </row>
    <row r="1191">
      <c r="A1191" s="32" t="s">
        <v>100</v>
      </c>
      <c r="B1191" s="32" t="s">
        <v>2688</v>
      </c>
      <c r="C1191" s="35">
        <v>0.457085013</v>
      </c>
      <c r="D1191" s="35">
        <v>34.13027954</v>
      </c>
      <c r="E1191" s="32" t="s">
        <v>21</v>
      </c>
      <c r="F1191" s="32" t="s">
        <v>2689</v>
      </c>
      <c r="G1191" s="36" t="e">
        <v>#N/A</v>
      </c>
      <c r="H1191" s="33"/>
      <c r="I1191" s="33"/>
      <c r="J1191" s="33"/>
      <c r="K1191" s="33"/>
      <c r="L1191" s="33"/>
      <c r="M1191" s="33"/>
    </row>
    <row r="1192">
      <c r="A1192" s="32" t="s">
        <v>100</v>
      </c>
      <c r="B1192" s="32" t="s">
        <v>2690</v>
      </c>
      <c r="C1192" s="35">
        <v>-0.57327</v>
      </c>
      <c r="D1192" s="35">
        <v>37.49726</v>
      </c>
      <c r="E1192" s="32" t="s">
        <v>21</v>
      </c>
      <c r="F1192" s="32" t="s">
        <v>2691</v>
      </c>
      <c r="G1192" s="36" t="e">
        <v>#N/A</v>
      </c>
      <c r="H1192" s="33"/>
      <c r="I1192" s="33"/>
      <c r="J1192" s="33"/>
      <c r="K1192" s="33"/>
      <c r="L1192" s="33"/>
      <c r="M1192" s="33"/>
    </row>
    <row r="1193">
      <c r="A1193" s="32" t="s">
        <v>100</v>
      </c>
      <c r="B1193" s="32" t="s">
        <v>2692</v>
      </c>
      <c r="C1193" s="35">
        <v>0.532999992</v>
      </c>
      <c r="D1193" s="35">
        <v>38.51699829</v>
      </c>
      <c r="E1193" s="32" t="s">
        <v>21</v>
      </c>
      <c r="F1193" s="32" t="s">
        <v>2693</v>
      </c>
      <c r="G1193" s="36" t="e">
        <v>#N/A</v>
      </c>
      <c r="H1193" s="33"/>
      <c r="I1193" s="33"/>
      <c r="J1193" s="33"/>
      <c r="K1193" s="33"/>
      <c r="L1193" s="33"/>
      <c r="M1193" s="33"/>
    </row>
    <row r="1194">
      <c r="A1194" s="32" t="s">
        <v>100</v>
      </c>
      <c r="B1194" s="32" t="s">
        <v>2694</v>
      </c>
      <c r="C1194" s="35">
        <v>-0.600000024</v>
      </c>
      <c r="D1194" s="35">
        <v>34.46699905</v>
      </c>
      <c r="E1194" s="32" t="s">
        <v>21</v>
      </c>
      <c r="F1194" s="32" t="s">
        <v>2695</v>
      </c>
      <c r="G1194" s="36" t="e">
        <v>#N/A</v>
      </c>
      <c r="H1194" s="33"/>
      <c r="I1194" s="33"/>
      <c r="J1194" s="33"/>
      <c r="K1194" s="33"/>
      <c r="L1194" s="33"/>
      <c r="M1194" s="33"/>
    </row>
    <row r="1195">
      <c r="A1195" s="32" t="s">
        <v>100</v>
      </c>
      <c r="B1195" s="32" t="s">
        <v>2696</v>
      </c>
      <c r="C1195" s="35">
        <v>0.338170946</v>
      </c>
      <c r="D1195" s="35">
        <v>37.59169388</v>
      </c>
      <c r="E1195" s="32" t="s">
        <v>21</v>
      </c>
      <c r="F1195" s="32" t="s">
        <v>2697</v>
      </c>
      <c r="G1195" s="36" t="e">
        <v>#N/A</v>
      </c>
      <c r="H1195" s="33"/>
      <c r="I1195" s="33"/>
      <c r="J1195" s="33"/>
      <c r="K1195" s="33"/>
      <c r="L1195" s="33"/>
      <c r="M1195" s="33"/>
    </row>
    <row r="1196">
      <c r="A1196" s="32" t="s">
        <v>100</v>
      </c>
      <c r="B1196" s="32" t="s">
        <v>2698</v>
      </c>
      <c r="C1196" s="35">
        <v>65.43729401</v>
      </c>
      <c r="D1196" s="35">
        <v>52.20033646</v>
      </c>
      <c r="E1196" s="32" t="s">
        <v>2040</v>
      </c>
      <c r="F1196" s="32" t="s">
        <v>2699</v>
      </c>
      <c r="G1196" s="36" t="e">
        <v>#N/A</v>
      </c>
      <c r="H1196" s="33"/>
      <c r="I1196" s="33"/>
      <c r="J1196" s="33"/>
      <c r="K1196" s="33"/>
      <c r="L1196" s="33"/>
      <c r="M1196" s="33"/>
    </row>
    <row r="1197">
      <c r="A1197" s="32" t="s">
        <v>100</v>
      </c>
      <c r="B1197" s="32" t="s">
        <v>2700</v>
      </c>
      <c r="C1197" s="35">
        <v>68.86830139</v>
      </c>
      <c r="D1197" s="35">
        <v>-179.3730011</v>
      </c>
      <c r="E1197" s="32" t="s">
        <v>2040</v>
      </c>
      <c r="F1197" s="32" t="s">
        <v>2701</v>
      </c>
      <c r="G1197" s="36" t="e">
        <v>#N/A</v>
      </c>
      <c r="H1197" s="33"/>
      <c r="I1197" s="33"/>
      <c r="J1197" s="33"/>
      <c r="K1197" s="33"/>
      <c r="L1197" s="33"/>
      <c r="M1197" s="33"/>
    </row>
    <row r="1198">
      <c r="A1198" s="32" t="s">
        <v>100</v>
      </c>
      <c r="B1198" s="32" t="s">
        <v>2702</v>
      </c>
      <c r="C1198" s="35">
        <v>66.45085907</v>
      </c>
      <c r="D1198" s="35">
        <v>143.2615509</v>
      </c>
      <c r="E1198" s="32" t="s">
        <v>2040</v>
      </c>
      <c r="F1198" s="32" t="s">
        <v>2703</v>
      </c>
      <c r="G1198" s="36" t="e">
        <v>#N/A</v>
      </c>
      <c r="H1198" s="33"/>
      <c r="I1198" s="33"/>
      <c r="J1198" s="33"/>
      <c r="K1198" s="33"/>
      <c r="L1198" s="33"/>
      <c r="M1198" s="33"/>
    </row>
    <row r="1199">
      <c r="A1199" s="32" t="s">
        <v>100</v>
      </c>
      <c r="B1199" s="32" t="s">
        <v>2704</v>
      </c>
      <c r="C1199" s="35">
        <v>52.18444061</v>
      </c>
      <c r="D1199" s="35">
        <v>21.28111076</v>
      </c>
      <c r="E1199" s="32" t="s">
        <v>192</v>
      </c>
      <c r="F1199" s="32" t="s">
        <v>2705</v>
      </c>
      <c r="G1199" s="39" t="s">
        <v>193</v>
      </c>
      <c r="H1199" s="33"/>
      <c r="I1199" s="33"/>
      <c r="J1199" s="33"/>
      <c r="K1199" s="33"/>
      <c r="L1199" s="33"/>
      <c r="M1199" s="33"/>
    </row>
    <row r="1200">
      <c r="A1200" s="32" t="s">
        <v>100</v>
      </c>
      <c r="B1200" s="32" t="s">
        <v>2706</v>
      </c>
      <c r="C1200" s="35">
        <v>-7.720389843</v>
      </c>
      <c r="D1200" s="35">
        <v>108.4899979</v>
      </c>
      <c r="E1200" s="32" t="s">
        <v>280</v>
      </c>
      <c r="F1200" s="32" t="s">
        <v>2707</v>
      </c>
      <c r="G1200" s="36" t="e">
        <v>#N/A</v>
      </c>
      <c r="H1200" s="33"/>
      <c r="I1200" s="33"/>
      <c r="J1200" s="33"/>
      <c r="K1200" s="33"/>
      <c r="L1200" s="33"/>
      <c r="M1200" s="33"/>
    </row>
    <row r="1201">
      <c r="A1201" s="32" t="s">
        <v>100</v>
      </c>
      <c r="B1201" s="32" t="s">
        <v>2708</v>
      </c>
      <c r="C1201" s="35">
        <v>62.103484</v>
      </c>
      <c r="D1201" s="35">
        <v>129.545288</v>
      </c>
      <c r="E1201" s="32" t="s">
        <v>2040</v>
      </c>
      <c r="F1201" s="32" t="s">
        <v>2709</v>
      </c>
      <c r="G1201" s="36" t="e">
        <v>#N/A</v>
      </c>
      <c r="H1201" s="33"/>
      <c r="I1201" s="33"/>
      <c r="J1201" s="33"/>
      <c r="K1201" s="33"/>
      <c r="L1201" s="33"/>
      <c r="M1201" s="33"/>
    </row>
    <row r="1202">
      <c r="A1202" s="32" t="s">
        <v>100</v>
      </c>
      <c r="B1202" s="32" t="s">
        <v>2710</v>
      </c>
      <c r="C1202" s="35">
        <v>34.45539856</v>
      </c>
      <c r="D1202" s="35">
        <v>-84.93920135</v>
      </c>
      <c r="E1202" s="32" t="s">
        <v>180</v>
      </c>
      <c r="F1202" s="32" t="s">
        <v>2711</v>
      </c>
      <c r="G1202" s="39" t="s">
        <v>181</v>
      </c>
      <c r="H1202" s="33"/>
      <c r="I1202" s="33"/>
      <c r="J1202" s="33"/>
      <c r="K1202" s="33"/>
      <c r="L1202" s="33"/>
      <c r="M1202" s="33"/>
    </row>
    <row r="1203">
      <c r="A1203" s="32" t="s">
        <v>100</v>
      </c>
      <c r="B1203" s="32" t="s">
        <v>2712</v>
      </c>
      <c r="C1203" s="35">
        <v>34.49990082</v>
      </c>
      <c r="D1203" s="35">
        <v>-83.55670166</v>
      </c>
      <c r="E1203" s="32" t="s">
        <v>180</v>
      </c>
      <c r="F1203" s="32" t="s">
        <v>2713</v>
      </c>
      <c r="G1203" s="39" t="s">
        <v>181</v>
      </c>
      <c r="H1203" s="33"/>
      <c r="I1203" s="33"/>
      <c r="J1203" s="33"/>
      <c r="K1203" s="33"/>
      <c r="L1203" s="33"/>
      <c r="M1203" s="33"/>
    </row>
    <row r="1204">
      <c r="A1204" s="32" t="s">
        <v>100</v>
      </c>
      <c r="B1204" s="32" t="s">
        <v>2714</v>
      </c>
      <c r="C1204" s="35">
        <v>41.9715004</v>
      </c>
      <c r="D1204" s="35">
        <v>-73.86289978</v>
      </c>
      <c r="E1204" s="32" t="s">
        <v>180</v>
      </c>
      <c r="F1204" s="32" t="s">
        <v>2715</v>
      </c>
      <c r="G1204" s="39" t="s">
        <v>181</v>
      </c>
      <c r="H1204" s="33"/>
      <c r="I1204" s="33"/>
      <c r="J1204" s="33"/>
      <c r="K1204" s="33"/>
      <c r="L1204" s="33"/>
      <c r="M1204" s="33"/>
    </row>
    <row r="1205">
      <c r="A1205" s="32" t="s">
        <v>100</v>
      </c>
      <c r="B1205" s="32" t="s">
        <v>2716</v>
      </c>
      <c r="C1205" s="35">
        <v>-17.70000076</v>
      </c>
      <c r="D1205" s="35">
        <v>145.1499939</v>
      </c>
      <c r="E1205" s="32" t="s">
        <v>1968</v>
      </c>
      <c r="F1205" s="32" t="s">
        <v>2717</v>
      </c>
      <c r="G1205" s="36" t="e">
        <v>#N/A</v>
      </c>
      <c r="H1205" s="33"/>
      <c r="I1205" s="33"/>
      <c r="J1205" s="33"/>
      <c r="K1205" s="33"/>
      <c r="L1205" s="33"/>
      <c r="M1205" s="33"/>
    </row>
    <row r="1206">
      <c r="A1206" s="32" t="s">
        <v>100</v>
      </c>
      <c r="B1206" s="32" t="s">
        <v>2718</v>
      </c>
      <c r="C1206" s="35">
        <v>21.3074</v>
      </c>
      <c r="D1206" s="35">
        <v>-158.070009</v>
      </c>
      <c r="E1206" s="32" t="s">
        <v>180</v>
      </c>
      <c r="F1206" s="32" t="s">
        <v>2719</v>
      </c>
      <c r="G1206" s="39" t="s">
        <v>181</v>
      </c>
      <c r="H1206" s="33"/>
      <c r="I1206" s="33"/>
      <c r="J1206" s="33"/>
      <c r="K1206" s="33"/>
      <c r="L1206" s="33"/>
      <c r="M1206" s="33"/>
    </row>
    <row r="1207">
      <c r="A1207" s="32" t="s">
        <v>100</v>
      </c>
      <c r="B1207" s="32" t="s">
        <v>2720</v>
      </c>
      <c r="C1207" s="35">
        <v>34.8614006</v>
      </c>
      <c r="D1207" s="35">
        <v>-86.55750275</v>
      </c>
      <c r="E1207" s="32" t="s">
        <v>180</v>
      </c>
      <c r="F1207" s="32" t="s">
        <v>2721</v>
      </c>
      <c r="G1207" s="39" t="s">
        <v>181</v>
      </c>
      <c r="H1207" s="33"/>
      <c r="I1207" s="33"/>
      <c r="J1207" s="33"/>
      <c r="K1207" s="33"/>
      <c r="L1207" s="33"/>
      <c r="M1207" s="33"/>
    </row>
    <row r="1208">
      <c r="A1208" s="32" t="s">
        <v>100</v>
      </c>
      <c r="B1208" s="32" t="s">
        <v>2722</v>
      </c>
      <c r="C1208" s="35">
        <v>45.14500046</v>
      </c>
      <c r="D1208" s="35">
        <v>-93.21140289</v>
      </c>
      <c r="E1208" s="32" t="s">
        <v>180</v>
      </c>
      <c r="F1208" s="32" t="s">
        <v>2723</v>
      </c>
      <c r="G1208" s="39" t="s">
        <v>181</v>
      </c>
      <c r="H1208" s="33"/>
      <c r="I1208" s="33"/>
      <c r="J1208" s="33"/>
      <c r="K1208" s="33"/>
      <c r="L1208" s="33"/>
      <c r="M1208" s="33"/>
    </row>
    <row r="1209">
      <c r="A1209" s="32" t="s">
        <v>100</v>
      </c>
      <c r="B1209" s="32" t="s">
        <v>2724</v>
      </c>
      <c r="C1209" s="35">
        <v>-33.66500092</v>
      </c>
      <c r="D1209" s="35">
        <v>-78.92970276</v>
      </c>
      <c r="E1209" s="32" t="s">
        <v>300</v>
      </c>
      <c r="F1209" s="32" t="s">
        <v>2725</v>
      </c>
      <c r="G1209" s="36" t="e">
        <v>#N/A</v>
      </c>
      <c r="H1209" s="33"/>
      <c r="I1209" s="33"/>
      <c r="J1209" s="33"/>
      <c r="K1209" s="33"/>
      <c r="L1209" s="33"/>
      <c r="M1209" s="33"/>
    </row>
    <row r="1210">
      <c r="A1210" s="32" t="s">
        <v>100</v>
      </c>
      <c r="B1210" s="32" t="s">
        <v>2726</v>
      </c>
      <c r="C1210" s="35">
        <v>51.34809875</v>
      </c>
      <c r="D1210" s="35">
        <v>-0.558888972</v>
      </c>
      <c r="E1210" s="32" t="s">
        <v>90</v>
      </c>
      <c r="F1210" s="32" t="s">
        <v>2727</v>
      </c>
      <c r="G1210" s="39" t="s">
        <v>91</v>
      </c>
      <c r="H1210" s="33"/>
      <c r="I1210" s="33"/>
      <c r="J1210" s="33"/>
      <c r="K1210" s="33"/>
      <c r="L1210" s="33"/>
      <c r="M1210" s="33"/>
    </row>
    <row r="1211">
      <c r="A1211" s="32" t="s">
        <v>100</v>
      </c>
      <c r="B1211" s="32" t="s">
        <v>2728</v>
      </c>
      <c r="C1211" s="35">
        <v>53.35972214</v>
      </c>
      <c r="D1211" s="35">
        <v>11.61527824</v>
      </c>
      <c r="E1211" s="32" t="s">
        <v>109</v>
      </c>
      <c r="F1211" s="32" t="s">
        <v>2729</v>
      </c>
      <c r="G1211" s="39" t="s">
        <v>110</v>
      </c>
      <c r="H1211" s="33"/>
      <c r="I1211" s="33"/>
      <c r="J1211" s="33"/>
      <c r="K1211" s="33"/>
      <c r="L1211" s="33"/>
      <c r="M1211" s="33"/>
    </row>
    <row r="1212">
      <c r="A1212" s="32" t="s">
        <v>100</v>
      </c>
      <c r="B1212" s="32" t="s">
        <v>2730</v>
      </c>
      <c r="C1212" s="35">
        <v>50.78170013</v>
      </c>
      <c r="D1212" s="35">
        <v>4.957779884</v>
      </c>
      <c r="E1212" s="32" t="s">
        <v>197</v>
      </c>
      <c r="F1212" s="32" t="s">
        <v>2731</v>
      </c>
      <c r="G1212" s="36" t="e">
        <v>#N/A</v>
      </c>
      <c r="H1212" s="33"/>
      <c r="I1212" s="33"/>
      <c r="J1212" s="33"/>
      <c r="K1212" s="33"/>
      <c r="L1212" s="33"/>
      <c r="M1212" s="33"/>
    </row>
    <row r="1213">
      <c r="A1213" s="32" t="s">
        <v>100</v>
      </c>
      <c r="B1213" s="32" t="s">
        <v>2732</v>
      </c>
      <c r="C1213" s="35">
        <v>53.92194366</v>
      </c>
      <c r="D1213" s="35">
        <v>13.21888924</v>
      </c>
      <c r="E1213" s="32" t="s">
        <v>109</v>
      </c>
      <c r="F1213" s="32" t="s">
        <v>2733</v>
      </c>
      <c r="G1213" s="39" t="s">
        <v>110</v>
      </c>
      <c r="H1213" s="33"/>
      <c r="I1213" s="33"/>
      <c r="J1213" s="33"/>
      <c r="K1213" s="33"/>
      <c r="L1213" s="33"/>
      <c r="M1213" s="33"/>
    </row>
    <row r="1214">
      <c r="A1214" s="32" t="s">
        <v>100</v>
      </c>
      <c r="B1214" s="32" t="s">
        <v>2734</v>
      </c>
      <c r="C1214" s="35">
        <v>47.90277863</v>
      </c>
      <c r="D1214" s="35">
        <v>7.617777824</v>
      </c>
      <c r="E1214" s="32" t="s">
        <v>109</v>
      </c>
      <c r="F1214" s="32" t="s">
        <v>2735</v>
      </c>
      <c r="G1214" s="39" t="s">
        <v>110</v>
      </c>
      <c r="H1214" s="33"/>
      <c r="I1214" s="33"/>
      <c r="J1214" s="33"/>
      <c r="K1214" s="33"/>
      <c r="L1214" s="33"/>
      <c r="M1214" s="33"/>
    </row>
    <row r="1215">
      <c r="A1215" s="32" t="s">
        <v>100</v>
      </c>
      <c r="B1215" s="32" t="s">
        <v>2736</v>
      </c>
      <c r="C1215" s="35">
        <v>64.55000305</v>
      </c>
      <c r="D1215" s="35">
        <v>143.1150055</v>
      </c>
      <c r="E1215" s="32" t="s">
        <v>2040</v>
      </c>
      <c r="F1215" s="32" t="s">
        <v>2737</v>
      </c>
      <c r="G1215" s="36" t="e">
        <v>#N/A</v>
      </c>
      <c r="H1215" s="33"/>
      <c r="I1215" s="33"/>
      <c r="J1215" s="33"/>
      <c r="K1215" s="33"/>
      <c r="L1215" s="33"/>
      <c r="M1215" s="33"/>
    </row>
    <row r="1216">
      <c r="A1216" s="32" t="s">
        <v>100</v>
      </c>
      <c r="B1216" s="32" t="s">
        <v>2738</v>
      </c>
      <c r="C1216" s="35">
        <v>49.926899</v>
      </c>
      <c r="D1216" s="35">
        <v>16.185801</v>
      </c>
      <c r="E1216" s="32" t="s">
        <v>1104</v>
      </c>
      <c r="F1216" s="32" t="s">
        <v>2739</v>
      </c>
      <c r="G1216" s="36" t="e">
        <v>#N/A</v>
      </c>
      <c r="H1216" s="33"/>
      <c r="I1216" s="33"/>
      <c r="J1216" s="33"/>
      <c r="K1216" s="33"/>
      <c r="L1216" s="33"/>
      <c r="M1216" s="33"/>
    </row>
    <row r="1217">
      <c r="A1217" s="32" t="s">
        <v>100</v>
      </c>
      <c r="B1217" s="32" t="s">
        <v>2740</v>
      </c>
      <c r="C1217" s="35">
        <v>50.48249817</v>
      </c>
      <c r="D1217" s="35">
        <v>5.910299778</v>
      </c>
      <c r="E1217" s="32" t="s">
        <v>197</v>
      </c>
      <c r="F1217" s="32" t="s">
        <v>2741</v>
      </c>
      <c r="G1217" s="36" t="e">
        <v>#N/A</v>
      </c>
      <c r="H1217" s="33"/>
      <c r="I1217" s="33"/>
      <c r="J1217" s="33"/>
      <c r="K1217" s="33"/>
      <c r="L1217" s="33"/>
      <c r="M1217" s="33"/>
    </row>
    <row r="1218">
      <c r="A1218" s="32" t="s">
        <v>100</v>
      </c>
      <c r="B1218" s="32" t="s">
        <v>2742</v>
      </c>
      <c r="C1218" s="35">
        <v>50.487999</v>
      </c>
      <c r="D1218" s="35">
        <v>4.76892</v>
      </c>
      <c r="E1218" s="32" t="s">
        <v>197</v>
      </c>
      <c r="F1218" s="32" t="s">
        <v>2743</v>
      </c>
      <c r="G1218" s="36" t="e">
        <v>#N/A</v>
      </c>
      <c r="H1218" s="33"/>
      <c r="I1218" s="33"/>
      <c r="J1218" s="33"/>
      <c r="K1218" s="33"/>
      <c r="L1218" s="33"/>
      <c r="M1218" s="33"/>
    </row>
    <row r="1219">
      <c r="A1219" s="32" t="s">
        <v>100</v>
      </c>
      <c r="B1219" s="32" t="s">
        <v>2744</v>
      </c>
      <c r="C1219" s="35">
        <v>50.970001</v>
      </c>
      <c r="D1219" s="35">
        <v>5.37507</v>
      </c>
      <c r="E1219" s="32" t="s">
        <v>197</v>
      </c>
      <c r="F1219" s="32" t="s">
        <v>2745</v>
      </c>
      <c r="G1219" s="36" t="e">
        <v>#N/A</v>
      </c>
      <c r="H1219" s="33"/>
      <c r="I1219" s="33"/>
      <c r="J1219" s="33"/>
      <c r="K1219" s="33"/>
      <c r="L1219" s="33"/>
      <c r="M1219" s="33"/>
    </row>
    <row r="1220">
      <c r="A1220" s="32" t="s">
        <v>100</v>
      </c>
      <c r="B1220" s="32" t="s">
        <v>2746</v>
      </c>
      <c r="C1220" s="35">
        <v>23.12400055</v>
      </c>
      <c r="D1220" s="35">
        <v>-81.3015976</v>
      </c>
      <c r="E1220" s="32" t="s">
        <v>1294</v>
      </c>
      <c r="F1220" s="32" t="s">
        <v>2747</v>
      </c>
      <c r="G1220" s="36" t="e">
        <v>#N/A</v>
      </c>
      <c r="H1220" s="33"/>
      <c r="I1220" s="33"/>
      <c r="J1220" s="33"/>
      <c r="K1220" s="33"/>
      <c r="L1220" s="33"/>
      <c r="M1220" s="33"/>
    </row>
    <row r="1221">
      <c r="A1221" s="32" t="s">
        <v>100</v>
      </c>
      <c r="B1221" s="32" t="s">
        <v>2748</v>
      </c>
      <c r="C1221" s="35">
        <v>48.42110062</v>
      </c>
      <c r="D1221" s="35">
        <v>-106.5279999</v>
      </c>
      <c r="E1221" s="32" t="s">
        <v>180</v>
      </c>
      <c r="F1221" s="32" t="s">
        <v>2564</v>
      </c>
      <c r="G1221" s="39" t="s">
        <v>181</v>
      </c>
      <c r="H1221" s="33"/>
      <c r="I1221" s="33"/>
      <c r="J1221" s="33"/>
      <c r="K1221" s="33"/>
      <c r="L1221" s="33"/>
      <c r="M1221" s="33"/>
    </row>
    <row r="1222">
      <c r="A1222" s="32" t="s">
        <v>100</v>
      </c>
      <c r="B1222" s="32" t="s">
        <v>2749</v>
      </c>
      <c r="C1222" s="35">
        <v>-13.38944435</v>
      </c>
      <c r="D1222" s="35">
        <v>-38.90999985</v>
      </c>
      <c r="E1222" s="32" t="s">
        <v>288</v>
      </c>
      <c r="F1222" s="32" t="s">
        <v>2750</v>
      </c>
      <c r="G1222" s="36" t="e">
        <v>#N/A</v>
      </c>
      <c r="H1222" s="33"/>
      <c r="I1222" s="33"/>
      <c r="J1222" s="33"/>
      <c r="K1222" s="33"/>
      <c r="L1222" s="33"/>
      <c r="M1222" s="33"/>
    </row>
    <row r="1223">
      <c r="A1223" s="32" t="s">
        <v>100</v>
      </c>
      <c r="B1223" s="32" t="s">
        <v>2751</v>
      </c>
      <c r="C1223" s="35">
        <v>44.6617012</v>
      </c>
      <c r="D1223" s="35">
        <v>-119.6520004</v>
      </c>
      <c r="E1223" s="32" t="s">
        <v>180</v>
      </c>
      <c r="F1223" s="32" t="s">
        <v>2752</v>
      </c>
      <c r="G1223" s="39" t="s">
        <v>181</v>
      </c>
      <c r="H1223" s="33"/>
      <c r="I1223" s="33"/>
      <c r="J1223" s="33"/>
      <c r="K1223" s="33"/>
      <c r="L1223" s="33"/>
      <c r="M1223" s="33"/>
    </row>
    <row r="1224">
      <c r="A1224" s="32" t="s">
        <v>100</v>
      </c>
      <c r="B1224" s="32" t="s">
        <v>2753</v>
      </c>
      <c r="C1224" s="35">
        <v>61.73609924</v>
      </c>
      <c r="D1224" s="35">
        <v>30.67359924</v>
      </c>
      <c r="E1224" s="32" t="s">
        <v>2040</v>
      </c>
      <c r="F1224" s="32" t="s">
        <v>2754</v>
      </c>
      <c r="G1224" s="36" t="e">
        <v>#N/A</v>
      </c>
      <c r="H1224" s="33"/>
      <c r="I1224" s="33"/>
      <c r="J1224" s="33"/>
      <c r="K1224" s="33"/>
      <c r="L1224" s="33"/>
      <c r="M1224" s="33"/>
    </row>
    <row r="1225">
      <c r="A1225" s="32" t="s">
        <v>100</v>
      </c>
      <c r="B1225" s="32" t="s">
        <v>2755</v>
      </c>
      <c r="C1225" s="35">
        <v>54.48484802</v>
      </c>
      <c r="D1225" s="35">
        <v>24.98737335</v>
      </c>
      <c r="E1225" s="32" t="s">
        <v>2012</v>
      </c>
      <c r="F1225" s="32" t="s">
        <v>2756</v>
      </c>
      <c r="G1225" s="36" t="e">
        <v>#N/A</v>
      </c>
      <c r="H1225" s="33"/>
      <c r="I1225" s="33"/>
      <c r="J1225" s="33"/>
      <c r="K1225" s="33"/>
      <c r="L1225" s="33"/>
      <c r="M1225" s="33"/>
    </row>
    <row r="1226">
      <c r="A1226" s="32" t="s">
        <v>100</v>
      </c>
      <c r="B1226" s="32" t="s">
        <v>2757</v>
      </c>
      <c r="C1226" s="35">
        <v>-16.2292</v>
      </c>
      <c r="D1226" s="35">
        <v>-48.964298</v>
      </c>
      <c r="E1226" s="32" t="s">
        <v>288</v>
      </c>
      <c r="F1226" s="32" t="s">
        <v>2758</v>
      </c>
      <c r="G1226" s="36" t="e">
        <v>#N/A</v>
      </c>
      <c r="H1226" s="33"/>
      <c r="I1226" s="33"/>
      <c r="J1226" s="33"/>
      <c r="K1226" s="33"/>
      <c r="L1226" s="33"/>
      <c r="M1226" s="33"/>
    </row>
    <row r="1227">
      <c r="A1227" s="32" t="s">
        <v>100</v>
      </c>
      <c r="B1227" s="32" t="s">
        <v>2759</v>
      </c>
      <c r="C1227" s="35">
        <v>52.43529892</v>
      </c>
      <c r="D1227" s="35">
        <v>1.618330002</v>
      </c>
      <c r="E1227" s="32" t="s">
        <v>90</v>
      </c>
      <c r="F1227" s="32" t="s">
        <v>2760</v>
      </c>
      <c r="G1227" s="39" t="s">
        <v>91</v>
      </c>
      <c r="H1227" s="33"/>
      <c r="I1227" s="33"/>
      <c r="J1227" s="33"/>
      <c r="K1227" s="33"/>
      <c r="L1227" s="33"/>
      <c r="M1227" s="33"/>
    </row>
    <row r="1228">
      <c r="A1228" s="32" t="s">
        <v>100</v>
      </c>
      <c r="B1228" s="32" t="s">
        <v>2761</v>
      </c>
      <c r="C1228" s="35">
        <v>-27.0781002</v>
      </c>
      <c r="D1228" s="35">
        <v>-70.79530334</v>
      </c>
      <c r="E1228" s="32" t="s">
        <v>300</v>
      </c>
      <c r="F1228" s="32" t="s">
        <v>2762</v>
      </c>
      <c r="G1228" s="36" t="e">
        <v>#N/A</v>
      </c>
      <c r="H1228" s="33"/>
      <c r="I1228" s="33"/>
      <c r="J1228" s="33"/>
      <c r="K1228" s="33"/>
      <c r="L1228" s="33"/>
      <c r="M1228" s="33"/>
    </row>
    <row r="1229">
      <c r="A1229" s="32" t="s">
        <v>100</v>
      </c>
      <c r="B1229" s="32" t="s">
        <v>2763</v>
      </c>
      <c r="C1229" s="35">
        <v>-22.92169952</v>
      </c>
      <c r="D1229" s="35">
        <v>-68.15840149</v>
      </c>
      <c r="E1229" s="32" t="s">
        <v>300</v>
      </c>
      <c r="F1229" s="32" t="s">
        <v>2764</v>
      </c>
      <c r="G1229" s="36" t="e">
        <v>#N/A</v>
      </c>
      <c r="H1229" s="33"/>
      <c r="I1229" s="33"/>
      <c r="J1229" s="33"/>
      <c r="K1229" s="33"/>
      <c r="L1229" s="33"/>
      <c r="M1229" s="33"/>
    </row>
    <row r="1230">
      <c r="A1230" s="32" t="s">
        <v>100</v>
      </c>
      <c r="B1230" s="32" t="s">
        <v>2765</v>
      </c>
      <c r="C1230" s="35">
        <v>-16.19109917</v>
      </c>
      <c r="D1230" s="35">
        <v>-69.09559631</v>
      </c>
      <c r="E1230" s="32" t="s">
        <v>323</v>
      </c>
      <c r="F1230" s="32" t="s">
        <v>2766</v>
      </c>
      <c r="G1230" s="36" t="e">
        <v>#N/A</v>
      </c>
      <c r="H1230" s="33"/>
      <c r="I1230" s="33"/>
      <c r="J1230" s="33"/>
      <c r="K1230" s="33"/>
      <c r="L1230" s="33"/>
      <c r="M1230" s="33"/>
    </row>
    <row r="1231">
      <c r="A1231" s="32" t="s">
        <v>100</v>
      </c>
      <c r="B1231" s="32" t="s">
        <v>2767</v>
      </c>
      <c r="C1231" s="35">
        <v>51.88375</v>
      </c>
      <c r="D1231" s="35">
        <v>-5.119972</v>
      </c>
      <c r="E1231" s="32" t="s">
        <v>90</v>
      </c>
      <c r="F1231" s="32" t="s">
        <v>2768</v>
      </c>
      <c r="G1231" s="39" t="s">
        <v>91</v>
      </c>
      <c r="H1231" s="33"/>
      <c r="I1231" s="33"/>
      <c r="J1231" s="33"/>
      <c r="K1231" s="33"/>
      <c r="L1231" s="33"/>
      <c r="M1231" s="33"/>
    </row>
    <row r="1232">
      <c r="A1232" s="32" t="s">
        <v>100</v>
      </c>
      <c r="B1232" s="32" t="s">
        <v>2769</v>
      </c>
      <c r="C1232" s="35">
        <v>-32.88330078</v>
      </c>
      <c r="D1232" s="35">
        <v>144.3099976</v>
      </c>
      <c r="E1232" s="32" t="s">
        <v>1968</v>
      </c>
      <c r="F1232" s="32" t="s">
        <v>2770</v>
      </c>
      <c r="G1232" s="36" t="e">
        <v>#N/A</v>
      </c>
      <c r="H1232" s="33"/>
      <c r="I1232" s="33"/>
      <c r="J1232" s="33"/>
      <c r="K1232" s="33"/>
      <c r="L1232" s="33"/>
      <c r="M1232" s="33"/>
    </row>
    <row r="1233">
      <c r="A1233" s="32" t="s">
        <v>100</v>
      </c>
      <c r="B1233" s="32" t="s">
        <v>2771</v>
      </c>
      <c r="C1233" s="35">
        <v>-32.36669922</v>
      </c>
      <c r="D1233" s="35">
        <v>142.4049988</v>
      </c>
      <c r="E1233" s="32" t="s">
        <v>1968</v>
      </c>
      <c r="F1233" s="32" t="s">
        <v>2772</v>
      </c>
      <c r="G1233" s="36" t="e">
        <v>#N/A</v>
      </c>
      <c r="H1233" s="33"/>
      <c r="I1233" s="33"/>
      <c r="J1233" s="33"/>
      <c r="K1233" s="33"/>
      <c r="L1233" s="33"/>
      <c r="M1233" s="33"/>
    </row>
    <row r="1234">
      <c r="A1234" s="32" t="s">
        <v>100</v>
      </c>
      <c r="B1234" s="32" t="s">
        <v>2773</v>
      </c>
      <c r="C1234" s="35">
        <v>-33.36669922</v>
      </c>
      <c r="D1234" s="35">
        <v>142.5879974</v>
      </c>
      <c r="E1234" s="32" t="s">
        <v>1968</v>
      </c>
      <c r="F1234" s="32" t="s">
        <v>2774</v>
      </c>
      <c r="G1234" s="36" t="e">
        <v>#N/A</v>
      </c>
      <c r="H1234" s="33"/>
      <c r="I1234" s="33"/>
      <c r="J1234" s="33"/>
      <c r="K1234" s="33"/>
      <c r="L1234" s="33"/>
      <c r="M1234" s="33"/>
    </row>
    <row r="1235">
      <c r="A1235" s="32" t="s">
        <v>100</v>
      </c>
      <c r="B1235" s="32" t="s">
        <v>2775</v>
      </c>
      <c r="C1235" s="35">
        <v>-30.93330002</v>
      </c>
      <c r="D1235" s="35">
        <v>144.4170074</v>
      </c>
      <c r="E1235" s="32" t="s">
        <v>1968</v>
      </c>
      <c r="F1235" s="32" t="s">
        <v>2776</v>
      </c>
      <c r="G1235" s="36" t="e">
        <v>#N/A</v>
      </c>
      <c r="H1235" s="33"/>
      <c r="I1235" s="33"/>
      <c r="J1235" s="33"/>
      <c r="K1235" s="33"/>
      <c r="L1235" s="33"/>
      <c r="M1235" s="33"/>
    </row>
    <row r="1236">
      <c r="A1236" s="32" t="s">
        <v>100</v>
      </c>
      <c r="B1236" s="32" t="s">
        <v>2777</v>
      </c>
      <c r="C1236" s="35">
        <v>46.61360168</v>
      </c>
      <c r="D1236" s="35">
        <v>7.677780151</v>
      </c>
      <c r="E1236" s="32" t="s">
        <v>1180</v>
      </c>
      <c r="F1236" s="32" t="s">
        <v>2778</v>
      </c>
      <c r="G1236" s="36" t="e">
        <v>#N/A</v>
      </c>
      <c r="H1236" s="33"/>
      <c r="I1236" s="33"/>
      <c r="J1236" s="33"/>
      <c r="K1236" s="33"/>
      <c r="L1236" s="33"/>
      <c r="M1236" s="33"/>
    </row>
    <row r="1237">
      <c r="A1237" s="32" t="s">
        <v>100</v>
      </c>
      <c r="B1237" s="32" t="s">
        <v>2779</v>
      </c>
      <c r="C1237" s="35">
        <v>44.2726</v>
      </c>
      <c r="D1237" s="35">
        <v>135.029</v>
      </c>
      <c r="E1237" s="32" t="s">
        <v>2040</v>
      </c>
      <c r="F1237" s="32" t="s">
        <v>2780</v>
      </c>
      <c r="G1237" s="36" t="e">
        <v>#N/A</v>
      </c>
      <c r="H1237" s="33"/>
      <c r="I1237" s="33"/>
      <c r="J1237" s="33"/>
      <c r="K1237" s="33"/>
      <c r="L1237" s="33"/>
      <c r="M1237" s="33"/>
    </row>
    <row r="1238">
      <c r="A1238" s="32" t="s">
        <v>100</v>
      </c>
      <c r="B1238" s="32" t="s">
        <v>2781</v>
      </c>
      <c r="C1238" s="35">
        <v>55.0923996</v>
      </c>
      <c r="D1238" s="35">
        <v>83.00450134</v>
      </c>
      <c r="E1238" s="32" t="s">
        <v>2040</v>
      </c>
      <c r="F1238" s="32" t="s">
        <v>2041</v>
      </c>
      <c r="G1238" s="36" t="e">
        <v>#N/A</v>
      </c>
      <c r="H1238" s="33"/>
      <c r="I1238" s="33"/>
      <c r="J1238" s="33"/>
      <c r="K1238" s="33"/>
      <c r="L1238" s="33"/>
      <c r="M1238" s="33"/>
    </row>
    <row r="1239">
      <c r="A1239" s="32" t="s">
        <v>100</v>
      </c>
      <c r="B1239" s="32" t="s">
        <v>2782</v>
      </c>
      <c r="C1239" s="35">
        <v>58.47940063</v>
      </c>
      <c r="D1239" s="35">
        <v>99.09390259</v>
      </c>
      <c r="E1239" s="32" t="s">
        <v>2040</v>
      </c>
      <c r="F1239" s="32" t="s">
        <v>2783</v>
      </c>
      <c r="G1239" s="36" t="e">
        <v>#N/A</v>
      </c>
      <c r="H1239" s="33"/>
      <c r="I1239" s="33"/>
      <c r="J1239" s="33"/>
      <c r="K1239" s="33"/>
      <c r="L1239" s="33"/>
      <c r="M1239" s="33"/>
    </row>
    <row r="1240">
      <c r="A1240" s="32" t="s">
        <v>100</v>
      </c>
      <c r="B1240" s="32" t="s">
        <v>2784</v>
      </c>
      <c r="C1240" s="35">
        <v>55.75650024</v>
      </c>
      <c r="D1240" s="35">
        <v>10.24849987</v>
      </c>
      <c r="E1240" s="32" t="s">
        <v>533</v>
      </c>
      <c r="F1240" s="32" t="s">
        <v>2785</v>
      </c>
      <c r="G1240" s="36" t="e">
        <v>#N/A</v>
      </c>
      <c r="H1240" s="33"/>
      <c r="I1240" s="33"/>
      <c r="J1240" s="33"/>
      <c r="K1240" s="33"/>
      <c r="L1240" s="33"/>
      <c r="M1240" s="33"/>
    </row>
    <row r="1241">
      <c r="A1241" s="32" t="s">
        <v>100</v>
      </c>
      <c r="B1241" s="32" t="s">
        <v>2786</v>
      </c>
      <c r="C1241" s="35">
        <v>47.5201</v>
      </c>
      <c r="D1241" s="35">
        <v>12.4497</v>
      </c>
      <c r="E1241" s="32" t="s">
        <v>1145</v>
      </c>
      <c r="F1241" s="32" t="s">
        <v>2787</v>
      </c>
      <c r="G1241" s="36" t="e">
        <v>#N/A</v>
      </c>
      <c r="H1241" s="33"/>
      <c r="I1241" s="33"/>
      <c r="J1241" s="33"/>
      <c r="K1241" s="33"/>
      <c r="L1241" s="33"/>
      <c r="M1241" s="33"/>
    </row>
    <row r="1242">
      <c r="A1242" s="32" t="s">
        <v>100</v>
      </c>
      <c r="B1242" s="32" t="s">
        <v>2788</v>
      </c>
      <c r="C1242" s="35">
        <v>49.06416702</v>
      </c>
      <c r="D1242" s="35">
        <v>11.20916653</v>
      </c>
      <c r="E1242" s="32" t="s">
        <v>109</v>
      </c>
      <c r="F1242" s="32" t="s">
        <v>2789</v>
      </c>
      <c r="G1242" s="39" t="s">
        <v>110</v>
      </c>
      <c r="H1242" s="33"/>
      <c r="I1242" s="33"/>
      <c r="J1242" s="33"/>
      <c r="K1242" s="33"/>
      <c r="L1242" s="33"/>
      <c r="M1242" s="33"/>
    </row>
    <row r="1243">
      <c r="A1243" s="32" t="s">
        <v>100</v>
      </c>
      <c r="B1243" s="32" t="s">
        <v>2790</v>
      </c>
      <c r="C1243" s="35">
        <v>-17.91360092</v>
      </c>
      <c r="D1243" s="35">
        <v>-64.51779938</v>
      </c>
      <c r="E1243" s="32" t="s">
        <v>180</v>
      </c>
      <c r="F1243" s="32" t="s">
        <v>2791</v>
      </c>
      <c r="G1243" s="39" t="s">
        <v>181</v>
      </c>
      <c r="H1243" s="33"/>
      <c r="I1243" s="33"/>
      <c r="J1243" s="33"/>
      <c r="K1243" s="33"/>
      <c r="L1243" s="33"/>
      <c r="M1243" s="33"/>
    </row>
    <row r="1244">
      <c r="A1244" s="32" t="s">
        <v>100</v>
      </c>
      <c r="B1244" s="32" t="s">
        <v>2792</v>
      </c>
      <c r="C1244" s="35">
        <v>49.361111</v>
      </c>
      <c r="D1244" s="35">
        <v>10.669444</v>
      </c>
      <c r="E1244" s="32" t="s">
        <v>109</v>
      </c>
      <c r="F1244" s="32" t="s">
        <v>2793</v>
      </c>
      <c r="G1244" s="39" t="s">
        <v>110</v>
      </c>
      <c r="H1244" s="33"/>
      <c r="I1244" s="33"/>
      <c r="J1244" s="33"/>
      <c r="K1244" s="33"/>
      <c r="L1244" s="33"/>
      <c r="M1244" s="33"/>
    </row>
    <row r="1245">
      <c r="A1245" s="32" t="s">
        <v>100</v>
      </c>
      <c r="B1245" s="32" t="s">
        <v>2794</v>
      </c>
      <c r="C1245" s="35">
        <v>-5.764570236</v>
      </c>
      <c r="D1245" s="35">
        <v>123.9169998</v>
      </c>
      <c r="E1245" s="32" t="s">
        <v>280</v>
      </c>
      <c r="F1245" s="32" t="s">
        <v>2795</v>
      </c>
      <c r="G1245" s="36" t="e">
        <v>#N/A</v>
      </c>
      <c r="H1245" s="33"/>
      <c r="I1245" s="33"/>
      <c r="J1245" s="33"/>
      <c r="K1245" s="33"/>
      <c r="L1245" s="33"/>
      <c r="M1245" s="33"/>
    </row>
    <row r="1246">
      <c r="A1246" s="32" t="s">
        <v>100</v>
      </c>
      <c r="B1246" s="32" t="s">
        <v>2796</v>
      </c>
      <c r="C1246" s="35">
        <v>35.60770035</v>
      </c>
      <c r="D1246" s="35">
        <v>-121.1100006</v>
      </c>
      <c r="E1246" s="32" t="s">
        <v>180</v>
      </c>
      <c r="F1246" s="32" t="s">
        <v>2797</v>
      </c>
      <c r="G1246" s="39" t="s">
        <v>181</v>
      </c>
      <c r="H1246" s="33"/>
      <c r="I1246" s="33"/>
      <c r="J1246" s="33"/>
      <c r="K1246" s="33"/>
      <c r="L1246" s="33"/>
      <c r="M1246" s="33"/>
    </row>
    <row r="1247">
      <c r="A1247" s="32" t="s">
        <v>100</v>
      </c>
      <c r="B1247" s="32" t="s">
        <v>2798</v>
      </c>
      <c r="C1247" s="35">
        <v>-77.96340179</v>
      </c>
      <c r="D1247" s="35">
        <v>166.5249939</v>
      </c>
      <c r="E1247" s="32" t="s">
        <v>1337</v>
      </c>
      <c r="F1247" s="32" t="s">
        <v>2799</v>
      </c>
      <c r="G1247" s="36" t="e">
        <v>#N/A</v>
      </c>
      <c r="H1247" s="33"/>
      <c r="I1247" s="33"/>
      <c r="J1247" s="33"/>
      <c r="K1247" s="33"/>
      <c r="L1247" s="33"/>
      <c r="M1247" s="33"/>
    </row>
    <row r="1248">
      <c r="A1248" s="32" t="s">
        <v>100</v>
      </c>
      <c r="B1248" s="32" t="s">
        <v>2800</v>
      </c>
      <c r="C1248" s="35">
        <v>49.41830063</v>
      </c>
      <c r="D1248" s="35">
        <v>13.32190037</v>
      </c>
      <c r="E1248" s="32" t="s">
        <v>1104</v>
      </c>
      <c r="F1248" s="32" t="s">
        <v>2801</v>
      </c>
      <c r="G1248" s="36" t="e">
        <v>#N/A</v>
      </c>
      <c r="H1248" s="33"/>
      <c r="I1248" s="33"/>
      <c r="J1248" s="33"/>
      <c r="K1248" s="33"/>
      <c r="L1248" s="33"/>
      <c r="M1248" s="33"/>
    </row>
    <row r="1249">
      <c r="A1249" s="32" t="s">
        <v>100</v>
      </c>
      <c r="B1249" s="32" t="s">
        <v>2802</v>
      </c>
      <c r="C1249" s="35">
        <v>27.41063331</v>
      </c>
      <c r="D1249" s="35">
        <v>86.646595</v>
      </c>
      <c r="E1249" s="32" t="s">
        <v>1877</v>
      </c>
      <c r="F1249" s="32" t="s">
        <v>2803</v>
      </c>
      <c r="G1249" s="36" t="e">
        <v>#N/A</v>
      </c>
      <c r="H1249" s="33"/>
      <c r="I1249" s="33"/>
      <c r="J1249" s="33"/>
      <c r="K1249" s="33"/>
      <c r="L1249" s="33"/>
      <c r="M1249" s="33"/>
    </row>
    <row r="1250">
      <c r="A1250" s="32" t="s">
        <v>100</v>
      </c>
      <c r="B1250" s="32" t="s">
        <v>2804</v>
      </c>
      <c r="C1250" s="35">
        <v>56.91333389</v>
      </c>
      <c r="D1250" s="35">
        <v>118.2699966</v>
      </c>
      <c r="E1250" s="32" t="s">
        <v>2040</v>
      </c>
      <c r="F1250" s="32" t="s">
        <v>2805</v>
      </c>
      <c r="G1250" s="36" t="e">
        <v>#N/A</v>
      </c>
      <c r="H1250" s="33"/>
      <c r="I1250" s="33"/>
      <c r="J1250" s="33"/>
      <c r="K1250" s="33"/>
      <c r="L1250" s="33"/>
      <c r="M1250" s="33"/>
    </row>
    <row r="1251">
      <c r="A1251" s="32" t="s">
        <v>100</v>
      </c>
      <c r="B1251" s="32" t="s">
        <v>2806</v>
      </c>
      <c r="C1251" s="35">
        <v>56.18470001</v>
      </c>
      <c r="D1251" s="35">
        <v>9.044449806</v>
      </c>
      <c r="E1251" s="32" t="s">
        <v>533</v>
      </c>
      <c r="F1251" s="32" t="s">
        <v>2807</v>
      </c>
      <c r="G1251" s="36" t="e">
        <v>#N/A</v>
      </c>
      <c r="H1251" s="33"/>
      <c r="I1251" s="33"/>
      <c r="J1251" s="33"/>
      <c r="K1251" s="33"/>
      <c r="L1251" s="33"/>
      <c r="M1251" s="33"/>
    </row>
    <row r="1252">
      <c r="A1252" s="32" t="s">
        <v>100</v>
      </c>
      <c r="B1252" s="32" t="s">
        <v>2808</v>
      </c>
      <c r="C1252" s="35">
        <v>48.23944473</v>
      </c>
      <c r="D1252" s="35">
        <v>11.56138897</v>
      </c>
      <c r="E1252" s="32" t="s">
        <v>109</v>
      </c>
      <c r="F1252" s="32" t="s">
        <v>2809</v>
      </c>
      <c r="G1252" s="39" t="s">
        <v>110</v>
      </c>
      <c r="H1252" s="33"/>
      <c r="I1252" s="33"/>
      <c r="J1252" s="33"/>
      <c r="K1252" s="33"/>
      <c r="L1252" s="33"/>
      <c r="M1252" s="33"/>
    </row>
    <row r="1253">
      <c r="A1253" s="32" t="s">
        <v>100</v>
      </c>
      <c r="B1253" s="32" t="s">
        <v>2810</v>
      </c>
      <c r="C1253" s="35">
        <v>52.96527863</v>
      </c>
      <c r="D1253" s="35">
        <v>9.282777786</v>
      </c>
      <c r="E1253" s="32" t="s">
        <v>109</v>
      </c>
      <c r="F1253" s="32" t="s">
        <v>2811</v>
      </c>
      <c r="G1253" s="39" t="s">
        <v>110</v>
      </c>
      <c r="H1253" s="33"/>
      <c r="I1253" s="33"/>
      <c r="J1253" s="33"/>
      <c r="K1253" s="33"/>
      <c r="L1253" s="33"/>
      <c r="M1253" s="33"/>
    </row>
    <row r="1254">
      <c r="A1254" s="32" t="s">
        <v>100</v>
      </c>
      <c r="B1254" s="32" t="s">
        <v>2812</v>
      </c>
      <c r="C1254" s="35">
        <v>49.22249985</v>
      </c>
      <c r="D1254" s="35">
        <v>12.2966671</v>
      </c>
      <c r="E1254" s="32" t="s">
        <v>109</v>
      </c>
      <c r="F1254" s="32" t="s">
        <v>2813</v>
      </c>
      <c r="G1254" s="39" t="s">
        <v>110</v>
      </c>
      <c r="H1254" s="33"/>
      <c r="I1254" s="33"/>
      <c r="J1254" s="33"/>
      <c r="K1254" s="33"/>
      <c r="L1254" s="33"/>
      <c r="M1254" s="33"/>
    </row>
    <row r="1255">
      <c r="A1255" s="32" t="s">
        <v>100</v>
      </c>
      <c r="B1255" s="32" t="s">
        <v>2814</v>
      </c>
      <c r="C1255" s="35">
        <v>-22.75580025</v>
      </c>
      <c r="D1255" s="35">
        <v>-47.26940155</v>
      </c>
      <c r="E1255" s="32" t="s">
        <v>288</v>
      </c>
      <c r="F1255" s="32" t="s">
        <v>2815</v>
      </c>
      <c r="G1255" s="36" t="e">
        <v>#N/A</v>
      </c>
      <c r="H1255" s="33"/>
      <c r="I1255" s="33"/>
      <c r="J1255" s="33"/>
      <c r="K1255" s="33"/>
      <c r="L1255" s="33"/>
      <c r="M1255" s="33"/>
    </row>
    <row r="1256">
      <c r="A1256" s="32" t="s">
        <v>100</v>
      </c>
      <c r="B1256" s="32" t="s">
        <v>2816</v>
      </c>
      <c r="C1256" s="35">
        <v>51.5909996</v>
      </c>
      <c r="D1256" s="35">
        <v>75.21499634</v>
      </c>
      <c r="E1256" s="32" t="s">
        <v>2817</v>
      </c>
      <c r="F1256" s="32" t="s">
        <v>2818</v>
      </c>
      <c r="G1256" s="36" t="e">
        <v>#N/A</v>
      </c>
      <c r="H1256" s="33"/>
      <c r="I1256" s="33"/>
      <c r="J1256" s="33"/>
      <c r="K1256" s="33"/>
      <c r="L1256" s="33"/>
      <c r="M1256" s="33"/>
    </row>
    <row r="1257">
      <c r="A1257" s="32" t="s">
        <v>100</v>
      </c>
      <c r="B1257" s="32" t="s">
        <v>2819</v>
      </c>
      <c r="C1257" s="35">
        <v>51.5</v>
      </c>
      <c r="D1257" s="35">
        <v>59.936111</v>
      </c>
      <c r="E1257" s="32" t="s">
        <v>2040</v>
      </c>
      <c r="F1257" s="32" t="s">
        <v>2819</v>
      </c>
      <c r="G1257" s="36" t="e">
        <v>#N/A</v>
      </c>
      <c r="H1257" s="33"/>
      <c r="I1257" s="33"/>
      <c r="J1257" s="33"/>
      <c r="K1257" s="33"/>
      <c r="L1257" s="33"/>
      <c r="M1257" s="33"/>
    </row>
    <row r="1258">
      <c r="A1258" s="32" t="s">
        <v>100</v>
      </c>
      <c r="B1258" s="32" t="s">
        <v>2820</v>
      </c>
      <c r="C1258" s="35">
        <v>52.078333</v>
      </c>
      <c r="D1258" s="35">
        <v>59.683333</v>
      </c>
      <c r="E1258" s="32" t="s">
        <v>2040</v>
      </c>
      <c r="F1258" s="32" t="s">
        <v>2820</v>
      </c>
      <c r="G1258" s="36" t="e">
        <v>#N/A</v>
      </c>
      <c r="H1258" s="33"/>
      <c r="I1258" s="33"/>
      <c r="J1258" s="33"/>
      <c r="K1258" s="33"/>
      <c r="L1258" s="33"/>
      <c r="M1258" s="33"/>
    </row>
    <row r="1259">
      <c r="A1259" s="32" t="s">
        <v>100</v>
      </c>
      <c r="B1259" s="32" t="s">
        <v>2821</v>
      </c>
      <c r="C1259" s="35">
        <v>26.85449982</v>
      </c>
      <c r="D1259" s="35">
        <v>-82.25119781</v>
      </c>
      <c r="E1259" s="32" t="s">
        <v>180</v>
      </c>
      <c r="F1259" s="32" t="s">
        <v>2822</v>
      </c>
      <c r="G1259" s="39" t="s">
        <v>181</v>
      </c>
      <c r="H1259" s="33"/>
      <c r="I1259" s="33"/>
      <c r="J1259" s="33"/>
      <c r="K1259" s="33"/>
      <c r="L1259" s="33"/>
      <c r="M1259" s="33"/>
    </row>
    <row r="1260">
      <c r="A1260" s="32" t="s">
        <v>100</v>
      </c>
      <c r="B1260" s="32" t="s">
        <v>2823</v>
      </c>
      <c r="C1260" s="35">
        <v>-16.81699944</v>
      </c>
      <c r="D1260" s="35">
        <v>28.35000038</v>
      </c>
      <c r="E1260" s="32" t="s">
        <v>785</v>
      </c>
      <c r="F1260" s="32" t="s">
        <v>2824</v>
      </c>
      <c r="G1260" s="36" t="e">
        <v>#N/A</v>
      </c>
      <c r="H1260" s="33"/>
      <c r="I1260" s="33"/>
      <c r="J1260" s="33"/>
      <c r="K1260" s="33"/>
      <c r="L1260" s="33"/>
      <c r="M1260" s="33"/>
    </row>
    <row r="1261">
      <c r="A1261" s="32" t="s">
        <v>100</v>
      </c>
      <c r="B1261" s="32" t="s">
        <v>2825</v>
      </c>
      <c r="C1261" s="35">
        <v>-33.240278</v>
      </c>
      <c r="D1261" s="35">
        <v>151.429722</v>
      </c>
      <c r="E1261" s="32" t="s">
        <v>1968</v>
      </c>
      <c r="F1261" s="32" t="s">
        <v>2825</v>
      </c>
      <c r="G1261" s="36" t="e">
        <v>#N/A</v>
      </c>
      <c r="H1261" s="33"/>
      <c r="I1261" s="33"/>
      <c r="J1261" s="33"/>
      <c r="K1261" s="33"/>
      <c r="L1261" s="33"/>
      <c r="M1261" s="33"/>
    </row>
    <row r="1262">
      <c r="A1262" s="32" t="s">
        <v>100</v>
      </c>
      <c r="B1262" s="32" t="s">
        <v>2826</v>
      </c>
      <c r="C1262" s="35">
        <v>32.51430556</v>
      </c>
      <c r="D1262" s="35">
        <v>-1.983055556</v>
      </c>
      <c r="E1262" s="32" t="s">
        <v>17</v>
      </c>
      <c r="F1262" s="32" t="s">
        <v>2827</v>
      </c>
      <c r="G1262" s="36" t="e">
        <v>#N/A</v>
      </c>
      <c r="H1262" s="33"/>
      <c r="I1262" s="33"/>
      <c r="J1262" s="33"/>
      <c r="K1262" s="33"/>
      <c r="L1262" s="33"/>
      <c r="M1262" s="33"/>
    </row>
    <row r="1263">
      <c r="A1263" s="32" t="s">
        <v>100</v>
      </c>
      <c r="B1263" s="32" t="s">
        <v>2828</v>
      </c>
      <c r="C1263" s="35">
        <v>44.441101</v>
      </c>
      <c r="D1263" s="35">
        <v>-79.962799</v>
      </c>
      <c r="E1263" s="32" t="s">
        <v>94</v>
      </c>
      <c r="F1263" s="32" t="s">
        <v>2829</v>
      </c>
      <c r="G1263" s="36" t="e">
        <v>#N/A</v>
      </c>
      <c r="H1263" s="33"/>
      <c r="I1263" s="33"/>
      <c r="J1263" s="33"/>
      <c r="K1263" s="33"/>
      <c r="L1263" s="33"/>
      <c r="M1263" s="33"/>
    </row>
    <row r="1264">
      <c r="A1264" s="32" t="s">
        <v>100</v>
      </c>
      <c r="B1264" s="32" t="s">
        <v>2830</v>
      </c>
      <c r="C1264" s="35">
        <v>44.67765578</v>
      </c>
      <c r="D1264" s="35">
        <v>-79.3102169</v>
      </c>
      <c r="E1264" s="32" t="s">
        <v>94</v>
      </c>
      <c r="F1264" s="32" t="s">
        <v>2831</v>
      </c>
      <c r="G1264" s="36" t="e">
        <v>#N/A</v>
      </c>
      <c r="H1264" s="33"/>
      <c r="I1264" s="33"/>
      <c r="J1264" s="33"/>
      <c r="K1264" s="33"/>
      <c r="L1264" s="33"/>
      <c r="M1264" s="33"/>
    </row>
    <row r="1265">
      <c r="A1265" s="32" t="s">
        <v>100</v>
      </c>
      <c r="B1265" s="32" t="s">
        <v>2832</v>
      </c>
      <c r="C1265" s="35">
        <v>44.08940125</v>
      </c>
      <c r="D1265" s="35">
        <v>-79.49500275</v>
      </c>
      <c r="E1265" s="32" t="s">
        <v>94</v>
      </c>
      <c r="F1265" s="32" t="s">
        <v>2833</v>
      </c>
      <c r="G1265" s="36" t="e">
        <v>#N/A</v>
      </c>
      <c r="H1265" s="33"/>
      <c r="I1265" s="33"/>
      <c r="J1265" s="33"/>
      <c r="K1265" s="33"/>
      <c r="L1265" s="33"/>
      <c r="M1265" s="33"/>
    </row>
    <row r="1266">
      <c r="A1266" s="32" t="s">
        <v>100</v>
      </c>
      <c r="B1266" s="32" t="s">
        <v>2834</v>
      </c>
      <c r="C1266" s="35">
        <v>44.158298</v>
      </c>
      <c r="D1266" s="35">
        <v>-81.062798</v>
      </c>
      <c r="E1266" s="32" t="s">
        <v>94</v>
      </c>
      <c r="F1266" s="32" t="s">
        <v>2835</v>
      </c>
      <c r="G1266" s="36" t="e">
        <v>#N/A</v>
      </c>
      <c r="H1266" s="33"/>
      <c r="I1266" s="33"/>
      <c r="J1266" s="33"/>
      <c r="K1266" s="33"/>
      <c r="L1266" s="33"/>
      <c r="M1266" s="33"/>
    </row>
    <row r="1267">
      <c r="A1267" s="32" t="s">
        <v>100</v>
      </c>
      <c r="B1267" s="32" t="s">
        <v>2836</v>
      </c>
      <c r="C1267" s="35">
        <v>29.10860062</v>
      </c>
      <c r="D1267" s="35">
        <v>-95.46209717</v>
      </c>
      <c r="E1267" s="32" t="s">
        <v>180</v>
      </c>
      <c r="F1267" s="32" t="s">
        <v>2837</v>
      </c>
      <c r="G1267" s="39" t="s">
        <v>181</v>
      </c>
      <c r="H1267" s="33"/>
      <c r="I1267" s="33"/>
      <c r="J1267" s="33"/>
      <c r="K1267" s="33"/>
      <c r="L1267" s="33"/>
      <c r="M1267" s="33"/>
    </row>
    <row r="1268">
      <c r="A1268" s="32" t="s">
        <v>100</v>
      </c>
      <c r="B1268" s="32" t="s">
        <v>2838</v>
      </c>
      <c r="C1268" s="35">
        <v>49.97439957</v>
      </c>
      <c r="D1268" s="35">
        <v>14.17809963</v>
      </c>
      <c r="E1268" s="32" t="s">
        <v>1104</v>
      </c>
      <c r="F1268" s="32" t="s">
        <v>2839</v>
      </c>
      <c r="G1268" s="36" t="e">
        <v>#N/A</v>
      </c>
      <c r="H1268" s="33"/>
      <c r="I1268" s="33"/>
      <c r="J1268" s="33"/>
      <c r="K1268" s="33"/>
      <c r="L1268" s="33"/>
      <c r="M1268" s="33"/>
    </row>
    <row r="1269">
      <c r="A1269" s="32" t="s">
        <v>100</v>
      </c>
      <c r="B1269" s="32" t="s">
        <v>2840</v>
      </c>
      <c r="C1269" s="35">
        <v>59.397499</v>
      </c>
      <c r="D1269" s="35">
        <v>11.3469</v>
      </c>
      <c r="E1269" s="32" t="s">
        <v>343</v>
      </c>
      <c r="F1269" s="32" t="s">
        <v>2841</v>
      </c>
      <c r="G1269" s="36" t="e">
        <v>#N/A</v>
      </c>
      <c r="H1269" s="33"/>
      <c r="I1269" s="33"/>
      <c r="J1269" s="33"/>
      <c r="K1269" s="33"/>
      <c r="L1269" s="33"/>
      <c r="M1269" s="33"/>
    </row>
    <row r="1270">
      <c r="A1270" s="32" t="s">
        <v>100</v>
      </c>
      <c r="B1270" s="32" t="s">
        <v>2842</v>
      </c>
      <c r="C1270" s="35">
        <v>51.65579987</v>
      </c>
      <c r="D1270" s="35">
        <v>-0.325832993</v>
      </c>
      <c r="E1270" s="32" t="s">
        <v>90</v>
      </c>
      <c r="F1270" s="32" t="s">
        <v>2843</v>
      </c>
      <c r="G1270" s="39" t="s">
        <v>91</v>
      </c>
      <c r="H1270" s="33"/>
      <c r="I1270" s="33"/>
      <c r="J1270" s="33"/>
      <c r="K1270" s="33"/>
      <c r="L1270" s="33"/>
      <c r="M1270" s="33"/>
    </row>
    <row r="1271">
      <c r="A1271" s="32" t="s">
        <v>100</v>
      </c>
      <c r="B1271" s="32" t="s">
        <v>2844</v>
      </c>
      <c r="C1271" s="35">
        <v>53.55970001</v>
      </c>
      <c r="D1271" s="35">
        <v>-0.858332992</v>
      </c>
      <c r="E1271" s="32" t="s">
        <v>90</v>
      </c>
      <c r="F1271" s="32" t="s">
        <v>2845</v>
      </c>
      <c r="G1271" s="39" t="s">
        <v>91</v>
      </c>
      <c r="H1271" s="33"/>
      <c r="I1271" s="33"/>
      <c r="J1271" s="33"/>
      <c r="K1271" s="33"/>
      <c r="L1271" s="33"/>
      <c r="M1271" s="33"/>
    </row>
    <row r="1272">
      <c r="A1272" s="32" t="s">
        <v>100</v>
      </c>
      <c r="B1272" s="32" t="s">
        <v>2846</v>
      </c>
      <c r="C1272" s="35">
        <v>4.400000095</v>
      </c>
      <c r="D1272" s="35">
        <v>32.58300018</v>
      </c>
      <c r="E1272" s="32" t="s">
        <v>2847</v>
      </c>
      <c r="F1272" s="32" t="s">
        <v>2848</v>
      </c>
      <c r="G1272" s="36" t="e">
        <v>#N/A</v>
      </c>
      <c r="H1272" s="33"/>
      <c r="I1272" s="33"/>
      <c r="J1272" s="33"/>
      <c r="K1272" s="33"/>
      <c r="L1272" s="33"/>
      <c r="M1272" s="33"/>
    </row>
    <row r="1273">
      <c r="A1273" s="32" t="s">
        <v>100</v>
      </c>
      <c r="B1273" s="32" t="s">
        <v>2849</v>
      </c>
      <c r="C1273" s="35">
        <v>59.10110092</v>
      </c>
      <c r="D1273" s="35">
        <v>17.21109962</v>
      </c>
      <c r="E1273" s="32" t="s">
        <v>347</v>
      </c>
      <c r="F1273" s="32" t="s">
        <v>2850</v>
      </c>
      <c r="G1273" s="36" t="e">
        <v>#N/A</v>
      </c>
      <c r="H1273" s="33"/>
      <c r="I1273" s="33"/>
      <c r="J1273" s="33"/>
      <c r="K1273" s="33"/>
      <c r="L1273" s="33"/>
      <c r="M1273" s="33"/>
    </row>
    <row r="1274">
      <c r="A1274" s="32" t="s">
        <v>100</v>
      </c>
      <c r="B1274" s="32" t="s">
        <v>2851</v>
      </c>
      <c r="C1274" s="35">
        <v>47.1957016</v>
      </c>
      <c r="D1274" s="35">
        <v>-122.0220032</v>
      </c>
      <c r="E1274" s="32" t="s">
        <v>180</v>
      </c>
      <c r="F1274" s="32" t="s">
        <v>2852</v>
      </c>
      <c r="G1274" s="39" t="s">
        <v>181</v>
      </c>
      <c r="H1274" s="33"/>
      <c r="I1274" s="33"/>
      <c r="J1274" s="33"/>
      <c r="K1274" s="33"/>
      <c r="L1274" s="33"/>
      <c r="M1274" s="33"/>
    </row>
    <row r="1275">
      <c r="A1275" s="32" t="s">
        <v>100</v>
      </c>
      <c r="B1275" s="32" t="s">
        <v>2853</v>
      </c>
      <c r="C1275" s="35">
        <v>62.92078018</v>
      </c>
      <c r="D1275" s="35">
        <v>152.4227753</v>
      </c>
      <c r="E1275" s="32" t="s">
        <v>2040</v>
      </c>
      <c r="F1275" s="32" t="s">
        <v>2854</v>
      </c>
      <c r="G1275" s="36" t="e">
        <v>#N/A</v>
      </c>
      <c r="H1275" s="33"/>
      <c r="I1275" s="33"/>
      <c r="J1275" s="33"/>
      <c r="K1275" s="33"/>
      <c r="L1275" s="33"/>
      <c r="M1275" s="33"/>
    </row>
    <row r="1276">
      <c r="A1276" s="32" t="s">
        <v>100</v>
      </c>
      <c r="B1276" s="32" t="s">
        <v>2855</v>
      </c>
      <c r="C1276" s="35">
        <v>62.76666641</v>
      </c>
      <c r="D1276" s="35">
        <v>148.1466675</v>
      </c>
      <c r="E1276" s="32" t="s">
        <v>2040</v>
      </c>
      <c r="F1276" s="32" t="s">
        <v>2856</v>
      </c>
      <c r="G1276" s="36" t="e">
        <v>#N/A</v>
      </c>
      <c r="H1276" s="33"/>
      <c r="I1276" s="33"/>
      <c r="J1276" s="33"/>
      <c r="K1276" s="33"/>
      <c r="L1276" s="33"/>
      <c r="M1276" s="33"/>
    </row>
    <row r="1277">
      <c r="A1277" s="32" t="s">
        <v>100</v>
      </c>
      <c r="B1277" s="32" t="s">
        <v>2857</v>
      </c>
      <c r="C1277" s="35">
        <v>60.39749908</v>
      </c>
      <c r="D1277" s="35">
        <v>120.4710007</v>
      </c>
      <c r="E1277" s="32" t="s">
        <v>2040</v>
      </c>
      <c r="F1277" s="32" t="s">
        <v>2858</v>
      </c>
      <c r="G1277" s="36" t="e">
        <v>#N/A</v>
      </c>
      <c r="H1277" s="33"/>
      <c r="I1277" s="33"/>
      <c r="J1277" s="33"/>
      <c r="K1277" s="33"/>
      <c r="L1277" s="33"/>
      <c r="M1277" s="33"/>
    </row>
    <row r="1278">
      <c r="A1278" s="32" t="s">
        <v>100</v>
      </c>
      <c r="B1278" s="32" t="s">
        <v>2859</v>
      </c>
      <c r="C1278" s="35">
        <v>59.45800018</v>
      </c>
      <c r="D1278" s="35">
        <v>112.5630035</v>
      </c>
      <c r="E1278" s="32" t="s">
        <v>2040</v>
      </c>
      <c r="F1278" s="32" t="s">
        <v>2860</v>
      </c>
      <c r="G1278" s="36" t="e">
        <v>#N/A</v>
      </c>
      <c r="H1278" s="33"/>
      <c r="I1278" s="33"/>
      <c r="J1278" s="33"/>
      <c r="K1278" s="33"/>
      <c r="L1278" s="33"/>
      <c r="M1278" s="33"/>
    </row>
    <row r="1279">
      <c r="A1279" s="32" t="s">
        <v>100</v>
      </c>
      <c r="B1279" s="32" t="s">
        <v>2861</v>
      </c>
      <c r="C1279" s="35">
        <v>54.5363884</v>
      </c>
      <c r="D1279" s="35">
        <v>8.680000305</v>
      </c>
      <c r="E1279" s="32" t="s">
        <v>109</v>
      </c>
      <c r="F1279" s="32" t="s">
        <v>2862</v>
      </c>
      <c r="G1279" s="39" t="s">
        <v>110</v>
      </c>
      <c r="H1279" s="33"/>
      <c r="I1279" s="33"/>
      <c r="J1279" s="33"/>
      <c r="K1279" s="33"/>
      <c r="L1279" s="33"/>
      <c r="M1279" s="33"/>
    </row>
    <row r="1280">
      <c r="A1280" s="32" t="s">
        <v>100</v>
      </c>
      <c r="B1280" s="32" t="s">
        <v>2863</v>
      </c>
      <c r="C1280" s="35">
        <v>48.498652</v>
      </c>
      <c r="D1280" s="35">
        <v>2.338867</v>
      </c>
      <c r="E1280" s="32" t="s">
        <v>96</v>
      </c>
      <c r="F1280" s="32" t="s">
        <v>2864</v>
      </c>
      <c r="G1280" s="39" t="s">
        <v>97</v>
      </c>
      <c r="H1280" s="33"/>
      <c r="I1280" s="33"/>
      <c r="J1280" s="33"/>
      <c r="K1280" s="33"/>
      <c r="L1280" s="33"/>
      <c r="M1280" s="33"/>
    </row>
    <row r="1281">
      <c r="A1281" s="32" t="s">
        <v>100</v>
      </c>
      <c r="B1281" s="32" t="s">
        <v>2865</v>
      </c>
      <c r="C1281" s="35">
        <v>32.1108017</v>
      </c>
      <c r="D1281" s="35">
        <v>-84.18890381</v>
      </c>
      <c r="E1281" s="32" t="s">
        <v>180</v>
      </c>
      <c r="F1281" s="32" t="s">
        <v>2866</v>
      </c>
      <c r="G1281" s="39" t="s">
        <v>181</v>
      </c>
      <c r="H1281" s="33"/>
      <c r="I1281" s="33"/>
      <c r="J1281" s="33"/>
      <c r="K1281" s="33"/>
      <c r="L1281" s="33"/>
      <c r="M1281" s="33"/>
    </row>
    <row r="1282">
      <c r="A1282" s="32" t="s">
        <v>100</v>
      </c>
      <c r="B1282" s="32" t="s">
        <v>2867</v>
      </c>
      <c r="C1282" s="35">
        <v>-1.226111</v>
      </c>
      <c r="D1282" s="35">
        <v>29.96</v>
      </c>
      <c r="E1282" s="32" t="s">
        <v>2219</v>
      </c>
      <c r="F1282" s="32" t="s">
        <v>2868</v>
      </c>
      <c r="G1282" s="36" t="e">
        <v>#N/A</v>
      </c>
      <c r="H1282" s="33"/>
      <c r="I1282" s="33"/>
      <c r="J1282" s="33"/>
      <c r="K1282" s="33"/>
      <c r="L1282" s="33"/>
      <c r="M1282" s="33"/>
    </row>
    <row r="1283">
      <c r="A1283" s="32" t="s">
        <v>100</v>
      </c>
      <c r="B1283" s="32" t="s">
        <v>2869</v>
      </c>
      <c r="C1283" s="35">
        <v>10.6833334</v>
      </c>
      <c r="D1283" s="35">
        <v>-84.83333588</v>
      </c>
      <c r="E1283" s="32" t="s">
        <v>96</v>
      </c>
      <c r="F1283" s="32" t="s">
        <v>2870</v>
      </c>
      <c r="G1283" s="39" t="s">
        <v>97</v>
      </c>
      <c r="H1283" s="33"/>
      <c r="I1283" s="33"/>
      <c r="J1283" s="33"/>
      <c r="K1283" s="33"/>
      <c r="L1283" s="33"/>
      <c r="M1283" s="33"/>
    </row>
    <row r="1284">
      <c r="A1284" s="32" t="s">
        <v>100</v>
      </c>
      <c r="B1284" s="32" t="s">
        <v>2871</v>
      </c>
      <c r="C1284" s="35">
        <v>8.916666985</v>
      </c>
      <c r="D1284" s="35">
        <v>-71.93333435</v>
      </c>
      <c r="E1284" s="32" t="s">
        <v>115</v>
      </c>
      <c r="F1284" s="32" t="s">
        <v>2872</v>
      </c>
      <c r="G1284" s="39" t="s">
        <v>116</v>
      </c>
      <c r="H1284" s="33"/>
      <c r="I1284" s="33"/>
      <c r="J1284" s="33"/>
      <c r="K1284" s="33"/>
      <c r="L1284" s="33"/>
      <c r="M1284" s="33"/>
    </row>
    <row r="1285">
      <c r="A1285" s="32" t="s">
        <v>100</v>
      </c>
      <c r="B1285" s="32" t="s">
        <v>2873</v>
      </c>
      <c r="C1285" s="35">
        <v>43.98419952</v>
      </c>
      <c r="D1285" s="35">
        <v>28.60969925</v>
      </c>
      <c r="E1285" s="32" t="s">
        <v>2874</v>
      </c>
      <c r="F1285" s="32" t="s">
        <v>2875</v>
      </c>
      <c r="G1285" s="36" t="e">
        <v>#N/A</v>
      </c>
      <c r="H1285" s="33"/>
      <c r="I1285" s="33"/>
      <c r="J1285" s="33"/>
      <c r="K1285" s="33"/>
      <c r="L1285" s="33"/>
      <c r="M1285" s="33"/>
    </row>
    <row r="1286">
      <c r="A1286" s="32" t="s">
        <v>100</v>
      </c>
      <c r="B1286" s="32" t="s">
        <v>2876</v>
      </c>
      <c r="C1286" s="35">
        <v>-35.96055603</v>
      </c>
      <c r="D1286" s="35">
        <v>-71.79333496</v>
      </c>
      <c r="E1286" s="32" t="s">
        <v>180</v>
      </c>
      <c r="F1286" s="32" t="s">
        <v>2877</v>
      </c>
      <c r="G1286" s="39" t="s">
        <v>181</v>
      </c>
      <c r="H1286" s="33"/>
      <c r="I1286" s="33"/>
      <c r="J1286" s="33"/>
      <c r="K1286" s="33"/>
      <c r="L1286" s="33"/>
      <c r="M1286" s="33"/>
    </row>
    <row r="1287">
      <c r="A1287" s="32" t="s">
        <v>100</v>
      </c>
      <c r="B1287" s="32" t="s">
        <v>2878</v>
      </c>
      <c r="C1287" s="35">
        <v>10.0666666</v>
      </c>
      <c r="D1287" s="35">
        <v>-84.8833313</v>
      </c>
      <c r="E1287" s="32" t="s">
        <v>180</v>
      </c>
      <c r="F1287" s="32" t="s">
        <v>2879</v>
      </c>
      <c r="G1287" s="39" t="s">
        <v>181</v>
      </c>
      <c r="H1287" s="33"/>
      <c r="I1287" s="33"/>
      <c r="J1287" s="33"/>
      <c r="K1287" s="33"/>
      <c r="L1287" s="33"/>
      <c r="M1287" s="33"/>
    </row>
    <row r="1288">
      <c r="A1288" s="32" t="s">
        <v>100</v>
      </c>
      <c r="B1288" s="32" t="s">
        <v>2880</v>
      </c>
      <c r="C1288" s="35">
        <v>-22.46249962</v>
      </c>
      <c r="D1288" s="35">
        <v>-43.1305542</v>
      </c>
      <c r="E1288" s="32" t="s">
        <v>2881</v>
      </c>
      <c r="F1288" s="32" t="s">
        <v>2882</v>
      </c>
      <c r="G1288" s="36" t="e">
        <v>#N/A</v>
      </c>
      <c r="H1288" s="33"/>
      <c r="I1288" s="33"/>
      <c r="J1288" s="33"/>
      <c r="K1288" s="33"/>
      <c r="L1288" s="33"/>
      <c r="M1288" s="33"/>
    </row>
    <row r="1289">
      <c r="A1289" s="32" t="s">
        <v>100</v>
      </c>
      <c r="B1289" s="32" t="s">
        <v>2883</v>
      </c>
      <c r="C1289" s="35">
        <v>1.042780042</v>
      </c>
      <c r="D1289" s="35">
        <v>-50.51670074</v>
      </c>
      <c r="E1289" s="32" t="s">
        <v>1832</v>
      </c>
      <c r="F1289" s="32" t="s">
        <v>2884</v>
      </c>
      <c r="G1289" s="36" t="e">
        <v>#N/A</v>
      </c>
      <c r="H1289" s="33"/>
      <c r="I1289" s="33"/>
      <c r="J1289" s="33"/>
      <c r="K1289" s="33"/>
      <c r="L1289" s="33"/>
      <c r="M1289" s="33"/>
    </row>
    <row r="1290">
      <c r="A1290" s="32" t="s">
        <v>100</v>
      </c>
      <c r="B1290" s="32" t="s">
        <v>2885</v>
      </c>
      <c r="C1290" s="35">
        <v>-23.12999916</v>
      </c>
      <c r="D1290" s="35">
        <v>113.7770004</v>
      </c>
      <c r="E1290" s="32" t="s">
        <v>1968</v>
      </c>
      <c r="F1290" s="32" t="s">
        <v>2886</v>
      </c>
      <c r="G1290" s="36" t="e">
        <v>#N/A</v>
      </c>
      <c r="H1290" s="33"/>
      <c r="I1290" s="33"/>
      <c r="J1290" s="33"/>
      <c r="K1290" s="33"/>
      <c r="L1290" s="33"/>
      <c r="M1290" s="33"/>
    </row>
    <row r="1291">
      <c r="A1291" s="32" t="s">
        <v>100</v>
      </c>
      <c r="B1291" s="32" t="s">
        <v>2887</v>
      </c>
      <c r="C1291" s="35">
        <v>63.303333</v>
      </c>
      <c r="D1291" s="35">
        <v>-143.001111</v>
      </c>
      <c r="E1291" s="32" t="s">
        <v>180</v>
      </c>
      <c r="F1291" s="32" t="s">
        <v>2888</v>
      </c>
      <c r="G1291" s="39" t="s">
        <v>181</v>
      </c>
      <c r="H1291" s="33"/>
      <c r="I1291" s="33"/>
      <c r="J1291" s="33"/>
      <c r="K1291" s="33"/>
      <c r="L1291" s="33"/>
      <c r="M1291" s="33"/>
    </row>
    <row r="1292">
      <c r="A1292" s="32" t="s">
        <v>100</v>
      </c>
      <c r="B1292" s="32" t="s">
        <v>2889</v>
      </c>
      <c r="C1292" s="35">
        <v>51.19390106</v>
      </c>
      <c r="D1292" s="35">
        <v>-1.234719992</v>
      </c>
      <c r="E1292" s="32" t="s">
        <v>90</v>
      </c>
      <c r="F1292" s="32" t="s">
        <v>2890</v>
      </c>
      <c r="G1292" s="39" t="s">
        <v>91</v>
      </c>
      <c r="H1292" s="33"/>
      <c r="I1292" s="33"/>
      <c r="J1292" s="33"/>
      <c r="K1292" s="33"/>
      <c r="L1292" s="33"/>
      <c r="M1292" s="33"/>
    </row>
    <row r="1293">
      <c r="A1293" s="32" t="s">
        <v>100</v>
      </c>
      <c r="B1293" s="32" t="s">
        <v>2891</v>
      </c>
      <c r="C1293" s="35">
        <v>24.08948845</v>
      </c>
      <c r="D1293" s="35">
        <v>-76.39791727</v>
      </c>
      <c r="E1293" s="32" t="s">
        <v>319</v>
      </c>
      <c r="F1293" s="32" t="s">
        <v>2892</v>
      </c>
      <c r="G1293" s="36" t="e">
        <v>#N/A</v>
      </c>
      <c r="H1293" s="33"/>
      <c r="I1293" s="33"/>
      <c r="J1293" s="33"/>
      <c r="K1293" s="33"/>
      <c r="L1293" s="33"/>
      <c r="M1293" s="33"/>
    </row>
    <row r="1294">
      <c r="A1294" s="32" t="s">
        <v>100</v>
      </c>
      <c r="B1294" s="32" t="s">
        <v>2893</v>
      </c>
      <c r="C1294" s="35">
        <v>36.16120148</v>
      </c>
      <c r="D1294" s="35">
        <v>-97.08570099</v>
      </c>
      <c r="E1294" s="32" t="s">
        <v>180</v>
      </c>
      <c r="F1294" s="32" t="s">
        <v>2894</v>
      </c>
      <c r="G1294" s="39" t="s">
        <v>181</v>
      </c>
      <c r="H1294" s="33"/>
      <c r="I1294" s="33"/>
      <c r="J1294" s="33"/>
      <c r="K1294" s="33"/>
      <c r="L1294" s="33"/>
      <c r="M1294" s="33"/>
    </row>
    <row r="1295">
      <c r="A1295" s="32" t="s">
        <v>100</v>
      </c>
      <c r="B1295" s="32" t="s">
        <v>2895</v>
      </c>
      <c r="C1295" s="35">
        <v>35.66809845</v>
      </c>
      <c r="D1295" s="35">
        <v>-95.94869995</v>
      </c>
      <c r="E1295" s="32" t="s">
        <v>180</v>
      </c>
      <c r="F1295" s="32" t="s">
        <v>2896</v>
      </c>
      <c r="G1295" s="39" t="s">
        <v>181</v>
      </c>
      <c r="H1295" s="33"/>
      <c r="I1295" s="33"/>
      <c r="J1295" s="33"/>
      <c r="K1295" s="33"/>
      <c r="L1295" s="33"/>
      <c r="M1295" s="33"/>
    </row>
    <row r="1296">
      <c r="A1296" s="32" t="s">
        <v>100</v>
      </c>
      <c r="B1296" s="32" t="s">
        <v>2897</v>
      </c>
      <c r="C1296" s="35">
        <v>35.94990158</v>
      </c>
      <c r="D1296" s="35">
        <v>-96.77310181</v>
      </c>
      <c r="E1296" s="32" t="s">
        <v>180</v>
      </c>
      <c r="F1296" s="32" t="s">
        <v>2898</v>
      </c>
      <c r="G1296" s="39" t="s">
        <v>181</v>
      </c>
      <c r="H1296" s="33"/>
      <c r="I1296" s="33"/>
      <c r="J1296" s="33"/>
      <c r="K1296" s="33"/>
      <c r="L1296" s="33"/>
      <c r="M1296" s="33"/>
    </row>
    <row r="1297">
      <c r="A1297" s="32" t="s">
        <v>100</v>
      </c>
      <c r="B1297" s="32" t="s">
        <v>2899</v>
      </c>
      <c r="C1297" s="35">
        <v>35.33980179</v>
      </c>
      <c r="D1297" s="35">
        <v>-99.20050049</v>
      </c>
      <c r="E1297" s="32" t="s">
        <v>180</v>
      </c>
      <c r="F1297" s="32" t="s">
        <v>2900</v>
      </c>
      <c r="G1297" s="39" t="s">
        <v>181</v>
      </c>
      <c r="H1297" s="33"/>
      <c r="I1297" s="33"/>
      <c r="J1297" s="33"/>
      <c r="K1297" s="33"/>
      <c r="L1297" s="33"/>
      <c r="M1297" s="33"/>
    </row>
    <row r="1298">
      <c r="A1298" s="32" t="s">
        <v>100</v>
      </c>
      <c r="B1298" s="32" t="s">
        <v>2901</v>
      </c>
      <c r="C1298" s="35">
        <v>37.16859818</v>
      </c>
      <c r="D1298" s="35">
        <v>-97.03759766</v>
      </c>
      <c r="E1298" s="32" t="s">
        <v>180</v>
      </c>
      <c r="F1298" s="32" t="s">
        <v>2902</v>
      </c>
      <c r="G1298" s="39" t="s">
        <v>181</v>
      </c>
      <c r="H1298" s="33"/>
      <c r="I1298" s="33"/>
      <c r="J1298" s="33"/>
      <c r="K1298" s="33"/>
      <c r="L1298" s="33"/>
      <c r="M1298" s="33"/>
    </row>
    <row r="1299">
      <c r="A1299" s="32" t="s">
        <v>100</v>
      </c>
      <c r="B1299" s="32" t="s">
        <v>2903</v>
      </c>
      <c r="C1299" s="35">
        <v>35.53419876</v>
      </c>
      <c r="D1299" s="35">
        <v>-97.64710236</v>
      </c>
      <c r="E1299" s="32" t="s">
        <v>180</v>
      </c>
      <c r="F1299" s="32" t="s">
        <v>2904</v>
      </c>
      <c r="G1299" s="39" t="s">
        <v>181</v>
      </c>
      <c r="H1299" s="33"/>
      <c r="I1299" s="33"/>
      <c r="J1299" s="33"/>
      <c r="K1299" s="33"/>
      <c r="L1299" s="33"/>
      <c r="M1299" s="33"/>
    </row>
    <row r="1300">
      <c r="A1300" s="32" t="s">
        <v>100</v>
      </c>
      <c r="B1300" s="32" t="s">
        <v>2905</v>
      </c>
      <c r="C1300" s="35">
        <v>32.54019928</v>
      </c>
      <c r="D1300" s="35">
        <v>-93.74500275</v>
      </c>
      <c r="E1300" s="32" t="s">
        <v>180</v>
      </c>
      <c r="F1300" s="32" t="s">
        <v>2906</v>
      </c>
      <c r="G1300" s="39" t="s">
        <v>181</v>
      </c>
      <c r="H1300" s="33"/>
      <c r="I1300" s="33"/>
      <c r="J1300" s="33"/>
      <c r="K1300" s="33"/>
      <c r="L1300" s="33"/>
      <c r="M1300" s="33"/>
    </row>
    <row r="1301">
      <c r="A1301" s="32" t="s">
        <v>100</v>
      </c>
      <c r="B1301" s="32" t="s">
        <v>2907</v>
      </c>
      <c r="C1301" s="35">
        <v>32.21530151</v>
      </c>
      <c r="D1301" s="35">
        <v>-98.17769623</v>
      </c>
      <c r="E1301" s="32" t="s">
        <v>180</v>
      </c>
      <c r="F1301" s="32" t="s">
        <v>2908</v>
      </c>
      <c r="G1301" s="39" t="s">
        <v>181</v>
      </c>
      <c r="H1301" s="33"/>
      <c r="I1301" s="33"/>
      <c r="J1301" s="33"/>
      <c r="K1301" s="33"/>
      <c r="L1301" s="33"/>
      <c r="M1301" s="33"/>
    </row>
    <row r="1302">
      <c r="A1302" s="32" t="s">
        <v>100</v>
      </c>
      <c r="B1302" s="32" t="s">
        <v>2909</v>
      </c>
      <c r="C1302" s="35">
        <v>36.38560104</v>
      </c>
      <c r="D1302" s="35">
        <v>-97.27719879</v>
      </c>
      <c r="E1302" s="32" t="s">
        <v>180</v>
      </c>
      <c r="F1302" s="32" t="s">
        <v>2910</v>
      </c>
      <c r="G1302" s="39" t="s">
        <v>181</v>
      </c>
      <c r="H1302" s="33"/>
      <c r="I1302" s="33"/>
      <c r="J1302" s="33"/>
      <c r="K1302" s="33"/>
      <c r="L1302" s="33"/>
      <c r="M1302" s="33"/>
    </row>
    <row r="1303">
      <c r="A1303" s="32" t="s">
        <v>100</v>
      </c>
      <c r="B1303" s="32" t="s">
        <v>2911</v>
      </c>
      <c r="C1303" s="35">
        <v>31.66589928</v>
      </c>
      <c r="D1303" s="35">
        <v>-98.14859772</v>
      </c>
      <c r="E1303" s="32" t="s">
        <v>180</v>
      </c>
      <c r="F1303" s="32" t="s">
        <v>2683</v>
      </c>
      <c r="G1303" s="39" t="s">
        <v>181</v>
      </c>
      <c r="H1303" s="33"/>
      <c r="I1303" s="33"/>
      <c r="J1303" s="33"/>
      <c r="K1303" s="33"/>
      <c r="L1303" s="33"/>
      <c r="M1303" s="33"/>
    </row>
    <row r="1304">
      <c r="A1304" s="32" t="s">
        <v>100</v>
      </c>
      <c r="B1304" s="32" t="s">
        <v>2912</v>
      </c>
      <c r="C1304" s="35">
        <v>34.8042984</v>
      </c>
      <c r="D1304" s="35">
        <v>-96.6713028</v>
      </c>
      <c r="E1304" s="32" t="s">
        <v>180</v>
      </c>
      <c r="F1304" s="32" t="s">
        <v>2913</v>
      </c>
      <c r="G1304" s="39" t="s">
        <v>181</v>
      </c>
      <c r="H1304" s="33"/>
      <c r="I1304" s="33"/>
      <c r="J1304" s="33"/>
      <c r="K1304" s="33"/>
      <c r="L1304" s="33"/>
      <c r="M1304" s="33"/>
    </row>
    <row r="1305">
      <c r="A1305" s="32" t="s">
        <v>100</v>
      </c>
      <c r="B1305" s="32" t="s">
        <v>2914</v>
      </c>
      <c r="C1305" s="35">
        <v>32.74700165</v>
      </c>
      <c r="D1305" s="35">
        <v>-96.53040314</v>
      </c>
      <c r="E1305" s="32" t="s">
        <v>180</v>
      </c>
      <c r="F1305" s="32" t="s">
        <v>2915</v>
      </c>
      <c r="G1305" s="39" t="s">
        <v>181</v>
      </c>
      <c r="H1305" s="33"/>
      <c r="I1305" s="33"/>
      <c r="J1305" s="33"/>
      <c r="K1305" s="33"/>
      <c r="L1305" s="33"/>
      <c r="M1305" s="33"/>
    </row>
    <row r="1306">
      <c r="A1306" s="32" t="s">
        <v>100</v>
      </c>
      <c r="B1306" s="32" t="s">
        <v>2916</v>
      </c>
      <c r="C1306" s="35">
        <v>33.20069885</v>
      </c>
      <c r="D1306" s="35">
        <v>-97.19799805</v>
      </c>
      <c r="E1306" s="32" t="s">
        <v>180</v>
      </c>
      <c r="F1306" s="32" t="s">
        <v>2917</v>
      </c>
      <c r="G1306" s="39" t="s">
        <v>181</v>
      </c>
      <c r="H1306" s="33"/>
      <c r="I1306" s="33"/>
      <c r="J1306" s="33"/>
      <c r="K1306" s="33"/>
      <c r="L1306" s="33"/>
      <c r="M1306" s="33"/>
    </row>
    <row r="1307">
      <c r="A1307" s="32" t="s">
        <v>100</v>
      </c>
      <c r="B1307" s="32" t="s">
        <v>2918</v>
      </c>
      <c r="C1307" s="35">
        <v>30.3974931</v>
      </c>
      <c r="D1307" s="35">
        <v>-97.5663935</v>
      </c>
      <c r="E1307" s="32" t="s">
        <v>180</v>
      </c>
      <c r="F1307" s="32" t="s">
        <v>2919</v>
      </c>
      <c r="G1307" s="39" t="s">
        <v>181</v>
      </c>
      <c r="H1307" s="33"/>
      <c r="I1307" s="33"/>
      <c r="J1307" s="33"/>
      <c r="K1307" s="33"/>
      <c r="L1307" s="33"/>
      <c r="M1307" s="33"/>
    </row>
    <row r="1308">
      <c r="A1308" s="32" t="s">
        <v>100</v>
      </c>
      <c r="B1308" s="32" t="s">
        <v>2920</v>
      </c>
      <c r="C1308" s="35">
        <v>30.49860001</v>
      </c>
      <c r="D1308" s="35">
        <v>-97.96949768</v>
      </c>
      <c r="E1308" s="32" t="s">
        <v>180</v>
      </c>
      <c r="F1308" s="32" t="s">
        <v>2921</v>
      </c>
      <c r="G1308" s="39" t="s">
        <v>181</v>
      </c>
      <c r="H1308" s="33"/>
      <c r="I1308" s="33"/>
      <c r="J1308" s="33"/>
      <c r="K1308" s="33"/>
      <c r="L1308" s="33"/>
      <c r="M1308" s="33"/>
    </row>
    <row r="1309">
      <c r="A1309" s="32" t="s">
        <v>100</v>
      </c>
      <c r="B1309" s="32" t="s">
        <v>2922</v>
      </c>
      <c r="C1309" s="35">
        <v>30.21899986</v>
      </c>
      <c r="D1309" s="35">
        <v>-96.3742981</v>
      </c>
      <c r="E1309" s="32" t="s">
        <v>180</v>
      </c>
      <c r="F1309" s="32" t="s">
        <v>2923</v>
      </c>
      <c r="G1309" s="39" t="s">
        <v>181</v>
      </c>
      <c r="H1309" s="33"/>
      <c r="I1309" s="33"/>
      <c r="J1309" s="33"/>
      <c r="K1309" s="33"/>
      <c r="L1309" s="33"/>
      <c r="M1309" s="33"/>
    </row>
    <row r="1310">
      <c r="A1310" s="32" t="s">
        <v>100</v>
      </c>
      <c r="B1310" s="32" t="s">
        <v>2924</v>
      </c>
      <c r="C1310" s="35">
        <v>30.35750008</v>
      </c>
      <c r="D1310" s="35">
        <v>-97.99449921</v>
      </c>
      <c r="E1310" s="32" t="s">
        <v>180</v>
      </c>
      <c r="F1310" s="32" t="s">
        <v>2925</v>
      </c>
      <c r="G1310" s="39" t="s">
        <v>181</v>
      </c>
      <c r="H1310" s="33"/>
      <c r="I1310" s="33"/>
      <c r="J1310" s="33"/>
      <c r="K1310" s="33"/>
      <c r="L1310" s="33"/>
      <c r="M1310" s="33"/>
    </row>
    <row r="1311">
      <c r="A1311" s="32" t="s">
        <v>100</v>
      </c>
      <c r="B1311" s="32" t="s">
        <v>2926</v>
      </c>
      <c r="C1311" s="35">
        <v>30.90570068</v>
      </c>
      <c r="D1311" s="35">
        <v>-101.8919983</v>
      </c>
      <c r="E1311" s="32" t="s">
        <v>180</v>
      </c>
      <c r="F1311" s="32" t="s">
        <v>2927</v>
      </c>
      <c r="G1311" s="39" t="s">
        <v>181</v>
      </c>
      <c r="H1311" s="33"/>
      <c r="I1311" s="33"/>
      <c r="J1311" s="33"/>
      <c r="K1311" s="33"/>
      <c r="L1311" s="33"/>
      <c r="M1311" s="33"/>
    </row>
    <row r="1312">
      <c r="A1312" s="32" t="s">
        <v>100</v>
      </c>
      <c r="B1312" s="32" t="s">
        <v>2928</v>
      </c>
      <c r="C1312" s="35">
        <v>29.81270027</v>
      </c>
      <c r="D1312" s="35">
        <v>-98.4253006</v>
      </c>
      <c r="E1312" s="32" t="s">
        <v>180</v>
      </c>
      <c r="F1312" s="32" t="s">
        <v>2929</v>
      </c>
      <c r="G1312" s="39" t="s">
        <v>181</v>
      </c>
      <c r="H1312" s="33"/>
      <c r="I1312" s="33"/>
      <c r="J1312" s="33"/>
      <c r="K1312" s="33"/>
      <c r="L1312" s="33"/>
      <c r="M1312" s="33"/>
    </row>
    <row r="1313">
      <c r="A1313" s="32" t="s">
        <v>100</v>
      </c>
      <c r="B1313" s="32" t="s">
        <v>2930</v>
      </c>
      <c r="C1313" s="35">
        <v>27.51490021</v>
      </c>
      <c r="D1313" s="35">
        <v>-81.88050079</v>
      </c>
      <c r="E1313" s="32" t="s">
        <v>180</v>
      </c>
      <c r="F1313" s="32" t="s">
        <v>2931</v>
      </c>
      <c r="G1313" s="39" t="s">
        <v>181</v>
      </c>
      <c r="H1313" s="33"/>
      <c r="I1313" s="33"/>
      <c r="J1313" s="33"/>
      <c r="K1313" s="33"/>
      <c r="L1313" s="33"/>
      <c r="M1313" s="33"/>
    </row>
    <row r="1314">
      <c r="A1314" s="32" t="s">
        <v>100</v>
      </c>
      <c r="B1314" s="32" t="s">
        <v>2932</v>
      </c>
      <c r="C1314" s="35">
        <v>-37.69169998</v>
      </c>
      <c r="D1314" s="35">
        <v>145.3670044</v>
      </c>
      <c r="E1314" s="32" t="s">
        <v>1968</v>
      </c>
      <c r="F1314" s="32" t="s">
        <v>2933</v>
      </c>
      <c r="G1314" s="36" t="e">
        <v>#N/A</v>
      </c>
      <c r="H1314" s="33"/>
      <c r="I1314" s="33"/>
      <c r="J1314" s="33"/>
      <c r="K1314" s="33"/>
      <c r="L1314" s="33"/>
      <c r="M1314" s="33"/>
    </row>
    <row r="1315">
      <c r="A1315" s="32" t="s">
        <v>100</v>
      </c>
      <c r="B1315" s="32" t="s">
        <v>2934</v>
      </c>
      <c r="C1315" s="35">
        <v>6.203333333</v>
      </c>
      <c r="D1315" s="35">
        <v>6.658888889</v>
      </c>
      <c r="E1315" s="32" t="s">
        <v>19</v>
      </c>
      <c r="F1315" s="32" t="s">
        <v>2935</v>
      </c>
      <c r="G1315" s="36" t="e">
        <v>#N/A</v>
      </c>
      <c r="H1315" s="33"/>
      <c r="I1315" s="33"/>
      <c r="J1315" s="33"/>
      <c r="K1315" s="33"/>
      <c r="L1315" s="33"/>
      <c r="M1315" s="33"/>
    </row>
    <row r="1316">
      <c r="A1316" s="32" t="s">
        <v>100</v>
      </c>
      <c r="B1316" s="32" t="s">
        <v>2936</v>
      </c>
      <c r="C1316" s="35">
        <v>-6.355374</v>
      </c>
      <c r="D1316" s="35">
        <v>31.084116</v>
      </c>
      <c r="E1316" s="32" t="s">
        <v>2937</v>
      </c>
      <c r="F1316" s="32" t="s">
        <v>2938</v>
      </c>
      <c r="G1316" s="36" t="e">
        <v>#N/A</v>
      </c>
      <c r="H1316" s="33"/>
      <c r="I1316" s="33"/>
      <c r="J1316" s="33"/>
      <c r="K1316" s="33"/>
      <c r="L1316" s="33"/>
      <c r="M1316" s="33"/>
    </row>
    <row r="1317">
      <c r="A1317" s="32" t="s">
        <v>100</v>
      </c>
      <c r="B1317" s="32" t="s">
        <v>2939</v>
      </c>
      <c r="C1317" s="35">
        <v>-6.79722023</v>
      </c>
      <c r="D1317" s="35">
        <v>37.65309906</v>
      </c>
      <c r="E1317" s="32" t="s">
        <v>2937</v>
      </c>
      <c r="F1317" s="32" t="s">
        <v>2940</v>
      </c>
      <c r="G1317" s="36" t="e">
        <v>#N/A</v>
      </c>
      <c r="H1317" s="33"/>
      <c r="I1317" s="33"/>
      <c r="J1317" s="33"/>
      <c r="K1317" s="33"/>
      <c r="L1317" s="33"/>
      <c r="M1317" s="33"/>
    </row>
    <row r="1318">
      <c r="A1318" s="32" t="s">
        <v>100</v>
      </c>
      <c r="B1318" s="32" t="s">
        <v>2941</v>
      </c>
      <c r="C1318" s="35">
        <v>53.47169876</v>
      </c>
      <c r="D1318" s="35">
        <v>-2.389719963</v>
      </c>
      <c r="E1318" s="32" t="s">
        <v>90</v>
      </c>
      <c r="F1318" s="32" t="s">
        <v>2942</v>
      </c>
      <c r="G1318" s="39" t="s">
        <v>91</v>
      </c>
      <c r="H1318" s="33"/>
      <c r="I1318" s="33"/>
      <c r="J1318" s="33"/>
      <c r="K1318" s="33"/>
      <c r="L1318" s="33"/>
      <c r="M1318" s="33"/>
    </row>
    <row r="1319">
      <c r="A1319" s="32" t="s">
        <v>100</v>
      </c>
      <c r="B1319" s="32" t="s">
        <v>2943</v>
      </c>
      <c r="C1319" s="35">
        <v>52.83390045</v>
      </c>
      <c r="D1319" s="35">
        <v>-2.771670103</v>
      </c>
      <c r="E1319" s="32" t="s">
        <v>90</v>
      </c>
      <c r="F1319" s="32" t="s">
        <v>2944</v>
      </c>
      <c r="G1319" s="39" t="s">
        <v>91</v>
      </c>
      <c r="H1319" s="33"/>
      <c r="I1319" s="33"/>
      <c r="J1319" s="33"/>
      <c r="K1319" s="33"/>
      <c r="L1319" s="33"/>
      <c r="M1319" s="33"/>
    </row>
    <row r="1320">
      <c r="A1320" s="32" t="s">
        <v>100</v>
      </c>
      <c r="B1320" s="32" t="s">
        <v>2945</v>
      </c>
      <c r="C1320" s="35">
        <v>52.81470108</v>
      </c>
      <c r="D1320" s="35">
        <v>-1.761109948</v>
      </c>
      <c r="E1320" s="32" t="s">
        <v>90</v>
      </c>
      <c r="F1320" s="32" t="s">
        <v>2946</v>
      </c>
      <c r="G1320" s="39" t="s">
        <v>91</v>
      </c>
      <c r="H1320" s="33"/>
      <c r="I1320" s="33"/>
      <c r="J1320" s="33"/>
      <c r="K1320" s="33"/>
      <c r="L1320" s="33"/>
      <c r="M1320" s="33"/>
    </row>
    <row r="1321">
      <c r="A1321" s="32" t="s">
        <v>100</v>
      </c>
      <c r="B1321" s="32" t="s">
        <v>2947</v>
      </c>
      <c r="C1321" s="35">
        <v>53.98059845</v>
      </c>
      <c r="D1321" s="35">
        <v>-0.864722013</v>
      </c>
      <c r="E1321" s="32" t="s">
        <v>90</v>
      </c>
      <c r="F1321" s="32" t="s">
        <v>2948</v>
      </c>
      <c r="G1321" s="39" t="s">
        <v>91</v>
      </c>
      <c r="H1321" s="33"/>
      <c r="I1321" s="33"/>
      <c r="J1321" s="33"/>
      <c r="K1321" s="33"/>
      <c r="L1321" s="33"/>
      <c r="M1321" s="33"/>
    </row>
    <row r="1322">
      <c r="A1322" s="32" t="s">
        <v>100</v>
      </c>
      <c r="B1322" s="32" t="s">
        <v>2949</v>
      </c>
      <c r="C1322" s="35">
        <v>53.788458</v>
      </c>
      <c r="D1322" s="35">
        <v>-1.216877</v>
      </c>
      <c r="E1322" s="32" t="s">
        <v>90</v>
      </c>
      <c r="F1322" s="32" t="s">
        <v>2950</v>
      </c>
      <c r="G1322" s="39" t="s">
        <v>91</v>
      </c>
      <c r="H1322" s="33"/>
      <c r="I1322" s="33"/>
      <c r="J1322" s="33"/>
      <c r="K1322" s="33"/>
      <c r="L1322" s="33"/>
      <c r="M1322" s="33"/>
    </row>
    <row r="1323">
      <c r="A1323" s="32" t="s">
        <v>100</v>
      </c>
      <c r="B1323" s="32" t="s">
        <v>2951</v>
      </c>
      <c r="C1323" s="35">
        <v>-0.940325022</v>
      </c>
      <c r="D1323" s="35">
        <v>114.8938751</v>
      </c>
      <c r="E1323" s="32" t="s">
        <v>280</v>
      </c>
      <c r="F1323" s="32" t="s">
        <v>2952</v>
      </c>
      <c r="G1323" s="36" t="e">
        <v>#N/A</v>
      </c>
      <c r="H1323" s="33"/>
      <c r="I1323" s="33"/>
      <c r="J1323" s="33"/>
      <c r="K1323" s="33"/>
      <c r="L1323" s="33"/>
      <c r="M1323" s="33"/>
    </row>
    <row r="1324">
      <c r="A1324" s="32" t="s">
        <v>100</v>
      </c>
      <c r="B1324" s="32" t="s">
        <v>2953</v>
      </c>
      <c r="C1324" s="35">
        <v>-1.1278</v>
      </c>
      <c r="D1324" s="35">
        <v>102.135</v>
      </c>
      <c r="E1324" s="32" t="s">
        <v>280</v>
      </c>
      <c r="F1324" s="32" t="s">
        <v>2954</v>
      </c>
      <c r="G1324" s="36" t="e">
        <v>#N/A</v>
      </c>
      <c r="H1324" s="33"/>
      <c r="I1324" s="33"/>
      <c r="J1324" s="33"/>
      <c r="K1324" s="33"/>
      <c r="L1324" s="33"/>
      <c r="M1324" s="33"/>
    </row>
    <row r="1325">
      <c r="A1325" s="32" t="s">
        <v>100</v>
      </c>
      <c r="B1325" s="32" t="s">
        <v>2955</v>
      </c>
      <c r="C1325" s="35">
        <v>-6.1751</v>
      </c>
      <c r="D1325" s="35">
        <v>120.4362</v>
      </c>
      <c r="E1325" s="32" t="s">
        <v>280</v>
      </c>
      <c r="F1325" s="32" t="s">
        <v>2956</v>
      </c>
      <c r="G1325" s="36" t="e">
        <v>#N/A</v>
      </c>
      <c r="H1325" s="33"/>
      <c r="I1325" s="33"/>
      <c r="J1325" s="33"/>
      <c r="K1325" s="33"/>
      <c r="L1325" s="33"/>
      <c r="M1325" s="33"/>
    </row>
    <row r="1326">
      <c r="A1326" s="32" t="s">
        <v>100</v>
      </c>
      <c r="B1326" s="32" t="s">
        <v>2957</v>
      </c>
      <c r="C1326" s="35">
        <v>-3.97648</v>
      </c>
      <c r="D1326" s="35">
        <v>137.6225</v>
      </c>
      <c r="E1326" s="32" t="s">
        <v>280</v>
      </c>
      <c r="F1326" s="32" t="s">
        <v>2958</v>
      </c>
      <c r="G1326" s="36" t="e">
        <v>#N/A</v>
      </c>
      <c r="H1326" s="33"/>
      <c r="I1326" s="33"/>
      <c r="J1326" s="33"/>
      <c r="K1326" s="33"/>
      <c r="L1326" s="33"/>
      <c r="M1326" s="33"/>
    </row>
    <row r="1327">
      <c r="A1327" s="32" t="s">
        <v>100</v>
      </c>
      <c r="B1327" s="32" t="s">
        <v>2959</v>
      </c>
      <c r="C1327" s="35">
        <v>43.32210159</v>
      </c>
      <c r="D1327" s="35">
        <v>-84.68800354</v>
      </c>
      <c r="E1327" s="32" t="s">
        <v>94</v>
      </c>
      <c r="F1327" s="32" t="s">
        <v>2960</v>
      </c>
      <c r="G1327" s="36" t="e">
        <v>#N/A</v>
      </c>
      <c r="H1327" s="33"/>
      <c r="I1327" s="33"/>
      <c r="J1327" s="33"/>
      <c r="K1327" s="33"/>
      <c r="L1327" s="33"/>
      <c r="M1327" s="33"/>
    </row>
    <row r="1328">
      <c r="A1328" s="32" t="s">
        <v>100</v>
      </c>
      <c r="B1328" s="32" t="s">
        <v>2961</v>
      </c>
      <c r="C1328" s="35">
        <v>36.703999</v>
      </c>
      <c r="D1328" s="35">
        <v>126.486</v>
      </c>
      <c r="E1328" s="32" t="s">
        <v>151</v>
      </c>
      <c r="F1328" s="32" t="s">
        <v>2962</v>
      </c>
      <c r="G1328" s="39" t="s">
        <v>152</v>
      </c>
      <c r="H1328" s="33"/>
      <c r="I1328" s="33"/>
      <c r="J1328" s="33"/>
      <c r="K1328" s="33"/>
      <c r="L1328" s="33"/>
      <c r="M1328" s="33"/>
    </row>
    <row r="1329">
      <c r="A1329" s="32" t="s">
        <v>100</v>
      </c>
      <c r="B1329" s="32" t="s">
        <v>2963</v>
      </c>
      <c r="C1329" s="35">
        <v>34.71789932</v>
      </c>
      <c r="D1329" s="35">
        <v>-78.00360107</v>
      </c>
      <c r="E1329" s="32" t="s">
        <v>180</v>
      </c>
      <c r="F1329" s="32" t="s">
        <v>2964</v>
      </c>
      <c r="G1329" s="39" t="s">
        <v>181</v>
      </c>
      <c r="H1329" s="33"/>
      <c r="I1329" s="33"/>
      <c r="J1329" s="33"/>
      <c r="K1329" s="33"/>
      <c r="L1329" s="33"/>
      <c r="M1329" s="33"/>
    </row>
    <row r="1330">
      <c r="A1330" s="32" t="s">
        <v>100</v>
      </c>
      <c r="B1330" s="32" t="s">
        <v>2965</v>
      </c>
      <c r="C1330" s="35">
        <v>69.04029846</v>
      </c>
      <c r="D1330" s="35">
        <v>23.0340004</v>
      </c>
      <c r="E1330" s="32" t="s">
        <v>343</v>
      </c>
      <c r="F1330" s="32" t="s">
        <v>2966</v>
      </c>
      <c r="G1330" s="36" t="e">
        <v>#N/A</v>
      </c>
      <c r="H1330" s="33"/>
      <c r="I1330" s="33"/>
      <c r="J1330" s="33"/>
      <c r="K1330" s="33"/>
      <c r="L1330" s="33"/>
      <c r="M1330" s="33"/>
    </row>
    <row r="1331">
      <c r="A1331" s="32" t="s">
        <v>100</v>
      </c>
      <c r="B1331" s="32" t="s">
        <v>2967</v>
      </c>
      <c r="C1331" s="35">
        <v>50.68719864</v>
      </c>
      <c r="D1331" s="35">
        <v>3.075560093</v>
      </c>
      <c r="E1331" s="32" t="s">
        <v>96</v>
      </c>
      <c r="F1331" s="32" t="s">
        <v>2968</v>
      </c>
      <c r="G1331" s="39" t="s">
        <v>97</v>
      </c>
      <c r="H1331" s="33"/>
      <c r="I1331" s="33"/>
      <c r="J1331" s="33"/>
      <c r="K1331" s="33"/>
      <c r="L1331" s="33"/>
      <c r="M1331" s="33"/>
    </row>
    <row r="1332">
      <c r="A1332" s="32" t="s">
        <v>100</v>
      </c>
      <c r="B1332" s="32" t="s">
        <v>2969</v>
      </c>
      <c r="C1332" s="35">
        <v>10.65100002</v>
      </c>
      <c r="D1332" s="35">
        <v>-14.53359985</v>
      </c>
      <c r="E1332" s="32" t="s">
        <v>2970</v>
      </c>
      <c r="F1332" s="32" t="s">
        <v>2971</v>
      </c>
      <c r="G1332" s="36" t="e">
        <v>#N/A</v>
      </c>
      <c r="H1332" s="33"/>
      <c r="I1332" s="33"/>
      <c r="J1332" s="33"/>
      <c r="K1332" s="33"/>
      <c r="L1332" s="33"/>
      <c r="M1332" s="33"/>
    </row>
    <row r="1333">
      <c r="A1333" s="32" t="s">
        <v>100</v>
      </c>
      <c r="B1333" s="32" t="s">
        <v>2972</v>
      </c>
      <c r="C1333" s="35">
        <v>-17.26169968</v>
      </c>
      <c r="D1333" s="35">
        <v>145.5149994</v>
      </c>
      <c r="E1333" s="32" t="s">
        <v>1968</v>
      </c>
      <c r="F1333" s="32" t="s">
        <v>2973</v>
      </c>
      <c r="G1333" s="36" t="e">
        <v>#N/A</v>
      </c>
      <c r="H1333" s="33"/>
      <c r="I1333" s="33"/>
      <c r="J1333" s="33"/>
      <c r="K1333" s="33"/>
      <c r="L1333" s="33"/>
      <c r="M1333" s="33"/>
    </row>
    <row r="1334">
      <c r="A1334" s="32" t="s">
        <v>100</v>
      </c>
      <c r="B1334" s="32" t="s">
        <v>2974</v>
      </c>
      <c r="C1334" s="35">
        <v>54.36920166</v>
      </c>
      <c r="D1334" s="35">
        <v>113.4789963</v>
      </c>
      <c r="E1334" s="32" t="s">
        <v>2040</v>
      </c>
      <c r="F1334" s="32" t="s">
        <v>2975</v>
      </c>
      <c r="G1334" s="36" t="e">
        <v>#N/A</v>
      </c>
      <c r="H1334" s="33"/>
      <c r="I1334" s="33"/>
      <c r="J1334" s="33"/>
      <c r="K1334" s="33"/>
      <c r="L1334" s="33"/>
      <c r="M1334" s="33"/>
    </row>
    <row r="1335">
      <c r="A1335" s="32" t="s">
        <v>100</v>
      </c>
      <c r="B1335" s="32" t="s">
        <v>2976</v>
      </c>
      <c r="C1335" s="35">
        <v>8.375880241</v>
      </c>
      <c r="D1335" s="35">
        <v>-80.12789917</v>
      </c>
      <c r="E1335" s="32" t="s">
        <v>327</v>
      </c>
      <c r="F1335" s="32" t="s">
        <v>2977</v>
      </c>
      <c r="G1335" s="36" t="e">
        <v>#N/A</v>
      </c>
      <c r="H1335" s="33"/>
      <c r="I1335" s="33"/>
      <c r="J1335" s="33"/>
      <c r="K1335" s="33"/>
      <c r="L1335" s="33"/>
      <c r="M1335" s="33"/>
    </row>
    <row r="1336">
      <c r="A1336" s="32" t="s">
        <v>100</v>
      </c>
      <c r="B1336" s="32" t="s">
        <v>2978</v>
      </c>
      <c r="C1336" s="35">
        <v>56.12670135</v>
      </c>
      <c r="D1336" s="35">
        <v>40.31499863</v>
      </c>
      <c r="E1336" s="32" t="s">
        <v>2040</v>
      </c>
      <c r="F1336" s="32" t="s">
        <v>2979</v>
      </c>
      <c r="G1336" s="36" t="e">
        <v>#N/A</v>
      </c>
      <c r="H1336" s="33"/>
      <c r="I1336" s="33"/>
      <c r="J1336" s="33"/>
      <c r="K1336" s="33"/>
      <c r="L1336" s="33"/>
      <c r="M1336" s="33"/>
    </row>
    <row r="1337">
      <c r="A1337" s="32" t="s">
        <v>100</v>
      </c>
      <c r="B1337" s="32" t="s">
        <v>2980</v>
      </c>
      <c r="C1337" s="35">
        <v>-27.20499992</v>
      </c>
      <c r="D1337" s="35">
        <v>22.48189926</v>
      </c>
      <c r="E1337" s="32" t="s">
        <v>16</v>
      </c>
      <c r="F1337" s="32" t="s">
        <v>2981</v>
      </c>
      <c r="G1337" s="36" t="e">
        <v>#N/A</v>
      </c>
      <c r="H1337" s="33"/>
      <c r="I1337" s="33"/>
      <c r="J1337" s="33"/>
      <c r="K1337" s="33"/>
      <c r="L1337" s="33"/>
      <c r="M1337" s="33"/>
    </row>
    <row r="1338">
      <c r="A1338" s="32" t="s">
        <v>100</v>
      </c>
      <c r="B1338" s="32" t="s">
        <v>2982</v>
      </c>
      <c r="C1338" s="35">
        <v>-15.7670002</v>
      </c>
      <c r="D1338" s="35">
        <v>29.38299942</v>
      </c>
      <c r="E1338" s="32" t="s">
        <v>785</v>
      </c>
      <c r="F1338" s="32" t="s">
        <v>2983</v>
      </c>
      <c r="G1338" s="36" t="e">
        <v>#N/A</v>
      </c>
      <c r="H1338" s="33"/>
      <c r="I1338" s="33"/>
      <c r="J1338" s="33"/>
      <c r="K1338" s="33"/>
      <c r="L1338" s="33"/>
      <c r="M1338" s="33"/>
    </row>
    <row r="1339">
      <c r="A1339" s="32" t="s">
        <v>100</v>
      </c>
      <c r="B1339" s="32" t="s">
        <v>2984</v>
      </c>
      <c r="C1339" s="35">
        <v>46.68</v>
      </c>
      <c r="D1339" s="35">
        <v>38.21</v>
      </c>
      <c r="E1339" s="32" t="s">
        <v>2040</v>
      </c>
      <c r="F1339" s="32" t="s">
        <v>2985</v>
      </c>
      <c r="G1339" s="36" t="e">
        <v>#N/A</v>
      </c>
      <c r="H1339" s="33"/>
      <c r="I1339" s="33"/>
      <c r="J1339" s="33"/>
      <c r="K1339" s="33"/>
      <c r="L1339" s="33"/>
      <c r="M1339" s="33"/>
    </row>
    <row r="1340">
      <c r="A1340" s="32" t="s">
        <v>100</v>
      </c>
      <c r="B1340" s="32" t="s">
        <v>2986</v>
      </c>
      <c r="C1340" s="35">
        <v>52.24169922</v>
      </c>
      <c r="D1340" s="35">
        <v>-2.881109953</v>
      </c>
      <c r="E1340" s="32" t="s">
        <v>90</v>
      </c>
      <c r="F1340" s="32" t="s">
        <v>2987</v>
      </c>
      <c r="G1340" s="39" t="s">
        <v>91</v>
      </c>
      <c r="H1340" s="33"/>
      <c r="I1340" s="33"/>
      <c r="J1340" s="33"/>
      <c r="K1340" s="33"/>
      <c r="L1340" s="33"/>
      <c r="M1340" s="33"/>
    </row>
    <row r="1341">
      <c r="A1341" s="32" t="s">
        <v>100</v>
      </c>
      <c r="B1341" s="32" t="s">
        <v>2988</v>
      </c>
      <c r="C1341" s="35">
        <v>33.01309967</v>
      </c>
      <c r="D1341" s="35">
        <v>129.1920013</v>
      </c>
      <c r="E1341" s="32" t="s">
        <v>170</v>
      </c>
      <c r="F1341" s="32" t="s">
        <v>2989</v>
      </c>
      <c r="G1341" s="39" t="s">
        <v>171</v>
      </c>
      <c r="H1341" s="33"/>
      <c r="I1341" s="33"/>
      <c r="J1341" s="33"/>
      <c r="K1341" s="33"/>
      <c r="L1341" s="33"/>
      <c r="M1341" s="33"/>
    </row>
    <row r="1342">
      <c r="A1342" s="32" t="s">
        <v>100</v>
      </c>
      <c r="B1342" s="32" t="s">
        <v>2990</v>
      </c>
      <c r="C1342" s="35">
        <v>33.19079971</v>
      </c>
      <c r="D1342" s="35">
        <v>129.0899963</v>
      </c>
      <c r="E1342" s="32" t="s">
        <v>170</v>
      </c>
      <c r="F1342" s="32" t="s">
        <v>2991</v>
      </c>
      <c r="G1342" s="39" t="s">
        <v>171</v>
      </c>
      <c r="H1342" s="33"/>
      <c r="I1342" s="33"/>
      <c r="J1342" s="33"/>
      <c r="K1342" s="33"/>
      <c r="L1342" s="33"/>
      <c r="M1342" s="33"/>
    </row>
    <row r="1343">
      <c r="A1343" s="32" t="s">
        <v>100</v>
      </c>
      <c r="B1343" s="32" t="s">
        <v>2992</v>
      </c>
      <c r="C1343" s="35">
        <v>35.67169952</v>
      </c>
      <c r="D1343" s="35">
        <v>139.5279999</v>
      </c>
      <c r="E1343" s="32" t="s">
        <v>170</v>
      </c>
      <c r="F1343" s="32" t="s">
        <v>2993</v>
      </c>
      <c r="G1343" s="39" t="s">
        <v>171</v>
      </c>
      <c r="H1343" s="33"/>
      <c r="I1343" s="33"/>
      <c r="J1343" s="33"/>
      <c r="K1343" s="33"/>
      <c r="L1343" s="33"/>
      <c r="M1343" s="33"/>
    </row>
    <row r="1344">
      <c r="A1344" s="32" t="s">
        <v>100</v>
      </c>
      <c r="B1344" s="32" t="s">
        <v>2994</v>
      </c>
      <c r="C1344" s="35">
        <v>44.61610031</v>
      </c>
      <c r="D1344" s="35">
        <v>-65.76190186</v>
      </c>
      <c r="E1344" s="32" t="s">
        <v>96</v>
      </c>
      <c r="F1344" s="32" t="s">
        <v>2995</v>
      </c>
      <c r="G1344" s="39" t="s">
        <v>97</v>
      </c>
      <c r="H1344" s="33"/>
      <c r="I1344" s="33"/>
      <c r="J1344" s="33"/>
      <c r="K1344" s="33"/>
      <c r="L1344" s="33"/>
      <c r="M1344" s="33"/>
    </row>
    <row r="1345">
      <c r="A1345" s="32" t="s">
        <v>100</v>
      </c>
      <c r="B1345" s="32" t="s">
        <v>2996</v>
      </c>
      <c r="C1345" s="35">
        <v>46.75640106</v>
      </c>
      <c r="D1345" s="35">
        <v>7.600560188</v>
      </c>
      <c r="E1345" s="32" t="s">
        <v>1180</v>
      </c>
      <c r="F1345" s="32" t="s">
        <v>2997</v>
      </c>
      <c r="G1345" s="36" t="e">
        <v>#N/A</v>
      </c>
      <c r="H1345" s="33"/>
      <c r="I1345" s="33"/>
      <c r="J1345" s="33"/>
      <c r="K1345" s="33"/>
      <c r="L1345" s="33"/>
      <c r="M1345" s="33"/>
    </row>
    <row r="1346">
      <c r="A1346" s="32" t="s">
        <v>100</v>
      </c>
      <c r="B1346" s="32" t="s">
        <v>2998</v>
      </c>
      <c r="C1346" s="35">
        <v>65.58000183</v>
      </c>
      <c r="D1346" s="35">
        <v>-170.9966736</v>
      </c>
      <c r="E1346" s="32" t="s">
        <v>2040</v>
      </c>
      <c r="F1346" s="32" t="s">
        <v>2999</v>
      </c>
      <c r="G1346" s="36" t="e">
        <v>#N/A</v>
      </c>
      <c r="H1346" s="33"/>
      <c r="I1346" s="33"/>
      <c r="J1346" s="33"/>
      <c r="K1346" s="33"/>
      <c r="L1346" s="33"/>
      <c r="M1346" s="33"/>
    </row>
    <row r="1347">
      <c r="A1347" s="32" t="s">
        <v>100</v>
      </c>
      <c r="B1347" s="32" t="s">
        <v>3000</v>
      </c>
      <c r="C1347" s="35">
        <v>37.47916667</v>
      </c>
      <c r="D1347" s="35">
        <v>130.8955556</v>
      </c>
      <c r="E1347" s="32" t="s">
        <v>151</v>
      </c>
      <c r="F1347" s="32" t="s">
        <v>3001</v>
      </c>
      <c r="G1347" s="39" t="s">
        <v>152</v>
      </c>
      <c r="H1347" s="33"/>
      <c r="I1347" s="33"/>
      <c r="J1347" s="33"/>
      <c r="K1347" s="33"/>
      <c r="L1347" s="33"/>
      <c r="M1347" s="33"/>
    </row>
    <row r="1348">
      <c r="A1348" s="32" t="s">
        <v>100</v>
      </c>
      <c r="B1348" s="32" t="s">
        <v>3002</v>
      </c>
      <c r="C1348" s="35">
        <v>60.57139969</v>
      </c>
      <c r="D1348" s="35">
        <v>26.89609909</v>
      </c>
      <c r="E1348" s="32" t="s">
        <v>408</v>
      </c>
      <c r="F1348" s="32" t="s">
        <v>3003</v>
      </c>
      <c r="G1348" s="36" t="e">
        <v>#N/A</v>
      </c>
      <c r="H1348" s="33"/>
      <c r="I1348" s="33"/>
      <c r="J1348" s="33"/>
      <c r="K1348" s="33"/>
      <c r="L1348" s="33"/>
      <c r="M1348" s="33"/>
    </row>
    <row r="1349">
      <c r="A1349" s="32" t="s">
        <v>100</v>
      </c>
      <c r="B1349" s="32" t="s">
        <v>3004</v>
      </c>
      <c r="C1349" s="35">
        <v>-33.97669983</v>
      </c>
      <c r="D1349" s="35">
        <v>137.6600037</v>
      </c>
      <c r="E1349" s="32" t="s">
        <v>1968</v>
      </c>
      <c r="F1349" s="32" t="s">
        <v>3005</v>
      </c>
      <c r="G1349" s="36" t="e">
        <v>#N/A</v>
      </c>
      <c r="H1349" s="33"/>
      <c r="I1349" s="33"/>
      <c r="J1349" s="33"/>
      <c r="K1349" s="33"/>
      <c r="L1349" s="33"/>
      <c r="M1349" s="33"/>
    </row>
    <row r="1350">
      <c r="A1350" s="32" t="s">
        <v>100</v>
      </c>
      <c r="B1350" s="32" t="s">
        <v>3006</v>
      </c>
      <c r="C1350" s="35">
        <v>30.93580055</v>
      </c>
      <c r="D1350" s="35">
        <v>46.09009933</v>
      </c>
      <c r="E1350" s="32" t="s">
        <v>259</v>
      </c>
      <c r="F1350" s="32" t="s">
        <v>3007</v>
      </c>
      <c r="G1350" s="36" t="e">
        <v>#N/A</v>
      </c>
      <c r="H1350" s="33"/>
      <c r="I1350" s="33"/>
      <c r="J1350" s="33"/>
      <c r="K1350" s="33"/>
      <c r="L1350" s="33"/>
      <c r="M1350" s="33"/>
    </row>
    <row r="1351">
      <c r="A1351" s="32" t="s">
        <v>100</v>
      </c>
      <c r="B1351" s="32" t="s">
        <v>3008</v>
      </c>
      <c r="C1351" s="35">
        <v>39.087502</v>
      </c>
      <c r="D1351" s="35">
        <v>-8.96278</v>
      </c>
      <c r="E1351" s="32" t="s">
        <v>121</v>
      </c>
      <c r="F1351" s="32" t="s">
        <v>3009</v>
      </c>
      <c r="G1351" s="39" t="s">
        <v>122</v>
      </c>
      <c r="H1351" s="33"/>
      <c r="I1351" s="33"/>
      <c r="J1351" s="33"/>
      <c r="K1351" s="33"/>
      <c r="L1351" s="33"/>
      <c r="M1351" s="33"/>
    </row>
    <row r="1352">
      <c r="A1352" s="32" t="s">
        <v>100</v>
      </c>
      <c r="B1352" s="32" t="s">
        <v>3010</v>
      </c>
      <c r="C1352" s="35">
        <v>48.82249832</v>
      </c>
      <c r="D1352" s="35">
        <v>13.36750031</v>
      </c>
      <c r="E1352" s="32" t="s">
        <v>109</v>
      </c>
      <c r="F1352" s="32" t="s">
        <v>3011</v>
      </c>
      <c r="G1352" s="39" t="s">
        <v>110</v>
      </c>
      <c r="H1352" s="33"/>
      <c r="I1352" s="33"/>
      <c r="J1352" s="33"/>
      <c r="K1352" s="33"/>
      <c r="L1352" s="33"/>
      <c r="M1352" s="33"/>
    </row>
    <row r="1353">
      <c r="A1353" s="32" t="s">
        <v>100</v>
      </c>
      <c r="B1353" s="32" t="s">
        <v>3012</v>
      </c>
      <c r="C1353" s="35">
        <v>54.58110046</v>
      </c>
      <c r="D1353" s="35">
        <v>-5.691939831</v>
      </c>
      <c r="E1353" s="32" t="s">
        <v>90</v>
      </c>
      <c r="F1353" s="32" t="s">
        <v>3013</v>
      </c>
      <c r="G1353" s="39" t="s">
        <v>91</v>
      </c>
      <c r="H1353" s="33"/>
      <c r="I1353" s="33"/>
      <c r="J1353" s="33"/>
      <c r="K1353" s="33"/>
      <c r="L1353" s="33"/>
      <c r="M1353" s="33"/>
    </row>
    <row r="1354">
      <c r="A1354" s="32" t="s">
        <v>100</v>
      </c>
      <c r="B1354" s="32" t="s">
        <v>3014</v>
      </c>
      <c r="C1354" s="35">
        <v>51.156898</v>
      </c>
      <c r="D1354" s="35">
        <v>0.641667</v>
      </c>
      <c r="E1354" s="32" t="s">
        <v>90</v>
      </c>
      <c r="F1354" s="32" t="s">
        <v>3015</v>
      </c>
      <c r="G1354" s="39" t="s">
        <v>91</v>
      </c>
      <c r="H1354" s="33"/>
      <c r="I1354" s="33"/>
      <c r="J1354" s="33"/>
      <c r="K1354" s="33"/>
      <c r="L1354" s="33"/>
      <c r="M1354" s="33"/>
    </row>
    <row r="1355">
      <c r="A1355" s="32" t="s">
        <v>100</v>
      </c>
      <c r="B1355" s="32" t="s">
        <v>3016</v>
      </c>
      <c r="C1355" s="35">
        <v>51.80250168</v>
      </c>
      <c r="D1355" s="35">
        <v>-0.158056006</v>
      </c>
      <c r="E1355" s="32" t="s">
        <v>90</v>
      </c>
      <c r="F1355" s="32" t="s">
        <v>3017</v>
      </c>
      <c r="G1355" s="39" t="s">
        <v>91</v>
      </c>
      <c r="H1355" s="33"/>
      <c r="I1355" s="33"/>
      <c r="J1355" s="33"/>
      <c r="K1355" s="33"/>
      <c r="L1355" s="33"/>
      <c r="M1355" s="33"/>
    </row>
    <row r="1356">
      <c r="A1356" s="32" t="s">
        <v>100</v>
      </c>
      <c r="B1356" s="32" t="s">
        <v>3018</v>
      </c>
      <c r="C1356" s="35">
        <v>51.537505</v>
      </c>
      <c r="D1356" s="35">
        <v>0.367634</v>
      </c>
      <c r="E1356" s="32" t="s">
        <v>90</v>
      </c>
      <c r="F1356" s="32" t="s">
        <v>3019</v>
      </c>
      <c r="G1356" s="39" t="s">
        <v>91</v>
      </c>
      <c r="H1356" s="33"/>
      <c r="I1356" s="33"/>
      <c r="J1356" s="33"/>
      <c r="K1356" s="33"/>
      <c r="L1356" s="33"/>
      <c r="M1356" s="33"/>
    </row>
    <row r="1357">
      <c r="A1357" s="32" t="s">
        <v>100</v>
      </c>
      <c r="B1357" s="32" t="s">
        <v>3020</v>
      </c>
      <c r="C1357" s="35">
        <v>51.65250015</v>
      </c>
      <c r="D1357" s="35">
        <v>0.155833006</v>
      </c>
      <c r="E1357" s="32" t="s">
        <v>90</v>
      </c>
      <c r="F1357" s="32" t="s">
        <v>3021</v>
      </c>
      <c r="G1357" s="39" t="s">
        <v>91</v>
      </c>
      <c r="H1357" s="33"/>
      <c r="I1357" s="33"/>
      <c r="J1357" s="33"/>
      <c r="K1357" s="33"/>
      <c r="L1357" s="33"/>
      <c r="M1357" s="33"/>
    </row>
    <row r="1358">
      <c r="A1358" s="32" t="s">
        <v>100</v>
      </c>
      <c r="B1358" s="32" t="s">
        <v>3022</v>
      </c>
      <c r="C1358" s="35">
        <v>12.94999981</v>
      </c>
      <c r="D1358" s="35">
        <v>77.66819763</v>
      </c>
      <c r="E1358" s="32" t="s">
        <v>217</v>
      </c>
      <c r="F1358" s="32" t="s">
        <v>3023</v>
      </c>
      <c r="G1358" s="39" t="s">
        <v>218</v>
      </c>
      <c r="H1358" s="33"/>
      <c r="I1358" s="33"/>
      <c r="J1358" s="33"/>
      <c r="K1358" s="33"/>
      <c r="L1358" s="33"/>
      <c r="M1358" s="33"/>
    </row>
    <row r="1359">
      <c r="A1359" s="32" t="s">
        <v>100</v>
      </c>
      <c r="B1359" s="32" t="s">
        <v>3024</v>
      </c>
      <c r="C1359" s="35">
        <v>50.8594017</v>
      </c>
      <c r="D1359" s="35">
        <v>-0.759167016</v>
      </c>
      <c r="E1359" s="32" t="s">
        <v>90</v>
      </c>
      <c r="F1359" s="32" t="s">
        <v>3025</v>
      </c>
      <c r="G1359" s="39" t="s">
        <v>91</v>
      </c>
      <c r="H1359" s="33"/>
      <c r="I1359" s="33"/>
      <c r="J1359" s="33"/>
      <c r="K1359" s="33"/>
      <c r="L1359" s="33"/>
      <c r="M1359" s="33"/>
    </row>
    <row r="1360">
      <c r="A1360" s="32" t="s">
        <v>100</v>
      </c>
      <c r="B1360" s="32" t="s">
        <v>3026</v>
      </c>
      <c r="C1360" s="35">
        <v>-44.48669815</v>
      </c>
      <c r="D1360" s="35">
        <v>169.9859924</v>
      </c>
      <c r="E1360" s="32" t="s">
        <v>1328</v>
      </c>
      <c r="F1360" s="32" t="s">
        <v>3027</v>
      </c>
      <c r="G1360" s="36" t="e">
        <v>#N/A</v>
      </c>
      <c r="H1360" s="33"/>
      <c r="I1360" s="33"/>
      <c r="J1360" s="33"/>
      <c r="K1360" s="33"/>
      <c r="L1360" s="33"/>
      <c r="M1360" s="33"/>
    </row>
    <row r="1361">
      <c r="A1361" s="32" t="s">
        <v>100</v>
      </c>
      <c r="B1361" s="32" t="s">
        <v>3028</v>
      </c>
      <c r="C1361" s="35">
        <v>-43.86529922</v>
      </c>
      <c r="D1361" s="35">
        <v>169.0410004</v>
      </c>
      <c r="E1361" s="32" t="s">
        <v>1328</v>
      </c>
      <c r="F1361" s="32" t="s">
        <v>3029</v>
      </c>
      <c r="G1361" s="36" t="e">
        <v>#N/A</v>
      </c>
      <c r="H1361" s="33"/>
      <c r="I1361" s="33"/>
      <c r="J1361" s="33"/>
      <c r="K1361" s="33"/>
      <c r="L1361" s="33"/>
      <c r="M1361" s="33"/>
    </row>
    <row r="1362">
      <c r="A1362" s="32" t="s">
        <v>100</v>
      </c>
      <c r="B1362" s="32" t="s">
        <v>3030</v>
      </c>
      <c r="C1362" s="35">
        <v>51.30277634</v>
      </c>
      <c r="D1362" s="35">
        <v>8.239167213</v>
      </c>
      <c r="E1362" s="32" t="s">
        <v>109</v>
      </c>
      <c r="F1362" s="32" t="s">
        <v>3031</v>
      </c>
      <c r="G1362" s="39" t="s">
        <v>110</v>
      </c>
      <c r="H1362" s="33"/>
      <c r="I1362" s="33"/>
      <c r="J1362" s="33"/>
      <c r="K1362" s="33"/>
      <c r="L1362" s="33"/>
      <c r="M1362" s="33"/>
    </row>
    <row r="1363">
      <c r="A1363" s="32" t="s">
        <v>100</v>
      </c>
      <c r="B1363" s="32" t="s">
        <v>3032</v>
      </c>
      <c r="C1363" s="35">
        <v>-22.95166779</v>
      </c>
      <c r="D1363" s="35">
        <v>-43.16583252</v>
      </c>
      <c r="E1363" s="32" t="s">
        <v>288</v>
      </c>
      <c r="F1363" s="32" t="s">
        <v>3033</v>
      </c>
      <c r="G1363" s="36" t="e">
        <v>#N/A</v>
      </c>
      <c r="H1363" s="33"/>
      <c r="I1363" s="33"/>
      <c r="J1363" s="33"/>
      <c r="K1363" s="33"/>
      <c r="L1363" s="33"/>
      <c r="M1363" s="33"/>
    </row>
    <row r="1364">
      <c r="A1364" s="32" t="s">
        <v>100</v>
      </c>
      <c r="B1364" s="32" t="s">
        <v>3034</v>
      </c>
      <c r="C1364" s="35">
        <v>61.76959991</v>
      </c>
      <c r="D1364" s="35">
        <v>-6.803410053</v>
      </c>
      <c r="E1364" s="32" t="s">
        <v>2514</v>
      </c>
      <c r="F1364" s="32" t="s">
        <v>3035</v>
      </c>
      <c r="G1364" s="36" t="e">
        <v>#N/A</v>
      </c>
      <c r="H1364" s="33"/>
      <c r="I1364" s="33"/>
      <c r="J1364" s="33"/>
      <c r="K1364" s="33"/>
      <c r="L1364" s="33"/>
      <c r="M1364" s="33"/>
    </row>
    <row r="1365">
      <c r="A1365" s="32" t="s">
        <v>100</v>
      </c>
      <c r="B1365" s="32" t="s">
        <v>3036</v>
      </c>
      <c r="C1365" s="35">
        <v>61.68529892</v>
      </c>
      <c r="D1365" s="35">
        <v>-6.758500099</v>
      </c>
      <c r="E1365" s="32" t="s">
        <v>2514</v>
      </c>
      <c r="F1365" s="32" t="s">
        <v>3037</v>
      </c>
      <c r="G1365" s="36" t="e">
        <v>#N/A</v>
      </c>
      <c r="H1365" s="33"/>
      <c r="I1365" s="33"/>
      <c r="J1365" s="33"/>
      <c r="K1365" s="33"/>
      <c r="L1365" s="33"/>
      <c r="M1365" s="33"/>
    </row>
    <row r="1366">
      <c r="A1366" s="32" t="s">
        <v>100</v>
      </c>
      <c r="B1366" s="32" t="s">
        <v>3038</v>
      </c>
      <c r="C1366" s="35">
        <v>61.54370117</v>
      </c>
      <c r="D1366" s="35">
        <v>-6.774419785</v>
      </c>
      <c r="E1366" s="32" t="s">
        <v>2514</v>
      </c>
      <c r="F1366" s="32" t="s">
        <v>3039</v>
      </c>
      <c r="G1366" s="36" t="e">
        <v>#N/A</v>
      </c>
      <c r="H1366" s="33"/>
      <c r="I1366" s="33"/>
      <c r="J1366" s="33"/>
      <c r="K1366" s="33"/>
      <c r="L1366" s="33"/>
      <c r="M1366" s="33"/>
    </row>
    <row r="1367">
      <c r="A1367" s="32" t="s">
        <v>100</v>
      </c>
      <c r="B1367" s="32" t="s">
        <v>3040</v>
      </c>
      <c r="C1367" s="35">
        <v>43.053597</v>
      </c>
      <c r="D1367" s="35">
        <v>42.749012</v>
      </c>
      <c r="E1367" s="32" t="s">
        <v>3041</v>
      </c>
      <c r="F1367" s="32" t="s">
        <v>3042</v>
      </c>
      <c r="G1367" s="36" t="e">
        <v>#N/A</v>
      </c>
      <c r="H1367" s="33"/>
      <c r="I1367" s="33"/>
      <c r="J1367" s="33"/>
      <c r="K1367" s="33"/>
      <c r="L1367" s="33"/>
      <c r="M1367" s="33"/>
    </row>
    <row r="1368">
      <c r="A1368" s="32" t="s">
        <v>100</v>
      </c>
      <c r="B1368" s="32" t="s">
        <v>3043</v>
      </c>
      <c r="C1368" s="35">
        <v>32.14220047</v>
      </c>
      <c r="D1368" s="35">
        <v>-111.1750031</v>
      </c>
      <c r="E1368" s="32" t="s">
        <v>180</v>
      </c>
      <c r="F1368" s="32" t="s">
        <v>3044</v>
      </c>
      <c r="G1368" s="39" t="s">
        <v>181</v>
      </c>
      <c r="H1368" s="33"/>
      <c r="I1368" s="33"/>
      <c r="J1368" s="33"/>
      <c r="K1368" s="33"/>
      <c r="L1368" s="33"/>
      <c r="M1368" s="33"/>
    </row>
    <row r="1369">
      <c r="A1369" s="32" t="s">
        <v>100</v>
      </c>
      <c r="B1369" s="32" t="s">
        <v>3045</v>
      </c>
      <c r="C1369" s="35">
        <v>53.56111145</v>
      </c>
      <c r="D1369" s="35">
        <v>9.499167442</v>
      </c>
      <c r="E1369" s="32" t="s">
        <v>109</v>
      </c>
      <c r="F1369" s="32" t="s">
        <v>3046</v>
      </c>
      <c r="G1369" s="39" t="s">
        <v>110</v>
      </c>
      <c r="H1369" s="33"/>
      <c r="I1369" s="33"/>
      <c r="J1369" s="33"/>
      <c r="K1369" s="33"/>
      <c r="L1369" s="33"/>
      <c r="M1369" s="33"/>
    </row>
    <row r="1370">
      <c r="A1370" s="32" t="s">
        <v>100</v>
      </c>
      <c r="B1370" s="32" t="s">
        <v>3047</v>
      </c>
      <c r="C1370" s="35">
        <v>41.50870132</v>
      </c>
      <c r="D1370" s="35">
        <v>-72.82949829</v>
      </c>
      <c r="E1370" s="32" t="s">
        <v>180</v>
      </c>
      <c r="F1370" s="32" t="s">
        <v>3048</v>
      </c>
      <c r="G1370" s="39" t="s">
        <v>181</v>
      </c>
      <c r="H1370" s="33"/>
      <c r="I1370" s="33"/>
      <c r="J1370" s="33"/>
      <c r="K1370" s="33"/>
      <c r="L1370" s="33"/>
      <c r="M1370" s="33"/>
    </row>
    <row r="1371">
      <c r="A1371" s="32" t="s">
        <v>100</v>
      </c>
      <c r="B1371" s="32" t="s">
        <v>3049</v>
      </c>
      <c r="C1371" s="35">
        <v>-33.730989</v>
      </c>
      <c r="D1371" s="35">
        <v>134.501</v>
      </c>
      <c r="E1371" s="32" t="s">
        <v>1968</v>
      </c>
      <c r="F1371" s="32" t="s">
        <v>3050</v>
      </c>
      <c r="G1371" s="36" t="e">
        <v>#N/A</v>
      </c>
      <c r="H1371" s="33"/>
      <c r="I1371" s="33"/>
      <c r="J1371" s="33"/>
      <c r="K1371" s="33"/>
      <c r="L1371" s="33"/>
      <c r="M1371" s="33"/>
    </row>
    <row r="1372">
      <c r="A1372" s="32" t="s">
        <v>100</v>
      </c>
      <c r="B1372" s="32" t="s">
        <v>3051</v>
      </c>
      <c r="C1372" s="35">
        <v>47.18999863</v>
      </c>
      <c r="D1372" s="35">
        <v>8.204719543</v>
      </c>
      <c r="E1372" s="32" t="s">
        <v>1180</v>
      </c>
      <c r="F1372" s="32" t="s">
        <v>3052</v>
      </c>
      <c r="G1372" s="36" t="e">
        <v>#N/A</v>
      </c>
      <c r="H1372" s="33"/>
      <c r="I1372" s="33"/>
      <c r="J1372" s="33"/>
      <c r="K1372" s="33"/>
      <c r="L1372" s="33"/>
      <c r="M1372" s="33"/>
    </row>
    <row r="1373">
      <c r="A1373" s="32" t="s">
        <v>100</v>
      </c>
      <c r="B1373" s="32" t="s">
        <v>3053</v>
      </c>
      <c r="C1373" s="35">
        <v>44.24440002</v>
      </c>
      <c r="D1373" s="35">
        <v>4.012219906</v>
      </c>
      <c r="E1373" s="32" t="s">
        <v>96</v>
      </c>
      <c r="F1373" s="32" t="s">
        <v>3054</v>
      </c>
      <c r="G1373" s="39" t="s">
        <v>97</v>
      </c>
      <c r="H1373" s="33"/>
      <c r="I1373" s="33"/>
      <c r="J1373" s="33"/>
      <c r="K1373" s="33"/>
      <c r="L1373" s="33"/>
      <c r="M1373" s="33"/>
    </row>
    <row r="1374">
      <c r="A1374" s="32" t="s">
        <v>100</v>
      </c>
      <c r="B1374" s="32" t="s">
        <v>3055</v>
      </c>
      <c r="C1374" s="35">
        <v>51.07780075</v>
      </c>
      <c r="D1374" s="35">
        <v>-115.3379974</v>
      </c>
      <c r="E1374" s="32" t="s">
        <v>94</v>
      </c>
      <c r="F1374" s="32" t="s">
        <v>3056</v>
      </c>
      <c r="G1374" s="36" t="e">
        <v>#N/A</v>
      </c>
      <c r="H1374" s="33"/>
      <c r="I1374" s="33"/>
      <c r="J1374" s="33"/>
      <c r="K1374" s="33"/>
      <c r="L1374" s="33"/>
      <c r="M1374" s="33"/>
    </row>
    <row r="1375">
      <c r="A1375" s="32" t="s">
        <v>100</v>
      </c>
      <c r="B1375" s="32" t="s">
        <v>3057</v>
      </c>
      <c r="C1375" s="35">
        <v>50.03310776</v>
      </c>
      <c r="D1375" s="35">
        <v>118.061142</v>
      </c>
      <c r="E1375" s="32" t="s">
        <v>2040</v>
      </c>
      <c r="F1375" s="32" t="s">
        <v>3058</v>
      </c>
      <c r="G1375" s="36" t="e">
        <v>#N/A</v>
      </c>
      <c r="H1375" s="33"/>
      <c r="I1375" s="33"/>
      <c r="J1375" s="33"/>
      <c r="K1375" s="33"/>
      <c r="L1375" s="33"/>
      <c r="M1375" s="33"/>
    </row>
    <row r="1376">
      <c r="A1376" s="32" t="s">
        <v>100</v>
      </c>
      <c r="B1376" s="32" t="s">
        <v>3059</v>
      </c>
      <c r="C1376" s="35">
        <v>38.9701004</v>
      </c>
      <c r="D1376" s="35">
        <v>-75.86630249</v>
      </c>
      <c r="E1376" s="32" t="s">
        <v>180</v>
      </c>
      <c r="F1376" s="32" t="s">
        <v>3060</v>
      </c>
      <c r="G1376" s="39" t="s">
        <v>181</v>
      </c>
      <c r="H1376" s="33"/>
      <c r="I1376" s="33"/>
      <c r="J1376" s="33"/>
      <c r="K1376" s="33"/>
      <c r="L1376" s="33"/>
      <c r="M1376" s="33"/>
    </row>
    <row r="1377">
      <c r="A1377" s="32" t="s">
        <v>100</v>
      </c>
      <c r="B1377" s="32" t="s">
        <v>3061</v>
      </c>
      <c r="C1377" s="35">
        <v>46.05500031</v>
      </c>
      <c r="D1377" s="35">
        <v>63.25</v>
      </c>
      <c r="E1377" s="32" t="s">
        <v>2817</v>
      </c>
      <c r="F1377" s="32" t="s">
        <v>3062</v>
      </c>
      <c r="G1377" s="36" t="e">
        <v>#N/A</v>
      </c>
      <c r="H1377" s="33"/>
      <c r="I1377" s="33"/>
      <c r="J1377" s="33"/>
      <c r="K1377" s="33"/>
      <c r="L1377" s="33"/>
      <c r="M1377" s="33"/>
    </row>
    <row r="1378">
      <c r="A1378" s="32" t="s">
        <v>100</v>
      </c>
      <c r="B1378" s="32" t="s">
        <v>3063</v>
      </c>
      <c r="C1378" s="35">
        <v>61.79560089</v>
      </c>
      <c r="D1378" s="35">
        <v>-148.3549957</v>
      </c>
      <c r="E1378" s="32" t="s">
        <v>180</v>
      </c>
      <c r="F1378" s="32" t="s">
        <v>3064</v>
      </c>
      <c r="G1378" s="39" t="s">
        <v>181</v>
      </c>
      <c r="H1378" s="33"/>
      <c r="I1378" s="33"/>
      <c r="J1378" s="33"/>
      <c r="K1378" s="33"/>
      <c r="L1378" s="33"/>
      <c r="M1378" s="33"/>
    </row>
    <row r="1379">
      <c r="A1379" s="32" t="s">
        <v>100</v>
      </c>
      <c r="B1379" s="32" t="s">
        <v>3065</v>
      </c>
      <c r="C1379" s="35">
        <v>36.59170151</v>
      </c>
      <c r="D1379" s="35">
        <v>-93.66690063</v>
      </c>
      <c r="E1379" s="32" t="s">
        <v>180</v>
      </c>
      <c r="F1379" s="32" t="s">
        <v>3066</v>
      </c>
      <c r="G1379" s="39" t="s">
        <v>181</v>
      </c>
      <c r="H1379" s="33"/>
      <c r="I1379" s="33"/>
      <c r="J1379" s="33"/>
      <c r="K1379" s="33"/>
      <c r="L1379" s="33"/>
      <c r="M1379" s="33"/>
    </row>
    <row r="1380">
      <c r="A1380" s="32" t="s">
        <v>100</v>
      </c>
      <c r="B1380" s="32" t="s">
        <v>3067</v>
      </c>
      <c r="C1380" s="35">
        <v>39.27999878</v>
      </c>
      <c r="D1380" s="35">
        <v>-103.0670013</v>
      </c>
      <c r="E1380" s="32" t="s">
        <v>180</v>
      </c>
      <c r="F1380" s="32" t="s">
        <v>3068</v>
      </c>
      <c r="G1380" s="39" t="s">
        <v>181</v>
      </c>
      <c r="H1380" s="33"/>
      <c r="I1380" s="33"/>
      <c r="J1380" s="33"/>
      <c r="K1380" s="33"/>
      <c r="L1380" s="33"/>
      <c r="M1380" s="33"/>
    </row>
    <row r="1381">
      <c r="A1381" s="32" t="s">
        <v>100</v>
      </c>
      <c r="B1381" s="32" t="s">
        <v>3069</v>
      </c>
      <c r="C1381" s="35">
        <v>33.93579865</v>
      </c>
      <c r="D1381" s="35">
        <v>-81.42970276</v>
      </c>
      <c r="E1381" s="32" t="s">
        <v>180</v>
      </c>
      <c r="F1381" s="32" t="s">
        <v>3070</v>
      </c>
      <c r="G1381" s="39" t="s">
        <v>181</v>
      </c>
      <c r="H1381" s="33"/>
      <c r="I1381" s="33"/>
      <c r="J1381" s="33"/>
      <c r="K1381" s="33"/>
      <c r="L1381" s="33"/>
      <c r="M1381" s="33"/>
    </row>
    <row r="1382">
      <c r="A1382" s="32" t="s">
        <v>100</v>
      </c>
      <c r="B1382" s="32" t="s">
        <v>3071</v>
      </c>
      <c r="C1382" s="35">
        <v>35.20069885</v>
      </c>
      <c r="D1382" s="35">
        <v>-90.05400085</v>
      </c>
      <c r="E1382" s="32" t="s">
        <v>180</v>
      </c>
      <c r="F1382" s="32" t="s">
        <v>3072</v>
      </c>
      <c r="G1382" s="39" t="s">
        <v>181</v>
      </c>
      <c r="H1382" s="33"/>
      <c r="I1382" s="33"/>
      <c r="J1382" s="33"/>
      <c r="K1382" s="33"/>
      <c r="L1382" s="33"/>
      <c r="M1382" s="33"/>
    </row>
    <row r="1383">
      <c r="A1383" s="32" t="s">
        <v>100</v>
      </c>
      <c r="B1383" s="32" t="s">
        <v>3073</v>
      </c>
      <c r="C1383" s="35">
        <v>50.54388809</v>
      </c>
      <c r="D1383" s="35">
        <v>8.590277672</v>
      </c>
      <c r="E1383" s="32" t="s">
        <v>109</v>
      </c>
      <c r="F1383" s="32" t="s">
        <v>3074</v>
      </c>
      <c r="G1383" s="39" t="s">
        <v>110</v>
      </c>
      <c r="H1383" s="33"/>
      <c r="I1383" s="33"/>
      <c r="J1383" s="33"/>
      <c r="K1383" s="33"/>
      <c r="L1383" s="33"/>
      <c r="M1383" s="33"/>
    </row>
    <row r="1384">
      <c r="A1384" s="32" t="s">
        <v>100</v>
      </c>
      <c r="B1384" s="32" t="s">
        <v>3075</v>
      </c>
      <c r="C1384" s="35">
        <v>47.34529877</v>
      </c>
      <c r="D1384" s="35">
        <v>18.98080063</v>
      </c>
      <c r="E1384" s="32" t="s">
        <v>1056</v>
      </c>
      <c r="F1384" s="32" t="s">
        <v>3076</v>
      </c>
      <c r="G1384" s="36" t="e">
        <v>#N/A</v>
      </c>
      <c r="H1384" s="33"/>
      <c r="I1384" s="33"/>
      <c r="J1384" s="33"/>
      <c r="K1384" s="33"/>
      <c r="L1384" s="33"/>
      <c r="M1384" s="33"/>
    </row>
    <row r="1385">
      <c r="A1385" s="32" t="s">
        <v>100</v>
      </c>
      <c r="B1385" s="32" t="s">
        <v>3077</v>
      </c>
      <c r="C1385" s="35">
        <v>2.953</v>
      </c>
      <c r="D1385" s="35">
        <v>34.1232</v>
      </c>
      <c r="E1385" s="32" t="s">
        <v>2219</v>
      </c>
      <c r="F1385" s="32" t="s">
        <v>3078</v>
      </c>
      <c r="G1385" s="36" t="e">
        <v>#N/A</v>
      </c>
      <c r="H1385" s="33"/>
      <c r="I1385" s="33"/>
      <c r="J1385" s="33"/>
      <c r="K1385" s="33"/>
      <c r="L1385" s="33"/>
      <c r="M1385" s="33"/>
    </row>
    <row r="1386">
      <c r="A1386" s="32" t="s">
        <v>100</v>
      </c>
      <c r="B1386" s="32" t="s">
        <v>3079</v>
      </c>
      <c r="C1386" s="35">
        <v>0.1968</v>
      </c>
      <c r="D1386" s="35">
        <v>32.55297</v>
      </c>
      <c r="E1386" s="32" t="s">
        <v>2219</v>
      </c>
      <c r="F1386" s="32" t="s">
        <v>3080</v>
      </c>
      <c r="G1386" s="36" t="e">
        <v>#N/A</v>
      </c>
      <c r="H1386" s="33"/>
      <c r="I1386" s="33"/>
      <c r="J1386" s="33"/>
      <c r="K1386" s="33"/>
      <c r="L1386" s="33"/>
      <c r="M1386" s="33"/>
    </row>
    <row r="1387">
      <c r="A1387" s="32" t="s">
        <v>100</v>
      </c>
      <c r="B1387" s="32" t="s">
        <v>3081</v>
      </c>
      <c r="C1387" s="35">
        <v>-17.24259949</v>
      </c>
      <c r="D1387" s="35">
        <v>-46.8830986</v>
      </c>
      <c r="E1387" s="32" t="s">
        <v>288</v>
      </c>
      <c r="F1387" s="32" t="s">
        <v>3082</v>
      </c>
      <c r="G1387" s="36" t="e">
        <v>#N/A</v>
      </c>
      <c r="H1387" s="33"/>
      <c r="I1387" s="33"/>
      <c r="J1387" s="33"/>
      <c r="K1387" s="33"/>
      <c r="L1387" s="33"/>
      <c r="M1387" s="33"/>
    </row>
    <row r="1388">
      <c r="A1388" s="32" t="s">
        <v>100</v>
      </c>
      <c r="B1388" s="32" t="s">
        <v>3083</v>
      </c>
      <c r="C1388" s="35">
        <v>-20.73859978</v>
      </c>
      <c r="D1388" s="35">
        <v>-43.79740143</v>
      </c>
      <c r="E1388" s="32" t="s">
        <v>288</v>
      </c>
      <c r="F1388" s="32" t="s">
        <v>3084</v>
      </c>
      <c r="G1388" s="36" t="e">
        <v>#N/A</v>
      </c>
      <c r="H1388" s="33"/>
      <c r="I1388" s="33"/>
      <c r="J1388" s="33"/>
      <c r="K1388" s="33"/>
      <c r="L1388" s="33"/>
      <c r="M1388" s="33"/>
    </row>
    <row r="1389">
      <c r="A1389" s="32" t="s">
        <v>100</v>
      </c>
      <c r="B1389" s="32" t="s">
        <v>3085</v>
      </c>
      <c r="C1389" s="35">
        <v>-15.73200035</v>
      </c>
      <c r="D1389" s="35">
        <v>-43.32310104</v>
      </c>
      <c r="E1389" s="32" t="s">
        <v>288</v>
      </c>
      <c r="F1389" s="32" t="s">
        <v>3086</v>
      </c>
      <c r="G1389" s="36" t="e">
        <v>#N/A</v>
      </c>
      <c r="H1389" s="33"/>
      <c r="I1389" s="33"/>
      <c r="J1389" s="33"/>
      <c r="K1389" s="33"/>
      <c r="L1389" s="33"/>
      <c r="M1389" s="33"/>
    </row>
    <row r="1390">
      <c r="A1390" s="32" t="s">
        <v>100</v>
      </c>
      <c r="B1390" s="32" t="s">
        <v>3087</v>
      </c>
      <c r="C1390" s="35">
        <v>-21.12610054</v>
      </c>
      <c r="D1390" s="35">
        <v>-42.39440155</v>
      </c>
      <c r="E1390" s="32" t="s">
        <v>288</v>
      </c>
      <c r="F1390" s="32" t="s">
        <v>3088</v>
      </c>
      <c r="G1390" s="36" t="e">
        <v>#N/A</v>
      </c>
      <c r="H1390" s="33"/>
      <c r="I1390" s="33"/>
      <c r="J1390" s="33"/>
      <c r="K1390" s="33"/>
      <c r="L1390" s="33"/>
      <c r="M1390" s="33"/>
    </row>
    <row r="1391">
      <c r="A1391" s="32" t="s">
        <v>100</v>
      </c>
      <c r="B1391" s="32" t="s">
        <v>3089</v>
      </c>
      <c r="C1391" s="35">
        <v>47.7047</v>
      </c>
      <c r="D1391" s="35">
        <v>6.54583</v>
      </c>
      <c r="E1391" s="32" t="s">
        <v>96</v>
      </c>
      <c r="F1391" s="32" t="s">
        <v>3090</v>
      </c>
      <c r="G1391" s="39" t="s">
        <v>97</v>
      </c>
      <c r="H1391" s="33"/>
      <c r="I1391" s="33"/>
      <c r="J1391" s="33"/>
      <c r="K1391" s="33"/>
      <c r="L1391" s="33"/>
      <c r="M1391" s="33"/>
    </row>
    <row r="1392">
      <c r="A1392" s="32" t="s">
        <v>100</v>
      </c>
      <c r="B1392" s="32" t="s">
        <v>3091</v>
      </c>
      <c r="C1392" s="35">
        <v>-23.22439957</v>
      </c>
      <c r="D1392" s="35">
        <v>-44.72029877</v>
      </c>
      <c r="E1392" s="32" t="s">
        <v>288</v>
      </c>
      <c r="F1392" s="32" t="s">
        <v>3092</v>
      </c>
      <c r="G1392" s="36" t="e">
        <v>#N/A</v>
      </c>
      <c r="H1392" s="33"/>
      <c r="I1392" s="33"/>
      <c r="J1392" s="33"/>
      <c r="K1392" s="33"/>
      <c r="L1392" s="33"/>
      <c r="M1392" s="33"/>
    </row>
    <row r="1393">
      <c r="A1393" s="32" t="s">
        <v>100</v>
      </c>
      <c r="B1393" s="32" t="s">
        <v>3093</v>
      </c>
      <c r="C1393" s="35">
        <v>-22.97529984</v>
      </c>
      <c r="D1393" s="35">
        <v>-44.30709839</v>
      </c>
      <c r="E1393" s="32" t="s">
        <v>288</v>
      </c>
      <c r="F1393" s="32" t="s">
        <v>3094</v>
      </c>
      <c r="G1393" s="36" t="e">
        <v>#N/A</v>
      </c>
      <c r="H1393" s="33"/>
      <c r="I1393" s="33"/>
      <c r="J1393" s="33"/>
      <c r="K1393" s="33"/>
      <c r="L1393" s="33"/>
      <c r="M1393" s="33"/>
    </row>
    <row r="1394">
      <c r="A1394" s="32" t="s">
        <v>100</v>
      </c>
      <c r="B1394" s="32" t="s">
        <v>3095</v>
      </c>
      <c r="C1394" s="35">
        <v>-22.91950035</v>
      </c>
      <c r="D1394" s="35">
        <v>-42.83089828</v>
      </c>
      <c r="E1394" s="32" t="s">
        <v>288</v>
      </c>
      <c r="F1394" s="32" t="s">
        <v>3096</v>
      </c>
      <c r="G1394" s="36" t="e">
        <v>#N/A</v>
      </c>
      <c r="H1394" s="33"/>
      <c r="I1394" s="33"/>
      <c r="J1394" s="33"/>
      <c r="K1394" s="33"/>
      <c r="L1394" s="33"/>
      <c r="M1394" s="33"/>
    </row>
    <row r="1395">
      <c r="A1395" s="32" t="s">
        <v>100</v>
      </c>
      <c r="B1395" s="32" t="s">
        <v>3097</v>
      </c>
      <c r="C1395" s="35">
        <v>-22.47850037</v>
      </c>
      <c r="D1395" s="35">
        <v>-44.4803009</v>
      </c>
      <c r="E1395" s="32" t="s">
        <v>288</v>
      </c>
      <c r="F1395" s="32" t="s">
        <v>3098</v>
      </c>
      <c r="G1395" s="36" t="e">
        <v>#N/A</v>
      </c>
      <c r="H1395" s="33"/>
      <c r="I1395" s="33"/>
      <c r="J1395" s="33"/>
      <c r="K1395" s="33"/>
      <c r="L1395" s="33"/>
      <c r="M1395" s="33"/>
    </row>
    <row r="1396">
      <c r="A1396" s="32" t="s">
        <v>100</v>
      </c>
      <c r="B1396" s="32" t="s">
        <v>3099</v>
      </c>
      <c r="C1396" s="35">
        <v>-22.92972183</v>
      </c>
      <c r="D1396" s="35">
        <v>-42.50694275</v>
      </c>
      <c r="E1396" s="32" t="s">
        <v>288</v>
      </c>
      <c r="F1396" s="32" t="s">
        <v>3100</v>
      </c>
      <c r="G1396" s="36" t="e">
        <v>#N/A</v>
      </c>
      <c r="H1396" s="33"/>
      <c r="I1396" s="33"/>
      <c r="J1396" s="33"/>
      <c r="K1396" s="33"/>
      <c r="L1396" s="33"/>
      <c r="M1396" s="33"/>
    </row>
    <row r="1397">
      <c r="A1397" s="32" t="s">
        <v>100</v>
      </c>
      <c r="B1397" s="32" t="s">
        <v>3101</v>
      </c>
      <c r="C1397" s="35">
        <v>51.49639893</v>
      </c>
      <c r="D1397" s="35">
        <v>-112.7490005</v>
      </c>
      <c r="E1397" s="32" t="s">
        <v>94</v>
      </c>
      <c r="F1397" s="32" t="s">
        <v>3102</v>
      </c>
      <c r="G1397" s="36" t="e">
        <v>#N/A</v>
      </c>
      <c r="H1397" s="33"/>
      <c r="I1397" s="33"/>
      <c r="J1397" s="33"/>
      <c r="K1397" s="33"/>
      <c r="L1397" s="33"/>
      <c r="M1397" s="33"/>
    </row>
    <row r="1398">
      <c r="A1398" s="32" t="s">
        <v>100</v>
      </c>
      <c r="B1398" s="32" t="s">
        <v>3103</v>
      </c>
      <c r="C1398" s="35">
        <v>-6.982999802</v>
      </c>
      <c r="D1398" s="35">
        <v>23.08300018</v>
      </c>
      <c r="E1398" s="32" t="s">
        <v>800</v>
      </c>
      <c r="F1398" s="32" t="s">
        <v>3104</v>
      </c>
      <c r="G1398" s="36" t="e">
        <v>#N/A</v>
      </c>
      <c r="H1398" s="33"/>
      <c r="I1398" s="33"/>
      <c r="J1398" s="33"/>
      <c r="K1398" s="33"/>
      <c r="L1398" s="33"/>
      <c r="M1398" s="33"/>
    </row>
    <row r="1399">
      <c r="A1399" s="32" t="s">
        <v>100</v>
      </c>
      <c r="B1399" s="32" t="s">
        <v>3105</v>
      </c>
      <c r="C1399" s="35">
        <v>-12.19833279</v>
      </c>
      <c r="D1399" s="35">
        <v>-53.38166809</v>
      </c>
      <c r="E1399" s="32" t="s">
        <v>288</v>
      </c>
      <c r="F1399" s="32" t="s">
        <v>3106</v>
      </c>
      <c r="G1399" s="36" t="e">
        <v>#N/A</v>
      </c>
      <c r="H1399" s="33"/>
      <c r="I1399" s="33"/>
      <c r="J1399" s="33"/>
      <c r="K1399" s="33"/>
      <c r="L1399" s="33"/>
      <c r="M1399" s="33"/>
    </row>
    <row r="1400">
      <c r="A1400" s="32" t="s">
        <v>100</v>
      </c>
      <c r="B1400" s="32" t="s">
        <v>3107</v>
      </c>
      <c r="C1400" s="35">
        <v>-14.6619997</v>
      </c>
      <c r="D1400" s="35">
        <v>-57.44350052</v>
      </c>
      <c r="E1400" s="32" t="s">
        <v>288</v>
      </c>
      <c r="F1400" s="32" t="s">
        <v>3108</v>
      </c>
      <c r="G1400" s="36" t="e">
        <v>#N/A</v>
      </c>
      <c r="H1400" s="33"/>
      <c r="I1400" s="33"/>
      <c r="J1400" s="33"/>
      <c r="K1400" s="33"/>
      <c r="L1400" s="33"/>
      <c r="M1400" s="33"/>
    </row>
    <row r="1401">
      <c r="A1401" s="32" t="s">
        <v>100</v>
      </c>
      <c r="B1401" s="32" t="s">
        <v>3109</v>
      </c>
      <c r="C1401" s="35">
        <v>-13.57444382</v>
      </c>
      <c r="D1401" s="35">
        <v>-52.2705574</v>
      </c>
      <c r="E1401" s="32" t="s">
        <v>288</v>
      </c>
      <c r="F1401" s="32" t="s">
        <v>3110</v>
      </c>
      <c r="G1401" s="36" t="e">
        <v>#N/A</v>
      </c>
      <c r="H1401" s="33"/>
      <c r="I1401" s="33"/>
      <c r="J1401" s="33"/>
      <c r="K1401" s="33"/>
      <c r="L1401" s="33"/>
      <c r="M1401" s="33"/>
    </row>
    <row r="1402">
      <c r="A1402" s="32" t="s">
        <v>100</v>
      </c>
      <c r="B1402" s="32" t="s">
        <v>3111</v>
      </c>
      <c r="C1402" s="35">
        <v>-14.9942</v>
      </c>
      <c r="D1402" s="35">
        <v>-59.9458</v>
      </c>
      <c r="E1402" s="32" t="s">
        <v>288</v>
      </c>
      <c r="F1402" s="32" t="s">
        <v>3112</v>
      </c>
      <c r="G1402" s="36" t="e">
        <v>#N/A</v>
      </c>
      <c r="H1402" s="33"/>
      <c r="I1402" s="33"/>
      <c r="J1402" s="33"/>
      <c r="K1402" s="33"/>
      <c r="L1402" s="33"/>
      <c r="M1402" s="33"/>
    </row>
    <row r="1403">
      <c r="A1403" s="32" t="s">
        <v>100</v>
      </c>
      <c r="B1403" s="32" t="s">
        <v>3113</v>
      </c>
      <c r="C1403" s="35">
        <v>-35.06669998</v>
      </c>
      <c r="D1403" s="35">
        <v>139.227005</v>
      </c>
      <c r="E1403" s="32" t="s">
        <v>1968</v>
      </c>
      <c r="F1403" s="32" t="s">
        <v>3114</v>
      </c>
      <c r="G1403" s="36" t="e">
        <v>#N/A</v>
      </c>
      <c r="H1403" s="33"/>
      <c r="I1403" s="33"/>
      <c r="J1403" s="33"/>
      <c r="K1403" s="33"/>
      <c r="L1403" s="33"/>
      <c r="M1403" s="33"/>
    </row>
    <row r="1404">
      <c r="A1404" s="32" t="s">
        <v>100</v>
      </c>
      <c r="B1404" s="32" t="s">
        <v>3115</v>
      </c>
      <c r="C1404" s="35">
        <v>-7.333000183</v>
      </c>
      <c r="D1404" s="35">
        <v>19.0170002</v>
      </c>
      <c r="E1404" s="32" t="s">
        <v>800</v>
      </c>
      <c r="F1404" s="32" t="s">
        <v>3116</v>
      </c>
      <c r="G1404" s="36" t="e">
        <v>#N/A</v>
      </c>
      <c r="H1404" s="33"/>
      <c r="I1404" s="33"/>
      <c r="J1404" s="33"/>
      <c r="K1404" s="33"/>
      <c r="L1404" s="33"/>
      <c r="M1404" s="33"/>
    </row>
    <row r="1405">
      <c r="A1405" s="32" t="s">
        <v>100</v>
      </c>
      <c r="B1405" s="32" t="s">
        <v>3117</v>
      </c>
      <c r="C1405" s="35">
        <v>27.04787</v>
      </c>
      <c r="D1405" s="35">
        <v>86.858022</v>
      </c>
      <c r="E1405" s="32" t="s">
        <v>1877</v>
      </c>
      <c r="F1405" s="32" t="s">
        <v>3118</v>
      </c>
      <c r="G1405" s="36" t="e">
        <v>#N/A</v>
      </c>
      <c r="H1405" s="33"/>
      <c r="I1405" s="33"/>
      <c r="J1405" s="33"/>
      <c r="K1405" s="33"/>
      <c r="L1405" s="33"/>
      <c r="M1405" s="33"/>
    </row>
    <row r="1406">
      <c r="A1406" s="32" t="s">
        <v>100</v>
      </c>
      <c r="B1406" s="32" t="s">
        <v>3119</v>
      </c>
      <c r="C1406" s="35">
        <v>50.89889908</v>
      </c>
      <c r="D1406" s="35">
        <v>15.78559971</v>
      </c>
      <c r="E1406" s="32" t="s">
        <v>192</v>
      </c>
      <c r="F1406" s="32" t="s">
        <v>3120</v>
      </c>
      <c r="G1406" s="39" t="s">
        <v>193</v>
      </c>
      <c r="H1406" s="33"/>
      <c r="I1406" s="33"/>
      <c r="J1406" s="33"/>
      <c r="K1406" s="33"/>
      <c r="L1406" s="33"/>
      <c r="M1406" s="33"/>
    </row>
    <row r="1407">
      <c r="A1407" s="32" t="s">
        <v>100</v>
      </c>
      <c r="B1407" s="32" t="s">
        <v>3121</v>
      </c>
      <c r="C1407" s="35">
        <v>63.82329941</v>
      </c>
      <c r="D1407" s="35">
        <v>57.27999878</v>
      </c>
      <c r="E1407" s="32" t="s">
        <v>2040</v>
      </c>
      <c r="F1407" s="32" t="s">
        <v>3122</v>
      </c>
      <c r="G1407" s="36" t="e">
        <v>#N/A</v>
      </c>
      <c r="H1407" s="33"/>
      <c r="I1407" s="33"/>
      <c r="J1407" s="33"/>
      <c r="K1407" s="33"/>
      <c r="L1407" s="33"/>
      <c r="M1407" s="33"/>
    </row>
    <row r="1408">
      <c r="A1408" s="32" t="s">
        <v>100</v>
      </c>
      <c r="B1408" s="32" t="s">
        <v>3123</v>
      </c>
      <c r="C1408" s="35">
        <v>59.57954788</v>
      </c>
      <c r="D1408" s="35">
        <v>56.85768127</v>
      </c>
      <c r="E1408" s="32" t="s">
        <v>2040</v>
      </c>
      <c r="F1408" s="32" t="s">
        <v>3124</v>
      </c>
      <c r="G1408" s="36" t="e">
        <v>#N/A</v>
      </c>
      <c r="H1408" s="33"/>
      <c r="I1408" s="33"/>
      <c r="J1408" s="33"/>
      <c r="K1408" s="33"/>
      <c r="L1408" s="33"/>
      <c r="M1408" s="33"/>
    </row>
    <row r="1409">
      <c r="A1409" s="32" t="s">
        <v>100</v>
      </c>
      <c r="B1409" s="32" t="s">
        <v>3125</v>
      </c>
      <c r="C1409" s="35">
        <v>-53.31700134</v>
      </c>
      <c r="D1409" s="35">
        <v>-68.65000153</v>
      </c>
      <c r="E1409" s="32" t="s">
        <v>300</v>
      </c>
      <c r="F1409" s="32" t="s">
        <v>3126</v>
      </c>
      <c r="G1409" s="36" t="e">
        <v>#N/A</v>
      </c>
      <c r="H1409" s="33"/>
      <c r="I1409" s="33"/>
      <c r="J1409" s="33"/>
      <c r="K1409" s="33"/>
      <c r="L1409" s="33"/>
      <c r="M1409" s="33"/>
    </row>
    <row r="1410">
      <c r="A1410" s="32" t="s">
        <v>100</v>
      </c>
      <c r="B1410" s="32" t="s">
        <v>3127</v>
      </c>
      <c r="C1410" s="35">
        <v>-54.52190018</v>
      </c>
      <c r="D1410" s="35">
        <v>-67.1989975</v>
      </c>
      <c r="E1410" s="32" t="s">
        <v>296</v>
      </c>
      <c r="F1410" s="32" t="s">
        <v>3128</v>
      </c>
      <c r="G1410" s="36" t="e">
        <v>#N/A</v>
      </c>
      <c r="H1410" s="33"/>
      <c r="I1410" s="33"/>
      <c r="J1410" s="33"/>
      <c r="K1410" s="33"/>
      <c r="L1410" s="33"/>
      <c r="M1410" s="33"/>
    </row>
    <row r="1411">
      <c r="A1411" s="32" t="s">
        <v>100</v>
      </c>
      <c r="B1411" s="32" t="s">
        <v>3129</v>
      </c>
      <c r="C1411" s="35">
        <v>34.21369934</v>
      </c>
      <c r="D1411" s="35">
        <v>-119.0940018</v>
      </c>
      <c r="E1411" s="32" t="s">
        <v>180</v>
      </c>
      <c r="F1411" s="32" t="s">
        <v>3130</v>
      </c>
      <c r="G1411" s="39" t="s">
        <v>181</v>
      </c>
      <c r="H1411" s="33"/>
      <c r="I1411" s="33"/>
      <c r="J1411" s="33"/>
      <c r="K1411" s="33"/>
      <c r="L1411" s="33"/>
      <c r="M1411" s="33"/>
    </row>
    <row r="1412">
      <c r="A1412" s="32" t="s">
        <v>100</v>
      </c>
      <c r="B1412" s="32" t="s">
        <v>3131</v>
      </c>
      <c r="C1412" s="35">
        <v>51.12</v>
      </c>
      <c r="D1412" s="35">
        <v>5.3072222</v>
      </c>
      <c r="E1412" s="32" t="s">
        <v>197</v>
      </c>
      <c r="F1412" s="32" t="s">
        <v>3132</v>
      </c>
      <c r="G1412" s="36" t="e">
        <v>#N/A</v>
      </c>
      <c r="H1412" s="33"/>
      <c r="I1412" s="33"/>
      <c r="J1412" s="33"/>
      <c r="K1412" s="33"/>
      <c r="L1412" s="33"/>
      <c r="M1412" s="33"/>
    </row>
    <row r="1413">
      <c r="A1413" s="32" t="s">
        <v>100</v>
      </c>
      <c r="B1413" s="32" t="s">
        <v>3133</v>
      </c>
      <c r="C1413" s="35">
        <v>11.523616</v>
      </c>
      <c r="D1413" s="35">
        <v>-85.702995</v>
      </c>
      <c r="E1413" s="32" t="s">
        <v>1260</v>
      </c>
      <c r="F1413" s="32" t="s">
        <v>3134</v>
      </c>
      <c r="G1413" s="36" t="e">
        <v>#N/A</v>
      </c>
      <c r="H1413" s="33"/>
      <c r="I1413" s="33"/>
      <c r="J1413" s="33"/>
      <c r="K1413" s="33"/>
      <c r="L1413" s="33"/>
      <c r="M1413" s="33"/>
    </row>
    <row r="1414">
      <c r="A1414" s="32" t="s">
        <v>100</v>
      </c>
      <c r="B1414" s="32" t="s">
        <v>3135</v>
      </c>
      <c r="C1414" s="35">
        <v>53.31919861</v>
      </c>
      <c r="D1414" s="35">
        <v>-117.7529984</v>
      </c>
      <c r="E1414" s="32" t="s">
        <v>94</v>
      </c>
      <c r="F1414" s="32" t="s">
        <v>3136</v>
      </c>
      <c r="G1414" s="36" t="e">
        <v>#N/A</v>
      </c>
      <c r="H1414" s="33"/>
      <c r="I1414" s="33"/>
      <c r="J1414" s="33"/>
      <c r="K1414" s="33"/>
      <c r="L1414" s="33"/>
      <c r="M1414" s="33"/>
    </row>
    <row r="1415">
      <c r="A1415" s="32" t="s">
        <v>100</v>
      </c>
      <c r="B1415" s="32" t="s">
        <v>3137</v>
      </c>
      <c r="C1415" s="35">
        <v>-28.90670013</v>
      </c>
      <c r="D1415" s="35">
        <v>136.3419952</v>
      </c>
      <c r="E1415" s="32" t="s">
        <v>1968</v>
      </c>
      <c r="F1415" s="32" t="s">
        <v>3138</v>
      </c>
      <c r="G1415" s="36" t="e">
        <v>#N/A</v>
      </c>
      <c r="H1415" s="33"/>
      <c r="I1415" s="33"/>
      <c r="J1415" s="33"/>
      <c r="K1415" s="33"/>
      <c r="L1415" s="33"/>
      <c r="M1415" s="33"/>
    </row>
    <row r="1416">
      <c r="A1416" s="32" t="s">
        <v>100</v>
      </c>
      <c r="B1416" s="32" t="s">
        <v>3139</v>
      </c>
      <c r="C1416" s="35">
        <v>49.767424</v>
      </c>
      <c r="D1416" s="35">
        <v>-94.49274</v>
      </c>
      <c r="E1416" s="32" t="s">
        <v>94</v>
      </c>
      <c r="F1416" s="32" t="s">
        <v>3140</v>
      </c>
      <c r="G1416" s="36" t="e">
        <v>#N/A</v>
      </c>
      <c r="H1416" s="33"/>
      <c r="I1416" s="33"/>
      <c r="J1416" s="33"/>
      <c r="K1416" s="33"/>
      <c r="L1416" s="33"/>
      <c r="M1416" s="33"/>
    </row>
    <row r="1417">
      <c r="A1417" s="32" t="s">
        <v>100</v>
      </c>
      <c r="B1417" s="32" t="s">
        <v>3141</v>
      </c>
      <c r="C1417" s="35">
        <v>9.214203223</v>
      </c>
      <c r="D1417" s="35">
        <v>123.4722519</v>
      </c>
      <c r="E1417" s="32" t="s">
        <v>270</v>
      </c>
      <c r="F1417" s="32" t="s">
        <v>3142</v>
      </c>
      <c r="G1417" s="36" t="e">
        <v>#N/A</v>
      </c>
      <c r="H1417" s="33"/>
      <c r="I1417" s="33"/>
      <c r="J1417" s="33"/>
      <c r="K1417" s="33"/>
      <c r="L1417" s="33"/>
      <c r="M1417" s="33"/>
    </row>
    <row r="1418">
      <c r="A1418" s="32" t="s">
        <v>100</v>
      </c>
      <c r="B1418" s="32" t="s">
        <v>3143</v>
      </c>
      <c r="C1418" s="35">
        <v>50.19722366</v>
      </c>
      <c r="D1418" s="35">
        <v>9.170000076</v>
      </c>
      <c r="E1418" s="32" t="s">
        <v>109</v>
      </c>
      <c r="F1418" s="32" t="s">
        <v>3144</v>
      </c>
      <c r="G1418" s="39" t="s">
        <v>110</v>
      </c>
      <c r="H1418" s="33"/>
      <c r="I1418" s="33"/>
      <c r="J1418" s="33"/>
      <c r="K1418" s="33"/>
      <c r="L1418" s="33"/>
      <c r="M1418" s="33"/>
    </row>
    <row r="1419">
      <c r="A1419" s="32" t="s">
        <v>100</v>
      </c>
      <c r="B1419" s="32" t="s">
        <v>3145</v>
      </c>
      <c r="C1419" s="35">
        <v>54.85279846</v>
      </c>
      <c r="D1419" s="35">
        <v>10.45639992</v>
      </c>
      <c r="E1419" s="32" t="s">
        <v>533</v>
      </c>
      <c r="F1419" s="32" t="s">
        <v>3146</v>
      </c>
      <c r="G1419" s="36" t="e">
        <v>#N/A</v>
      </c>
      <c r="H1419" s="33"/>
      <c r="I1419" s="33"/>
      <c r="J1419" s="33"/>
      <c r="K1419" s="33"/>
      <c r="L1419" s="33"/>
      <c r="M1419" s="33"/>
    </row>
    <row r="1420">
      <c r="A1420" s="32" t="s">
        <v>100</v>
      </c>
      <c r="B1420" s="32" t="s">
        <v>3147</v>
      </c>
      <c r="C1420" s="35">
        <v>50.68333435</v>
      </c>
      <c r="D1420" s="35">
        <v>9.410833359</v>
      </c>
      <c r="E1420" s="32" t="s">
        <v>109</v>
      </c>
      <c r="F1420" s="32" t="s">
        <v>3148</v>
      </c>
      <c r="G1420" s="39" t="s">
        <v>110</v>
      </c>
      <c r="H1420" s="33"/>
      <c r="I1420" s="33"/>
      <c r="J1420" s="33"/>
      <c r="K1420" s="33"/>
      <c r="L1420" s="33"/>
      <c r="M1420" s="33"/>
    </row>
    <row r="1421">
      <c r="A1421" s="32" t="s">
        <v>100</v>
      </c>
      <c r="B1421" s="32" t="s">
        <v>3149</v>
      </c>
      <c r="C1421" s="35">
        <v>49.93888855</v>
      </c>
      <c r="D1421" s="35">
        <v>9.06388855</v>
      </c>
      <c r="E1421" s="32" t="s">
        <v>109</v>
      </c>
      <c r="F1421" s="32" t="s">
        <v>3150</v>
      </c>
      <c r="G1421" s="39" t="s">
        <v>110</v>
      </c>
      <c r="H1421" s="33"/>
      <c r="I1421" s="33"/>
      <c r="J1421" s="33"/>
      <c r="K1421" s="33"/>
      <c r="L1421" s="33"/>
      <c r="M1421" s="33"/>
    </row>
    <row r="1422">
      <c r="A1422" s="32" t="s">
        <v>100</v>
      </c>
      <c r="B1422" s="32" t="s">
        <v>3151</v>
      </c>
      <c r="C1422" s="35">
        <v>50.3358345</v>
      </c>
      <c r="D1422" s="35">
        <v>8.878055573</v>
      </c>
      <c r="E1422" s="32" t="s">
        <v>109</v>
      </c>
      <c r="F1422" s="32" t="s">
        <v>3152</v>
      </c>
      <c r="G1422" s="39" t="s">
        <v>110</v>
      </c>
      <c r="H1422" s="33"/>
      <c r="I1422" s="33"/>
      <c r="J1422" s="33"/>
      <c r="K1422" s="33"/>
      <c r="L1422" s="33"/>
      <c r="M1422" s="33"/>
    </row>
    <row r="1423">
      <c r="A1423" s="32" t="s">
        <v>100</v>
      </c>
      <c r="B1423" s="32" t="s">
        <v>3153</v>
      </c>
      <c r="C1423" s="35">
        <v>50.874443049999996</v>
      </c>
      <c r="D1423" s="35">
        <v>8.81499958</v>
      </c>
      <c r="E1423" s="32" t="s">
        <v>109</v>
      </c>
      <c r="F1423" s="32" t="s">
        <v>3154</v>
      </c>
      <c r="G1423" s="39" t="s">
        <v>110</v>
      </c>
      <c r="H1423" s="33"/>
      <c r="I1423" s="33"/>
      <c r="J1423" s="33"/>
      <c r="K1423" s="33"/>
      <c r="L1423" s="33"/>
      <c r="M1423" s="33"/>
    </row>
    <row r="1424">
      <c r="A1424" s="32" t="s">
        <v>100</v>
      </c>
      <c r="B1424" s="32" t="s">
        <v>3155</v>
      </c>
      <c r="C1424" s="35">
        <v>53.20750046</v>
      </c>
      <c r="D1424" s="35">
        <v>9.573332787</v>
      </c>
      <c r="E1424" s="32" t="s">
        <v>109</v>
      </c>
      <c r="F1424" s="32" t="s">
        <v>3156</v>
      </c>
      <c r="G1424" s="39" t="s">
        <v>110</v>
      </c>
      <c r="H1424" s="33"/>
      <c r="I1424" s="33"/>
      <c r="J1424" s="33"/>
      <c r="K1424" s="33"/>
      <c r="L1424" s="33"/>
      <c r="M1424" s="33"/>
    </row>
    <row r="1425">
      <c r="A1425" s="32" t="s">
        <v>100</v>
      </c>
      <c r="B1425" s="32" t="s">
        <v>3157</v>
      </c>
      <c r="C1425" s="35">
        <v>53.28666687</v>
      </c>
      <c r="D1425" s="35">
        <v>8.947221756</v>
      </c>
      <c r="E1425" s="32" t="s">
        <v>109</v>
      </c>
      <c r="F1425" s="32" t="s">
        <v>3158</v>
      </c>
      <c r="G1425" s="39" t="s">
        <v>110</v>
      </c>
      <c r="H1425" s="33"/>
      <c r="I1425" s="33"/>
      <c r="J1425" s="33"/>
      <c r="K1425" s="33"/>
      <c r="L1425" s="33"/>
      <c r="M1425" s="33"/>
    </row>
    <row r="1426">
      <c r="A1426" s="32" t="s">
        <v>100</v>
      </c>
      <c r="B1426" s="32" t="s">
        <v>3159</v>
      </c>
      <c r="C1426" s="35">
        <v>45.14170074</v>
      </c>
      <c r="D1426" s="35">
        <v>13.63059998</v>
      </c>
      <c r="E1426" s="32" t="s">
        <v>211</v>
      </c>
      <c r="F1426" s="32" t="s">
        <v>3160</v>
      </c>
      <c r="G1426" s="39" t="s">
        <v>212</v>
      </c>
      <c r="H1426" s="33"/>
      <c r="I1426" s="33"/>
      <c r="J1426" s="33"/>
      <c r="K1426" s="33"/>
      <c r="L1426" s="33"/>
      <c r="M1426" s="33"/>
    </row>
    <row r="1427">
      <c r="A1427" s="32" t="s">
        <v>100</v>
      </c>
      <c r="B1427" s="32" t="s">
        <v>3161</v>
      </c>
      <c r="C1427" s="35">
        <v>59.48749924</v>
      </c>
      <c r="D1427" s="35">
        <v>-97.78029633</v>
      </c>
      <c r="E1427" s="32" t="s">
        <v>94</v>
      </c>
      <c r="F1427" s="32" t="s">
        <v>3162</v>
      </c>
      <c r="G1427" s="36" t="e">
        <v>#N/A</v>
      </c>
      <c r="H1427" s="33"/>
      <c r="I1427" s="33"/>
      <c r="J1427" s="33"/>
      <c r="K1427" s="33"/>
      <c r="L1427" s="33"/>
      <c r="M1427" s="33"/>
    </row>
    <row r="1428">
      <c r="A1428" s="32" t="s">
        <v>100</v>
      </c>
      <c r="B1428" s="32" t="s">
        <v>3163</v>
      </c>
      <c r="C1428" s="35">
        <v>49.920403</v>
      </c>
      <c r="D1428" s="35">
        <v>10.914233</v>
      </c>
      <c r="E1428" s="32" t="s">
        <v>109</v>
      </c>
      <c r="F1428" s="32" t="s">
        <v>3164</v>
      </c>
      <c r="G1428" s="39" t="s">
        <v>110</v>
      </c>
      <c r="H1428" s="33"/>
      <c r="I1428" s="33"/>
      <c r="J1428" s="33"/>
      <c r="K1428" s="33"/>
      <c r="L1428" s="33"/>
      <c r="M1428" s="33"/>
    </row>
    <row r="1429">
      <c r="A1429" s="32" t="s">
        <v>100</v>
      </c>
      <c r="B1429" s="32" t="s">
        <v>3165</v>
      </c>
      <c r="C1429" s="35">
        <v>52.0008316</v>
      </c>
      <c r="D1429" s="35">
        <v>12.14861107</v>
      </c>
      <c r="E1429" s="32" t="s">
        <v>109</v>
      </c>
      <c r="F1429" s="32" t="s">
        <v>3166</v>
      </c>
      <c r="G1429" s="39" t="s">
        <v>110</v>
      </c>
      <c r="H1429" s="33"/>
      <c r="I1429" s="33"/>
      <c r="J1429" s="33"/>
      <c r="K1429" s="33"/>
      <c r="L1429" s="33"/>
      <c r="M1429" s="33"/>
    </row>
    <row r="1430">
      <c r="A1430" s="32" t="s">
        <v>100</v>
      </c>
      <c r="B1430" s="32" t="s">
        <v>3167</v>
      </c>
      <c r="C1430" s="35">
        <v>55.04999924</v>
      </c>
      <c r="D1430" s="35">
        <v>-2.549999952</v>
      </c>
      <c r="E1430" s="32" t="s">
        <v>90</v>
      </c>
      <c r="F1430" s="32" t="s">
        <v>3168</v>
      </c>
      <c r="G1430" s="39" t="s">
        <v>91</v>
      </c>
      <c r="H1430" s="33"/>
      <c r="I1430" s="33"/>
      <c r="J1430" s="33"/>
      <c r="K1430" s="33"/>
      <c r="L1430" s="33"/>
      <c r="M1430" s="33"/>
    </row>
    <row r="1431">
      <c r="A1431" s="32" t="s">
        <v>100</v>
      </c>
      <c r="B1431" s="32" t="s">
        <v>3169</v>
      </c>
      <c r="C1431" s="35">
        <v>54.41600037</v>
      </c>
      <c r="D1431" s="35">
        <v>17.76329994</v>
      </c>
      <c r="E1431" s="32" t="s">
        <v>192</v>
      </c>
      <c r="F1431" s="32" t="s">
        <v>3170</v>
      </c>
      <c r="G1431" s="39" t="s">
        <v>193</v>
      </c>
      <c r="H1431" s="33"/>
      <c r="I1431" s="33"/>
      <c r="J1431" s="33"/>
      <c r="K1431" s="33"/>
      <c r="L1431" s="33"/>
      <c r="M1431" s="33"/>
    </row>
    <row r="1432">
      <c r="A1432" s="32" t="s">
        <v>100</v>
      </c>
      <c r="B1432" s="32" t="s">
        <v>3171</v>
      </c>
      <c r="C1432" s="35">
        <v>51.55139923</v>
      </c>
      <c r="D1432" s="35">
        <v>21.89360046</v>
      </c>
      <c r="E1432" s="32" t="s">
        <v>192</v>
      </c>
      <c r="F1432" s="32" t="s">
        <v>3172</v>
      </c>
      <c r="G1432" s="39" t="s">
        <v>193</v>
      </c>
      <c r="H1432" s="33"/>
      <c r="I1432" s="33"/>
      <c r="J1432" s="33"/>
      <c r="K1432" s="33"/>
      <c r="L1432" s="33"/>
      <c r="M1432" s="33"/>
    </row>
    <row r="1433">
      <c r="A1433" s="32" t="s">
        <v>100</v>
      </c>
      <c r="B1433" s="32" t="s">
        <v>3173</v>
      </c>
      <c r="C1433" s="35">
        <v>52.00469971</v>
      </c>
      <c r="D1433" s="35">
        <v>19.14559937</v>
      </c>
      <c r="E1433" s="32" t="s">
        <v>192</v>
      </c>
      <c r="F1433" s="32" t="s">
        <v>3174</v>
      </c>
      <c r="G1433" s="39" t="s">
        <v>193</v>
      </c>
      <c r="H1433" s="33"/>
      <c r="I1433" s="33"/>
      <c r="J1433" s="33"/>
      <c r="K1433" s="33"/>
      <c r="L1433" s="33"/>
      <c r="M1433" s="33"/>
    </row>
    <row r="1434">
      <c r="A1434" s="32" t="s">
        <v>100</v>
      </c>
      <c r="B1434" s="32" t="s">
        <v>3175</v>
      </c>
      <c r="C1434" s="35">
        <v>52.19549942</v>
      </c>
      <c r="D1434" s="35">
        <v>21.65589905</v>
      </c>
      <c r="E1434" s="32" t="s">
        <v>192</v>
      </c>
      <c r="F1434" s="33"/>
      <c r="G1434" s="39" t="s">
        <v>193</v>
      </c>
      <c r="H1434" s="33"/>
      <c r="I1434" s="33"/>
      <c r="J1434" s="33"/>
      <c r="K1434" s="33"/>
      <c r="L1434" s="33"/>
      <c r="M1434" s="33"/>
    </row>
    <row r="1435">
      <c r="A1435" s="32" t="s">
        <v>100</v>
      </c>
      <c r="B1435" s="32" t="s">
        <v>3176</v>
      </c>
      <c r="C1435" s="35">
        <v>52.37939835</v>
      </c>
      <c r="D1435" s="35">
        <v>17.85390091</v>
      </c>
      <c r="E1435" s="32" t="s">
        <v>192</v>
      </c>
      <c r="F1435" s="33"/>
      <c r="G1435" s="39" t="s">
        <v>193</v>
      </c>
      <c r="H1435" s="33"/>
      <c r="I1435" s="33"/>
      <c r="J1435" s="33"/>
      <c r="K1435" s="33"/>
      <c r="L1435" s="33"/>
      <c r="M1435" s="33"/>
    </row>
    <row r="1436">
      <c r="A1436" s="32" t="s">
        <v>100</v>
      </c>
      <c r="B1436" s="32" t="s">
        <v>3177</v>
      </c>
      <c r="C1436" s="35">
        <v>51.58440018</v>
      </c>
      <c r="D1436" s="35">
        <v>20.0977993</v>
      </c>
      <c r="E1436" s="32" t="s">
        <v>192</v>
      </c>
      <c r="F1436" s="32" t="s">
        <v>3178</v>
      </c>
      <c r="G1436" s="39" t="s">
        <v>193</v>
      </c>
      <c r="H1436" s="33"/>
      <c r="I1436" s="33"/>
      <c r="J1436" s="33"/>
      <c r="K1436" s="33"/>
      <c r="L1436" s="33"/>
      <c r="M1436" s="33"/>
    </row>
    <row r="1437">
      <c r="A1437" s="32" t="s">
        <v>100</v>
      </c>
      <c r="B1437" s="32" t="s">
        <v>3179</v>
      </c>
      <c r="C1437" s="35">
        <v>58.79079819</v>
      </c>
      <c r="D1437" s="35">
        <v>16.57119942</v>
      </c>
      <c r="E1437" s="32" t="s">
        <v>347</v>
      </c>
      <c r="F1437" s="32" t="s">
        <v>3180</v>
      </c>
      <c r="G1437" s="36" t="e">
        <v>#N/A</v>
      </c>
      <c r="H1437" s="33"/>
      <c r="I1437" s="33"/>
      <c r="J1437" s="33"/>
      <c r="K1437" s="33"/>
      <c r="L1437" s="33"/>
      <c r="M1437" s="33"/>
    </row>
    <row r="1438">
      <c r="A1438" s="32" t="s">
        <v>100</v>
      </c>
      <c r="B1438" s="32" t="s">
        <v>3181</v>
      </c>
      <c r="C1438" s="35">
        <v>56.08280182</v>
      </c>
      <c r="D1438" s="35">
        <v>13.21249962</v>
      </c>
      <c r="E1438" s="32" t="s">
        <v>347</v>
      </c>
      <c r="F1438" s="32" t="s">
        <v>3182</v>
      </c>
      <c r="G1438" s="36" t="e">
        <v>#N/A</v>
      </c>
      <c r="H1438" s="33"/>
      <c r="I1438" s="33"/>
      <c r="J1438" s="33"/>
      <c r="K1438" s="33"/>
      <c r="L1438" s="33"/>
      <c r="M1438" s="33"/>
    </row>
    <row r="1439">
      <c r="A1439" s="32" t="s">
        <v>100</v>
      </c>
      <c r="B1439" s="32" t="s">
        <v>3183</v>
      </c>
      <c r="C1439" s="35">
        <v>56.534698</v>
      </c>
      <c r="D1439" s="35">
        <v>25.8925</v>
      </c>
      <c r="E1439" s="32" t="s">
        <v>3184</v>
      </c>
      <c r="F1439" s="32" t="s">
        <v>3185</v>
      </c>
      <c r="G1439" s="36" t="e">
        <v>#N/A</v>
      </c>
      <c r="H1439" s="33"/>
      <c r="I1439" s="33"/>
      <c r="J1439" s="33"/>
      <c r="K1439" s="33"/>
      <c r="L1439" s="33"/>
      <c r="M1439" s="33"/>
    </row>
    <row r="1440">
      <c r="A1440" s="32" t="s">
        <v>100</v>
      </c>
      <c r="B1440" s="32" t="s">
        <v>3186</v>
      </c>
      <c r="C1440" s="35">
        <v>56.9422</v>
      </c>
      <c r="D1440" s="35">
        <v>23.2239</v>
      </c>
      <c r="E1440" s="32" t="s">
        <v>3184</v>
      </c>
      <c r="F1440" s="32" t="s">
        <v>3187</v>
      </c>
      <c r="G1440" s="36" t="e">
        <v>#N/A</v>
      </c>
      <c r="H1440" s="33"/>
      <c r="I1440" s="33"/>
      <c r="J1440" s="33"/>
      <c r="K1440" s="33"/>
      <c r="L1440" s="33"/>
      <c r="M1440" s="33"/>
    </row>
    <row r="1441">
      <c r="A1441" s="32" t="s">
        <v>100</v>
      </c>
      <c r="B1441" s="32" t="s">
        <v>3188</v>
      </c>
      <c r="C1441" s="35">
        <v>55.31169891</v>
      </c>
      <c r="D1441" s="35">
        <v>23.95639992</v>
      </c>
      <c r="E1441" s="32" t="s">
        <v>2012</v>
      </c>
      <c r="F1441" s="32" t="s">
        <v>3189</v>
      </c>
      <c r="G1441" s="36" t="e">
        <v>#N/A</v>
      </c>
      <c r="H1441" s="33"/>
      <c r="I1441" s="33"/>
      <c r="J1441" s="33"/>
      <c r="K1441" s="33"/>
      <c r="L1441" s="33"/>
      <c r="M1441" s="33"/>
    </row>
    <row r="1442">
      <c r="A1442" s="32" t="s">
        <v>100</v>
      </c>
      <c r="B1442" s="32" t="s">
        <v>3190</v>
      </c>
      <c r="C1442" s="35">
        <v>-15.41380024</v>
      </c>
      <c r="D1442" s="35">
        <v>28.33069992</v>
      </c>
      <c r="E1442" s="32" t="s">
        <v>759</v>
      </c>
      <c r="F1442" s="32" t="s">
        <v>3191</v>
      </c>
      <c r="G1442" s="36" t="e">
        <v>#N/A</v>
      </c>
      <c r="H1442" s="33"/>
      <c r="I1442" s="33"/>
      <c r="J1442" s="33"/>
      <c r="K1442" s="33"/>
      <c r="L1442" s="33"/>
      <c r="M1442" s="33"/>
    </row>
    <row r="1443">
      <c r="A1443" s="32" t="s">
        <v>100</v>
      </c>
      <c r="B1443" s="32" t="s">
        <v>3192</v>
      </c>
      <c r="C1443" s="35">
        <v>-24.60540009</v>
      </c>
      <c r="D1443" s="35">
        <v>17.92539978</v>
      </c>
      <c r="E1443" s="32" t="s">
        <v>3193</v>
      </c>
      <c r="F1443" s="32" t="s">
        <v>3194</v>
      </c>
      <c r="G1443" s="36" t="e">
        <v>#N/A</v>
      </c>
      <c r="H1443" s="33"/>
      <c r="I1443" s="33"/>
      <c r="J1443" s="33"/>
      <c r="K1443" s="33"/>
      <c r="L1443" s="33"/>
      <c r="M1443" s="33"/>
    </row>
    <row r="1444">
      <c r="A1444" s="32" t="s">
        <v>100</v>
      </c>
      <c r="B1444" s="32" t="s">
        <v>3195</v>
      </c>
      <c r="C1444" s="35">
        <v>30.09180069</v>
      </c>
      <c r="D1444" s="35">
        <v>31.36000061</v>
      </c>
      <c r="E1444" s="32" t="s">
        <v>15</v>
      </c>
      <c r="F1444" s="32" t="s">
        <v>821</v>
      </c>
      <c r="G1444" s="36" t="e">
        <v>#N/A</v>
      </c>
      <c r="H1444" s="33"/>
      <c r="I1444" s="33"/>
      <c r="J1444" s="33"/>
      <c r="K1444" s="33"/>
      <c r="L1444" s="33"/>
      <c r="M1444" s="33"/>
    </row>
    <row r="1445">
      <c r="A1445" s="32" t="s">
        <v>100</v>
      </c>
      <c r="B1445" s="32" t="s">
        <v>3196</v>
      </c>
      <c r="C1445" s="35">
        <v>29.20829964</v>
      </c>
      <c r="D1445" s="35">
        <v>31.01659966</v>
      </c>
      <c r="E1445" s="32" t="s">
        <v>15</v>
      </c>
      <c r="F1445" s="32" t="s">
        <v>3197</v>
      </c>
      <c r="G1445" s="36" t="e">
        <v>#N/A</v>
      </c>
      <c r="H1445" s="33"/>
      <c r="I1445" s="33"/>
      <c r="J1445" s="33"/>
      <c r="K1445" s="33"/>
      <c r="L1445" s="33"/>
      <c r="M1445" s="33"/>
    </row>
    <row r="1446">
      <c r="A1446" s="32" t="s">
        <v>100</v>
      </c>
      <c r="B1446" s="32" t="s">
        <v>3198</v>
      </c>
      <c r="C1446" s="35">
        <v>30.81979942</v>
      </c>
      <c r="D1446" s="35">
        <v>30.19120026</v>
      </c>
      <c r="E1446" s="32" t="s">
        <v>15</v>
      </c>
      <c r="F1446" s="32" t="s">
        <v>3199</v>
      </c>
      <c r="G1446" s="36" t="e">
        <v>#N/A</v>
      </c>
      <c r="H1446" s="33"/>
      <c r="I1446" s="33"/>
      <c r="J1446" s="33"/>
      <c r="K1446" s="33"/>
      <c r="L1446" s="33"/>
      <c r="M1446" s="33"/>
    </row>
    <row r="1447">
      <c r="A1447" s="32" t="s">
        <v>100</v>
      </c>
      <c r="B1447" s="32" t="s">
        <v>3200</v>
      </c>
      <c r="C1447" s="35">
        <v>37.23500061</v>
      </c>
      <c r="D1447" s="35">
        <v>-115.810997</v>
      </c>
      <c r="E1447" s="32" t="s">
        <v>180</v>
      </c>
      <c r="F1447" s="32" t="s">
        <v>3201</v>
      </c>
      <c r="G1447" s="39" t="s">
        <v>181</v>
      </c>
      <c r="H1447" s="33"/>
      <c r="I1447" s="33"/>
      <c r="J1447" s="33"/>
      <c r="K1447" s="33"/>
      <c r="L1447" s="33"/>
      <c r="M1447" s="33"/>
    </row>
    <row r="1448">
      <c r="A1448" s="32" t="s">
        <v>100</v>
      </c>
      <c r="B1448" s="32" t="s">
        <v>3202</v>
      </c>
      <c r="C1448" s="35">
        <v>41.895199</v>
      </c>
      <c r="D1448" s="35">
        <v>19.5987</v>
      </c>
      <c r="E1448" s="32" t="s">
        <v>3203</v>
      </c>
      <c r="F1448" s="32" t="s">
        <v>3204</v>
      </c>
      <c r="G1448" s="36" t="e">
        <v>#N/A</v>
      </c>
      <c r="H1448" s="33"/>
      <c r="I1448" s="33"/>
      <c r="J1448" s="33"/>
      <c r="K1448" s="33"/>
      <c r="L1448" s="33"/>
      <c r="M1448" s="33"/>
    </row>
    <row r="1449">
      <c r="A1449" s="32" t="s">
        <v>100</v>
      </c>
      <c r="B1449" s="32" t="s">
        <v>3205</v>
      </c>
      <c r="C1449" s="35">
        <v>42.03369904</v>
      </c>
      <c r="D1449" s="35">
        <v>20.41589928</v>
      </c>
      <c r="E1449" s="32" t="s">
        <v>3203</v>
      </c>
      <c r="F1449" s="32" t="s">
        <v>3206</v>
      </c>
      <c r="G1449" s="36" t="e">
        <v>#N/A</v>
      </c>
      <c r="H1449" s="33"/>
      <c r="I1449" s="33"/>
      <c r="J1449" s="33"/>
      <c r="K1449" s="33"/>
      <c r="L1449" s="33"/>
      <c r="M1449" s="33"/>
    </row>
    <row r="1450">
      <c r="A1450" s="32" t="s">
        <v>100</v>
      </c>
      <c r="B1450" s="32" t="s">
        <v>3207</v>
      </c>
      <c r="C1450" s="35">
        <v>40.77190018</v>
      </c>
      <c r="D1450" s="35">
        <v>19.90189934</v>
      </c>
      <c r="E1450" s="32" t="s">
        <v>3203</v>
      </c>
      <c r="F1450" s="32" t="s">
        <v>3208</v>
      </c>
      <c r="G1450" s="36" t="e">
        <v>#N/A</v>
      </c>
      <c r="H1450" s="33"/>
      <c r="I1450" s="33"/>
      <c r="J1450" s="33"/>
      <c r="K1450" s="33"/>
      <c r="L1450" s="33"/>
      <c r="M1450" s="33"/>
    </row>
    <row r="1451">
      <c r="A1451" s="32" t="s">
        <v>100</v>
      </c>
      <c r="B1451" s="32" t="s">
        <v>3209</v>
      </c>
      <c r="C1451" s="35">
        <v>40.47610092</v>
      </c>
      <c r="D1451" s="35">
        <v>19.4741993</v>
      </c>
      <c r="E1451" s="32" t="s">
        <v>3203</v>
      </c>
      <c r="F1451" s="32" t="s">
        <v>3210</v>
      </c>
      <c r="G1451" s="36" t="e">
        <v>#N/A</v>
      </c>
      <c r="H1451" s="33"/>
      <c r="I1451" s="33"/>
      <c r="J1451" s="33"/>
      <c r="K1451" s="33"/>
      <c r="L1451" s="33"/>
      <c r="M1451" s="33"/>
    </row>
    <row r="1452">
      <c r="A1452" s="32" t="s">
        <v>100</v>
      </c>
      <c r="B1452" s="32" t="s">
        <v>3211</v>
      </c>
      <c r="C1452" s="35">
        <v>41.97639847</v>
      </c>
      <c r="D1452" s="35">
        <v>25.58979988</v>
      </c>
      <c r="E1452" s="32" t="s">
        <v>849</v>
      </c>
      <c r="F1452" s="32" t="s">
        <v>3212</v>
      </c>
      <c r="G1452" s="36" t="e">
        <v>#N/A</v>
      </c>
      <c r="H1452" s="33"/>
      <c r="I1452" s="33"/>
      <c r="J1452" s="33"/>
      <c r="K1452" s="33"/>
      <c r="L1452" s="33"/>
      <c r="M1452" s="33"/>
    </row>
    <row r="1453">
      <c r="A1453" s="32" t="s">
        <v>100</v>
      </c>
      <c r="B1453" s="32" t="s">
        <v>3213</v>
      </c>
      <c r="C1453" s="35">
        <v>43.54430008</v>
      </c>
      <c r="D1453" s="35">
        <v>23.27249908</v>
      </c>
      <c r="E1453" s="32" t="s">
        <v>849</v>
      </c>
      <c r="F1453" s="32" t="s">
        <v>3214</v>
      </c>
      <c r="G1453" s="36" t="e">
        <v>#N/A</v>
      </c>
      <c r="H1453" s="33"/>
      <c r="I1453" s="33"/>
      <c r="J1453" s="33"/>
      <c r="K1453" s="33"/>
      <c r="L1453" s="33"/>
      <c r="M1453" s="33"/>
    </row>
    <row r="1454">
      <c r="A1454" s="32" t="s">
        <v>100</v>
      </c>
      <c r="B1454" s="32" t="s">
        <v>3215</v>
      </c>
      <c r="C1454" s="35">
        <v>42.29040146</v>
      </c>
      <c r="D1454" s="35">
        <v>24.7140007</v>
      </c>
      <c r="E1454" s="32" t="s">
        <v>849</v>
      </c>
      <c r="F1454" s="32" t="s">
        <v>3216</v>
      </c>
      <c r="G1454" s="36" t="e">
        <v>#N/A</v>
      </c>
      <c r="H1454" s="33"/>
      <c r="I1454" s="33"/>
      <c r="J1454" s="33"/>
      <c r="K1454" s="33"/>
      <c r="L1454" s="33"/>
      <c r="M1454" s="33"/>
    </row>
    <row r="1455">
      <c r="A1455" s="32" t="s">
        <v>100</v>
      </c>
      <c r="B1455" s="32" t="s">
        <v>3217</v>
      </c>
      <c r="C1455" s="35">
        <v>43.451401</v>
      </c>
      <c r="D1455" s="35">
        <v>24.5028</v>
      </c>
      <c r="E1455" s="32" t="s">
        <v>849</v>
      </c>
      <c r="F1455" s="32" t="s">
        <v>3218</v>
      </c>
      <c r="G1455" s="36" t="e">
        <v>#N/A</v>
      </c>
      <c r="H1455" s="33"/>
      <c r="I1455" s="33"/>
      <c r="J1455" s="33"/>
      <c r="K1455" s="33"/>
      <c r="L1455" s="33"/>
      <c r="M1455" s="33"/>
    </row>
    <row r="1456">
      <c r="A1456" s="32" t="s">
        <v>100</v>
      </c>
      <c r="B1456" s="32" t="s">
        <v>3219</v>
      </c>
      <c r="C1456" s="35">
        <v>43.42380142</v>
      </c>
      <c r="D1456" s="35">
        <v>28.18129921</v>
      </c>
      <c r="E1456" s="32" t="s">
        <v>849</v>
      </c>
      <c r="F1456" s="32" t="s">
        <v>3220</v>
      </c>
      <c r="G1456" s="36" t="e">
        <v>#N/A</v>
      </c>
      <c r="H1456" s="33"/>
      <c r="I1456" s="33"/>
      <c r="J1456" s="33"/>
      <c r="K1456" s="33"/>
      <c r="L1456" s="33"/>
      <c r="M1456" s="33"/>
    </row>
    <row r="1457">
      <c r="A1457" s="32" t="s">
        <v>100</v>
      </c>
      <c r="B1457" s="32" t="s">
        <v>3221</v>
      </c>
      <c r="C1457" s="35">
        <v>47.678502</v>
      </c>
      <c r="D1457" s="35">
        <v>1.20884</v>
      </c>
      <c r="E1457" s="32" t="s">
        <v>96</v>
      </c>
      <c r="F1457" s="32" t="s">
        <v>3222</v>
      </c>
      <c r="G1457" s="39" t="s">
        <v>97</v>
      </c>
      <c r="H1457" s="33"/>
      <c r="I1457" s="33"/>
      <c r="J1457" s="33"/>
      <c r="K1457" s="33"/>
      <c r="L1457" s="33"/>
      <c r="M1457" s="33"/>
    </row>
    <row r="1458">
      <c r="A1458" s="32" t="s">
        <v>100</v>
      </c>
      <c r="B1458" s="32" t="s">
        <v>3223</v>
      </c>
      <c r="C1458" s="35">
        <v>44.925201</v>
      </c>
      <c r="D1458" s="35">
        <v>8.62513</v>
      </c>
      <c r="E1458" s="32" t="s">
        <v>103</v>
      </c>
      <c r="F1458" s="32" t="s">
        <v>3224</v>
      </c>
      <c r="G1458" s="39" t="s">
        <v>104</v>
      </c>
      <c r="H1458" s="33"/>
      <c r="I1458" s="33"/>
      <c r="J1458" s="33"/>
      <c r="K1458" s="33"/>
      <c r="L1458" s="33"/>
      <c r="M1458" s="33"/>
    </row>
    <row r="1459">
      <c r="A1459" s="32" t="s">
        <v>100</v>
      </c>
      <c r="B1459" s="32" t="s">
        <v>3225</v>
      </c>
      <c r="C1459" s="35">
        <v>45.4953</v>
      </c>
      <c r="D1459" s="35">
        <v>8.10278</v>
      </c>
      <c r="E1459" s="32" t="s">
        <v>103</v>
      </c>
      <c r="F1459" s="32" t="s">
        <v>3226</v>
      </c>
      <c r="G1459" s="39" t="s">
        <v>104</v>
      </c>
      <c r="H1459" s="33"/>
      <c r="I1459" s="33"/>
      <c r="J1459" s="33"/>
      <c r="K1459" s="33"/>
      <c r="L1459" s="33"/>
      <c r="M1459" s="33"/>
    </row>
    <row r="1460">
      <c r="A1460" s="32" t="s">
        <v>100</v>
      </c>
      <c r="B1460" s="32" t="s">
        <v>3227</v>
      </c>
      <c r="C1460" s="35">
        <v>45.310233</v>
      </c>
      <c r="D1460" s="35">
        <v>8.417935</v>
      </c>
      <c r="E1460" s="32" t="s">
        <v>103</v>
      </c>
      <c r="F1460" s="32" t="s">
        <v>3228</v>
      </c>
      <c r="G1460" s="39" t="s">
        <v>104</v>
      </c>
      <c r="H1460" s="33"/>
      <c r="I1460" s="33"/>
      <c r="J1460" s="33"/>
      <c r="K1460" s="33"/>
      <c r="L1460" s="33"/>
      <c r="M1460" s="33"/>
    </row>
    <row r="1461">
      <c r="A1461" s="32" t="s">
        <v>100</v>
      </c>
      <c r="B1461" s="32" t="s">
        <v>3229</v>
      </c>
      <c r="C1461" s="35">
        <v>45.111198</v>
      </c>
      <c r="D1461" s="35">
        <v>8.45603</v>
      </c>
      <c r="E1461" s="32" t="s">
        <v>103</v>
      </c>
      <c r="F1461" s="32" t="s">
        <v>3230</v>
      </c>
      <c r="G1461" s="39" t="s">
        <v>104</v>
      </c>
      <c r="H1461" s="33"/>
      <c r="I1461" s="33"/>
      <c r="J1461" s="33"/>
      <c r="K1461" s="33"/>
      <c r="L1461" s="33"/>
      <c r="M1461" s="33"/>
    </row>
    <row r="1462">
      <c r="A1462" s="32" t="s">
        <v>100</v>
      </c>
      <c r="B1462" s="32" t="s">
        <v>3231</v>
      </c>
      <c r="C1462" s="35">
        <v>45.742199</v>
      </c>
      <c r="D1462" s="35">
        <v>8.88823</v>
      </c>
      <c r="E1462" s="32" t="s">
        <v>103</v>
      </c>
      <c r="F1462" s="32" t="s">
        <v>3232</v>
      </c>
      <c r="G1462" s="39" t="s">
        <v>104</v>
      </c>
      <c r="H1462" s="33"/>
      <c r="I1462" s="33"/>
      <c r="J1462" s="33"/>
      <c r="K1462" s="33"/>
      <c r="L1462" s="33"/>
      <c r="M1462" s="33"/>
    </row>
    <row r="1463">
      <c r="A1463" s="32" t="s">
        <v>100</v>
      </c>
      <c r="B1463" s="32" t="s">
        <v>3233</v>
      </c>
      <c r="C1463" s="35">
        <v>44.779999</v>
      </c>
      <c r="D1463" s="35">
        <v>8.78639</v>
      </c>
      <c r="E1463" s="32" t="s">
        <v>103</v>
      </c>
      <c r="F1463" s="32" t="s">
        <v>3234</v>
      </c>
      <c r="G1463" s="39" t="s">
        <v>104</v>
      </c>
      <c r="H1463" s="33"/>
      <c r="I1463" s="33"/>
      <c r="J1463" s="33"/>
      <c r="K1463" s="33"/>
      <c r="L1463" s="33"/>
      <c r="M1463" s="33"/>
    </row>
    <row r="1464">
      <c r="A1464" s="32" t="s">
        <v>100</v>
      </c>
      <c r="B1464" s="32" t="s">
        <v>3235</v>
      </c>
      <c r="C1464" s="35">
        <v>46.50230026</v>
      </c>
      <c r="D1464" s="35">
        <v>23.8859005</v>
      </c>
      <c r="E1464" s="32" t="s">
        <v>2874</v>
      </c>
      <c r="F1464" s="32" t="s">
        <v>3236</v>
      </c>
      <c r="G1464" s="36" t="e">
        <v>#N/A</v>
      </c>
      <c r="H1464" s="33"/>
      <c r="I1464" s="33"/>
      <c r="J1464" s="33"/>
      <c r="K1464" s="33"/>
      <c r="L1464" s="33"/>
      <c r="M1464" s="33"/>
    </row>
    <row r="1465">
      <c r="A1465" s="32" t="s">
        <v>100</v>
      </c>
      <c r="B1465" s="32" t="s">
        <v>3237</v>
      </c>
      <c r="C1465" s="35">
        <v>47.86270142</v>
      </c>
      <c r="D1465" s="35">
        <v>28.21279907</v>
      </c>
      <c r="E1465" s="32" t="s">
        <v>3238</v>
      </c>
      <c r="F1465" s="32" t="s">
        <v>3239</v>
      </c>
      <c r="G1465" s="36" t="e">
        <v>#N/A</v>
      </c>
      <c r="H1465" s="33"/>
      <c r="I1465" s="33"/>
      <c r="J1465" s="33"/>
      <c r="K1465" s="33"/>
      <c r="L1465" s="33"/>
      <c r="M1465" s="33"/>
    </row>
    <row r="1466">
      <c r="A1466" s="32" t="s">
        <v>100</v>
      </c>
      <c r="B1466" s="32" t="s">
        <v>3240</v>
      </c>
      <c r="C1466" s="35">
        <v>45.84379959</v>
      </c>
      <c r="D1466" s="35">
        <v>28.26370049</v>
      </c>
      <c r="E1466" s="32" t="s">
        <v>3238</v>
      </c>
      <c r="F1466" s="32" t="s">
        <v>3241</v>
      </c>
      <c r="G1466" s="36" t="e">
        <v>#N/A</v>
      </c>
      <c r="H1466" s="33"/>
      <c r="I1466" s="33"/>
      <c r="J1466" s="33"/>
      <c r="K1466" s="33"/>
      <c r="L1466" s="33"/>
      <c r="M1466" s="33"/>
    </row>
    <row r="1467">
      <c r="A1467" s="32" t="s">
        <v>100</v>
      </c>
      <c r="B1467" s="32" t="s">
        <v>3242</v>
      </c>
      <c r="C1467" s="35">
        <v>46.86809921</v>
      </c>
      <c r="D1467" s="35">
        <v>29.59059906</v>
      </c>
      <c r="E1467" s="32" t="s">
        <v>3238</v>
      </c>
      <c r="F1467" s="32" t="s">
        <v>3243</v>
      </c>
      <c r="G1467" s="36" t="e">
        <v>#N/A</v>
      </c>
      <c r="H1467" s="33"/>
      <c r="I1467" s="33"/>
      <c r="J1467" s="33"/>
      <c r="K1467" s="33"/>
      <c r="L1467" s="33"/>
      <c r="M1467" s="33"/>
    </row>
    <row r="1468">
      <c r="A1468" s="32" t="s">
        <v>100</v>
      </c>
      <c r="B1468" s="32" t="s">
        <v>3244</v>
      </c>
      <c r="C1468" s="35">
        <v>24.4499</v>
      </c>
      <c r="D1468" s="35">
        <v>44.121201</v>
      </c>
      <c r="E1468" s="32" t="s">
        <v>223</v>
      </c>
      <c r="F1468" s="33"/>
      <c r="G1468" s="36" t="e">
        <v>#N/A</v>
      </c>
      <c r="H1468" s="33"/>
      <c r="I1468" s="33"/>
      <c r="J1468" s="33"/>
      <c r="K1468" s="33"/>
      <c r="L1468" s="33"/>
      <c r="M1468" s="33"/>
    </row>
    <row r="1469">
      <c r="A1469" s="32" t="s">
        <v>100</v>
      </c>
      <c r="B1469" s="32" t="s">
        <v>3245</v>
      </c>
      <c r="C1469" s="35">
        <v>35.21160126</v>
      </c>
      <c r="D1469" s="35">
        <v>48.65340042</v>
      </c>
      <c r="E1469" s="32" t="s">
        <v>1378</v>
      </c>
      <c r="F1469" s="32" t="s">
        <v>3246</v>
      </c>
      <c r="G1469" s="36" t="e">
        <v>#N/A</v>
      </c>
      <c r="H1469" s="33"/>
      <c r="I1469" s="33"/>
      <c r="J1469" s="33"/>
      <c r="K1469" s="33"/>
      <c r="L1469" s="33"/>
      <c r="M1469" s="33"/>
    </row>
    <row r="1470">
      <c r="A1470" s="32" t="s">
        <v>100</v>
      </c>
      <c r="B1470" s="32" t="s">
        <v>3247</v>
      </c>
      <c r="C1470" s="35">
        <v>33.85079956</v>
      </c>
      <c r="D1470" s="35">
        <v>35.98770142</v>
      </c>
      <c r="E1470" s="32" t="s">
        <v>1455</v>
      </c>
      <c r="F1470" s="32" t="s">
        <v>3248</v>
      </c>
      <c r="G1470" s="36" t="e">
        <v>#N/A</v>
      </c>
      <c r="H1470" s="33"/>
      <c r="I1470" s="33"/>
      <c r="J1470" s="33"/>
      <c r="K1470" s="33"/>
      <c r="L1470" s="33"/>
      <c r="M1470" s="33"/>
    </row>
    <row r="1471">
      <c r="A1471" s="32" t="s">
        <v>100</v>
      </c>
      <c r="B1471" s="32" t="s">
        <v>3249</v>
      </c>
      <c r="C1471" s="35">
        <v>30.75810051</v>
      </c>
      <c r="D1471" s="35">
        <v>72.28250122</v>
      </c>
      <c r="E1471" s="32" t="s">
        <v>1470</v>
      </c>
      <c r="F1471" s="32" t="s">
        <v>3250</v>
      </c>
      <c r="G1471" s="36" t="e">
        <v>#N/A</v>
      </c>
      <c r="H1471" s="33"/>
      <c r="I1471" s="33"/>
      <c r="J1471" s="33"/>
      <c r="K1471" s="33"/>
      <c r="L1471" s="33"/>
      <c r="M1471" s="33"/>
    </row>
    <row r="1472">
      <c r="A1472" s="32" t="s">
        <v>100</v>
      </c>
      <c r="B1472" s="32" t="s">
        <v>3251</v>
      </c>
      <c r="C1472" s="35">
        <v>24.87420082</v>
      </c>
      <c r="D1472" s="35">
        <v>67.11849976</v>
      </c>
      <c r="E1472" s="32" t="s">
        <v>1470</v>
      </c>
      <c r="F1472" s="32" t="s">
        <v>1481</v>
      </c>
      <c r="G1472" s="36" t="e">
        <v>#N/A</v>
      </c>
      <c r="H1472" s="33"/>
      <c r="I1472" s="33"/>
      <c r="J1472" s="33"/>
      <c r="K1472" s="33"/>
      <c r="L1472" s="33"/>
      <c r="M1472" s="33"/>
    </row>
    <row r="1473">
      <c r="A1473" s="32" t="s">
        <v>100</v>
      </c>
      <c r="B1473" s="32" t="s">
        <v>3252</v>
      </c>
      <c r="C1473" s="35">
        <v>34.6731987</v>
      </c>
      <c r="D1473" s="35">
        <v>43.54299927</v>
      </c>
      <c r="E1473" s="32" t="s">
        <v>259</v>
      </c>
      <c r="F1473" s="32" t="s">
        <v>3253</v>
      </c>
      <c r="G1473" s="36" t="e">
        <v>#N/A</v>
      </c>
      <c r="H1473" s="33"/>
      <c r="I1473" s="33"/>
      <c r="J1473" s="33"/>
      <c r="K1473" s="33"/>
      <c r="L1473" s="33"/>
      <c r="M1473" s="33"/>
    </row>
    <row r="1474">
      <c r="A1474" s="32" t="s">
        <v>100</v>
      </c>
      <c r="B1474" s="32" t="s">
        <v>3254</v>
      </c>
      <c r="C1474" s="35">
        <v>36.28310013</v>
      </c>
      <c r="D1474" s="35">
        <v>42.40299988</v>
      </c>
      <c r="E1474" s="32" t="s">
        <v>259</v>
      </c>
      <c r="F1474" s="32" t="s">
        <v>3255</v>
      </c>
      <c r="G1474" s="36" t="e">
        <v>#N/A</v>
      </c>
      <c r="H1474" s="33"/>
      <c r="I1474" s="33"/>
      <c r="J1474" s="33"/>
      <c r="K1474" s="33"/>
      <c r="L1474" s="33"/>
      <c r="M1474" s="33"/>
    </row>
    <row r="1475">
      <c r="A1475" s="32" t="s">
        <v>100</v>
      </c>
      <c r="B1475" s="32" t="s">
        <v>3256</v>
      </c>
      <c r="C1475" s="35">
        <v>33.52389908</v>
      </c>
      <c r="D1475" s="35">
        <v>44.25669861</v>
      </c>
      <c r="E1475" s="32" t="s">
        <v>259</v>
      </c>
      <c r="F1475" s="32" t="s">
        <v>3257</v>
      </c>
      <c r="G1475" s="36" t="e">
        <v>#N/A</v>
      </c>
      <c r="H1475" s="33"/>
      <c r="I1475" s="33"/>
      <c r="J1475" s="33"/>
      <c r="K1475" s="33"/>
      <c r="L1475" s="33"/>
      <c r="M1475" s="33"/>
    </row>
    <row r="1476">
      <c r="A1476" s="32" t="s">
        <v>100</v>
      </c>
      <c r="B1476" s="32" t="s">
        <v>3258</v>
      </c>
      <c r="C1476" s="35">
        <v>32.48199844</v>
      </c>
      <c r="D1476" s="35">
        <v>45.75709915</v>
      </c>
      <c r="E1476" s="32" t="s">
        <v>259</v>
      </c>
      <c r="F1476" s="32" t="s">
        <v>3259</v>
      </c>
      <c r="G1476" s="36" t="e">
        <v>#N/A</v>
      </c>
      <c r="H1476" s="33"/>
      <c r="I1476" s="33"/>
      <c r="J1476" s="33"/>
      <c r="K1476" s="33"/>
      <c r="L1476" s="33"/>
      <c r="M1476" s="33"/>
    </row>
    <row r="1477">
      <c r="A1477" s="32" t="s">
        <v>100</v>
      </c>
      <c r="B1477" s="32" t="s">
        <v>3260</v>
      </c>
      <c r="C1477" s="35">
        <v>22.78249931</v>
      </c>
      <c r="D1477" s="35">
        <v>120.2630005</v>
      </c>
      <c r="E1477" s="32" t="s">
        <v>1497</v>
      </c>
      <c r="F1477" s="32" t="s">
        <v>3261</v>
      </c>
      <c r="G1477" s="36" t="e">
        <v>#N/A</v>
      </c>
      <c r="H1477" s="33"/>
      <c r="I1477" s="33"/>
      <c r="J1477" s="33"/>
      <c r="K1477" s="33"/>
      <c r="L1477" s="33"/>
      <c r="M1477" s="33"/>
    </row>
    <row r="1478">
      <c r="A1478" s="32" t="s">
        <v>100</v>
      </c>
      <c r="B1478" s="32" t="s">
        <v>3262</v>
      </c>
      <c r="C1478" s="35">
        <v>43.79520035</v>
      </c>
      <c r="D1478" s="35">
        <v>142.3630066</v>
      </c>
      <c r="E1478" s="32" t="s">
        <v>170</v>
      </c>
      <c r="F1478" s="33"/>
      <c r="G1478" s="39" t="s">
        <v>171</v>
      </c>
      <c r="H1478" s="33"/>
      <c r="I1478" s="33"/>
      <c r="J1478" s="33"/>
      <c r="K1478" s="33"/>
      <c r="L1478" s="33"/>
      <c r="M1478" s="33"/>
    </row>
    <row r="1479">
      <c r="A1479" s="32" t="s">
        <v>100</v>
      </c>
      <c r="B1479" s="32" t="s">
        <v>3263</v>
      </c>
      <c r="C1479" s="35">
        <v>37.02999878</v>
      </c>
      <c r="D1479" s="35">
        <v>127.8850021</v>
      </c>
      <c r="E1479" s="32" t="s">
        <v>151</v>
      </c>
      <c r="F1479" s="33"/>
      <c r="G1479" s="39" t="s">
        <v>152</v>
      </c>
      <c r="H1479" s="33"/>
      <c r="I1479" s="33"/>
      <c r="J1479" s="33"/>
      <c r="K1479" s="33"/>
      <c r="L1479" s="33"/>
      <c r="M1479" s="33"/>
    </row>
    <row r="1480">
      <c r="A1480" s="32" t="s">
        <v>100</v>
      </c>
      <c r="B1480" s="32" t="s">
        <v>3264</v>
      </c>
      <c r="C1480" s="35">
        <v>5.54138</v>
      </c>
      <c r="D1480" s="35">
        <v>-73.3445</v>
      </c>
      <c r="E1480" s="32" t="s">
        <v>292</v>
      </c>
      <c r="F1480" s="32" t="s">
        <v>3265</v>
      </c>
      <c r="G1480" s="36" t="e">
        <v>#N/A</v>
      </c>
      <c r="H1480" s="33"/>
      <c r="I1480" s="33"/>
      <c r="J1480" s="33"/>
      <c r="K1480" s="33"/>
      <c r="L1480" s="33"/>
      <c r="M1480" s="33"/>
    </row>
    <row r="1481">
      <c r="A1481" s="32" t="s">
        <v>100</v>
      </c>
      <c r="B1481" s="32" t="s">
        <v>3266</v>
      </c>
      <c r="C1481" s="35">
        <v>10.13316917</v>
      </c>
      <c r="D1481" s="35">
        <v>-66.78782654</v>
      </c>
      <c r="E1481" s="32" t="s">
        <v>315</v>
      </c>
      <c r="F1481" s="33"/>
      <c r="G1481" s="36" t="e">
        <v>#N/A</v>
      </c>
      <c r="H1481" s="33"/>
      <c r="I1481" s="33"/>
      <c r="J1481" s="33"/>
      <c r="K1481" s="33"/>
      <c r="L1481" s="33"/>
      <c r="M1481" s="33"/>
    </row>
    <row r="1482">
      <c r="A1482" s="32" t="s">
        <v>100</v>
      </c>
      <c r="B1482" s="32" t="s">
        <v>3267</v>
      </c>
      <c r="C1482" s="35">
        <v>42.85319901</v>
      </c>
      <c r="D1482" s="35">
        <v>74.84649658</v>
      </c>
      <c r="E1482" s="32" t="s">
        <v>2342</v>
      </c>
      <c r="F1482" s="32" t="s">
        <v>3268</v>
      </c>
      <c r="G1482" s="36" t="e">
        <v>#N/A</v>
      </c>
      <c r="H1482" s="33"/>
      <c r="I1482" s="33"/>
      <c r="J1482" s="33"/>
      <c r="K1482" s="33"/>
      <c r="L1482" s="33"/>
      <c r="M1482" s="33"/>
    </row>
    <row r="1483">
      <c r="A1483" s="32" t="s">
        <v>100</v>
      </c>
      <c r="B1483" s="32" t="s">
        <v>3269</v>
      </c>
      <c r="C1483" s="35">
        <v>47.91859818</v>
      </c>
      <c r="D1483" s="35">
        <v>80.45279694</v>
      </c>
      <c r="E1483" s="32" t="s">
        <v>2817</v>
      </c>
      <c r="F1483" s="32" t="s">
        <v>3270</v>
      </c>
      <c r="G1483" s="36" t="e">
        <v>#N/A</v>
      </c>
      <c r="H1483" s="33"/>
      <c r="I1483" s="33"/>
      <c r="J1483" s="33"/>
      <c r="K1483" s="33"/>
      <c r="L1483" s="33"/>
      <c r="M1483" s="33"/>
    </row>
    <row r="1484">
      <c r="A1484" s="32" t="s">
        <v>100</v>
      </c>
      <c r="B1484" s="32" t="s">
        <v>3271</v>
      </c>
      <c r="C1484" s="35">
        <v>47.90499878</v>
      </c>
      <c r="D1484" s="35">
        <v>59.61999893</v>
      </c>
      <c r="E1484" s="32" t="s">
        <v>2817</v>
      </c>
      <c r="F1484" s="32" t="s">
        <v>3272</v>
      </c>
      <c r="G1484" s="36" t="e">
        <v>#N/A</v>
      </c>
      <c r="H1484" s="33"/>
      <c r="I1484" s="33"/>
      <c r="J1484" s="33"/>
      <c r="K1484" s="33"/>
      <c r="L1484" s="33"/>
      <c r="M1484" s="33"/>
    </row>
    <row r="1485">
      <c r="A1485" s="32" t="s">
        <v>100</v>
      </c>
      <c r="B1485" s="32" t="s">
        <v>3273</v>
      </c>
      <c r="C1485" s="35">
        <v>63.88499832</v>
      </c>
      <c r="D1485" s="35">
        <v>122.7770004</v>
      </c>
      <c r="E1485" s="32" t="s">
        <v>2040</v>
      </c>
      <c r="F1485" s="32" t="s">
        <v>3274</v>
      </c>
      <c r="G1485" s="36" t="e">
        <v>#N/A</v>
      </c>
      <c r="H1485" s="33"/>
      <c r="I1485" s="33"/>
      <c r="J1485" s="33"/>
      <c r="K1485" s="33"/>
      <c r="L1485" s="33"/>
      <c r="M1485" s="33"/>
    </row>
    <row r="1486">
      <c r="A1486" s="32" t="s">
        <v>100</v>
      </c>
      <c r="B1486" s="32" t="s">
        <v>3275</v>
      </c>
      <c r="C1486" s="35">
        <v>68.55660248</v>
      </c>
      <c r="D1486" s="35">
        <v>146.2315063</v>
      </c>
      <c r="E1486" s="32" t="s">
        <v>2040</v>
      </c>
      <c r="F1486" s="33"/>
      <c r="G1486" s="36" t="e">
        <v>#N/A</v>
      </c>
      <c r="H1486" s="33"/>
      <c r="I1486" s="33"/>
      <c r="J1486" s="33"/>
      <c r="K1486" s="33"/>
      <c r="L1486" s="33"/>
      <c r="M1486" s="33"/>
    </row>
    <row r="1487">
      <c r="A1487" s="32" t="s">
        <v>100</v>
      </c>
      <c r="B1487" s="32" t="s">
        <v>3276</v>
      </c>
      <c r="C1487" s="35">
        <v>39.82400131</v>
      </c>
      <c r="D1487" s="35">
        <v>45.67399979</v>
      </c>
      <c r="E1487" s="32" t="s">
        <v>2015</v>
      </c>
      <c r="F1487" s="32" t="s">
        <v>3277</v>
      </c>
      <c r="G1487" s="36" t="e">
        <v>#N/A</v>
      </c>
      <c r="H1487" s="33"/>
      <c r="I1487" s="33"/>
      <c r="J1487" s="33"/>
      <c r="K1487" s="33"/>
      <c r="L1487" s="33"/>
      <c r="M1487" s="33"/>
    </row>
    <row r="1488">
      <c r="A1488" s="32" t="s">
        <v>100</v>
      </c>
      <c r="B1488" s="32" t="s">
        <v>3278</v>
      </c>
      <c r="C1488" s="35">
        <v>49.23570251</v>
      </c>
      <c r="D1488" s="35">
        <v>140.1931</v>
      </c>
      <c r="E1488" s="32" t="s">
        <v>2040</v>
      </c>
      <c r="F1488" s="32" t="s">
        <v>3279</v>
      </c>
      <c r="G1488" s="36" t="e">
        <v>#N/A</v>
      </c>
      <c r="H1488" s="33"/>
      <c r="I1488" s="33"/>
      <c r="J1488" s="33"/>
      <c r="K1488" s="33"/>
      <c r="L1488" s="33"/>
      <c r="M1488" s="33"/>
    </row>
    <row r="1489">
      <c r="A1489" s="32" t="s">
        <v>100</v>
      </c>
      <c r="B1489" s="32" t="s">
        <v>3280</v>
      </c>
      <c r="C1489" s="35">
        <v>62.45700073</v>
      </c>
      <c r="D1489" s="35">
        <v>155.7449951</v>
      </c>
      <c r="E1489" s="32" t="s">
        <v>2040</v>
      </c>
      <c r="F1489" s="32" t="s">
        <v>3281</v>
      </c>
      <c r="G1489" s="36" t="e">
        <v>#N/A</v>
      </c>
      <c r="H1489" s="33"/>
      <c r="I1489" s="33"/>
      <c r="J1489" s="33"/>
      <c r="K1489" s="33"/>
      <c r="L1489" s="33"/>
      <c r="M1489" s="33"/>
    </row>
    <row r="1490">
      <c r="A1490" s="32" t="s">
        <v>100</v>
      </c>
      <c r="B1490" s="32" t="s">
        <v>3282</v>
      </c>
      <c r="C1490" s="35">
        <v>61.83499908</v>
      </c>
      <c r="D1490" s="35">
        <v>160.5480042</v>
      </c>
      <c r="E1490" s="32" t="s">
        <v>2040</v>
      </c>
      <c r="F1490" s="32" t="s">
        <v>3283</v>
      </c>
      <c r="G1490" s="36" t="e">
        <v>#N/A</v>
      </c>
      <c r="H1490" s="33"/>
      <c r="I1490" s="33"/>
      <c r="J1490" s="33"/>
      <c r="K1490" s="33"/>
      <c r="L1490" s="33"/>
      <c r="M1490" s="33"/>
    </row>
    <row r="1491">
      <c r="A1491" s="32" t="s">
        <v>100</v>
      </c>
      <c r="B1491" s="32" t="s">
        <v>3284</v>
      </c>
      <c r="C1491" s="35">
        <v>67.84500122</v>
      </c>
      <c r="D1491" s="35">
        <v>166.1399994</v>
      </c>
      <c r="E1491" s="32" t="s">
        <v>2040</v>
      </c>
      <c r="F1491" s="32" t="s">
        <v>3285</v>
      </c>
      <c r="G1491" s="36" t="e">
        <v>#N/A</v>
      </c>
      <c r="H1491" s="33"/>
      <c r="I1491" s="33"/>
      <c r="J1491" s="33"/>
      <c r="K1491" s="33"/>
      <c r="L1491" s="33"/>
      <c r="M1491" s="33"/>
    </row>
    <row r="1492">
      <c r="A1492" s="32" t="s">
        <v>100</v>
      </c>
      <c r="B1492" s="32" t="s">
        <v>3286</v>
      </c>
      <c r="C1492" s="35">
        <v>59.62329865</v>
      </c>
      <c r="D1492" s="35">
        <v>150.9219971</v>
      </c>
      <c r="E1492" s="32" t="s">
        <v>2040</v>
      </c>
      <c r="F1492" s="32" t="s">
        <v>3287</v>
      </c>
      <c r="G1492" s="36" t="e">
        <v>#N/A</v>
      </c>
      <c r="H1492" s="33"/>
      <c r="I1492" s="33"/>
      <c r="J1492" s="33"/>
      <c r="K1492" s="33"/>
      <c r="L1492" s="33"/>
      <c r="M1492" s="33"/>
    </row>
    <row r="1493">
      <c r="A1493" s="32" t="s">
        <v>100</v>
      </c>
      <c r="B1493" s="32" t="s">
        <v>3288</v>
      </c>
      <c r="C1493" s="35">
        <v>59.08169937</v>
      </c>
      <c r="D1493" s="35">
        <v>159.8880005</v>
      </c>
      <c r="E1493" s="32" t="s">
        <v>2040</v>
      </c>
      <c r="F1493" s="32" t="s">
        <v>3289</v>
      </c>
      <c r="G1493" s="36" t="e">
        <v>#N/A</v>
      </c>
      <c r="H1493" s="33"/>
      <c r="I1493" s="33"/>
      <c r="J1493" s="33"/>
      <c r="K1493" s="33"/>
      <c r="L1493" s="33"/>
      <c r="M1493" s="33"/>
    </row>
    <row r="1494">
      <c r="A1494" s="32" t="s">
        <v>100</v>
      </c>
      <c r="B1494" s="32" t="s">
        <v>3290</v>
      </c>
      <c r="C1494" s="35">
        <v>56.48770142</v>
      </c>
      <c r="D1494" s="35">
        <v>104.1060028</v>
      </c>
      <c r="E1494" s="32" t="s">
        <v>2040</v>
      </c>
      <c r="F1494" s="32" t="s">
        <v>3291</v>
      </c>
      <c r="G1494" s="36" t="e">
        <v>#N/A</v>
      </c>
      <c r="H1494" s="33"/>
      <c r="I1494" s="33"/>
      <c r="J1494" s="33"/>
      <c r="K1494" s="33"/>
      <c r="L1494" s="33"/>
      <c r="M1494" s="33"/>
    </row>
    <row r="1495">
      <c r="A1495" s="32" t="s">
        <v>100</v>
      </c>
      <c r="B1495" s="32" t="s">
        <v>3292</v>
      </c>
      <c r="C1495" s="35">
        <v>45.11500168</v>
      </c>
      <c r="D1495" s="35">
        <v>33.97700119</v>
      </c>
      <c r="E1495" s="32" t="s">
        <v>3293</v>
      </c>
      <c r="F1495" s="32" t="s">
        <v>3294</v>
      </c>
      <c r="G1495" s="36" t="e">
        <v>#N/A</v>
      </c>
      <c r="H1495" s="33"/>
      <c r="I1495" s="33"/>
      <c r="J1495" s="33"/>
      <c r="K1495" s="33"/>
      <c r="L1495" s="33"/>
      <c r="M1495" s="33"/>
    </row>
    <row r="1496">
      <c r="A1496" s="32" t="s">
        <v>100</v>
      </c>
      <c r="B1496" s="32" t="s">
        <v>3295</v>
      </c>
      <c r="C1496" s="35">
        <v>45.0929985</v>
      </c>
      <c r="D1496" s="35">
        <v>33.59500122</v>
      </c>
      <c r="E1496" s="32" t="s">
        <v>3293</v>
      </c>
      <c r="F1496" s="32" t="s">
        <v>3296</v>
      </c>
      <c r="G1496" s="36" t="e">
        <v>#N/A</v>
      </c>
      <c r="H1496" s="33"/>
      <c r="I1496" s="33"/>
      <c r="J1496" s="33"/>
      <c r="K1496" s="33"/>
      <c r="L1496" s="33"/>
      <c r="M1496" s="33"/>
    </row>
    <row r="1497">
      <c r="A1497" s="32" t="s">
        <v>100</v>
      </c>
      <c r="B1497" s="32" t="s">
        <v>3297</v>
      </c>
      <c r="C1497" s="35">
        <v>45.70090103</v>
      </c>
      <c r="D1497" s="35">
        <v>34.41889954</v>
      </c>
      <c r="E1497" s="32" t="s">
        <v>3293</v>
      </c>
      <c r="F1497" s="32" t="s">
        <v>3298</v>
      </c>
      <c r="G1497" s="36" t="e">
        <v>#N/A</v>
      </c>
      <c r="H1497" s="33"/>
      <c r="I1497" s="33"/>
      <c r="J1497" s="33"/>
      <c r="K1497" s="33"/>
      <c r="L1497" s="33"/>
      <c r="M1497" s="33"/>
    </row>
    <row r="1498">
      <c r="A1498" s="32" t="s">
        <v>100</v>
      </c>
      <c r="B1498" s="32" t="s">
        <v>3299</v>
      </c>
      <c r="C1498" s="35">
        <v>50.15829849</v>
      </c>
      <c r="D1498" s="35">
        <v>28.73830032</v>
      </c>
      <c r="E1498" s="32" t="s">
        <v>3293</v>
      </c>
      <c r="F1498" s="32" t="s">
        <v>3300</v>
      </c>
      <c r="G1498" s="36" t="e">
        <v>#N/A</v>
      </c>
      <c r="H1498" s="33"/>
      <c r="I1498" s="33"/>
      <c r="J1498" s="33"/>
      <c r="K1498" s="33"/>
      <c r="L1498" s="33"/>
      <c r="M1498" s="33"/>
    </row>
    <row r="1499">
      <c r="A1499" s="32" t="s">
        <v>100</v>
      </c>
      <c r="B1499" s="32" t="s">
        <v>3301</v>
      </c>
      <c r="C1499" s="35">
        <v>69.03166962</v>
      </c>
      <c r="D1499" s="35">
        <v>33.41833115</v>
      </c>
      <c r="E1499" s="32" t="s">
        <v>2040</v>
      </c>
      <c r="F1499" s="32" t="s">
        <v>3302</v>
      </c>
      <c r="G1499" s="36" t="e">
        <v>#N/A</v>
      </c>
      <c r="H1499" s="33"/>
      <c r="I1499" s="33"/>
      <c r="J1499" s="33"/>
      <c r="K1499" s="33"/>
      <c r="L1499" s="33"/>
      <c r="M1499" s="33"/>
    </row>
    <row r="1500">
      <c r="A1500" s="32" t="s">
        <v>100</v>
      </c>
      <c r="B1500" s="32" t="s">
        <v>3303</v>
      </c>
      <c r="C1500" s="35">
        <v>59.68500137</v>
      </c>
      <c r="D1500" s="35">
        <v>30.33830071</v>
      </c>
      <c r="E1500" s="32" t="s">
        <v>2040</v>
      </c>
      <c r="F1500" s="32" t="s">
        <v>3304</v>
      </c>
      <c r="G1500" s="36" t="e">
        <v>#N/A</v>
      </c>
      <c r="H1500" s="33"/>
      <c r="I1500" s="33"/>
      <c r="J1500" s="33"/>
      <c r="K1500" s="33"/>
      <c r="L1500" s="33"/>
      <c r="M1500" s="33"/>
    </row>
    <row r="1501">
      <c r="A1501" s="32" t="s">
        <v>100</v>
      </c>
      <c r="B1501" s="32" t="s">
        <v>3305</v>
      </c>
      <c r="C1501" s="35">
        <v>59.3567009</v>
      </c>
      <c r="D1501" s="35">
        <v>30.0366993</v>
      </c>
      <c r="E1501" s="32" t="s">
        <v>2040</v>
      </c>
      <c r="F1501" s="32" t="s">
        <v>3306</v>
      </c>
      <c r="G1501" s="36" t="e">
        <v>#N/A</v>
      </c>
      <c r="H1501" s="33"/>
      <c r="I1501" s="33"/>
      <c r="J1501" s="33"/>
      <c r="K1501" s="33"/>
      <c r="L1501" s="33"/>
      <c r="M1501" s="33"/>
    </row>
    <row r="1502">
      <c r="A1502" s="32" t="s">
        <v>100</v>
      </c>
      <c r="B1502" s="32" t="s">
        <v>3307</v>
      </c>
      <c r="C1502" s="35">
        <v>57.96139908</v>
      </c>
      <c r="D1502" s="35">
        <v>31.38439941</v>
      </c>
      <c r="E1502" s="32" t="s">
        <v>2040</v>
      </c>
      <c r="F1502" s="32" t="s">
        <v>3308</v>
      </c>
      <c r="G1502" s="36" t="e">
        <v>#N/A</v>
      </c>
      <c r="H1502" s="33"/>
      <c r="I1502" s="33"/>
      <c r="J1502" s="33"/>
      <c r="K1502" s="33"/>
      <c r="L1502" s="33"/>
      <c r="M1502" s="33"/>
    </row>
    <row r="1503">
      <c r="A1503" s="32" t="s">
        <v>100</v>
      </c>
      <c r="B1503" s="32" t="s">
        <v>3309</v>
      </c>
      <c r="C1503" s="35">
        <v>61.83194351</v>
      </c>
      <c r="D1503" s="35">
        <v>34.29555511</v>
      </c>
      <c r="E1503" s="32" t="s">
        <v>2040</v>
      </c>
      <c r="F1503" s="32" t="s">
        <v>3310</v>
      </c>
      <c r="G1503" s="36" t="e">
        <v>#N/A</v>
      </c>
      <c r="H1503" s="33"/>
      <c r="I1503" s="33"/>
      <c r="J1503" s="33"/>
      <c r="K1503" s="33"/>
      <c r="L1503" s="33"/>
      <c r="M1503" s="33"/>
    </row>
    <row r="1504">
      <c r="A1504" s="32" t="s">
        <v>100</v>
      </c>
      <c r="B1504" s="32" t="s">
        <v>3311</v>
      </c>
      <c r="C1504" s="35">
        <v>53.09999847</v>
      </c>
      <c r="D1504" s="35">
        <v>26.04999924</v>
      </c>
      <c r="E1504" s="32" t="s">
        <v>2097</v>
      </c>
      <c r="F1504" s="32" t="s">
        <v>3312</v>
      </c>
      <c r="G1504" s="36" t="e">
        <v>#N/A</v>
      </c>
      <c r="H1504" s="33"/>
      <c r="I1504" s="33"/>
      <c r="J1504" s="33"/>
      <c r="K1504" s="33"/>
      <c r="L1504" s="33"/>
      <c r="M1504" s="33"/>
    </row>
    <row r="1505">
      <c r="A1505" s="32" t="s">
        <v>100</v>
      </c>
      <c r="B1505" s="32" t="s">
        <v>3313</v>
      </c>
      <c r="C1505" s="35">
        <v>53.105</v>
      </c>
      <c r="D1505" s="35">
        <v>29.205</v>
      </c>
      <c r="E1505" s="32" t="s">
        <v>2097</v>
      </c>
      <c r="F1505" s="32" t="s">
        <v>3314</v>
      </c>
      <c r="G1505" s="36" t="e">
        <v>#N/A</v>
      </c>
      <c r="H1505" s="33"/>
      <c r="I1505" s="33"/>
      <c r="J1505" s="33"/>
      <c r="K1505" s="33"/>
      <c r="L1505" s="33"/>
      <c r="M1505" s="33"/>
    </row>
    <row r="1506">
      <c r="A1506" s="32" t="s">
        <v>100</v>
      </c>
      <c r="B1506" s="32" t="s">
        <v>3315</v>
      </c>
      <c r="C1506" s="35">
        <v>60.37329865</v>
      </c>
      <c r="D1506" s="35">
        <v>93.01170349</v>
      </c>
      <c r="E1506" s="32" t="s">
        <v>2040</v>
      </c>
      <c r="F1506" s="32" t="s">
        <v>3316</v>
      </c>
      <c r="G1506" s="36" t="e">
        <v>#N/A</v>
      </c>
      <c r="H1506" s="33"/>
      <c r="I1506" s="33"/>
      <c r="J1506" s="33"/>
      <c r="K1506" s="33"/>
      <c r="L1506" s="33"/>
      <c r="M1506" s="33"/>
    </row>
    <row r="1507">
      <c r="A1507" s="32" t="s">
        <v>100</v>
      </c>
      <c r="B1507" s="32" t="s">
        <v>3317</v>
      </c>
      <c r="C1507" s="35">
        <v>55.45491409</v>
      </c>
      <c r="D1507" s="35">
        <v>89.17388153</v>
      </c>
      <c r="E1507" s="32" t="s">
        <v>2040</v>
      </c>
      <c r="F1507" s="32" t="s">
        <v>3318</v>
      </c>
      <c r="G1507" s="36" t="e">
        <v>#N/A</v>
      </c>
      <c r="H1507" s="33"/>
      <c r="I1507" s="33"/>
      <c r="J1507" s="33"/>
      <c r="K1507" s="33"/>
      <c r="L1507" s="33"/>
      <c r="M1507" s="33"/>
    </row>
    <row r="1508">
      <c r="A1508" s="32" t="s">
        <v>100</v>
      </c>
      <c r="B1508" s="32" t="s">
        <v>3319</v>
      </c>
      <c r="C1508" s="35">
        <v>54.97499847</v>
      </c>
      <c r="D1508" s="35">
        <v>73.55500031</v>
      </c>
      <c r="E1508" s="32" t="s">
        <v>2040</v>
      </c>
      <c r="F1508" s="32" t="s">
        <v>3320</v>
      </c>
      <c r="G1508" s="36" t="e">
        <v>#N/A</v>
      </c>
      <c r="H1508" s="33"/>
      <c r="I1508" s="33"/>
      <c r="J1508" s="33"/>
      <c r="K1508" s="33"/>
      <c r="L1508" s="33"/>
      <c r="M1508" s="33"/>
    </row>
    <row r="1509">
      <c r="A1509" s="32" t="s">
        <v>100</v>
      </c>
      <c r="B1509" s="32" t="s">
        <v>3321</v>
      </c>
      <c r="C1509" s="35">
        <v>80.803207</v>
      </c>
      <c r="D1509" s="35">
        <v>47.663586</v>
      </c>
      <c r="E1509" s="32" t="s">
        <v>2040</v>
      </c>
      <c r="F1509" s="32" t="s">
        <v>3322</v>
      </c>
      <c r="G1509" s="36" t="e">
        <v>#N/A</v>
      </c>
      <c r="H1509" s="33"/>
      <c r="I1509" s="33"/>
      <c r="J1509" s="33"/>
      <c r="K1509" s="33"/>
      <c r="L1509" s="33"/>
      <c r="M1509" s="33"/>
    </row>
    <row r="1510">
      <c r="A1510" s="32" t="s">
        <v>100</v>
      </c>
      <c r="B1510" s="32" t="s">
        <v>3323</v>
      </c>
      <c r="C1510" s="35">
        <v>66.83999634</v>
      </c>
      <c r="D1510" s="35">
        <v>88.40333557</v>
      </c>
      <c r="E1510" s="32" t="s">
        <v>2040</v>
      </c>
      <c r="F1510" s="32" t="s">
        <v>3324</v>
      </c>
      <c r="G1510" s="36" t="e">
        <v>#N/A</v>
      </c>
      <c r="H1510" s="33"/>
      <c r="I1510" s="33"/>
      <c r="J1510" s="33"/>
      <c r="K1510" s="33"/>
      <c r="L1510" s="33"/>
      <c r="M1510" s="33"/>
    </row>
    <row r="1511">
      <c r="A1511" s="32" t="s">
        <v>100</v>
      </c>
      <c r="B1511" s="32" t="s">
        <v>3325</v>
      </c>
      <c r="C1511" s="35">
        <v>69.39690399</v>
      </c>
      <c r="D1511" s="35">
        <v>88.35368346999999</v>
      </c>
      <c r="E1511" s="32" t="s">
        <v>2040</v>
      </c>
      <c r="F1511" s="32" t="s">
        <v>3326</v>
      </c>
      <c r="G1511" s="36" t="e">
        <v>#N/A</v>
      </c>
      <c r="H1511" s="33"/>
      <c r="I1511" s="33"/>
      <c r="J1511" s="33"/>
      <c r="K1511" s="33"/>
      <c r="L1511" s="33"/>
      <c r="M1511" s="33"/>
    </row>
    <row r="1512">
      <c r="A1512" s="32" t="s">
        <v>100</v>
      </c>
      <c r="B1512" s="32" t="s">
        <v>3327</v>
      </c>
      <c r="C1512" s="35">
        <v>44.68000031</v>
      </c>
      <c r="D1512" s="35">
        <v>40.03499985</v>
      </c>
      <c r="E1512" s="32" t="s">
        <v>2040</v>
      </c>
      <c r="F1512" s="32" t="s">
        <v>3328</v>
      </c>
      <c r="G1512" s="36" t="e">
        <v>#N/A</v>
      </c>
      <c r="H1512" s="33"/>
      <c r="I1512" s="33"/>
      <c r="J1512" s="33"/>
      <c r="K1512" s="33"/>
      <c r="L1512" s="33"/>
      <c r="M1512" s="33"/>
    </row>
    <row r="1513">
      <c r="A1513" s="32" t="s">
        <v>100</v>
      </c>
      <c r="B1513" s="32" t="s">
        <v>3329</v>
      </c>
      <c r="C1513" s="35">
        <v>69.375</v>
      </c>
      <c r="D1513" s="35">
        <v>86.15666962</v>
      </c>
      <c r="E1513" s="32" t="s">
        <v>2040</v>
      </c>
      <c r="F1513" s="32" t="s">
        <v>3330</v>
      </c>
      <c r="G1513" s="36" t="e">
        <v>#N/A</v>
      </c>
      <c r="H1513" s="33"/>
      <c r="I1513" s="33"/>
      <c r="J1513" s="33"/>
      <c r="K1513" s="33"/>
      <c r="L1513" s="33"/>
      <c r="M1513" s="33"/>
    </row>
    <row r="1514">
      <c r="A1514" s="32" t="s">
        <v>100</v>
      </c>
      <c r="B1514" s="32" t="s">
        <v>3331</v>
      </c>
      <c r="C1514" s="35">
        <v>41.31269836</v>
      </c>
      <c r="D1514" s="35">
        <v>69.3914032</v>
      </c>
      <c r="E1514" s="32" t="s">
        <v>3332</v>
      </c>
      <c r="F1514" s="32" t="s">
        <v>3333</v>
      </c>
      <c r="G1514" s="36" t="e">
        <v>#N/A</v>
      </c>
      <c r="H1514" s="33"/>
      <c r="I1514" s="33"/>
      <c r="J1514" s="33"/>
      <c r="K1514" s="33"/>
      <c r="L1514" s="33"/>
      <c r="M1514" s="33"/>
    </row>
    <row r="1515">
      <c r="A1515" s="32" t="s">
        <v>100</v>
      </c>
      <c r="B1515" s="32" t="s">
        <v>3334</v>
      </c>
      <c r="C1515" s="35">
        <v>55.56000137</v>
      </c>
      <c r="D1515" s="35">
        <v>37.98500061</v>
      </c>
      <c r="E1515" s="32" t="s">
        <v>2040</v>
      </c>
      <c r="F1515" s="32" t="s">
        <v>2653</v>
      </c>
      <c r="G1515" s="36" t="e">
        <v>#N/A</v>
      </c>
      <c r="H1515" s="33"/>
      <c r="I1515" s="33"/>
      <c r="J1515" s="33"/>
      <c r="K1515" s="33"/>
      <c r="L1515" s="33"/>
      <c r="M1515" s="33"/>
    </row>
    <row r="1516">
      <c r="A1516" s="32" t="s">
        <v>100</v>
      </c>
      <c r="B1516" s="32" t="s">
        <v>3335</v>
      </c>
      <c r="C1516" s="35">
        <v>54.90499878</v>
      </c>
      <c r="D1516" s="35">
        <v>39.02666855</v>
      </c>
      <c r="E1516" s="32" t="s">
        <v>2040</v>
      </c>
      <c r="F1516" s="32" t="s">
        <v>3336</v>
      </c>
      <c r="G1516" s="36" t="e">
        <v>#N/A</v>
      </c>
      <c r="H1516" s="33"/>
      <c r="I1516" s="33"/>
      <c r="J1516" s="33"/>
      <c r="K1516" s="33"/>
      <c r="L1516" s="33"/>
      <c r="M1516" s="33"/>
    </row>
    <row r="1517">
      <c r="A1517" s="32" t="s">
        <v>100</v>
      </c>
      <c r="B1517" s="32" t="s">
        <v>3337</v>
      </c>
      <c r="C1517" s="35">
        <v>55.22833252</v>
      </c>
      <c r="D1517" s="35">
        <v>36.60833359</v>
      </c>
      <c r="E1517" s="32" t="s">
        <v>2040</v>
      </c>
      <c r="F1517" s="32" t="s">
        <v>3338</v>
      </c>
      <c r="G1517" s="36" t="e">
        <v>#N/A</v>
      </c>
      <c r="H1517" s="33"/>
      <c r="I1517" s="33"/>
      <c r="J1517" s="33"/>
      <c r="K1517" s="33"/>
      <c r="L1517" s="33"/>
      <c r="M1517" s="33"/>
    </row>
    <row r="1518">
      <c r="A1518" s="32" t="s">
        <v>100</v>
      </c>
      <c r="B1518" s="32" t="s">
        <v>3339</v>
      </c>
      <c r="C1518" s="35">
        <v>65.03170013</v>
      </c>
      <c r="D1518" s="35">
        <v>53.97000122</v>
      </c>
      <c r="E1518" s="32" t="s">
        <v>2040</v>
      </c>
      <c r="F1518" s="32" t="s">
        <v>3340</v>
      </c>
      <c r="G1518" s="36" t="e">
        <v>#N/A</v>
      </c>
      <c r="H1518" s="33"/>
      <c r="I1518" s="33"/>
      <c r="J1518" s="33"/>
      <c r="K1518" s="33"/>
      <c r="L1518" s="33"/>
      <c r="M1518" s="33"/>
    </row>
    <row r="1519">
      <c r="A1519" s="32" t="s">
        <v>100</v>
      </c>
      <c r="B1519" s="32" t="s">
        <v>3341</v>
      </c>
      <c r="C1519" s="35">
        <v>55.86669922</v>
      </c>
      <c r="D1519" s="35">
        <v>49.13330078</v>
      </c>
      <c r="E1519" s="32" t="s">
        <v>2040</v>
      </c>
      <c r="F1519" s="32" t="s">
        <v>3342</v>
      </c>
      <c r="G1519" s="36" t="e">
        <v>#N/A</v>
      </c>
      <c r="H1519" s="33"/>
      <c r="I1519" s="33"/>
      <c r="J1519" s="33"/>
      <c r="K1519" s="33"/>
      <c r="L1519" s="33"/>
      <c r="M1519" s="33"/>
    </row>
    <row r="1520">
      <c r="A1520" s="32" t="s">
        <v>100</v>
      </c>
      <c r="B1520" s="32" t="s">
        <v>3343</v>
      </c>
      <c r="C1520" s="35">
        <v>54.83000183</v>
      </c>
      <c r="D1520" s="35">
        <v>56.16830063</v>
      </c>
      <c r="E1520" s="32" t="s">
        <v>2040</v>
      </c>
      <c r="F1520" s="32" t="s">
        <v>3344</v>
      </c>
      <c r="G1520" s="36" t="e">
        <v>#N/A</v>
      </c>
      <c r="H1520" s="33"/>
      <c r="I1520" s="33"/>
      <c r="J1520" s="33"/>
      <c r="K1520" s="33"/>
      <c r="L1520" s="33"/>
      <c r="M1520" s="33"/>
    </row>
    <row r="1521">
      <c r="A1521" s="32" t="s">
        <v>100</v>
      </c>
      <c r="B1521" s="32" t="s">
        <v>3345</v>
      </c>
      <c r="C1521" s="35">
        <v>53.71839905</v>
      </c>
      <c r="D1521" s="35">
        <v>52.37189865</v>
      </c>
      <c r="E1521" s="32" t="s">
        <v>2040</v>
      </c>
      <c r="F1521" s="32" t="s">
        <v>3346</v>
      </c>
      <c r="G1521" s="36" t="e">
        <v>#N/A</v>
      </c>
      <c r="H1521" s="33"/>
      <c r="I1521" s="33"/>
      <c r="J1521" s="33"/>
      <c r="K1521" s="33"/>
      <c r="L1521" s="33"/>
      <c r="M1521" s="33"/>
    </row>
    <row r="1522">
      <c r="A1522" s="32" t="s">
        <v>100</v>
      </c>
      <c r="B1522" s="32" t="s">
        <v>3347</v>
      </c>
      <c r="C1522" s="35">
        <v>53.22000122</v>
      </c>
      <c r="D1522" s="35">
        <v>50.32500076</v>
      </c>
      <c r="E1522" s="32" t="s">
        <v>2040</v>
      </c>
      <c r="F1522" s="32" t="s">
        <v>3348</v>
      </c>
      <c r="G1522" s="36" t="e">
        <v>#N/A</v>
      </c>
      <c r="H1522" s="33"/>
      <c r="I1522" s="33"/>
      <c r="J1522" s="33"/>
      <c r="K1522" s="33"/>
      <c r="L1522" s="33"/>
      <c r="M1522" s="33"/>
    </row>
    <row r="1523">
      <c r="A1523" s="32" t="s">
        <v>100</v>
      </c>
      <c r="B1523" s="32" t="s">
        <v>3349</v>
      </c>
      <c r="C1523" s="35">
        <v>20.88640022</v>
      </c>
      <c r="D1523" s="35">
        <v>95.89279175</v>
      </c>
      <c r="E1523" s="32" t="s">
        <v>1918</v>
      </c>
      <c r="F1523" s="32" t="s">
        <v>3350</v>
      </c>
      <c r="G1523" s="36" t="e">
        <v>#N/A</v>
      </c>
      <c r="H1523" s="33"/>
      <c r="I1523" s="33"/>
      <c r="J1523" s="33"/>
      <c r="K1523" s="33"/>
      <c r="L1523" s="33"/>
      <c r="M1523" s="33"/>
    </row>
    <row r="1524">
      <c r="A1524" s="32" t="s">
        <v>100</v>
      </c>
      <c r="B1524" s="32" t="s">
        <v>3351</v>
      </c>
      <c r="C1524" s="35">
        <v>1.344140053</v>
      </c>
      <c r="D1524" s="35">
        <v>104.0090027</v>
      </c>
      <c r="E1524" s="32" t="s">
        <v>157</v>
      </c>
      <c r="F1524" s="32" t="s">
        <v>157</v>
      </c>
      <c r="G1524" s="39" t="s">
        <v>158</v>
      </c>
      <c r="H1524" s="33"/>
      <c r="I1524" s="33"/>
      <c r="J1524" s="33"/>
      <c r="K1524" s="33"/>
      <c r="L1524" s="33"/>
      <c r="M1524" s="33"/>
    </row>
    <row r="1525">
      <c r="A1525" s="32" t="s">
        <v>100</v>
      </c>
      <c r="B1525" s="32" t="s">
        <v>3352</v>
      </c>
      <c r="C1525" s="35">
        <v>58.13954544</v>
      </c>
      <c r="D1525" s="35">
        <v>30.33041954</v>
      </c>
      <c r="E1525" s="32" t="s">
        <v>2040</v>
      </c>
      <c r="F1525" s="32" t="s">
        <v>3353</v>
      </c>
      <c r="G1525" s="36" t="e">
        <v>#N/A</v>
      </c>
      <c r="H1525" s="33"/>
      <c r="I1525" s="33"/>
      <c r="J1525" s="33"/>
      <c r="K1525" s="33"/>
      <c r="L1525" s="33"/>
      <c r="M1525" s="33"/>
    </row>
    <row r="1526">
      <c r="A1526" s="32" t="s">
        <v>100</v>
      </c>
      <c r="B1526" s="32" t="s">
        <v>3354</v>
      </c>
      <c r="C1526" s="35">
        <v>68.8666687</v>
      </c>
      <c r="D1526" s="35">
        <v>33.71666718</v>
      </c>
      <c r="E1526" s="32" t="s">
        <v>2040</v>
      </c>
      <c r="F1526" s="32" t="s">
        <v>3302</v>
      </c>
      <c r="G1526" s="36" t="e">
        <v>#N/A</v>
      </c>
      <c r="H1526" s="33"/>
      <c r="I1526" s="33"/>
      <c r="J1526" s="33"/>
      <c r="K1526" s="33"/>
      <c r="L1526" s="33"/>
      <c r="M1526" s="33"/>
    </row>
    <row r="1527">
      <c r="A1527" s="32" t="s">
        <v>100</v>
      </c>
      <c r="B1527" s="32" t="s">
        <v>3355</v>
      </c>
      <c r="C1527" s="35">
        <v>59.18830109</v>
      </c>
      <c r="D1527" s="35">
        <v>39.12329865</v>
      </c>
      <c r="E1527" s="32" t="s">
        <v>2040</v>
      </c>
      <c r="F1527" s="32" t="s">
        <v>3356</v>
      </c>
      <c r="G1527" s="36" t="e">
        <v>#N/A</v>
      </c>
      <c r="H1527" s="33"/>
      <c r="I1527" s="33"/>
      <c r="J1527" s="33"/>
      <c r="K1527" s="33"/>
      <c r="L1527" s="33"/>
      <c r="M1527" s="33"/>
    </row>
    <row r="1528">
      <c r="A1528" s="32" t="s">
        <v>100</v>
      </c>
      <c r="B1528" s="32" t="s">
        <v>3357</v>
      </c>
      <c r="C1528" s="35">
        <v>50.2016983</v>
      </c>
      <c r="D1528" s="35">
        <v>45.20830154</v>
      </c>
      <c r="E1528" s="32" t="s">
        <v>2040</v>
      </c>
      <c r="F1528" s="32" t="s">
        <v>3358</v>
      </c>
      <c r="G1528" s="36" t="e">
        <v>#N/A</v>
      </c>
      <c r="H1528" s="33"/>
      <c r="I1528" s="33"/>
      <c r="J1528" s="33"/>
      <c r="K1528" s="33"/>
      <c r="L1528" s="33"/>
      <c r="M1528" s="33"/>
    </row>
    <row r="1529">
      <c r="A1529" s="32" t="s">
        <v>100</v>
      </c>
      <c r="B1529" s="32" t="s">
        <v>3359</v>
      </c>
      <c r="C1529" s="35">
        <v>54.824</v>
      </c>
      <c r="D1529" s="35">
        <v>32.025</v>
      </c>
      <c r="E1529" s="32" t="s">
        <v>2040</v>
      </c>
      <c r="F1529" s="32" t="s">
        <v>3360</v>
      </c>
      <c r="G1529" s="36" t="e">
        <v>#N/A</v>
      </c>
      <c r="H1529" s="33"/>
      <c r="I1529" s="33"/>
      <c r="J1529" s="33"/>
      <c r="K1529" s="33"/>
      <c r="L1529" s="33"/>
      <c r="M1529" s="33"/>
    </row>
    <row r="1530">
      <c r="A1530" s="32" t="s">
        <v>100</v>
      </c>
      <c r="B1530" s="32" t="s">
        <v>3361</v>
      </c>
      <c r="C1530" s="35">
        <v>52.29731667</v>
      </c>
      <c r="D1530" s="35">
        <v>43.7241</v>
      </c>
      <c r="E1530" s="32" t="s">
        <v>2040</v>
      </c>
      <c r="F1530" s="32" t="s">
        <v>3362</v>
      </c>
      <c r="G1530" s="36" t="e">
        <v>#N/A</v>
      </c>
      <c r="H1530" s="33"/>
      <c r="I1530" s="33"/>
      <c r="J1530" s="33"/>
      <c r="K1530" s="33"/>
      <c r="L1530" s="33"/>
      <c r="M1530" s="33"/>
    </row>
    <row r="1531">
      <c r="A1531" s="32" t="s">
        <v>100</v>
      </c>
      <c r="B1531" s="32" t="s">
        <v>3363</v>
      </c>
      <c r="C1531" s="35">
        <v>39.415699</v>
      </c>
      <c r="D1531" s="35">
        <v>125.894997</v>
      </c>
      <c r="E1531" s="32" t="s">
        <v>3364</v>
      </c>
      <c r="F1531" s="32" t="s">
        <v>3365</v>
      </c>
      <c r="G1531" s="36" t="e">
        <v>#N/A</v>
      </c>
      <c r="H1531" s="33"/>
      <c r="I1531" s="33"/>
      <c r="J1531" s="33"/>
      <c r="K1531" s="33"/>
      <c r="L1531" s="33"/>
      <c r="M1531" s="33"/>
    </row>
    <row r="1532">
      <c r="A1532" s="32" t="s">
        <v>100</v>
      </c>
      <c r="B1532" s="32" t="s">
        <v>3366</v>
      </c>
      <c r="C1532" s="35">
        <v>41.78440094</v>
      </c>
      <c r="D1532" s="35">
        <v>123.4960022</v>
      </c>
      <c r="E1532" s="32" t="s">
        <v>205</v>
      </c>
      <c r="F1532" s="32" t="s">
        <v>3367</v>
      </c>
      <c r="G1532" s="39" t="s">
        <v>206</v>
      </c>
      <c r="H1532" s="33"/>
      <c r="I1532" s="33"/>
      <c r="J1532" s="33"/>
      <c r="K1532" s="33"/>
      <c r="L1532" s="33"/>
      <c r="M1532" s="33"/>
    </row>
    <row r="1533">
      <c r="A1533" s="32" t="s">
        <v>3368</v>
      </c>
      <c r="B1533" s="32" t="s">
        <v>3369</v>
      </c>
      <c r="C1533" s="35">
        <v>37.14170074</v>
      </c>
      <c r="D1533" s="35">
        <v>-79.0164032</v>
      </c>
      <c r="E1533" s="32" t="s">
        <v>180</v>
      </c>
      <c r="F1533" s="32" t="s">
        <v>3370</v>
      </c>
      <c r="G1533" s="39" t="s">
        <v>181</v>
      </c>
      <c r="H1533" s="33"/>
      <c r="I1533" s="33"/>
      <c r="J1533" s="33"/>
      <c r="K1533" s="33"/>
      <c r="L1533" s="33"/>
      <c r="M1533" s="33"/>
    </row>
    <row r="1534">
      <c r="A1534" s="32" t="s">
        <v>3371</v>
      </c>
      <c r="B1534" s="32" t="s">
        <v>3372</v>
      </c>
      <c r="C1534" s="35">
        <v>37.49140167</v>
      </c>
      <c r="D1534" s="35">
        <v>-100.8300018</v>
      </c>
      <c r="E1534" s="32" t="s">
        <v>180</v>
      </c>
      <c r="F1534" s="32" t="s">
        <v>3373</v>
      </c>
      <c r="G1534" s="39" t="s">
        <v>181</v>
      </c>
      <c r="H1534" s="33"/>
      <c r="I1534" s="33"/>
      <c r="J1534" s="33"/>
      <c r="K1534" s="33"/>
      <c r="L1534" s="33"/>
      <c r="M1534" s="33"/>
    </row>
    <row r="1535">
      <c r="A1535" s="32" t="s">
        <v>3374</v>
      </c>
      <c r="B1535" s="32" t="s">
        <v>3375</v>
      </c>
      <c r="C1535" s="35">
        <v>32.0848999</v>
      </c>
      <c r="D1535" s="35">
        <v>-88.73889923</v>
      </c>
      <c r="E1535" s="32" t="s">
        <v>180</v>
      </c>
      <c r="F1535" s="32" t="s">
        <v>3376</v>
      </c>
      <c r="G1535" s="39" t="s">
        <v>181</v>
      </c>
      <c r="H1535" s="33"/>
      <c r="I1535" s="33"/>
      <c r="J1535" s="33"/>
      <c r="K1535" s="33"/>
      <c r="L1535" s="33"/>
      <c r="M1535" s="33"/>
    </row>
    <row r="1536">
      <c r="A1536" s="32" t="s">
        <v>3377</v>
      </c>
      <c r="B1536" s="32" t="s">
        <v>3378</v>
      </c>
      <c r="C1536" s="35">
        <v>35.91180038</v>
      </c>
      <c r="D1536" s="35">
        <v>-79.61759949</v>
      </c>
      <c r="E1536" s="32" t="s">
        <v>180</v>
      </c>
      <c r="F1536" s="32" t="s">
        <v>3379</v>
      </c>
      <c r="G1536" s="39" t="s">
        <v>181</v>
      </c>
      <c r="H1536" s="33"/>
      <c r="I1536" s="33"/>
      <c r="J1536" s="33"/>
      <c r="K1536" s="33"/>
      <c r="L1536" s="33"/>
      <c r="M1536" s="33"/>
    </row>
    <row r="1537">
      <c r="A1537" s="32" t="s">
        <v>3380</v>
      </c>
      <c r="B1537" s="32" t="s">
        <v>3381</v>
      </c>
      <c r="C1537" s="35">
        <v>39.41040039</v>
      </c>
      <c r="D1537" s="35">
        <v>-88.84539795</v>
      </c>
      <c r="E1537" s="32" t="s">
        <v>180</v>
      </c>
      <c r="F1537" s="32" t="s">
        <v>3382</v>
      </c>
      <c r="G1537" s="39" t="s">
        <v>181</v>
      </c>
      <c r="H1537" s="33"/>
      <c r="I1537" s="33"/>
      <c r="J1537" s="33"/>
      <c r="K1537" s="33"/>
      <c r="L1537" s="33"/>
      <c r="M1537" s="33"/>
    </row>
    <row r="1538">
      <c r="A1538" s="32" t="s">
        <v>3383</v>
      </c>
      <c r="B1538" s="32" t="s">
        <v>3384</v>
      </c>
      <c r="C1538" s="35">
        <v>37.4353981</v>
      </c>
      <c r="D1538" s="35">
        <v>-95.64610291</v>
      </c>
      <c r="E1538" s="32" t="s">
        <v>180</v>
      </c>
      <c r="F1538" s="32" t="s">
        <v>3385</v>
      </c>
      <c r="G1538" s="39" t="s">
        <v>181</v>
      </c>
      <c r="H1538" s="33"/>
      <c r="I1538" s="33"/>
      <c r="J1538" s="33"/>
      <c r="K1538" s="33"/>
      <c r="L1538" s="33"/>
      <c r="M1538" s="33"/>
    </row>
    <row r="1539">
      <c r="A1539" s="32" t="s">
        <v>3386</v>
      </c>
      <c r="B1539" s="32" t="s">
        <v>3387</v>
      </c>
      <c r="C1539" s="35">
        <v>37.67160034</v>
      </c>
      <c r="D1539" s="35">
        <v>-97.07790375</v>
      </c>
      <c r="E1539" s="32" t="s">
        <v>180</v>
      </c>
      <c r="F1539" s="32" t="s">
        <v>3388</v>
      </c>
      <c r="G1539" s="39" t="s">
        <v>181</v>
      </c>
      <c r="H1539" s="33"/>
      <c r="I1539" s="33"/>
      <c r="J1539" s="33"/>
      <c r="K1539" s="33"/>
      <c r="L1539" s="33"/>
      <c r="M1539" s="33"/>
    </row>
    <row r="1540">
      <c r="A1540" s="32" t="s">
        <v>3389</v>
      </c>
      <c r="B1540" s="32" t="s">
        <v>3390</v>
      </c>
      <c r="C1540" s="35">
        <v>33.389099</v>
      </c>
      <c r="D1540" s="35">
        <v>-84.332397</v>
      </c>
      <c r="E1540" s="32" t="s">
        <v>180</v>
      </c>
      <c r="F1540" s="32" t="s">
        <v>3391</v>
      </c>
      <c r="G1540" s="39" t="s">
        <v>181</v>
      </c>
      <c r="H1540" s="33"/>
      <c r="I1540" s="33"/>
      <c r="J1540" s="33"/>
      <c r="K1540" s="33"/>
      <c r="L1540" s="33"/>
      <c r="M1540" s="33"/>
    </row>
    <row r="1541">
      <c r="A1541" s="32" t="s">
        <v>3392</v>
      </c>
      <c r="B1541" s="32" t="s">
        <v>3393</v>
      </c>
      <c r="C1541" s="35">
        <v>44.7356987</v>
      </c>
      <c r="D1541" s="35">
        <v>-112.7200012</v>
      </c>
      <c r="E1541" s="32" t="s">
        <v>180</v>
      </c>
      <c r="F1541" s="32" t="s">
        <v>3394</v>
      </c>
      <c r="G1541" s="39" t="s">
        <v>181</v>
      </c>
      <c r="H1541" s="33"/>
      <c r="I1541" s="33"/>
      <c r="J1541" s="33"/>
      <c r="K1541" s="33"/>
      <c r="L1541" s="33"/>
      <c r="M1541" s="33"/>
    </row>
    <row r="1542">
      <c r="A1542" s="32" t="s">
        <v>3395</v>
      </c>
      <c r="B1542" s="32" t="s">
        <v>3396</v>
      </c>
      <c r="C1542" s="35">
        <v>33.61209869</v>
      </c>
      <c r="D1542" s="35">
        <v>-83.46040344</v>
      </c>
      <c r="E1542" s="32" t="s">
        <v>180</v>
      </c>
      <c r="F1542" s="32" t="s">
        <v>3397</v>
      </c>
      <c r="G1542" s="39" t="s">
        <v>181</v>
      </c>
      <c r="H1542" s="33"/>
      <c r="I1542" s="33"/>
      <c r="J1542" s="33"/>
      <c r="K1542" s="33"/>
      <c r="L1542" s="33"/>
      <c r="M1542" s="33"/>
    </row>
    <row r="1543">
      <c r="A1543" s="32" t="s">
        <v>3398</v>
      </c>
      <c r="B1543" s="32" t="s">
        <v>3399</v>
      </c>
      <c r="C1543" s="35">
        <v>42.79719925</v>
      </c>
      <c r="D1543" s="35">
        <v>-88.37259674</v>
      </c>
      <c r="E1543" s="32" t="s">
        <v>180</v>
      </c>
      <c r="F1543" s="32" t="s">
        <v>3400</v>
      </c>
      <c r="G1543" s="39" t="s">
        <v>181</v>
      </c>
      <c r="H1543" s="33"/>
      <c r="I1543" s="33"/>
      <c r="J1543" s="33"/>
      <c r="K1543" s="33"/>
      <c r="L1543" s="33"/>
      <c r="M1543" s="33"/>
    </row>
    <row r="1544">
      <c r="A1544" s="32" t="s">
        <v>3401</v>
      </c>
      <c r="B1544" s="32" t="s">
        <v>3402</v>
      </c>
      <c r="C1544" s="35">
        <v>43.05130005</v>
      </c>
      <c r="D1544" s="35">
        <v>-73.86119843</v>
      </c>
      <c r="E1544" s="32" t="s">
        <v>180</v>
      </c>
      <c r="F1544" s="32" t="s">
        <v>3403</v>
      </c>
      <c r="G1544" s="39" t="s">
        <v>181</v>
      </c>
      <c r="H1544" s="33"/>
      <c r="I1544" s="33"/>
      <c r="J1544" s="33"/>
      <c r="K1544" s="33"/>
      <c r="L1544" s="33"/>
      <c r="M1544" s="33"/>
    </row>
    <row r="1545">
      <c r="A1545" s="32" t="s">
        <v>3404</v>
      </c>
      <c r="B1545" s="32" t="s">
        <v>3405</v>
      </c>
      <c r="C1545" s="35">
        <v>33.92679977</v>
      </c>
      <c r="D1545" s="35">
        <v>-81.79460144</v>
      </c>
      <c r="E1545" s="32" t="s">
        <v>180</v>
      </c>
      <c r="F1545" s="32" t="s">
        <v>3406</v>
      </c>
      <c r="G1545" s="39" t="s">
        <v>181</v>
      </c>
      <c r="H1545" s="33"/>
      <c r="I1545" s="33"/>
      <c r="J1545" s="33"/>
      <c r="K1545" s="33"/>
      <c r="L1545" s="33"/>
      <c r="M1545" s="33"/>
    </row>
    <row r="1546">
      <c r="A1546" s="32" t="s">
        <v>3407</v>
      </c>
      <c r="B1546" s="32" t="s">
        <v>3408</v>
      </c>
      <c r="C1546" s="35">
        <v>45.8064003</v>
      </c>
      <c r="D1546" s="35">
        <v>-109.9810028</v>
      </c>
      <c r="E1546" s="32" t="s">
        <v>180</v>
      </c>
      <c r="F1546" s="32" t="s">
        <v>3409</v>
      </c>
      <c r="G1546" s="39" t="s">
        <v>181</v>
      </c>
      <c r="H1546" s="33"/>
      <c r="I1546" s="33"/>
      <c r="J1546" s="33"/>
      <c r="K1546" s="33"/>
      <c r="L1546" s="33"/>
      <c r="M1546" s="33"/>
    </row>
    <row r="1547">
      <c r="A1547" s="32" t="s">
        <v>3410</v>
      </c>
      <c r="B1547" s="32" t="s">
        <v>3411</v>
      </c>
      <c r="C1547" s="35">
        <v>35.56240082</v>
      </c>
      <c r="D1547" s="35">
        <v>-75.9552002</v>
      </c>
      <c r="E1547" s="32" t="s">
        <v>180</v>
      </c>
      <c r="F1547" s="32" t="s">
        <v>3412</v>
      </c>
      <c r="G1547" s="39" t="s">
        <v>181</v>
      </c>
      <c r="H1547" s="33"/>
      <c r="I1547" s="33"/>
      <c r="J1547" s="33"/>
      <c r="K1547" s="33"/>
      <c r="L1547" s="33"/>
      <c r="M1547" s="33"/>
    </row>
    <row r="1548">
      <c r="A1548" s="32" t="s">
        <v>3413</v>
      </c>
      <c r="B1548" s="32" t="s">
        <v>3414</v>
      </c>
      <c r="C1548" s="35">
        <v>37.8567009</v>
      </c>
      <c r="D1548" s="35">
        <v>-93.99909973</v>
      </c>
      <c r="E1548" s="32" t="s">
        <v>180</v>
      </c>
      <c r="F1548" s="32" t="s">
        <v>3415</v>
      </c>
      <c r="G1548" s="39" t="s">
        <v>181</v>
      </c>
      <c r="H1548" s="33"/>
      <c r="I1548" s="33"/>
      <c r="J1548" s="33"/>
      <c r="K1548" s="33"/>
      <c r="L1548" s="33"/>
      <c r="M1548" s="33"/>
    </row>
    <row r="1549">
      <c r="A1549" s="32" t="s">
        <v>3416</v>
      </c>
      <c r="B1549" s="32" t="s">
        <v>3417</v>
      </c>
      <c r="C1549" s="35">
        <v>32.9908056</v>
      </c>
      <c r="D1549" s="35">
        <v>-111.9185278</v>
      </c>
      <c r="E1549" s="32" t="s">
        <v>180</v>
      </c>
      <c r="F1549" s="32" t="s">
        <v>3418</v>
      </c>
      <c r="G1549" s="39" t="s">
        <v>181</v>
      </c>
      <c r="H1549" s="33"/>
      <c r="I1549" s="33"/>
      <c r="J1549" s="33"/>
      <c r="K1549" s="33"/>
      <c r="L1549" s="33"/>
      <c r="M1549" s="33"/>
    </row>
    <row r="1550">
      <c r="A1550" s="32" t="s">
        <v>3419</v>
      </c>
      <c r="B1550" s="32" t="s">
        <v>3420</v>
      </c>
      <c r="C1550" s="35">
        <v>38.87440109</v>
      </c>
      <c r="D1550" s="35">
        <v>-104.4100037</v>
      </c>
      <c r="E1550" s="32" t="s">
        <v>180</v>
      </c>
      <c r="F1550" s="32" t="s">
        <v>3421</v>
      </c>
      <c r="G1550" s="39" t="s">
        <v>181</v>
      </c>
      <c r="H1550" s="33"/>
      <c r="I1550" s="33"/>
      <c r="J1550" s="33"/>
      <c r="K1550" s="33"/>
      <c r="L1550" s="33"/>
      <c r="M1550" s="33"/>
    </row>
    <row r="1551">
      <c r="A1551" s="32" t="s">
        <v>3422</v>
      </c>
      <c r="B1551" s="32" t="s">
        <v>3423</v>
      </c>
      <c r="C1551" s="35">
        <v>-17.3526001</v>
      </c>
      <c r="D1551" s="35">
        <v>-145.5099945</v>
      </c>
      <c r="E1551" s="32" t="s">
        <v>1325</v>
      </c>
      <c r="F1551" s="32" t="s">
        <v>3424</v>
      </c>
      <c r="G1551" s="36" t="e">
        <v>#N/A</v>
      </c>
      <c r="H1551" s="33"/>
      <c r="I1551" s="33"/>
      <c r="J1551" s="33"/>
      <c r="K1551" s="33"/>
      <c r="L1551" s="33"/>
      <c r="M1551" s="33"/>
    </row>
    <row r="1552">
      <c r="A1552" s="32" t="s">
        <v>3425</v>
      </c>
      <c r="B1552" s="32" t="s">
        <v>3426</v>
      </c>
      <c r="C1552" s="35">
        <v>31.07329941</v>
      </c>
      <c r="D1552" s="35">
        <v>33.83580017</v>
      </c>
      <c r="E1552" s="32" t="s">
        <v>15</v>
      </c>
      <c r="F1552" s="32" t="s">
        <v>3427</v>
      </c>
      <c r="G1552" s="36" t="e">
        <v>#N/A</v>
      </c>
      <c r="H1552" s="33"/>
      <c r="I1552" s="33"/>
      <c r="J1552" s="33"/>
      <c r="K1552" s="33"/>
      <c r="L1552" s="33"/>
      <c r="M1552" s="33"/>
    </row>
    <row r="1553">
      <c r="A1553" s="32" t="s">
        <v>3428</v>
      </c>
      <c r="B1553" s="32" t="s">
        <v>3429</v>
      </c>
      <c r="C1553" s="35">
        <v>36.82220078</v>
      </c>
      <c r="D1553" s="35">
        <v>7.809169769</v>
      </c>
      <c r="E1553" s="32" t="s">
        <v>20</v>
      </c>
      <c r="F1553" s="32" t="s">
        <v>3430</v>
      </c>
      <c r="G1553" s="36" t="e">
        <v>#N/A</v>
      </c>
      <c r="H1553" s="33"/>
      <c r="I1553" s="33"/>
      <c r="J1553" s="33"/>
      <c r="K1553" s="33"/>
      <c r="L1553" s="33"/>
      <c r="M1553" s="33"/>
    </row>
    <row r="1554">
      <c r="A1554" s="32" t="s">
        <v>3431</v>
      </c>
      <c r="B1554" s="32" t="s">
        <v>3432</v>
      </c>
      <c r="C1554" s="35">
        <v>29.72750092</v>
      </c>
      <c r="D1554" s="35">
        <v>-85.02749634</v>
      </c>
      <c r="E1554" s="32" t="s">
        <v>180</v>
      </c>
      <c r="F1554" s="32" t="s">
        <v>3433</v>
      </c>
      <c r="G1554" s="39" t="s">
        <v>181</v>
      </c>
      <c r="H1554" s="33"/>
      <c r="I1554" s="33"/>
      <c r="J1554" s="33"/>
      <c r="K1554" s="33"/>
      <c r="L1554" s="33"/>
      <c r="M1554" s="33"/>
    </row>
    <row r="1555">
      <c r="A1555" s="32" t="s">
        <v>3434</v>
      </c>
      <c r="B1555" s="32" t="s">
        <v>3435</v>
      </c>
      <c r="C1555" s="35">
        <v>50.82305527</v>
      </c>
      <c r="D1555" s="35">
        <v>6.186388969</v>
      </c>
      <c r="E1555" s="32" t="s">
        <v>109</v>
      </c>
      <c r="F1555" s="32" t="s">
        <v>3436</v>
      </c>
      <c r="G1555" s="39" t="s">
        <v>110</v>
      </c>
      <c r="H1555" s="33"/>
      <c r="I1555" s="33"/>
      <c r="J1555" s="33"/>
      <c r="K1555" s="33"/>
      <c r="L1555" s="33"/>
      <c r="M1555" s="33"/>
    </row>
    <row r="1556">
      <c r="A1556" s="32" t="s">
        <v>3437</v>
      </c>
      <c r="B1556" s="32" t="s">
        <v>3438</v>
      </c>
      <c r="C1556" s="35">
        <v>0.185277998</v>
      </c>
      <c r="D1556" s="35">
        <v>173.6369934</v>
      </c>
      <c r="E1556" s="32" t="s">
        <v>3439</v>
      </c>
      <c r="F1556" s="32" t="s">
        <v>3440</v>
      </c>
      <c r="G1556" s="36" t="e">
        <v>#N/A</v>
      </c>
      <c r="H1556" s="33"/>
      <c r="I1556" s="33"/>
      <c r="J1556" s="33"/>
      <c r="K1556" s="33"/>
      <c r="L1556" s="33"/>
      <c r="M1556" s="33"/>
    </row>
    <row r="1557">
      <c r="A1557" s="32" t="s">
        <v>3441</v>
      </c>
      <c r="B1557" s="32" t="s">
        <v>3442</v>
      </c>
      <c r="C1557" s="35">
        <v>57.09275891</v>
      </c>
      <c r="D1557" s="35">
        <v>9.849243164</v>
      </c>
      <c r="E1557" s="32" t="s">
        <v>533</v>
      </c>
      <c r="F1557" s="32" t="s">
        <v>3443</v>
      </c>
      <c r="G1557" s="36" t="e">
        <v>#N/A</v>
      </c>
      <c r="H1557" s="33"/>
      <c r="I1557" s="33"/>
      <c r="J1557" s="33"/>
      <c r="K1557" s="33"/>
      <c r="L1557" s="33"/>
      <c r="M1557" s="33"/>
    </row>
    <row r="1558">
      <c r="A1558" s="32" t="s">
        <v>3444</v>
      </c>
      <c r="B1558" s="32" t="s">
        <v>3445</v>
      </c>
      <c r="C1558" s="35">
        <v>-24.81809998</v>
      </c>
      <c r="D1558" s="35">
        <v>31.54459953</v>
      </c>
      <c r="E1558" s="32" t="s">
        <v>16</v>
      </c>
      <c r="F1558" s="32" t="s">
        <v>3446</v>
      </c>
      <c r="G1558" s="36" t="e">
        <v>#N/A</v>
      </c>
      <c r="H1558" s="33"/>
      <c r="I1558" s="33"/>
      <c r="J1558" s="33"/>
      <c r="K1558" s="33"/>
      <c r="L1558" s="33"/>
      <c r="M1558" s="33"/>
    </row>
    <row r="1559">
      <c r="A1559" s="32" t="s">
        <v>3447</v>
      </c>
      <c r="B1559" s="32" t="s">
        <v>3448</v>
      </c>
      <c r="C1559" s="35">
        <v>24.26169968</v>
      </c>
      <c r="D1559" s="35">
        <v>55.60919952</v>
      </c>
      <c r="E1559" s="32" t="s">
        <v>139</v>
      </c>
      <c r="F1559" s="32" t="s">
        <v>3449</v>
      </c>
      <c r="G1559" s="39" t="s">
        <v>140</v>
      </c>
      <c r="H1559" s="33"/>
      <c r="I1559" s="33"/>
      <c r="J1559" s="33"/>
      <c r="K1559" s="33"/>
      <c r="L1559" s="33"/>
      <c r="M1559" s="33"/>
    </row>
    <row r="1560">
      <c r="A1560" s="32" t="s">
        <v>3450</v>
      </c>
      <c r="B1560" s="32" t="s">
        <v>3451</v>
      </c>
      <c r="C1560" s="35">
        <v>9.430225372</v>
      </c>
      <c r="D1560" s="35">
        <v>-64.47072601</v>
      </c>
      <c r="E1560" s="32" t="s">
        <v>315</v>
      </c>
      <c r="F1560" s="32" t="s">
        <v>3452</v>
      </c>
      <c r="G1560" s="36" t="e">
        <v>#N/A</v>
      </c>
      <c r="H1560" s="33"/>
      <c r="I1560" s="33"/>
      <c r="J1560" s="33"/>
      <c r="K1560" s="33"/>
      <c r="L1560" s="33"/>
      <c r="M1560" s="33"/>
    </row>
    <row r="1561">
      <c r="A1561" s="32" t="s">
        <v>3453</v>
      </c>
      <c r="B1561" s="32" t="s">
        <v>3454</v>
      </c>
      <c r="C1561" s="35">
        <v>29.72249985</v>
      </c>
      <c r="D1561" s="35">
        <v>-95.58830261</v>
      </c>
      <c r="E1561" s="32" t="s">
        <v>180</v>
      </c>
      <c r="F1561" s="32" t="s">
        <v>3455</v>
      </c>
      <c r="G1561" s="39" t="s">
        <v>181</v>
      </c>
      <c r="H1561" s="33"/>
      <c r="I1561" s="33"/>
      <c r="J1561" s="33"/>
      <c r="K1561" s="33"/>
      <c r="L1561" s="33"/>
      <c r="M1561" s="33"/>
    </row>
    <row r="1562">
      <c r="A1562" s="32" t="s">
        <v>3456</v>
      </c>
      <c r="B1562" s="32" t="s">
        <v>3457</v>
      </c>
      <c r="C1562" s="35">
        <v>45.0021019</v>
      </c>
      <c r="D1562" s="35">
        <v>37.34730148</v>
      </c>
      <c r="E1562" s="32" t="s">
        <v>2040</v>
      </c>
      <c r="F1562" s="32" t="s">
        <v>3458</v>
      </c>
      <c r="G1562" s="36" t="e">
        <v>#N/A</v>
      </c>
      <c r="H1562" s="33"/>
      <c r="I1562" s="33"/>
      <c r="J1562" s="33"/>
      <c r="K1562" s="33"/>
      <c r="L1562" s="33"/>
      <c r="M1562" s="33"/>
    </row>
    <row r="1563">
      <c r="A1563" s="32" t="s">
        <v>3459</v>
      </c>
      <c r="B1563" s="32" t="s">
        <v>3460</v>
      </c>
      <c r="C1563" s="35">
        <v>56.29999924</v>
      </c>
      <c r="D1563" s="35">
        <v>10.61900043</v>
      </c>
      <c r="E1563" s="32" t="s">
        <v>533</v>
      </c>
      <c r="F1563" s="32" t="s">
        <v>3461</v>
      </c>
      <c r="G1563" s="36" t="e">
        <v>#N/A</v>
      </c>
      <c r="H1563" s="33"/>
      <c r="I1563" s="33"/>
      <c r="J1563" s="33"/>
      <c r="K1563" s="33"/>
      <c r="L1563" s="33"/>
      <c r="M1563" s="33"/>
    </row>
    <row r="1564">
      <c r="A1564" s="32" t="s">
        <v>3462</v>
      </c>
      <c r="B1564" s="32" t="s">
        <v>3463</v>
      </c>
      <c r="C1564" s="35">
        <v>6.366819859</v>
      </c>
      <c r="D1564" s="35">
        <v>124.7509995</v>
      </c>
      <c r="E1564" s="32" t="s">
        <v>270</v>
      </c>
      <c r="F1564" s="32" t="s">
        <v>3464</v>
      </c>
      <c r="G1564" s="36" t="e">
        <v>#N/A</v>
      </c>
      <c r="H1564" s="33"/>
      <c r="I1564" s="33"/>
      <c r="J1564" s="33"/>
      <c r="K1564" s="33"/>
      <c r="L1564" s="33"/>
      <c r="M1564" s="33"/>
    </row>
    <row r="1565">
      <c r="A1565" s="32" t="s">
        <v>3465</v>
      </c>
      <c r="B1565" s="32" t="s">
        <v>3466</v>
      </c>
      <c r="C1565" s="35">
        <v>-19.5632</v>
      </c>
      <c r="D1565" s="35">
        <v>-46.96039963</v>
      </c>
      <c r="E1565" s="32" t="s">
        <v>288</v>
      </c>
      <c r="F1565" s="32" t="s">
        <v>3467</v>
      </c>
      <c r="G1565" s="36" t="e">
        <v>#N/A</v>
      </c>
      <c r="H1565" s="33"/>
      <c r="I1565" s="33"/>
      <c r="J1565" s="33"/>
      <c r="K1565" s="33"/>
      <c r="L1565" s="33"/>
      <c r="M1565" s="33"/>
    </row>
    <row r="1566">
      <c r="A1566" s="32" t="s">
        <v>3468</v>
      </c>
      <c r="B1566" s="32" t="s">
        <v>3469</v>
      </c>
      <c r="C1566" s="35">
        <v>16.19169998</v>
      </c>
      <c r="D1566" s="35">
        <v>52.17499924</v>
      </c>
      <c r="E1566" s="32" t="s">
        <v>2020</v>
      </c>
      <c r="F1566" s="32" t="s">
        <v>3470</v>
      </c>
      <c r="G1566" s="36" t="e">
        <v>#N/A</v>
      </c>
      <c r="H1566" s="33"/>
      <c r="I1566" s="33"/>
      <c r="J1566" s="33"/>
      <c r="K1566" s="33"/>
      <c r="L1566" s="33"/>
      <c r="M1566" s="33"/>
    </row>
    <row r="1567">
      <c r="A1567" s="32" t="s">
        <v>3471</v>
      </c>
      <c r="B1567" s="32" t="s">
        <v>3472</v>
      </c>
      <c r="C1567" s="35">
        <v>14.86559963</v>
      </c>
      <c r="D1567" s="35">
        <v>-91.5019989</v>
      </c>
      <c r="E1567" s="32" t="s">
        <v>1238</v>
      </c>
      <c r="F1567" s="32" t="s">
        <v>3473</v>
      </c>
      <c r="G1567" s="36" t="e">
        <v>#N/A</v>
      </c>
      <c r="H1567" s="33"/>
      <c r="I1567" s="33"/>
      <c r="J1567" s="33"/>
      <c r="K1567" s="33"/>
      <c r="L1567" s="33"/>
      <c r="M1567" s="33"/>
    </row>
    <row r="1568">
      <c r="A1568" s="32" t="s">
        <v>3474</v>
      </c>
      <c r="B1568" s="32" t="s">
        <v>3475</v>
      </c>
      <c r="C1568" s="35">
        <v>53.74000168</v>
      </c>
      <c r="D1568" s="35">
        <v>91.38500214</v>
      </c>
      <c r="E1568" s="32" t="s">
        <v>2040</v>
      </c>
      <c r="F1568" s="32" t="s">
        <v>3476</v>
      </c>
      <c r="G1568" s="36" t="e">
        <v>#N/A</v>
      </c>
      <c r="H1568" s="33"/>
      <c r="I1568" s="33"/>
      <c r="J1568" s="33"/>
      <c r="K1568" s="33"/>
      <c r="L1568" s="33"/>
      <c r="M1568" s="33"/>
    </row>
    <row r="1569">
      <c r="A1569" s="32" t="s">
        <v>3477</v>
      </c>
      <c r="B1569" s="32" t="s">
        <v>3478</v>
      </c>
      <c r="C1569" s="35">
        <v>30.37109947</v>
      </c>
      <c r="D1569" s="35">
        <v>48.22829819</v>
      </c>
      <c r="E1569" s="32" t="s">
        <v>1378</v>
      </c>
      <c r="F1569" s="32" t="s">
        <v>3479</v>
      </c>
      <c r="G1569" s="36" t="e">
        <v>#N/A</v>
      </c>
      <c r="H1569" s="33"/>
      <c r="I1569" s="33"/>
      <c r="J1569" s="33"/>
      <c r="K1569" s="33"/>
      <c r="L1569" s="33"/>
      <c r="M1569" s="33"/>
    </row>
    <row r="1570">
      <c r="A1570" s="32" t="s">
        <v>3480</v>
      </c>
      <c r="B1570" s="32" t="s">
        <v>3481</v>
      </c>
      <c r="C1570" s="35">
        <v>40.65209961</v>
      </c>
      <c r="D1570" s="35">
        <v>-75.44080353</v>
      </c>
      <c r="E1570" s="32" t="s">
        <v>180</v>
      </c>
      <c r="F1570" s="32" t="s">
        <v>3482</v>
      </c>
      <c r="G1570" s="39" t="s">
        <v>181</v>
      </c>
      <c r="H1570" s="33"/>
      <c r="I1570" s="33"/>
      <c r="J1570" s="33"/>
      <c r="K1570" s="33"/>
      <c r="L1570" s="33"/>
      <c r="M1570" s="33"/>
    </row>
    <row r="1571">
      <c r="A1571" s="32" t="s">
        <v>3483</v>
      </c>
      <c r="B1571" s="32" t="s">
        <v>3484</v>
      </c>
      <c r="C1571" s="35">
        <v>1.798609972</v>
      </c>
      <c r="D1571" s="35">
        <v>173.0410004</v>
      </c>
      <c r="E1571" s="32" t="s">
        <v>3439</v>
      </c>
      <c r="F1571" s="32" t="s">
        <v>3485</v>
      </c>
      <c r="G1571" s="36" t="e">
        <v>#N/A</v>
      </c>
      <c r="H1571" s="33"/>
      <c r="I1571" s="33"/>
      <c r="J1571" s="33"/>
      <c r="K1571" s="33"/>
      <c r="L1571" s="33"/>
      <c r="M1571" s="33"/>
    </row>
    <row r="1572">
      <c r="A1572" s="32" t="s">
        <v>3486</v>
      </c>
      <c r="B1572" s="32" t="s">
        <v>3487</v>
      </c>
      <c r="C1572" s="35">
        <v>-23.646099</v>
      </c>
      <c r="D1572" s="35">
        <v>146.584</v>
      </c>
      <c r="E1572" s="32" t="s">
        <v>1968</v>
      </c>
      <c r="F1572" s="32" t="s">
        <v>3488</v>
      </c>
      <c r="G1572" s="36" t="e">
        <v>#N/A</v>
      </c>
      <c r="H1572" s="33"/>
      <c r="I1572" s="33"/>
      <c r="J1572" s="33"/>
      <c r="K1572" s="33"/>
      <c r="L1572" s="33"/>
      <c r="M1572" s="33"/>
    </row>
    <row r="1573">
      <c r="A1573" s="32" t="s">
        <v>3489</v>
      </c>
      <c r="B1573" s="32" t="s">
        <v>3490</v>
      </c>
      <c r="C1573" s="35">
        <v>32.41130066</v>
      </c>
      <c r="D1573" s="35">
        <v>-99.68190002</v>
      </c>
      <c r="E1573" s="32" t="s">
        <v>180</v>
      </c>
      <c r="F1573" s="32" t="s">
        <v>3491</v>
      </c>
      <c r="G1573" s="39" t="s">
        <v>181</v>
      </c>
      <c r="H1573" s="33"/>
      <c r="I1573" s="33"/>
      <c r="J1573" s="33"/>
      <c r="K1573" s="33"/>
      <c r="L1573" s="33"/>
      <c r="M1573" s="33"/>
    </row>
    <row r="1574">
      <c r="A1574" s="32" t="s">
        <v>3492</v>
      </c>
      <c r="B1574" s="32" t="s">
        <v>3493</v>
      </c>
      <c r="C1574" s="35">
        <v>5.261390209</v>
      </c>
      <c r="D1574" s="35">
        <v>-3.926290035</v>
      </c>
      <c r="E1574" s="32" t="s">
        <v>3494</v>
      </c>
      <c r="F1574" s="32" t="s">
        <v>3495</v>
      </c>
      <c r="G1574" s="36" t="e">
        <v>#N/A</v>
      </c>
      <c r="H1574" s="33"/>
      <c r="I1574" s="33"/>
      <c r="J1574" s="33"/>
      <c r="K1574" s="33"/>
      <c r="L1574" s="33"/>
      <c r="M1574" s="33"/>
    </row>
    <row r="1575">
      <c r="A1575" s="32" t="s">
        <v>3496</v>
      </c>
      <c r="B1575" s="32" t="s">
        <v>3497</v>
      </c>
      <c r="C1575" s="35">
        <v>6.734000206</v>
      </c>
      <c r="D1575" s="35">
        <v>44.25299835</v>
      </c>
      <c r="E1575" s="32" t="s">
        <v>18</v>
      </c>
      <c r="F1575" s="32" t="s">
        <v>3498</v>
      </c>
      <c r="G1575" s="36" t="e">
        <v>#N/A</v>
      </c>
      <c r="H1575" s="33"/>
      <c r="I1575" s="33"/>
      <c r="J1575" s="33"/>
      <c r="K1575" s="33"/>
      <c r="L1575" s="33"/>
      <c r="M1575" s="33"/>
    </row>
    <row r="1576">
      <c r="A1576" s="32" t="s">
        <v>3499</v>
      </c>
      <c r="B1576" s="32" t="s">
        <v>3500</v>
      </c>
      <c r="C1576" s="35">
        <v>67.10630035</v>
      </c>
      <c r="D1576" s="35">
        <v>-157.8569946</v>
      </c>
      <c r="E1576" s="32" t="s">
        <v>180</v>
      </c>
      <c r="F1576" s="32" t="s">
        <v>3501</v>
      </c>
      <c r="G1576" s="39" t="s">
        <v>181</v>
      </c>
      <c r="H1576" s="33"/>
      <c r="I1576" s="33"/>
      <c r="J1576" s="33"/>
      <c r="K1576" s="33"/>
      <c r="L1576" s="33"/>
      <c r="M1576" s="33"/>
    </row>
    <row r="1577">
      <c r="A1577" s="32" t="s">
        <v>3502</v>
      </c>
      <c r="B1577" s="32" t="s">
        <v>3503</v>
      </c>
      <c r="C1577" s="35">
        <v>-10.9508</v>
      </c>
      <c r="D1577" s="35">
        <v>142.459</v>
      </c>
      <c r="E1577" s="32" t="s">
        <v>1968</v>
      </c>
      <c r="F1577" s="32" t="s">
        <v>2124</v>
      </c>
      <c r="G1577" s="36" t="e">
        <v>#N/A</v>
      </c>
      <c r="H1577" s="33"/>
      <c r="I1577" s="33"/>
      <c r="J1577" s="33"/>
      <c r="K1577" s="33"/>
      <c r="L1577" s="33"/>
      <c r="M1577" s="33"/>
    </row>
    <row r="1578">
      <c r="A1578" s="32" t="s">
        <v>3504</v>
      </c>
      <c r="B1578" s="32" t="s">
        <v>3505</v>
      </c>
      <c r="C1578" s="35">
        <v>5.512720108</v>
      </c>
      <c r="D1578" s="35">
        <v>-54.05009842</v>
      </c>
      <c r="E1578" s="32" t="s">
        <v>2192</v>
      </c>
      <c r="F1578" s="32" t="s">
        <v>3506</v>
      </c>
      <c r="G1578" s="36" t="e">
        <v>#N/A</v>
      </c>
      <c r="H1578" s="33"/>
      <c r="I1578" s="33"/>
      <c r="J1578" s="33"/>
      <c r="K1578" s="33"/>
      <c r="L1578" s="33"/>
      <c r="M1578" s="33"/>
    </row>
    <row r="1579">
      <c r="A1579" s="32" t="s">
        <v>3507</v>
      </c>
      <c r="B1579" s="32" t="s">
        <v>3508</v>
      </c>
      <c r="C1579" s="35">
        <v>35.04019928</v>
      </c>
      <c r="D1579" s="35">
        <v>-106.6090012</v>
      </c>
      <c r="E1579" s="32" t="s">
        <v>180</v>
      </c>
      <c r="F1579" s="32" t="s">
        <v>3509</v>
      </c>
      <c r="G1579" s="39" t="s">
        <v>181</v>
      </c>
      <c r="H1579" s="33"/>
      <c r="I1579" s="33"/>
      <c r="J1579" s="33"/>
      <c r="K1579" s="33"/>
      <c r="L1579" s="33"/>
      <c r="M1579" s="33"/>
    </row>
    <row r="1580">
      <c r="A1580" s="32" t="s">
        <v>3510</v>
      </c>
      <c r="B1580" s="32" t="s">
        <v>3511</v>
      </c>
      <c r="C1580" s="35">
        <v>45.44910049</v>
      </c>
      <c r="D1580" s="35">
        <v>-98.42179871</v>
      </c>
      <c r="E1580" s="32" t="s">
        <v>180</v>
      </c>
      <c r="F1580" s="32" t="s">
        <v>3512</v>
      </c>
      <c r="G1580" s="39" t="s">
        <v>181</v>
      </c>
      <c r="H1580" s="33"/>
      <c r="I1580" s="33"/>
      <c r="J1580" s="33"/>
      <c r="K1580" s="33"/>
      <c r="L1580" s="33"/>
      <c r="M1580" s="33"/>
    </row>
    <row r="1581">
      <c r="A1581" s="32" t="s">
        <v>3513</v>
      </c>
      <c r="B1581" s="32" t="s">
        <v>3514</v>
      </c>
      <c r="C1581" s="35">
        <v>22.37599945</v>
      </c>
      <c r="D1581" s="35">
        <v>31.61170006</v>
      </c>
      <c r="E1581" s="32" t="s">
        <v>15</v>
      </c>
      <c r="F1581" s="32" t="s">
        <v>3515</v>
      </c>
      <c r="G1581" s="36" t="e">
        <v>#N/A</v>
      </c>
      <c r="H1581" s="33"/>
      <c r="I1581" s="33"/>
      <c r="J1581" s="33"/>
      <c r="K1581" s="33"/>
      <c r="L1581" s="33"/>
      <c r="M1581" s="33"/>
    </row>
    <row r="1582">
      <c r="A1582" s="32" t="s">
        <v>3516</v>
      </c>
      <c r="B1582" s="32" t="s">
        <v>3517</v>
      </c>
      <c r="C1582" s="35">
        <v>20.29610062</v>
      </c>
      <c r="D1582" s="35">
        <v>41.63430023</v>
      </c>
      <c r="E1582" s="32" t="s">
        <v>223</v>
      </c>
      <c r="F1582" s="32" t="s">
        <v>3518</v>
      </c>
      <c r="G1582" s="36" t="e">
        <v>#N/A</v>
      </c>
      <c r="H1582" s="33"/>
      <c r="I1582" s="33"/>
      <c r="J1582" s="33"/>
      <c r="K1582" s="33"/>
      <c r="L1582" s="33"/>
      <c r="M1582" s="33"/>
    </row>
    <row r="1583">
      <c r="A1583" s="32" t="s">
        <v>3519</v>
      </c>
      <c r="B1583" s="32" t="s">
        <v>3520</v>
      </c>
      <c r="C1583" s="35">
        <v>9.006790161</v>
      </c>
      <c r="D1583" s="35">
        <v>7.263169765</v>
      </c>
      <c r="E1583" s="32" t="s">
        <v>19</v>
      </c>
      <c r="F1583" s="32" t="s">
        <v>3521</v>
      </c>
      <c r="G1583" s="36" t="e">
        <v>#N/A</v>
      </c>
      <c r="H1583" s="33"/>
      <c r="I1583" s="33"/>
      <c r="J1583" s="33"/>
      <c r="K1583" s="33"/>
      <c r="L1583" s="33"/>
      <c r="M1583" s="33"/>
    </row>
    <row r="1584">
      <c r="A1584" s="32" t="s">
        <v>3522</v>
      </c>
      <c r="B1584" s="32" t="s">
        <v>3523</v>
      </c>
      <c r="C1584" s="35">
        <v>-36.06779861</v>
      </c>
      <c r="D1584" s="35">
        <v>146.9579926</v>
      </c>
      <c r="E1584" s="32" t="s">
        <v>1968</v>
      </c>
      <c r="F1584" s="32" t="s">
        <v>3524</v>
      </c>
      <c r="G1584" s="36" t="e">
        <v>#N/A</v>
      </c>
      <c r="H1584" s="33"/>
      <c r="I1584" s="33"/>
      <c r="J1584" s="33"/>
      <c r="K1584" s="33"/>
      <c r="L1584" s="33"/>
      <c r="M1584" s="33"/>
    </row>
    <row r="1585">
      <c r="A1585" s="32" t="s">
        <v>3525</v>
      </c>
      <c r="B1585" s="32" t="s">
        <v>3526</v>
      </c>
      <c r="C1585" s="35">
        <v>31.53549957</v>
      </c>
      <c r="D1585" s="35">
        <v>-84.19450378</v>
      </c>
      <c r="E1585" s="32" t="s">
        <v>180</v>
      </c>
      <c r="F1585" s="32" t="s">
        <v>3527</v>
      </c>
      <c r="G1585" s="39" t="s">
        <v>181</v>
      </c>
      <c r="H1585" s="33"/>
      <c r="I1585" s="33"/>
      <c r="J1585" s="33"/>
      <c r="K1585" s="33"/>
      <c r="L1585" s="33"/>
      <c r="M1585" s="33"/>
    </row>
    <row r="1586">
      <c r="A1586" s="32" t="s">
        <v>3528</v>
      </c>
      <c r="B1586" s="32" t="s">
        <v>3529</v>
      </c>
      <c r="C1586" s="35">
        <v>57.20190048</v>
      </c>
      <c r="D1586" s="35">
        <v>-2.197779894</v>
      </c>
      <c r="E1586" s="32" t="s">
        <v>90</v>
      </c>
      <c r="F1586" s="32" t="s">
        <v>3512</v>
      </c>
      <c r="G1586" s="39" t="s">
        <v>91</v>
      </c>
      <c r="H1586" s="33"/>
      <c r="I1586" s="33"/>
      <c r="J1586" s="33"/>
      <c r="K1586" s="33"/>
      <c r="L1586" s="33"/>
      <c r="M1586" s="33"/>
    </row>
    <row r="1587">
      <c r="A1587" s="32" t="s">
        <v>3530</v>
      </c>
      <c r="B1587" s="32" t="s">
        <v>3531</v>
      </c>
      <c r="C1587" s="35">
        <v>16.75709915</v>
      </c>
      <c r="D1587" s="35">
        <v>-99.7539978</v>
      </c>
      <c r="E1587" s="32" t="s">
        <v>186</v>
      </c>
      <c r="F1587" s="32" t="s">
        <v>3532</v>
      </c>
      <c r="G1587" s="39" t="s">
        <v>187</v>
      </c>
      <c r="H1587" s="33"/>
      <c r="I1587" s="33"/>
      <c r="J1587" s="33"/>
      <c r="K1587" s="33"/>
      <c r="L1587" s="33"/>
      <c r="M1587" s="33"/>
    </row>
    <row r="1588">
      <c r="A1588" s="32" t="s">
        <v>3533</v>
      </c>
      <c r="B1588" s="32" t="s">
        <v>3534</v>
      </c>
      <c r="C1588" s="35">
        <v>5.6051898</v>
      </c>
      <c r="D1588" s="35">
        <v>-0.166786</v>
      </c>
      <c r="E1588" s="32" t="s">
        <v>24</v>
      </c>
      <c r="F1588" s="32" t="s">
        <v>3535</v>
      </c>
      <c r="G1588" s="36" t="e">
        <v>#N/A</v>
      </c>
      <c r="H1588" s="33"/>
      <c r="I1588" s="33"/>
      <c r="J1588" s="33"/>
      <c r="K1588" s="33"/>
      <c r="L1588" s="33"/>
      <c r="M1588" s="33"/>
    </row>
    <row r="1589">
      <c r="A1589" s="32" t="s">
        <v>3536</v>
      </c>
      <c r="B1589" s="32" t="s">
        <v>3537</v>
      </c>
      <c r="C1589" s="35">
        <v>8.51667</v>
      </c>
      <c r="D1589" s="35">
        <v>-77.3</v>
      </c>
      <c r="E1589" s="32" t="s">
        <v>292</v>
      </c>
      <c r="F1589" s="32" t="s">
        <v>3538</v>
      </c>
      <c r="G1589" s="36" t="e">
        <v>#N/A</v>
      </c>
      <c r="H1589" s="33"/>
      <c r="I1589" s="33"/>
      <c r="J1589" s="33"/>
      <c r="K1589" s="33"/>
      <c r="L1589" s="33"/>
      <c r="M1589" s="33"/>
    </row>
    <row r="1590">
      <c r="A1590" s="32" t="s">
        <v>3539</v>
      </c>
      <c r="B1590" s="32" t="s">
        <v>3540</v>
      </c>
      <c r="C1590" s="35">
        <v>28.94549942</v>
      </c>
      <c r="D1590" s="35">
        <v>-13.60519981</v>
      </c>
      <c r="E1590" s="32" t="s">
        <v>115</v>
      </c>
      <c r="F1590" s="32" t="s">
        <v>3541</v>
      </c>
      <c r="G1590" s="39" t="s">
        <v>116</v>
      </c>
      <c r="H1590" s="33"/>
      <c r="I1590" s="33"/>
      <c r="J1590" s="33"/>
      <c r="K1590" s="33"/>
      <c r="L1590" s="33"/>
      <c r="M1590" s="33"/>
    </row>
    <row r="1591">
      <c r="A1591" s="32" t="s">
        <v>3542</v>
      </c>
      <c r="B1591" s="32" t="s">
        <v>3543</v>
      </c>
      <c r="C1591" s="35">
        <v>47.48500061</v>
      </c>
      <c r="D1591" s="35">
        <v>9.560770035000001</v>
      </c>
      <c r="E1591" s="32" t="s">
        <v>1180</v>
      </c>
      <c r="F1591" s="32" t="s">
        <v>3544</v>
      </c>
      <c r="G1591" s="36" t="e">
        <v>#N/A</v>
      </c>
      <c r="H1591" s="33"/>
      <c r="I1591" s="33"/>
      <c r="J1591" s="33"/>
      <c r="K1591" s="33"/>
      <c r="L1591" s="33"/>
      <c r="M1591" s="33"/>
    </row>
    <row r="1592">
      <c r="A1592" s="32" t="s">
        <v>3545</v>
      </c>
      <c r="B1592" s="32" t="s">
        <v>3546</v>
      </c>
      <c r="C1592" s="35">
        <v>49.70610046</v>
      </c>
      <c r="D1592" s="35">
        <v>-2.214720011</v>
      </c>
      <c r="E1592" s="32" t="s">
        <v>3547</v>
      </c>
      <c r="F1592" s="32" t="s">
        <v>3548</v>
      </c>
      <c r="G1592" s="36" t="e">
        <v>#N/A</v>
      </c>
      <c r="H1592" s="33"/>
      <c r="I1592" s="33"/>
      <c r="J1592" s="33"/>
      <c r="K1592" s="33"/>
      <c r="L1592" s="33"/>
      <c r="M1592" s="33"/>
    </row>
    <row r="1593">
      <c r="A1593" s="32" t="s">
        <v>3549</v>
      </c>
      <c r="B1593" s="32" t="s">
        <v>3550</v>
      </c>
      <c r="C1593" s="35">
        <v>8.30148983</v>
      </c>
      <c r="D1593" s="35">
        <v>80.42790221999999</v>
      </c>
      <c r="E1593" s="32" t="s">
        <v>1829</v>
      </c>
      <c r="F1593" s="32" t="s">
        <v>3551</v>
      </c>
      <c r="G1593" s="36" t="e">
        <v>#N/A</v>
      </c>
      <c r="H1593" s="33"/>
      <c r="I1593" s="33"/>
      <c r="J1593" s="33"/>
      <c r="K1593" s="33"/>
      <c r="L1593" s="33"/>
      <c r="M1593" s="33"/>
    </row>
    <row r="1594">
      <c r="A1594" s="32" t="s">
        <v>3552</v>
      </c>
      <c r="B1594" s="32" t="s">
        <v>3553</v>
      </c>
      <c r="C1594" s="35">
        <v>41.25310135</v>
      </c>
      <c r="D1594" s="35">
        <v>-70.06020355</v>
      </c>
      <c r="E1594" s="32" t="s">
        <v>180</v>
      </c>
      <c r="F1594" s="32" t="s">
        <v>3554</v>
      </c>
      <c r="G1594" s="39" t="s">
        <v>181</v>
      </c>
      <c r="H1594" s="33"/>
      <c r="I1594" s="33"/>
      <c r="J1594" s="33"/>
      <c r="K1594" s="33"/>
      <c r="L1594" s="33"/>
      <c r="M1594" s="33"/>
    </row>
    <row r="1595">
      <c r="A1595" s="32" t="s">
        <v>3555</v>
      </c>
      <c r="B1595" s="32" t="s">
        <v>3556</v>
      </c>
      <c r="C1595" s="35">
        <v>37.34799957</v>
      </c>
      <c r="D1595" s="35">
        <v>46.12789917</v>
      </c>
      <c r="E1595" s="32" t="s">
        <v>1378</v>
      </c>
      <c r="F1595" s="32" t="s">
        <v>3557</v>
      </c>
      <c r="G1595" s="36" t="e">
        <v>#N/A</v>
      </c>
      <c r="H1595" s="33"/>
      <c r="I1595" s="33"/>
      <c r="J1595" s="33"/>
      <c r="K1595" s="33"/>
      <c r="L1595" s="33"/>
      <c r="M1595" s="33"/>
    </row>
    <row r="1596">
      <c r="A1596" s="32" t="s">
        <v>3558</v>
      </c>
      <c r="B1596" s="32" t="s">
        <v>3559</v>
      </c>
      <c r="C1596" s="35">
        <v>-0.5833</v>
      </c>
      <c r="D1596" s="35">
        <v>-72.4083</v>
      </c>
      <c r="E1596" s="32" t="s">
        <v>292</v>
      </c>
      <c r="F1596" s="32" t="s">
        <v>3560</v>
      </c>
      <c r="G1596" s="36" t="e">
        <v>#N/A</v>
      </c>
      <c r="H1596" s="33"/>
      <c r="I1596" s="33"/>
      <c r="J1596" s="33"/>
      <c r="K1596" s="33"/>
      <c r="L1596" s="33"/>
      <c r="M1596" s="33"/>
    </row>
    <row r="1597">
      <c r="A1597" s="32" t="s">
        <v>3561</v>
      </c>
      <c r="B1597" s="32" t="s">
        <v>3562</v>
      </c>
      <c r="C1597" s="35">
        <v>56.2682991</v>
      </c>
      <c r="D1597" s="35">
        <v>90.57080078</v>
      </c>
      <c r="E1597" s="32" t="s">
        <v>2040</v>
      </c>
      <c r="F1597" s="32" t="s">
        <v>3563</v>
      </c>
      <c r="G1597" s="36" t="e">
        <v>#N/A</v>
      </c>
      <c r="H1597" s="33"/>
      <c r="I1597" s="33"/>
      <c r="J1597" s="33"/>
      <c r="K1597" s="33"/>
      <c r="L1597" s="33"/>
      <c r="M1597" s="33"/>
    </row>
    <row r="1598">
      <c r="A1598" s="32" t="s">
        <v>3564</v>
      </c>
      <c r="B1598" s="32" t="s">
        <v>3565</v>
      </c>
      <c r="C1598" s="35">
        <v>31.61129951</v>
      </c>
      <c r="D1598" s="35">
        <v>-97.23049927</v>
      </c>
      <c r="E1598" s="32" t="s">
        <v>180</v>
      </c>
      <c r="F1598" s="32" t="s">
        <v>3566</v>
      </c>
      <c r="G1598" s="39" t="s">
        <v>181</v>
      </c>
      <c r="H1598" s="33"/>
      <c r="I1598" s="33"/>
      <c r="J1598" s="33"/>
      <c r="K1598" s="33"/>
      <c r="L1598" s="33"/>
      <c r="M1598" s="33"/>
    </row>
    <row r="1599">
      <c r="A1599" s="32" t="s">
        <v>3567</v>
      </c>
      <c r="B1599" s="32" t="s">
        <v>3568</v>
      </c>
      <c r="C1599" s="35">
        <v>40.97809982</v>
      </c>
      <c r="D1599" s="35">
        <v>-124.1090012</v>
      </c>
      <c r="E1599" s="32" t="s">
        <v>180</v>
      </c>
      <c r="F1599" s="32" t="s">
        <v>3569</v>
      </c>
      <c r="G1599" s="39" t="s">
        <v>181</v>
      </c>
      <c r="H1599" s="33"/>
      <c r="I1599" s="33"/>
      <c r="J1599" s="33"/>
      <c r="K1599" s="33"/>
      <c r="L1599" s="33"/>
      <c r="M1599" s="33"/>
    </row>
    <row r="1600">
      <c r="A1600" s="32" t="s">
        <v>3570</v>
      </c>
      <c r="B1600" s="32" t="s">
        <v>3571</v>
      </c>
      <c r="C1600" s="35">
        <v>25.08638889</v>
      </c>
      <c r="D1600" s="35">
        <v>104.9594444</v>
      </c>
      <c r="E1600" s="32" t="s">
        <v>205</v>
      </c>
      <c r="F1600" s="32" t="s">
        <v>3572</v>
      </c>
      <c r="G1600" s="39" t="s">
        <v>206</v>
      </c>
      <c r="H1600" s="33"/>
      <c r="I1600" s="33"/>
      <c r="J1600" s="33"/>
      <c r="K1600" s="33"/>
      <c r="L1600" s="33"/>
      <c r="M1600" s="33"/>
    </row>
    <row r="1601">
      <c r="A1601" s="32" t="s">
        <v>3573</v>
      </c>
      <c r="B1601" s="32" t="s">
        <v>3574</v>
      </c>
      <c r="C1601" s="35">
        <v>39.45759964</v>
      </c>
      <c r="D1601" s="35">
        <v>-74.57720184</v>
      </c>
      <c r="E1601" s="32" t="s">
        <v>180</v>
      </c>
      <c r="F1601" s="32" t="s">
        <v>3575</v>
      </c>
      <c r="G1601" s="39" t="s">
        <v>181</v>
      </c>
      <c r="H1601" s="33"/>
      <c r="I1601" s="33"/>
      <c r="J1601" s="33"/>
      <c r="K1601" s="33"/>
      <c r="L1601" s="33"/>
      <c r="M1601" s="33"/>
    </row>
    <row r="1602">
      <c r="A1602" s="32" t="s">
        <v>3576</v>
      </c>
      <c r="B1602" s="32" t="s">
        <v>3577</v>
      </c>
      <c r="C1602" s="35">
        <v>31.09830093</v>
      </c>
      <c r="D1602" s="35">
        <v>61.54389954</v>
      </c>
      <c r="E1602" s="32" t="s">
        <v>1378</v>
      </c>
      <c r="F1602" s="32" t="s">
        <v>3578</v>
      </c>
      <c r="G1602" s="36" t="e">
        <v>#N/A</v>
      </c>
      <c r="H1602" s="33"/>
      <c r="I1602" s="33"/>
      <c r="J1602" s="33"/>
      <c r="K1602" s="33"/>
      <c r="L1602" s="33"/>
      <c r="M1602" s="33"/>
    </row>
    <row r="1603">
      <c r="A1603" s="32" t="s">
        <v>3579</v>
      </c>
      <c r="B1603" s="32" t="s">
        <v>3580</v>
      </c>
      <c r="C1603" s="35">
        <v>36.98220062</v>
      </c>
      <c r="D1603" s="35">
        <v>35.28039932</v>
      </c>
      <c r="E1603" s="32" t="s">
        <v>133</v>
      </c>
      <c r="F1603" s="32" t="s">
        <v>3581</v>
      </c>
      <c r="G1603" s="39" t="s">
        <v>134</v>
      </c>
      <c r="H1603" s="33"/>
      <c r="I1603" s="33"/>
      <c r="J1603" s="33"/>
      <c r="K1603" s="33"/>
      <c r="L1603" s="33"/>
      <c r="M1603" s="33"/>
    </row>
    <row r="1604">
      <c r="A1604" s="32" t="s">
        <v>3582</v>
      </c>
      <c r="B1604" s="32" t="s">
        <v>3583</v>
      </c>
      <c r="C1604" s="35">
        <v>38.29240036</v>
      </c>
      <c r="D1604" s="35">
        <v>27.15699959</v>
      </c>
      <c r="E1604" s="32" t="s">
        <v>133</v>
      </c>
      <c r="F1604" s="32" t="s">
        <v>1208</v>
      </c>
      <c r="G1604" s="39" t="s">
        <v>134</v>
      </c>
      <c r="H1604" s="33"/>
      <c r="I1604" s="33"/>
      <c r="J1604" s="33"/>
      <c r="K1604" s="33"/>
      <c r="L1604" s="33"/>
      <c r="M1604" s="33"/>
    </row>
    <row r="1605">
      <c r="A1605" s="32" t="s">
        <v>42</v>
      </c>
      <c r="B1605" s="32" t="s">
        <v>3584</v>
      </c>
      <c r="C1605" s="35">
        <v>8.977890015</v>
      </c>
      <c r="D1605" s="35">
        <v>38.79930115</v>
      </c>
      <c r="E1605" s="32" t="s">
        <v>18</v>
      </c>
      <c r="F1605" s="32" t="s">
        <v>43</v>
      </c>
      <c r="G1605" s="36" t="e">
        <v>#N/A</v>
      </c>
      <c r="H1605" s="33"/>
      <c r="I1605" s="33"/>
      <c r="J1605" s="33"/>
      <c r="K1605" s="33"/>
      <c r="L1605" s="33"/>
      <c r="M1605" s="33"/>
    </row>
    <row r="1606">
      <c r="A1606" s="32" t="s">
        <v>3585</v>
      </c>
      <c r="B1606" s="32" t="s">
        <v>3586</v>
      </c>
      <c r="C1606" s="35">
        <v>12.8295002</v>
      </c>
      <c r="D1606" s="35">
        <v>45.02880096</v>
      </c>
      <c r="E1606" s="32" t="s">
        <v>2020</v>
      </c>
      <c r="F1606" s="32" t="s">
        <v>3587</v>
      </c>
      <c r="G1606" s="36" t="e">
        <v>#N/A</v>
      </c>
      <c r="H1606" s="33"/>
      <c r="I1606" s="33"/>
      <c r="J1606" s="33"/>
      <c r="K1606" s="33"/>
      <c r="L1606" s="33"/>
      <c r="M1606" s="33"/>
    </row>
    <row r="1607">
      <c r="A1607" s="32" t="s">
        <v>3588</v>
      </c>
      <c r="B1607" s="32" t="s">
        <v>3589</v>
      </c>
      <c r="C1607" s="35">
        <v>37.73139954</v>
      </c>
      <c r="D1607" s="35">
        <v>38.46889877</v>
      </c>
      <c r="E1607" s="32" t="s">
        <v>133</v>
      </c>
      <c r="F1607" s="32" t="s">
        <v>3590</v>
      </c>
      <c r="G1607" s="39" t="s">
        <v>134</v>
      </c>
      <c r="H1607" s="33"/>
      <c r="I1607" s="33"/>
      <c r="J1607" s="33"/>
      <c r="K1607" s="33"/>
      <c r="L1607" s="33"/>
      <c r="M1607" s="33"/>
    </row>
    <row r="1608">
      <c r="A1608" s="32" t="s">
        <v>3591</v>
      </c>
      <c r="B1608" s="32" t="s">
        <v>3592</v>
      </c>
      <c r="C1608" s="35">
        <v>58.60279846</v>
      </c>
      <c r="D1608" s="35">
        <v>125.4089966</v>
      </c>
      <c r="E1608" s="32" t="s">
        <v>2040</v>
      </c>
      <c r="F1608" s="32" t="s">
        <v>3593</v>
      </c>
      <c r="G1608" s="36" t="e">
        <v>#N/A</v>
      </c>
      <c r="H1608" s="33"/>
      <c r="I1608" s="33"/>
      <c r="J1608" s="33"/>
      <c r="K1608" s="33"/>
      <c r="L1608" s="33"/>
      <c r="M1608" s="33"/>
    </row>
    <row r="1609">
      <c r="A1609" s="32" t="s">
        <v>3594</v>
      </c>
      <c r="B1609" s="32" t="s">
        <v>3595</v>
      </c>
      <c r="C1609" s="35">
        <v>-22.46220016</v>
      </c>
      <c r="D1609" s="35">
        <v>14.97999954</v>
      </c>
      <c r="E1609" s="32" t="s">
        <v>3193</v>
      </c>
      <c r="F1609" s="32" t="s">
        <v>3596</v>
      </c>
      <c r="G1609" s="36" t="e">
        <v>#N/A</v>
      </c>
      <c r="H1609" s="33"/>
      <c r="I1609" s="33"/>
      <c r="J1609" s="33"/>
      <c r="K1609" s="33"/>
      <c r="L1609" s="33"/>
      <c r="M1609" s="33"/>
    </row>
    <row r="1610">
      <c r="A1610" s="32" t="s">
        <v>3597</v>
      </c>
      <c r="B1610" s="32" t="s">
        <v>3598</v>
      </c>
      <c r="C1610" s="35">
        <v>31.97270012</v>
      </c>
      <c r="D1610" s="35">
        <v>35.99160004</v>
      </c>
      <c r="E1610" s="32" t="s">
        <v>253</v>
      </c>
      <c r="F1610" s="32" t="s">
        <v>3599</v>
      </c>
      <c r="G1610" s="36" t="e">
        <v>#N/A</v>
      </c>
      <c r="H1610" s="33"/>
      <c r="I1610" s="33"/>
      <c r="J1610" s="33"/>
      <c r="K1610" s="33"/>
      <c r="L1610" s="33"/>
      <c r="M1610" s="33"/>
    </row>
    <row r="1611">
      <c r="A1611" s="32" t="s">
        <v>3600</v>
      </c>
      <c r="B1611" s="32" t="s">
        <v>3601</v>
      </c>
      <c r="C1611" s="35">
        <v>51.87799835</v>
      </c>
      <c r="D1611" s="35">
        <v>-176.6459961</v>
      </c>
      <c r="E1611" s="32" t="s">
        <v>180</v>
      </c>
      <c r="F1611" s="32" t="s">
        <v>3602</v>
      </c>
      <c r="G1611" s="39" t="s">
        <v>181</v>
      </c>
      <c r="H1611" s="33"/>
      <c r="I1611" s="33"/>
      <c r="J1611" s="33"/>
      <c r="K1611" s="33"/>
      <c r="L1611" s="33"/>
      <c r="M1611" s="33"/>
    </row>
    <row r="1612">
      <c r="A1612" s="32" t="s">
        <v>3603</v>
      </c>
      <c r="B1612" s="32" t="s">
        <v>3604</v>
      </c>
      <c r="C1612" s="35">
        <v>-34.94499969</v>
      </c>
      <c r="D1612" s="35">
        <v>138.5310059</v>
      </c>
      <c r="E1612" s="32" t="s">
        <v>1968</v>
      </c>
      <c r="F1612" s="32" t="s">
        <v>1977</v>
      </c>
      <c r="G1612" s="36" t="e">
        <v>#N/A</v>
      </c>
      <c r="H1612" s="33"/>
      <c r="I1612" s="33"/>
      <c r="J1612" s="33"/>
      <c r="K1612" s="33"/>
      <c r="L1612" s="33"/>
      <c r="M1612" s="33"/>
    </row>
    <row r="1613">
      <c r="A1613" s="32" t="s">
        <v>3605</v>
      </c>
      <c r="B1613" s="32" t="s">
        <v>3606</v>
      </c>
      <c r="C1613" s="35">
        <v>34.30301</v>
      </c>
      <c r="D1613" s="35">
        <v>-97.0196342</v>
      </c>
      <c r="E1613" s="32" t="s">
        <v>180</v>
      </c>
      <c r="F1613" s="32" t="s">
        <v>3607</v>
      </c>
      <c r="G1613" s="39" t="s">
        <v>181</v>
      </c>
      <c r="H1613" s="33"/>
      <c r="I1613" s="33"/>
      <c r="J1613" s="33"/>
      <c r="K1613" s="33"/>
      <c r="L1613" s="33"/>
      <c r="M1613" s="33"/>
    </row>
    <row r="1614">
      <c r="A1614" s="32" t="s">
        <v>3608</v>
      </c>
      <c r="B1614" s="32" t="s">
        <v>3609</v>
      </c>
      <c r="C1614" s="35">
        <v>57.75</v>
      </c>
      <c r="D1614" s="35">
        <v>-152.4940033</v>
      </c>
      <c r="E1614" s="32" t="s">
        <v>180</v>
      </c>
      <c r="F1614" s="32" t="s">
        <v>3610</v>
      </c>
      <c r="G1614" s="39" t="s">
        <v>181</v>
      </c>
      <c r="H1614" s="33"/>
      <c r="I1614" s="33"/>
      <c r="J1614" s="33"/>
      <c r="K1614" s="33"/>
      <c r="L1614" s="33"/>
      <c r="M1614" s="33"/>
    </row>
    <row r="1615">
      <c r="A1615" s="32" t="s">
        <v>3611</v>
      </c>
      <c r="B1615" s="32" t="s">
        <v>3612</v>
      </c>
      <c r="C1615" s="35">
        <v>32.96860123</v>
      </c>
      <c r="D1615" s="35">
        <v>-96.83640289</v>
      </c>
      <c r="E1615" s="32" t="s">
        <v>180</v>
      </c>
      <c r="F1615" s="32" t="s">
        <v>3613</v>
      </c>
      <c r="G1615" s="39" t="s">
        <v>181</v>
      </c>
      <c r="H1615" s="33"/>
      <c r="I1615" s="33"/>
      <c r="J1615" s="33"/>
      <c r="K1615" s="33"/>
      <c r="L1615" s="33"/>
      <c r="M1615" s="33"/>
    </row>
    <row r="1616">
      <c r="A1616" s="32" t="s">
        <v>3614</v>
      </c>
      <c r="B1616" s="32" t="s">
        <v>3615</v>
      </c>
      <c r="C1616" s="35">
        <v>38.32569885</v>
      </c>
      <c r="D1616" s="35">
        <v>48.42440033</v>
      </c>
      <c r="E1616" s="32" t="s">
        <v>1378</v>
      </c>
      <c r="F1616" s="32" t="s">
        <v>3616</v>
      </c>
      <c r="G1616" s="36" t="e">
        <v>#N/A</v>
      </c>
      <c r="H1616" s="33"/>
      <c r="I1616" s="33"/>
      <c r="J1616" s="33"/>
      <c r="K1616" s="33"/>
      <c r="L1616" s="33"/>
      <c r="M1616" s="33"/>
    </row>
    <row r="1617">
      <c r="A1617" s="32" t="s">
        <v>3617</v>
      </c>
      <c r="B1617" s="32" t="s">
        <v>3618</v>
      </c>
      <c r="C1617" s="35">
        <v>38.81079865</v>
      </c>
      <c r="D1617" s="35">
        <v>-76.86699677</v>
      </c>
      <c r="E1617" s="32" t="s">
        <v>180</v>
      </c>
      <c r="F1617" s="32" t="s">
        <v>3619</v>
      </c>
      <c r="G1617" s="39" t="s">
        <v>181</v>
      </c>
      <c r="H1617" s="33"/>
      <c r="I1617" s="33"/>
      <c r="J1617" s="33"/>
      <c r="K1617" s="33"/>
      <c r="L1617" s="33"/>
      <c r="M1617" s="33"/>
    </row>
    <row r="1618">
      <c r="A1618" s="32" t="s">
        <v>3620</v>
      </c>
      <c r="B1618" s="32" t="s">
        <v>3621</v>
      </c>
      <c r="C1618" s="35">
        <v>56.3728981</v>
      </c>
      <c r="D1618" s="35">
        <v>-2.868439913</v>
      </c>
      <c r="E1618" s="32" t="s">
        <v>90</v>
      </c>
      <c r="F1618" s="32" t="s">
        <v>3622</v>
      </c>
      <c r="G1618" s="39" t="s">
        <v>91</v>
      </c>
      <c r="H1618" s="33"/>
      <c r="I1618" s="33"/>
      <c r="J1618" s="33"/>
      <c r="K1618" s="33"/>
      <c r="L1618" s="33"/>
      <c r="M1618" s="33"/>
    </row>
    <row r="1619">
      <c r="A1619" s="32" t="s">
        <v>3623</v>
      </c>
      <c r="B1619" s="32" t="s">
        <v>3624</v>
      </c>
      <c r="C1619" s="35">
        <v>-22.67900085</v>
      </c>
      <c r="D1619" s="35">
        <v>29.05550003</v>
      </c>
      <c r="E1619" s="32" t="s">
        <v>16</v>
      </c>
      <c r="F1619" s="32" t="s">
        <v>3625</v>
      </c>
      <c r="G1619" s="36" t="e">
        <v>#N/A</v>
      </c>
      <c r="H1619" s="33"/>
      <c r="I1619" s="33"/>
      <c r="J1619" s="33"/>
      <c r="K1619" s="33"/>
      <c r="L1619" s="33"/>
      <c r="M1619" s="33"/>
    </row>
    <row r="1620">
      <c r="A1620" s="32" t="s">
        <v>3626</v>
      </c>
      <c r="B1620" s="32" t="s">
        <v>3627</v>
      </c>
      <c r="C1620" s="35">
        <v>12.5836</v>
      </c>
      <c r="D1620" s="35">
        <v>-81.7112</v>
      </c>
      <c r="E1620" s="32" t="s">
        <v>292</v>
      </c>
      <c r="F1620" s="32" t="s">
        <v>3628</v>
      </c>
      <c r="G1620" s="36" t="e">
        <v>#N/A</v>
      </c>
      <c r="H1620" s="33"/>
      <c r="I1620" s="33"/>
      <c r="J1620" s="33"/>
      <c r="K1620" s="33"/>
      <c r="L1620" s="33"/>
      <c r="M1620" s="33"/>
    </row>
    <row r="1621">
      <c r="A1621" s="32" t="s">
        <v>3629</v>
      </c>
      <c r="B1621" s="32" t="s">
        <v>3630</v>
      </c>
      <c r="C1621" s="35">
        <v>0.490833014</v>
      </c>
      <c r="D1621" s="35">
        <v>173.8289948</v>
      </c>
      <c r="E1621" s="32" t="s">
        <v>3439</v>
      </c>
      <c r="F1621" s="32" t="s">
        <v>3631</v>
      </c>
      <c r="G1621" s="36" t="e">
        <v>#N/A</v>
      </c>
      <c r="H1621" s="33"/>
      <c r="I1621" s="33"/>
      <c r="J1621" s="33"/>
      <c r="K1621" s="33"/>
      <c r="L1621" s="33"/>
      <c r="M1621" s="33"/>
    </row>
    <row r="1622">
      <c r="A1622" s="32" t="s">
        <v>3632</v>
      </c>
      <c r="B1622" s="32" t="s">
        <v>3633</v>
      </c>
      <c r="C1622" s="35">
        <v>13.84700012</v>
      </c>
      <c r="D1622" s="35">
        <v>20.84429932</v>
      </c>
      <c r="E1622" s="32" t="s">
        <v>3634</v>
      </c>
      <c r="F1622" s="32" t="s">
        <v>3635</v>
      </c>
      <c r="G1622" s="36" t="e">
        <v>#N/A</v>
      </c>
      <c r="H1622" s="33"/>
      <c r="I1622" s="33"/>
      <c r="J1622" s="33"/>
      <c r="K1622" s="33"/>
      <c r="L1622" s="33"/>
      <c r="M1622" s="33"/>
    </row>
    <row r="1623">
      <c r="A1623" s="32" t="s">
        <v>3636</v>
      </c>
      <c r="B1623" s="32" t="s">
        <v>3637</v>
      </c>
      <c r="C1623" s="35">
        <v>-34.5592</v>
      </c>
      <c r="D1623" s="35">
        <v>-58.4156</v>
      </c>
      <c r="E1623" s="32" t="s">
        <v>296</v>
      </c>
      <c r="F1623" s="32" t="s">
        <v>1268</v>
      </c>
      <c r="G1623" s="36" t="e">
        <v>#N/A</v>
      </c>
      <c r="H1623" s="33"/>
      <c r="I1623" s="33"/>
      <c r="J1623" s="33"/>
      <c r="K1623" s="33"/>
      <c r="L1623" s="33"/>
      <c r="M1623" s="33"/>
    </row>
    <row r="1624">
      <c r="A1624" s="32" t="s">
        <v>3638</v>
      </c>
      <c r="B1624" s="32" t="s">
        <v>3639</v>
      </c>
      <c r="C1624" s="35">
        <v>43.44990158</v>
      </c>
      <c r="D1624" s="35">
        <v>39.95660019</v>
      </c>
      <c r="E1624" s="32" t="s">
        <v>2040</v>
      </c>
      <c r="F1624" s="32" t="s">
        <v>3640</v>
      </c>
      <c r="G1624" s="36" t="e">
        <v>#N/A</v>
      </c>
      <c r="H1624" s="33"/>
      <c r="I1624" s="33"/>
      <c r="J1624" s="33"/>
      <c r="K1624" s="33"/>
      <c r="L1624" s="33"/>
      <c r="M1624" s="33"/>
    </row>
    <row r="1625">
      <c r="A1625" s="32" t="s">
        <v>3641</v>
      </c>
      <c r="B1625" s="32" t="s">
        <v>3642</v>
      </c>
      <c r="C1625" s="35">
        <v>62.5625</v>
      </c>
      <c r="D1625" s="35">
        <v>6.119699955</v>
      </c>
      <c r="E1625" s="32" t="s">
        <v>343</v>
      </c>
      <c r="F1625" s="32" t="s">
        <v>3643</v>
      </c>
      <c r="G1625" s="36" t="e">
        <v>#N/A</v>
      </c>
      <c r="H1625" s="33"/>
      <c r="I1625" s="33"/>
      <c r="J1625" s="33"/>
      <c r="K1625" s="33"/>
      <c r="L1625" s="33"/>
      <c r="M1625" s="33"/>
    </row>
    <row r="1626">
      <c r="A1626" s="32" t="s">
        <v>3644</v>
      </c>
      <c r="B1626" s="32" t="s">
        <v>3645</v>
      </c>
      <c r="C1626" s="35">
        <v>66.55180359</v>
      </c>
      <c r="D1626" s="35">
        <v>-152.621994</v>
      </c>
      <c r="E1626" s="32" t="s">
        <v>180</v>
      </c>
      <c r="F1626" s="32" t="s">
        <v>3646</v>
      </c>
      <c r="G1626" s="39" t="s">
        <v>181</v>
      </c>
      <c r="H1626" s="33"/>
      <c r="I1626" s="33"/>
      <c r="J1626" s="33"/>
      <c r="K1626" s="33"/>
      <c r="L1626" s="33"/>
      <c r="M1626" s="33"/>
    </row>
    <row r="1627">
      <c r="A1627" s="32" t="s">
        <v>3647</v>
      </c>
      <c r="B1627" s="32" t="s">
        <v>3648</v>
      </c>
      <c r="C1627" s="35">
        <v>31.32740021</v>
      </c>
      <c r="D1627" s="35">
        <v>-92.54979706</v>
      </c>
      <c r="E1627" s="32" t="s">
        <v>180</v>
      </c>
      <c r="F1627" s="32" t="s">
        <v>1034</v>
      </c>
      <c r="G1627" s="39" t="s">
        <v>181</v>
      </c>
      <c r="H1627" s="33"/>
      <c r="I1627" s="33"/>
      <c r="J1627" s="33"/>
      <c r="K1627" s="33"/>
      <c r="L1627" s="33"/>
      <c r="M1627" s="33"/>
    </row>
    <row r="1628">
      <c r="A1628" s="32" t="s">
        <v>3649</v>
      </c>
      <c r="B1628" s="32" t="s">
        <v>3650</v>
      </c>
      <c r="C1628" s="35">
        <v>65.66000366</v>
      </c>
      <c r="D1628" s="35">
        <v>-18.0727005</v>
      </c>
      <c r="E1628" s="32" t="s">
        <v>2037</v>
      </c>
      <c r="F1628" s="32" t="s">
        <v>3651</v>
      </c>
      <c r="G1628" s="36" t="e">
        <v>#N/A</v>
      </c>
      <c r="H1628" s="33"/>
      <c r="I1628" s="33"/>
      <c r="J1628" s="33"/>
      <c r="K1628" s="33"/>
      <c r="L1628" s="33"/>
      <c r="M1628" s="33"/>
    </row>
    <row r="1629">
      <c r="A1629" s="32" t="s">
        <v>3652</v>
      </c>
      <c r="B1629" s="32" t="s">
        <v>3653</v>
      </c>
      <c r="C1629" s="35">
        <v>-34.588299</v>
      </c>
      <c r="D1629" s="35">
        <v>-68.4039</v>
      </c>
      <c r="E1629" s="32" t="s">
        <v>296</v>
      </c>
      <c r="F1629" s="32" t="s">
        <v>3654</v>
      </c>
      <c r="G1629" s="36" t="e">
        <v>#N/A</v>
      </c>
      <c r="H1629" s="33"/>
      <c r="I1629" s="33"/>
      <c r="J1629" s="33"/>
      <c r="K1629" s="33"/>
      <c r="L1629" s="33"/>
      <c r="M1629" s="33"/>
    </row>
    <row r="1630">
      <c r="A1630" s="32" t="s">
        <v>3655</v>
      </c>
      <c r="B1630" s="32" t="s">
        <v>3656</v>
      </c>
      <c r="C1630" s="35">
        <v>56.96139908</v>
      </c>
      <c r="D1630" s="35">
        <v>-133.9100037</v>
      </c>
      <c r="E1630" s="32" t="s">
        <v>180</v>
      </c>
      <c r="F1630" s="32" t="s">
        <v>3657</v>
      </c>
      <c r="G1630" s="39" t="s">
        <v>181</v>
      </c>
      <c r="H1630" s="33"/>
      <c r="I1630" s="33"/>
      <c r="J1630" s="33"/>
      <c r="K1630" s="33"/>
      <c r="L1630" s="33"/>
      <c r="M1630" s="33"/>
    </row>
    <row r="1631">
      <c r="A1631" s="32" t="s">
        <v>3658</v>
      </c>
      <c r="B1631" s="32" t="s">
        <v>3659</v>
      </c>
      <c r="C1631" s="35">
        <v>-9.866389275</v>
      </c>
      <c r="D1631" s="35">
        <v>-56.10499954</v>
      </c>
      <c r="E1631" s="32" t="s">
        <v>288</v>
      </c>
      <c r="F1631" s="32" t="s">
        <v>3660</v>
      </c>
      <c r="G1631" s="36" t="e">
        <v>#N/A</v>
      </c>
      <c r="H1631" s="33"/>
      <c r="I1631" s="33"/>
      <c r="J1631" s="33"/>
      <c r="K1631" s="33"/>
      <c r="L1631" s="33"/>
      <c r="M1631" s="33"/>
    </row>
    <row r="1632">
      <c r="A1632" s="32" t="s">
        <v>3661</v>
      </c>
      <c r="B1632" s="32" t="s">
        <v>3662</v>
      </c>
      <c r="C1632" s="35">
        <v>41.61389923</v>
      </c>
      <c r="D1632" s="35">
        <v>64.23320007</v>
      </c>
      <c r="E1632" s="32" t="s">
        <v>3332</v>
      </c>
      <c r="F1632" s="32" t="s">
        <v>3663</v>
      </c>
      <c r="G1632" s="36" t="e">
        <v>#N/A</v>
      </c>
      <c r="H1632" s="33"/>
      <c r="I1632" s="33"/>
      <c r="J1632" s="33"/>
      <c r="K1632" s="33"/>
      <c r="L1632" s="33"/>
      <c r="M1632" s="33"/>
    </row>
    <row r="1633">
      <c r="A1633" s="32" t="s">
        <v>3664</v>
      </c>
      <c r="B1633" s="32" t="s">
        <v>3665</v>
      </c>
      <c r="C1633" s="35">
        <v>-9.191388889</v>
      </c>
      <c r="D1633" s="35">
        <v>160.9486111</v>
      </c>
      <c r="E1633" s="32" t="s">
        <v>3666</v>
      </c>
      <c r="F1633" s="32" t="s">
        <v>3667</v>
      </c>
      <c r="G1633" s="36" t="e">
        <v>#N/A</v>
      </c>
      <c r="H1633" s="33"/>
      <c r="I1633" s="33"/>
      <c r="J1633" s="33"/>
      <c r="K1633" s="33"/>
      <c r="L1633" s="33"/>
      <c r="M1633" s="33"/>
    </row>
    <row r="1634">
      <c r="A1634" s="32" t="s">
        <v>3668</v>
      </c>
      <c r="B1634" s="32" t="s">
        <v>3669</v>
      </c>
      <c r="C1634" s="35">
        <v>32.98759842</v>
      </c>
      <c r="D1634" s="35">
        <v>-97.31880188</v>
      </c>
      <c r="E1634" s="32" t="s">
        <v>180</v>
      </c>
      <c r="F1634" s="32" t="s">
        <v>3670</v>
      </c>
      <c r="G1634" s="39" t="s">
        <v>181</v>
      </c>
      <c r="H1634" s="33"/>
      <c r="I1634" s="33"/>
      <c r="J1634" s="33"/>
      <c r="K1634" s="33"/>
      <c r="L1634" s="33"/>
      <c r="M1634" s="33"/>
    </row>
    <row r="1635">
      <c r="A1635" s="32" t="s">
        <v>3671</v>
      </c>
      <c r="B1635" s="32" t="s">
        <v>3672</v>
      </c>
      <c r="C1635" s="35">
        <v>38.72639847</v>
      </c>
      <c r="D1635" s="35">
        <v>30.60110092</v>
      </c>
      <c r="E1635" s="32" t="s">
        <v>133</v>
      </c>
      <c r="F1635" s="32" t="s">
        <v>3673</v>
      </c>
      <c r="G1635" s="39" t="s">
        <v>134</v>
      </c>
      <c r="H1635" s="33"/>
      <c r="I1635" s="33"/>
      <c r="J1635" s="33"/>
      <c r="K1635" s="33"/>
      <c r="L1635" s="33"/>
      <c r="M1635" s="33"/>
    </row>
    <row r="1636">
      <c r="A1636" s="32" t="s">
        <v>3674</v>
      </c>
      <c r="B1636" s="32" t="s">
        <v>3675</v>
      </c>
      <c r="C1636" s="35">
        <v>36.16809845</v>
      </c>
      <c r="D1636" s="35">
        <v>57.59519958</v>
      </c>
      <c r="E1636" s="32" t="s">
        <v>1378</v>
      </c>
      <c r="F1636" s="32" t="s">
        <v>3676</v>
      </c>
      <c r="G1636" s="36" t="e">
        <v>#N/A</v>
      </c>
      <c r="H1636" s="33"/>
      <c r="I1636" s="33"/>
      <c r="J1636" s="33"/>
      <c r="K1636" s="33"/>
      <c r="L1636" s="33"/>
      <c r="M1636" s="33"/>
    </row>
    <row r="1637">
      <c r="A1637" s="32" t="s">
        <v>3677</v>
      </c>
      <c r="B1637" s="32" t="s">
        <v>3678</v>
      </c>
      <c r="C1637" s="35">
        <v>30.32500076</v>
      </c>
      <c r="D1637" s="35">
        <v>-9.413069725</v>
      </c>
      <c r="E1637" s="32" t="s">
        <v>17</v>
      </c>
      <c r="F1637" s="32" t="s">
        <v>3679</v>
      </c>
      <c r="G1637" s="36" t="e">
        <v>#N/A</v>
      </c>
      <c r="H1637" s="33"/>
      <c r="I1637" s="33"/>
      <c r="J1637" s="33"/>
      <c r="K1637" s="33"/>
      <c r="L1637" s="33"/>
      <c r="M1637" s="33"/>
    </row>
    <row r="1638">
      <c r="A1638" s="32" t="s">
        <v>3680</v>
      </c>
      <c r="B1638" s="32" t="s">
        <v>3681</v>
      </c>
      <c r="C1638" s="35">
        <v>48.425278</v>
      </c>
      <c r="D1638" s="35">
        <v>10.931667</v>
      </c>
      <c r="E1638" s="32" t="s">
        <v>109</v>
      </c>
      <c r="F1638" s="32" t="s">
        <v>3682</v>
      </c>
      <c r="G1638" s="39" t="s">
        <v>110</v>
      </c>
      <c r="H1638" s="33"/>
      <c r="I1638" s="33"/>
      <c r="J1638" s="33"/>
      <c r="K1638" s="33"/>
      <c r="L1638" s="33"/>
      <c r="M1638" s="33"/>
    </row>
    <row r="1639">
      <c r="A1639" s="32" t="s">
        <v>3683</v>
      </c>
      <c r="B1639" s="32" t="s">
        <v>3684</v>
      </c>
      <c r="C1639" s="35">
        <v>40.35440063</v>
      </c>
      <c r="D1639" s="35">
        <v>-79.93019867</v>
      </c>
      <c r="E1639" s="32" t="s">
        <v>180</v>
      </c>
      <c r="F1639" s="32" t="s">
        <v>3685</v>
      </c>
      <c r="G1639" s="39" t="s">
        <v>181</v>
      </c>
      <c r="H1639" s="33"/>
      <c r="I1639" s="33"/>
      <c r="J1639" s="33"/>
      <c r="K1639" s="33"/>
      <c r="L1639" s="33"/>
      <c r="M1639" s="33"/>
    </row>
    <row r="1640">
      <c r="A1640" s="32" t="s">
        <v>3686</v>
      </c>
      <c r="B1640" s="32" t="s">
        <v>3687</v>
      </c>
      <c r="C1640" s="35">
        <v>53.78277969</v>
      </c>
      <c r="D1640" s="35">
        <v>7.913888931</v>
      </c>
      <c r="E1640" s="32" t="s">
        <v>109</v>
      </c>
      <c r="F1640" s="32" t="s">
        <v>3688</v>
      </c>
      <c r="G1640" s="39" t="s">
        <v>110</v>
      </c>
      <c r="H1640" s="33"/>
      <c r="I1640" s="33"/>
      <c r="J1640" s="33"/>
      <c r="K1640" s="33"/>
      <c r="L1640" s="33"/>
      <c r="M1640" s="33"/>
    </row>
    <row r="1641">
      <c r="A1641" s="32" t="s">
        <v>3689</v>
      </c>
      <c r="B1641" s="32" t="s">
        <v>3690</v>
      </c>
      <c r="C1641" s="35">
        <v>44.17470169</v>
      </c>
      <c r="D1641" s="35">
        <v>0.590556026</v>
      </c>
      <c r="E1641" s="32" t="s">
        <v>96</v>
      </c>
      <c r="F1641" s="32" t="s">
        <v>3691</v>
      </c>
      <c r="G1641" s="39" t="s">
        <v>97</v>
      </c>
      <c r="H1641" s="33"/>
      <c r="I1641" s="33"/>
      <c r="J1641" s="33"/>
      <c r="K1641" s="33"/>
      <c r="L1641" s="33"/>
      <c r="M1641" s="33"/>
    </row>
    <row r="1642">
      <c r="A1642" s="32" t="s">
        <v>3692</v>
      </c>
      <c r="B1642" s="32" t="s">
        <v>3693</v>
      </c>
      <c r="C1642" s="35">
        <v>56.29610062</v>
      </c>
      <c r="D1642" s="35">
        <v>12.84710026</v>
      </c>
      <c r="E1642" s="32" t="s">
        <v>347</v>
      </c>
      <c r="F1642" s="32" t="s">
        <v>3694</v>
      </c>
      <c r="G1642" s="36" t="e">
        <v>#N/A</v>
      </c>
      <c r="H1642" s="33"/>
      <c r="I1642" s="33"/>
      <c r="J1642" s="33"/>
      <c r="K1642" s="33"/>
      <c r="L1642" s="33"/>
      <c r="M1642" s="33"/>
    </row>
    <row r="1643">
      <c r="A1643" s="32" t="s">
        <v>3695</v>
      </c>
      <c r="B1643" s="32" t="s">
        <v>3696</v>
      </c>
      <c r="C1643" s="35">
        <v>5.766666889</v>
      </c>
      <c r="D1643" s="35">
        <v>-56.6333313</v>
      </c>
      <c r="E1643" s="32" t="s">
        <v>2192</v>
      </c>
      <c r="F1643" s="32" t="s">
        <v>3697</v>
      </c>
      <c r="G1643" s="36" t="e">
        <v>#N/A</v>
      </c>
      <c r="H1643" s="33"/>
      <c r="I1643" s="33"/>
      <c r="J1643" s="33"/>
      <c r="K1643" s="33"/>
      <c r="L1643" s="33"/>
      <c r="M1643" s="33"/>
    </row>
    <row r="1644">
      <c r="A1644" s="32" t="s">
        <v>3698</v>
      </c>
      <c r="B1644" s="32" t="s">
        <v>3699</v>
      </c>
      <c r="C1644" s="35">
        <v>26.59250069</v>
      </c>
      <c r="D1644" s="35">
        <v>127.2409973</v>
      </c>
      <c r="E1644" s="32" t="s">
        <v>170</v>
      </c>
      <c r="F1644" s="32" t="s">
        <v>3700</v>
      </c>
      <c r="G1644" s="39" t="s">
        <v>171</v>
      </c>
      <c r="H1644" s="33"/>
      <c r="I1644" s="33"/>
      <c r="J1644" s="33"/>
      <c r="K1644" s="33"/>
      <c r="L1644" s="33"/>
      <c r="M1644" s="33"/>
    </row>
    <row r="1645">
      <c r="A1645" s="32" t="s">
        <v>3701</v>
      </c>
      <c r="B1645" s="32" t="s">
        <v>3702</v>
      </c>
      <c r="C1645" s="35">
        <v>65.61229608</v>
      </c>
      <c r="D1645" s="35">
        <v>-37.61833549</v>
      </c>
      <c r="E1645" s="32" t="s">
        <v>3703</v>
      </c>
      <c r="F1645" s="32" t="s">
        <v>3704</v>
      </c>
      <c r="G1645" s="36" t="e">
        <v>#N/A</v>
      </c>
      <c r="H1645" s="33"/>
      <c r="I1645" s="33"/>
      <c r="J1645" s="33"/>
      <c r="K1645" s="33"/>
      <c r="L1645" s="33"/>
      <c r="M1645" s="33"/>
    </row>
    <row r="1646">
      <c r="A1646" s="32" t="s">
        <v>3705</v>
      </c>
      <c r="B1646" s="32" t="s">
        <v>3706</v>
      </c>
      <c r="C1646" s="35">
        <v>57.503601</v>
      </c>
      <c r="D1646" s="35">
        <v>-134.585007</v>
      </c>
      <c r="E1646" s="32" t="s">
        <v>180</v>
      </c>
      <c r="F1646" s="32" t="s">
        <v>3707</v>
      </c>
      <c r="G1646" s="39" t="s">
        <v>181</v>
      </c>
      <c r="H1646" s="33"/>
      <c r="I1646" s="33"/>
      <c r="J1646" s="33"/>
      <c r="K1646" s="33"/>
      <c r="L1646" s="33"/>
      <c r="M1646" s="33"/>
    </row>
    <row r="1647">
      <c r="A1647" s="32" t="s">
        <v>3708</v>
      </c>
      <c r="B1647" s="32" t="s">
        <v>3709</v>
      </c>
      <c r="C1647" s="35">
        <v>36.67490005</v>
      </c>
      <c r="D1647" s="35">
        <v>-4.499110222</v>
      </c>
      <c r="E1647" s="32" t="s">
        <v>115</v>
      </c>
      <c r="F1647" s="32" t="s">
        <v>3710</v>
      </c>
      <c r="G1647" s="39" t="s">
        <v>116</v>
      </c>
      <c r="H1647" s="33"/>
      <c r="I1647" s="33"/>
      <c r="J1647" s="33"/>
      <c r="K1647" s="33"/>
      <c r="L1647" s="33"/>
      <c r="M1647" s="33"/>
    </row>
    <row r="1648">
      <c r="A1648" s="32" t="s">
        <v>3711</v>
      </c>
      <c r="B1648" s="32" t="s">
        <v>3712</v>
      </c>
      <c r="C1648" s="35">
        <v>38.602001</v>
      </c>
      <c r="D1648" s="35">
        <v>21.3512001</v>
      </c>
      <c r="E1648" s="32" t="s">
        <v>339</v>
      </c>
      <c r="F1648" s="32" t="s">
        <v>3713</v>
      </c>
      <c r="G1648" s="36" t="e">
        <v>#N/A</v>
      </c>
      <c r="H1648" s="33"/>
      <c r="I1648" s="33"/>
      <c r="J1648" s="33"/>
      <c r="K1648" s="33"/>
      <c r="L1648" s="33"/>
      <c r="M1648" s="33"/>
    </row>
    <row r="1649">
      <c r="A1649" s="32" t="s">
        <v>3714</v>
      </c>
      <c r="B1649" s="32" t="s">
        <v>3715</v>
      </c>
      <c r="C1649" s="35">
        <v>27.15579987</v>
      </c>
      <c r="D1649" s="35">
        <v>77.96089935</v>
      </c>
      <c r="E1649" s="32" t="s">
        <v>217</v>
      </c>
      <c r="F1649" s="32" t="s">
        <v>3716</v>
      </c>
      <c r="G1649" s="39" t="s">
        <v>218</v>
      </c>
      <c r="H1649" s="33"/>
      <c r="I1649" s="33"/>
      <c r="J1649" s="33"/>
      <c r="K1649" s="33"/>
      <c r="L1649" s="33"/>
      <c r="M1649" s="33"/>
    </row>
    <row r="1650">
      <c r="A1650" s="32" t="s">
        <v>3717</v>
      </c>
      <c r="B1650" s="32" t="s">
        <v>3718</v>
      </c>
      <c r="C1650" s="35">
        <v>33.36989975</v>
      </c>
      <c r="D1650" s="35">
        <v>-81.96450043</v>
      </c>
      <c r="E1650" s="32" t="s">
        <v>180</v>
      </c>
      <c r="F1650" s="32" t="s">
        <v>3719</v>
      </c>
      <c r="G1650" s="39" t="s">
        <v>181</v>
      </c>
      <c r="H1650" s="33"/>
      <c r="I1650" s="33"/>
      <c r="J1650" s="33"/>
      <c r="K1650" s="33"/>
      <c r="L1650" s="33"/>
      <c r="M1650" s="33"/>
    </row>
    <row r="1651">
      <c r="A1651" s="32" t="s">
        <v>3720</v>
      </c>
      <c r="B1651" s="32" t="s">
        <v>3721</v>
      </c>
      <c r="C1651" s="35">
        <v>-25.454516</v>
      </c>
      <c r="D1651" s="35">
        <v>-54.842682</v>
      </c>
      <c r="E1651" s="32" t="s">
        <v>1723</v>
      </c>
      <c r="F1651" s="32" t="s">
        <v>3722</v>
      </c>
      <c r="G1651" s="36" t="e">
        <v>#N/A</v>
      </c>
      <c r="H1651" s="33"/>
      <c r="I1651" s="33"/>
      <c r="J1651" s="33"/>
      <c r="K1651" s="33"/>
      <c r="L1651" s="33"/>
      <c r="M1651" s="33"/>
    </row>
    <row r="1652">
      <c r="A1652" s="32" t="s">
        <v>3723</v>
      </c>
      <c r="B1652" s="32" t="s">
        <v>3724</v>
      </c>
      <c r="C1652" s="35">
        <v>21.705601</v>
      </c>
      <c r="D1652" s="35">
        <v>-102.318001</v>
      </c>
      <c r="E1652" s="32" t="s">
        <v>186</v>
      </c>
      <c r="F1652" s="32" t="s">
        <v>3725</v>
      </c>
      <c r="G1652" s="39" t="s">
        <v>187</v>
      </c>
      <c r="H1652" s="33"/>
      <c r="I1652" s="33"/>
      <c r="J1652" s="33"/>
      <c r="K1652" s="33"/>
      <c r="L1652" s="33"/>
      <c r="M1652" s="33"/>
    </row>
    <row r="1653">
      <c r="A1653" s="32" t="s">
        <v>3726</v>
      </c>
      <c r="B1653" s="32" t="s">
        <v>3727</v>
      </c>
      <c r="C1653" s="35">
        <v>9.553375244</v>
      </c>
      <c r="D1653" s="35">
        <v>-69.23786926</v>
      </c>
      <c r="E1653" s="32" t="s">
        <v>315</v>
      </c>
      <c r="F1653" s="32" t="s">
        <v>3728</v>
      </c>
      <c r="G1653" s="36" t="e">
        <v>#N/A</v>
      </c>
      <c r="H1653" s="33"/>
      <c r="I1653" s="33"/>
      <c r="J1653" s="33"/>
      <c r="K1653" s="33"/>
      <c r="L1653" s="33"/>
      <c r="M1653" s="33"/>
    </row>
    <row r="1654">
      <c r="A1654" s="32" t="s">
        <v>3729</v>
      </c>
      <c r="B1654" s="32" t="s">
        <v>3730</v>
      </c>
      <c r="C1654" s="35">
        <v>10.82369995</v>
      </c>
      <c r="D1654" s="35">
        <v>72.1760025</v>
      </c>
      <c r="E1654" s="32" t="s">
        <v>217</v>
      </c>
      <c r="F1654" s="32" t="s">
        <v>3731</v>
      </c>
      <c r="G1654" s="39" t="s">
        <v>218</v>
      </c>
      <c r="H1654" s="33"/>
      <c r="I1654" s="33"/>
      <c r="J1654" s="33"/>
      <c r="K1654" s="33"/>
      <c r="L1654" s="33"/>
      <c r="M1654" s="33"/>
    </row>
    <row r="1655">
      <c r="A1655" s="32" t="s">
        <v>3732</v>
      </c>
      <c r="B1655" s="32" t="s">
        <v>3733</v>
      </c>
      <c r="C1655" s="35">
        <v>-29.28179932</v>
      </c>
      <c r="D1655" s="35">
        <v>18.81389999</v>
      </c>
      <c r="E1655" s="32" t="s">
        <v>16</v>
      </c>
      <c r="F1655" s="32" t="s">
        <v>3734</v>
      </c>
      <c r="G1655" s="36" t="e">
        <v>#N/A</v>
      </c>
      <c r="H1655" s="33"/>
      <c r="I1655" s="33"/>
      <c r="J1655" s="33"/>
      <c r="K1655" s="33"/>
      <c r="L1655" s="33"/>
      <c r="M1655" s="33"/>
    </row>
    <row r="1656">
      <c r="A1656" s="32" t="s">
        <v>3735</v>
      </c>
      <c r="B1656" s="32" t="s">
        <v>3736</v>
      </c>
      <c r="C1656" s="35">
        <v>18.24040031</v>
      </c>
      <c r="D1656" s="35">
        <v>42.65660095</v>
      </c>
      <c r="E1656" s="32" t="s">
        <v>223</v>
      </c>
      <c r="F1656" s="32" t="s">
        <v>3737</v>
      </c>
      <c r="G1656" s="36" t="e">
        <v>#N/A</v>
      </c>
      <c r="H1656" s="33"/>
      <c r="I1656" s="33"/>
      <c r="J1656" s="33"/>
      <c r="K1656" s="33"/>
      <c r="L1656" s="33"/>
      <c r="M1656" s="33"/>
    </row>
    <row r="1657">
      <c r="A1657" s="32" t="s">
        <v>3738</v>
      </c>
      <c r="B1657" s="32" t="s">
        <v>3739</v>
      </c>
      <c r="C1657" s="35">
        <v>-14.42809963</v>
      </c>
      <c r="D1657" s="35">
        <v>-146.2570038</v>
      </c>
      <c r="E1657" s="32" t="s">
        <v>1325</v>
      </c>
      <c r="F1657" s="32" t="s">
        <v>3740</v>
      </c>
      <c r="G1657" s="36" t="e">
        <v>#N/A</v>
      </c>
      <c r="H1657" s="33"/>
      <c r="I1657" s="33"/>
      <c r="J1657" s="33"/>
      <c r="K1657" s="33"/>
      <c r="L1657" s="33"/>
      <c r="M1657" s="33"/>
    </row>
    <row r="1658">
      <c r="A1658" s="32" t="s">
        <v>3741</v>
      </c>
      <c r="B1658" s="32" t="s">
        <v>3742</v>
      </c>
      <c r="C1658" s="35">
        <v>33.94860077</v>
      </c>
      <c r="D1658" s="35">
        <v>-83.32630157</v>
      </c>
      <c r="E1658" s="32" t="s">
        <v>180</v>
      </c>
      <c r="F1658" s="32" t="s">
        <v>2377</v>
      </c>
      <c r="G1658" s="39" t="s">
        <v>181</v>
      </c>
      <c r="H1658" s="33"/>
      <c r="I1658" s="33"/>
      <c r="J1658" s="33"/>
      <c r="K1658" s="33"/>
      <c r="L1658" s="33"/>
      <c r="M1658" s="33"/>
    </row>
    <row r="1659">
      <c r="A1659" s="32" t="s">
        <v>3743</v>
      </c>
      <c r="B1659" s="32" t="s">
        <v>3744</v>
      </c>
      <c r="C1659" s="35">
        <v>40.632099</v>
      </c>
      <c r="D1659" s="35">
        <v>8.29077</v>
      </c>
      <c r="E1659" s="32" t="s">
        <v>103</v>
      </c>
      <c r="F1659" s="32" t="s">
        <v>3745</v>
      </c>
      <c r="G1659" s="39" t="s">
        <v>104</v>
      </c>
      <c r="H1659" s="33"/>
      <c r="I1659" s="33"/>
      <c r="J1659" s="33"/>
      <c r="K1659" s="33"/>
      <c r="L1659" s="33"/>
      <c r="M1659" s="33"/>
    </row>
    <row r="1660">
      <c r="A1660" s="32" t="s">
        <v>3746</v>
      </c>
      <c r="B1660" s="32" t="s">
        <v>3747</v>
      </c>
      <c r="C1660" s="35">
        <v>41.24129868</v>
      </c>
      <c r="D1660" s="35">
        <v>-96.59400177</v>
      </c>
      <c r="E1660" s="32" t="s">
        <v>180</v>
      </c>
      <c r="F1660" s="32" t="s">
        <v>3748</v>
      </c>
      <c r="G1660" s="39" t="s">
        <v>181</v>
      </c>
      <c r="H1660" s="33"/>
      <c r="I1660" s="33"/>
      <c r="J1660" s="33"/>
      <c r="K1660" s="33"/>
      <c r="L1660" s="33"/>
      <c r="M1660" s="33"/>
    </row>
    <row r="1661">
      <c r="A1661" s="32" t="s">
        <v>3749</v>
      </c>
      <c r="B1661" s="32" t="s">
        <v>3750</v>
      </c>
      <c r="C1661" s="35">
        <v>15.4722</v>
      </c>
      <c r="D1661" s="35">
        <v>-84.352203</v>
      </c>
      <c r="E1661" s="32" t="s">
        <v>1245</v>
      </c>
      <c r="F1661" s="32" t="s">
        <v>3751</v>
      </c>
      <c r="G1661" s="36" t="e">
        <v>#N/A</v>
      </c>
      <c r="H1661" s="33"/>
      <c r="I1661" s="33"/>
      <c r="J1661" s="33"/>
      <c r="K1661" s="33"/>
      <c r="L1661" s="33"/>
      <c r="M1661" s="33"/>
    </row>
    <row r="1662">
      <c r="A1662" s="32" t="s">
        <v>3752</v>
      </c>
      <c r="B1662" s="32" t="s">
        <v>3753</v>
      </c>
      <c r="C1662" s="35">
        <v>35.17710114</v>
      </c>
      <c r="D1662" s="35">
        <v>-3.839519978</v>
      </c>
      <c r="E1662" s="32" t="s">
        <v>17</v>
      </c>
      <c r="F1662" s="32" t="s">
        <v>3754</v>
      </c>
      <c r="G1662" s="36" t="e">
        <v>#N/A</v>
      </c>
      <c r="H1662" s="33"/>
      <c r="I1662" s="33"/>
      <c r="J1662" s="33"/>
      <c r="K1662" s="33"/>
      <c r="L1662" s="33"/>
      <c r="M1662" s="33"/>
    </row>
    <row r="1663">
      <c r="A1663" s="32" t="s">
        <v>3755</v>
      </c>
      <c r="B1663" s="32" t="s">
        <v>3756</v>
      </c>
      <c r="C1663" s="35">
        <v>42.05319977</v>
      </c>
      <c r="D1663" s="35">
        <v>-102.8040009</v>
      </c>
      <c r="E1663" s="32" t="s">
        <v>180</v>
      </c>
      <c r="F1663" s="32" t="s">
        <v>3757</v>
      </c>
      <c r="G1663" s="39" t="s">
        <v>181</v>
      </c>
      <c r="H1663" s="33"/>
      <c r="I1663" s="33"/>
      <c r="J1663" s="33"/>
      <c r="K1663" s="33"/>
      <c r="L1663" s="33"/>
      <c r="M1663" s="33"/>
    </row>
    <row r="1664">
      <c r="A1664" s="32" t="s">
        <v>3758</v>
      </c>
      <c r="B1664" s="32" t="s">
        <v>3759</v>
      </c>
      <c r="C1664" s="35">
        <v>33.6493988</v>
      </c>
      <c r="D1664" s="35">
        <v>-81.68499756</v>
      </c>
      <c r="E1664" s="32" t="s">
        <v>180</v>
      </c>
      <c r="F1664" s="32" t="s">
        <v>3760</v>
      </c>
      <c r="G1664" s="39" t="s">
        <v>181</v>
      </c>
      <c r="H1664" s="33"/>
      <c r="I1664" s="33"/>
      <c r="J1664" s="33"/>
      <c r="K1664" s="33"/>
      <c r="L1664" s="33"/>
      <c r="M1664" s="33"/>
    </row>
    <row r="1665">
      <c r="A1665" s="32" t="s">
        <v>3761</v>
      </c>
      <c r="B1665" s="32" t="s">
        <v>3762</v>
      </c>
      <c r="C1665" s="35">
        <v>70.63800049</v>
      </c>
      <c r="D1665" s="35">
        <v>-159.9949951</v>
      </c>
      <c r="E1665" s="32" t="s">
        <v>180</v>
      </c>
      <c r="F1665" s="32" t="s">
        <v>3763</v>
      </c>
      <c r="G1665" s="39" t="s">
        <v>181</v>
      </c>
      <c r="H1665" s="33"/>
      <c r="I1665" s="33"/>
      <c r="J1665" s="33"/>
      <c r="K1665" s="33"/>
      <c r="L1665" s="33"/>
      <c r="M1665" s="33"/>
    </row>
    <row r="1666">
      <c r="A1666" s="32" t="s">
        <v>3764</v>
      </c>
      <c r="B1666" s="32" t="s">
        <v>3765</v>
      </c>
      <c r="C1666" s="35">
        <v>-10.250278</v>
      </c>
      <c r="D1666" s="35">
        <v>-59.383888</v>
      </c>
      <c r="E1666" s="32" t="s">
        <v>288</v>
      </c>
      <c r="F1666" s="32" t="s">
        <v>3766</v>
      </c>
      <c r="G1666" s="36" t="e">
        <v>#N/A</v>
      </c>
      <c r="H1666" s="33"/>
      <c r="I1666" s="33"/>
      <c r="J1666" s="33"/>
      <c r="K1666" s="33"/>
      <c r="L1666" s="33"/>
      <c r="M1666" s="33"/>
    </row>
    <row r="1667">
      <c r="A1667" s="32" t="s">
        <v>3767</v>
      </c>
      <c r="B1667" s="32" t="s">
        <v>3768</v>
      </c>
      <c r="C1667" s="35">
        <v>-2.616110086</v>
      </c>
      <c r="D1667" s="35">
        <v>176.8029938</v>
      </c>
      <c r="E1667" s="32" t="s">
        <v>3439</v>
      </c>
      <c r="F1667" s="32" t="s">
        <v>3769</v>
      </c>
      <c r="G1667" s="36" t="e">
        <v>#N/A</v>
      </c>
      <c r="H1667" s="33"/>
      <c r="I1667" s="33"/>
      <c r="J1667" s="33"/>
      <c r="K1667" s="33"/>
      <c r="L1667" s="33"/>
      <c r="M1667" s="33"/>
    </row>
    <row r="1668">
      <c r="A1668" s="32" t="s">
        <v>3770</v>
      </c>
      <c r="B1668" s="32" t="s">
        <v>3771</v>
      </c>
      <c r="C1668" s="35">
        <v>-18.83090019</v>
      </c>
      <c r="D1668" s="35">
        <v>-159.7640076</v>
      </c>
      <c r="E1668" s="32" t="s">
        <v>3772</v>
      </c>
      <c r="F1668" s="32" t="s">
        <v>3773</v>
      </c>
      <c r="G1668" s="36" t="e">
        <v>#N/A</v>
      </c>
      <c r="H1668" s="33"/>
      <c r="I1668" s="33"/>
      <c r="J1668" s="33"/>
      <c r="K1668" s="33"/>
      <c r="L1668" s="33"/>
      <c r="M1668" s="33"/>
    </row>
    <row r="1669">
      <c r="A1669" s="32" t="s">
        <v>3774</v>
      </c>
      <c r="B1669" s="32" t="s">
        <v>3775</v>
      </c>
      <c r="C1669" s="35">
        <v>-19.96780014</v>
      </c>
      <c r="D1669" s="35">
        <v>-158.1190033</v>
      </c>
      <c r="E1669" s="32" t="s">
        <v>3772</v>
      </c>
      <c r="F1669" s="32" t="s">
        <v>3776</v>
      </c>
      <c r="G1669" s="36" t="e">
        <v>#N/A</v>
      </c>
      <c r="H1669" s="33"/>
      <c r="I1669" s="33"/>
      <c r="J1669" s="33"/>
      <c r="K1669" s="33"/>
      <c r="L1669" s="33"/>
      <c r="M1669" s="33"/>
    </row>
    <row r="1670">
      <c r="A1670" s="32" t="s">
        <v>3777</v>
      </c>
      <c r="B1670" s="32" t="s">
        <v>3778</v>
      </c>
      <c r="C1670" s="35">
        <v>38.09600067</v>
      </c>
      <c r="D1670" s="35">
        <v>-92.54949951</v>
      </c>
      <c r="E1670" s="32" t="s">
        <v>180</v>
      </c>
      <c r="F1670" s="32" t="s">
        <v>3779</v>
      </c>
      <c r="G1670" s="39" t="s">
        <v>181</v>
      </c>
      <c r="H1670" s="33"/>
      <c r="I1670" s="33"/>
      <c r="J1670" s="33"/>
      <c r="K1670" s="33"/>
      <c r="L1670" s="33"/>
      <c r="M1670" s="33"/>
    </row>
    <row r="1671">
      <c r="A1671" s="32" t="s">
        <v>3780</v>
      </c>
      <c r="B1671" s="32" t="s">
        <v>3781</v>
      </c>
      <c r="C1671" s="35">
        <v>41.92359924</v>
      </c>
      <c r="D1671" s="35">
        <v>8.802920341</v>
      </c>
      <c r="E1671" s="32" t="s">
        <v>96</v>
      </c>
      <c r="F1671" s="32" t="s">
        <v>3782</v>
      </c>
      <c r="G1671" s="39" t="s">
        <v>97</v>
      </c>
      <c r="H1671" s="33"/>
      <c r="I1671" s="33"/>
      <c r="J1671" s="33"/>
      <c r="K1671" s="33"/>
      <c r="L1671" s="33"/>
      <c r="M1671" s="33"/>
    </row>
    <row r="1672">
      <c r="A1672" s="32" t="s">
        <v>3783</v>
      </c>
      <c r="B1672" s="32" t="s">
        <v>3784</v>
      </c>
      <c r="C1672" s="35">
        <v>29.78510094</v>
      </c>
      <c r="D1672" s="35">
        <v>40.09999847</v>
      </c>
      <c r="E1672" s="32" t="s">
        <v>223</v>
      </c>
      <c r="F1672" s="32" t="s">
        <v>3785</v>
      </c>
      <c r="G1672" s="36" t="e">
        <v>#N/A</v>
      </c>
      <c r="H1672" s="33"/>
      <c r="I1672" s="33"/>
      <c r="J1672" s="33"/>
      <c r="K1672" s="33"/>
      <c r="L1672" s="33"/>
      <c r="M1672" s="33"/>
    </row>
    <row r="1673">
      <c r="A1673" s="32" t="s">
        <v>3786</v>
      </c>
      <c r="B1673" s="32" t="s">
        <v>3787</v>
      </c>
      <c r="C1673" s="35">
        <v>39.65454102</v>
      </c>
      <c r="D1673" s="35">
        <v>43.02597809</v>
      </c>
      <c r="E1673" s="32" t="s">
        <v>133</v>
      </c>
      <c r="F1673" s="32" t="s">
        <v>3788</v>
      </c>
      <c r="G1673" s="39" t="s">
        <v>134</v>
      </c>
      <c r="H1673" s="33"/>
      <c r="I1673" s="33"/>
      <c r="J1673" s="33"/>
      <c r="K1673" s="33"/>
      <c r="L1673" s="33"/>
      <c r="M1673" s="33"/>
    </row>
    <row r="1674">
      <c r="A1674" s="32" t="s">
        <v>3789</v>
      </c>
      <c r="B1674" s="32" t="s">
        <v>3790</v>
      </c>
      <c r="C1674" s="35">
        <v>23.84059906</v>
      </c>
      <c r="D1674" s="35">
        <v>92.61969757</v>
      </c>
      <c r="E1674" s="32" t="s">
        <v>217</v>
      </c>
      <c r="F1674" s="32" t="s">
        <v>3791</v>
      </c>
      <c r="G1674" s="39" t="s">
        <v>218</v>
      </c>
      <c r="H1674" s="33"/>
      <c r="I1674" s="33"/>
      <c r="J1674" s="33"/>
      <c r="K1674" s="33"/>
      <c r="L1674" s="33"/>
      <c r="M1674" s="33"/>
    </row>
    <row r="1675">
      <c r="A1675" s="32" t="s">
        <v>3792</v>
      </c>
      <c r="B1675" s="32" t="s">
        <v>3793</v>
      </c>
      <c r="C1675" s="35">
        <v>-12.13169956</v>
      </c>
      <c r="D1675" s="35">
        <v>44.43030167</v>
      </c>
      <c r="E1675" s="32" t="s">
        <v>3794</v>
      </c>
      <c r="F1675" s="32" t="s">
        <v>3795</v>
      </c>
      <c r="G1675" s="36" t="e">
        <v>#N/A</v>
      </c>
      <c r="H1675" s="33"/>
      <c r="I1675" s="33"/>
      <c r="J1675" s="33"/>
      <c r="K1675" s="33"/>
      <c r="L1675" s="33"/>
      <c r="M1675" s="33"/>
    </row>
    <row r="1676">
      <c r="A1676" s="32" t="s">
        <v>3796</v>
      </c>
      <c r="B1676" s="32" t="s">
        <v>3797</v>
      </c>
      <c r="C1676" s="35">
        <v>65.59030151</v>
      </c>
      <c r="D1676" s="35">
        <v>19.28190041</v>
      </c>
      <c r="E1676" s="32" t="s">
        <v>347</v>
      </c>
      <c r="F1676" s="32" t="s">
        <v>3798</v>
      </c>
      <c r="G1676" s="36" t="e">
        <v>#N/A</v>
      </c>
      <c r="H1676" s="33"/>
      <c r="I1676" s="33"/>
      <c r="J1676" s="33"/>
      <c r="K1676" s="33"/>
      <c r="L1676" s="33"/>
      <c r="M1676" s="33"/>
    </row>
    <row r="1677">
      <c r="A1677" s="32" t="s">
        <v>3799</v>
      </c>
      <c r="B1677" s="32" t="s">
        <v>3800</v>
      </c>
      <c r="C1677" s="35">
        <v>-10.98400021</v>
      </c>
      <c r="D1677" s="35">
        <v>-37.07030106</v>
      </c>
      <c r="E1677" s="32" t="s">
        <v>288</v>
      </c>
      <c r="F1677" s="32" t="s">
        <v>3801</v>
      </c>
      <c r="G1677" s="36" t="e">
        <v>#N/A</v>
      </c>
      <c r="H1677" s="33"/>
      <c r="I1677" s="33"/>
      <c r="J1677" s="33"/>
      <c r="K1677" s="33"/>
      <c r="L1677" s="33"/>
      <c r="M1677" s="33"/>
    </row>
    <row r="1678">
      <c r="A1678" s="32" t="s">
        <v>3802</v>
      </c>
      <c r="B1678" s="32" t="s">
        <v>3803</v>
      </c>
      <c r="C1678" s="35">
        <v>16.9659996</v>
      </c>
      <c r="D1678" s="35">
        <v>8.000109673</v>
      </c>
      <c r="E1678" s="32" t="s">
        <v>168</v>
      </c>
      <c r="F1678" s="32" t="s">
        <v>3804</v>
      </c>
      <c r="G1678" s="36" t="e">
        <v>#N/A</v>
      </c>
      <c r="H1678" s="33"/>
      <c r="I1678" s="33"/>
      <c r="J1678" s="33"/>
      <c r="K1678" s="33"/>
      <c r="L1678" s="33"/>
      <c r="M1678" s="33"/>
    </row>
    <row r="1679">
      <c r="A1679" s="32" t="s">
        <v>3805</v>
      </c>
      <c r="B1679" s="32" t="s">
        <v>3806</v>
      </c>
      <c r="C1679" s="35">
        <v>32.708099</v>
      </c>
      <c r="D1679" s="35">
        <v>108.931</v>
      </c>
      <c r="E1679" s="32" t="s">
        <v>205</v>
      </c>
      <c r="F1679" s="32" t="s">
        <v>3807</v>
      </c>
      <c r="G1679" s="39" t="s">
        <v>206</v>
      </c>
      <c r="H1679" s="33"/>
      <c r="I1679" s="33"/>
      <c r="J1679" s="33"/>
      <c r="K1679" s="33"/>
      <c r="L1679" s="33"/>
      <c r="M1679" s="33"/>
    </row>
    <row r="1680">
      <c r="A1680" s="32" t="s">
        <v>3808</v>
      </c>
      <c r="B1680" s="32" t="s">
        <v>3809</v>
      </c>
      <c r="C1680" s="35">
        <v>52.22029877</v>
      </c>
      <c r="D1680" s="35">
        <v>-174.2059937</v>
      </c>
      <c r="E1680" s="32" t="s">
        <v>180</v>
      </c>
      <c r="F1680" s="32" t="s">
        <v>3810</v>
      </c>
      <c r="G1680" s="39" t="s">
        <v>181</v>
      </c>
      <c r="H1680" s="33"/>
      <c r="I1680" s="33"/>
      <c r="J1680" s="33"/>
      <c r="K1680" s="33"/>
      <c r="L1680" s="33"/>
      <c r="M1680" s="33"/>
    </row>
    <row r="1681">
      <c r="A1681" s="32" t="s">
        <v>3811</v>
      </c>
      <c r="B1681" s="32" t="s">
        <v>3812</v>
      </c>
      <c r="C1681" s="35">
        <v>41.03749847</v>
      </c>
      <c r="D1681" s="35">
        <v>-81.46690369</v>
      </c>
      <c r="E1681" s="32" t="s">
        <v>180</v>
      </c>
      <c r="F1681" s="32" t="s">
        <v>3813</v>
      </c>
      <c r="G1681" s="39" t="s">
        <v>181</v>
      </c>
      <c r="H1681" s="33"/>
      <c r="I1681" s="33"/>
      <c r="J1681" s="33"/>
      <c r="K1681" s="33"/>
      <c r="L1681" s="33"/>
      <c r="M1681" s="33"/>
    </row>
    <row r="1682">
      <c r="A1682" s="32" t="s">
        <v>3814</v>
      </c>
      <c r="B1682" s="32" t="s">
        <v>3815</v>
      </c>
      <c r="C1682" s="35">
        <v>20.6989994</v>
      </c>
      <c r="D1682" s="35">
        <v>77.05860138</v>
      </c>
      <c r="E1682" s="32" t="s">
        <v>217</v>
      </c>
      <c r="F1682" s="32" t="s">
        <v>3816</v>
      </c>
      <c r="G1682" s="39" t="s">
        <v>218</v>
      </c>
      <c r="H1682" s="33"/>
      <c r="I1682" s="33"/>
      <c r="J1682" s="33"/>
      <c r="K1682" s="33"/>
      <c r="L1682" s="33"/>
      <c r="M1682" s="33"/>
    </row>
    <row r="1683">
      <c r="A1683" s="32" t="s">
        <v>3817</v>
      </c>
      <c r="B1683" s="32" t="s">
        <v>3818</v>
      </c>
      <c r="C1683" s="35">
        <v>24.17869949</v>
      </c>
      <c r="D1683" s="35">
        <v>23.31399918</v>
      </c>
      <c r="E1683" s="32" t="s">
        <v>829</v>
      </c>
      <c r="F1683" s="32" t="s">
        <v>3819</v>
      </c>
      <c r="G1683" s="36" t="e">
        <v>#N/A</v>
      </c>
      <c r="H1683" s="33"/>
      <c r="I1683" s="33"/>
      <c r="J1683" s="33"/>
      <c r="K1683" s="33"/>
      <c r="L1683" s="33"/>
      <c r="M1683" s="33"/>
    </row>
    <row r="1684">
      <c r="A1684" s="32" t="s">
        <v>3820</v>
      </c>
      <c r="B1684" s="32" t="s">
        <v>3821</v>
      </c>
      <c r="C1684" s="35">
        <v>60.902900700000004</v>
      </c>
      <c r="D1684" s="35">
        <v>-161.2310028</v>
      </c>
      <c r="E1684" s="32" t="s">
        <v>180</v>
      </c>
      <c r="F1684" s="32" t="s">
        <v>3822</v>
      </c>
      <c r="G1684" s="39" t="s">
        <v>181</v>
      </c>
      <c r="H1684" s="33"/>
      <c r="I1684" s="33"/>
      <c r="J1684" s="33"/>
      <c r="K1684" s="33"/>
      <c r="L1684" s="33"/>
      <c r="M1684" s="33"/>
    </row>
    <row r="1685">
      <c r="A1685" s="32" t="s">
        <v>3823</v>
      </c>
      <c r="B1685" s="32" t="s">
        <v>3262</v>
      </c>
      <c r="C1685" s="35">
        <v>43.67079926</v>
      </c>
      <c r="D1685" s="35">
        <v>142.4470062</v>
      </c>
      <c r="E1685" s="32" t="s">
        <v>170</v>
      </c>
      <c r="F1685" s="32" t="s">
        <v>3824</v>
      </c>
      <c r="G1685" s="39" t="s">
        <v>171</v>
      </c>
      <c r="H1685" s="33"/>
      <c r="I1685" s="33"/>
      <c r="J1685" s="33"/>
      <c r="K1685" s="33"/>
      <c r="L1685" s="33"/>
      <c r="M1685" s="33"/>
    </row>
    <row r="1686">
      <c r="A1686" s="32" t="s">
        <v>3825</v>
      </c>
      <c r="B1686" s="32" t="s">
        <v>3826</v>
      </c>
      <c r="C1686" s="35">
        <v>56.93870163</v>
      </c>
      <c r="D1686" s="35">
        <v>-154.1829987</v>
      </c>
      <c r="E1686" s="32" t="s">
        <v>180</v>
      </c>
      <c r="F1686" s="32" t="s">
        <v>3827</v>
      </c>
      <c r="G1686" s="39" t="s">
        <v>181</v>
      </c>
      <c r="H1686" s="33"/>
      <c r="I1686" s="33"/>
      <c r="J1686" s="33"/>
      <c r="K1686" s="33"/>
      <c r="L1686" s="33"/>
      <c r="M1686" s="33"/>
    </row>
    <row r="1687">
      <c r="A1687" s="32" t="s">
        <v>3828</v>
      </c>
      <c r="B1687" s="32" t="s">
        <v>3829</v>
      </c>
      <c r="C1687" s="35">
        <v>-37.0080986</v>
      </c>
      <c r="D1687" s="35">
        <v>174.7920074</v>
      </c>
      <c r="E1687" s="32" t="s">
        <v>1328</v>
      </c>
      <c r="F1687" s="32" t="s">
        <v>3830</v>
      </c>
      <c r="G1687" s="36" t="e">
        <v>#N/A</v>
      </c>
      <c r="H1687" s="33"/>
      <c r="I1687" s="33"/>
      <c r="J1687" s="33"/>
      <c r="K1687" s="33"/>
      <c r="L1687" s="33"/>
      <c r="M1687" s="33"/>
    </row>
    <row r="1688">
      <c r="A1688" s="32" t="s">
        <v>3831</v>
      </c>
      <c r="B1688" s="32" t="s">
        <v>3832</v>
      </c>
      <c r="C1688" s="35">
        <v>58.67679977</v>
      </c>
      <c r="D1688" s="35">
        <v>-156.6490021</v>
      </c>
      <c r="E1688" s="32" t="s">
        <v>180</v>
      </c>
      <c r="F1688" s="32" t="s">
        <v>3833</v>
      </c>
      <c r="G1688" s="39" t="s">
        <v>181</v>
      </c>
      <c r="H1688" s="33"/>
      <c r="I1688" s="33"/>
      <c r="J1688" s="33"/>
      <c r="K1688" s="33"/>
      <c r="L1688" s="33"/>
      <c r="M1688" s="33"/>
    </row>
    <row r="1689">
      <c r="A1689" s="32" t="s">
        <v>3834</v>
      </c>
      <c r="B1689" s="32" t="s">
        <v>3835</v>
      </c>
      <c r="C1689" s="35">
        <v>40.17559814</v>
      </c>
      <c r="D1689" s="35">
        <v>-103.2220001</v>
      </c>
      <c r="E1689" s="32" t="s">
        <v>180</v>
      </c>
      <c r="F1689" s="32" t="s">
        <v>3813</v>
      </c>
      <c r="G1689" s="39" t="s">
        <v>181</v>
      </c>
      <c r="H1689" s="33"/>
      <c r="I1689" s="33"/>
      <c r="J1689" s="33"/>
      <c r="K1689" s="33"/>
      <c r="L1689" s="33"/>
      <c r="M1689" s="33"/>
    </row>
    <row r="1690">
      <c r="A1690" s="32" t="s">
        <v>3836</v>
      </c>
      <c r="B1690" s="32" t="s">
        <v>3837</v>
      </c>
      <c r="C1690" s="35">
        <v>68.13359833</v>
      </c>
      <c r="D1690" s="35">
        <v>-151.7429962</v>
      </c>
      <c r="E1690" s="32" t="s">
        <v>180</v>
      </c>
      <c r="F1690" s="32" t="s">
        <v>3838</v>
      </c>
      <c r="G1690" s="39" t="s">
        <v>181</v>
      </c>
      <c r="H1690" s="33"/>
      <c r="I1690" s="33"/>
      <c r="J1690" s="33"/>
      <c r="K1690" s="33"/>
      <c r="L1690" s="33"/>
      <c r="M1690" s="33"/>
    </row>
    <row r="1691">
      <c r="A1691" s="32" t="s">
        <v>3839</v>
      </c>
      <c r="B1691" s="32" t="s">
        <v>3840</v>
      </c>
      <c r="C1691" s="35">
        <v>7.246739864</v>
      </c>
      <c r="D1691" s="35">
        <v>5.301010132</v>
      </c>
      <c r="E1691" s="32" t="s">
        <v>19</v>
      </c>
      <c r="F1691" s="32" t="s">
        <v>3841</v>
      </c>
      <c r="G1691" s="36" t="e">
        <v>#N/A</v>
      </c>
      <c r="H1691" s="33"/>
      <c r="I1691" s="33"/>
      <c r="J1691" s="33"/>
      <c r="K1691" s="33"/>
      <c r="L1691" s="33"/>
      <c r="M1691" s="33"/>
    </row>
    <row r="1692">
      <c r="A1692" s="32" t="s">
        <v>3842</v>
      </c>
      <c r="B1692" s="32" t="s">
        <v>3843</v>
      </c>
      <c r="C1692" s="35">
        <v>-8.702569962</v>
      </c>
      <c r="D1692" s="35">
        <v>160.6820068</v>
      </c>
      <c r="E1692" s="32" t="s">
        <v>3666</v>
      </c>
      <c r="F1692" s="32" t="s">
        <v>3844</v>
      </c>
      <c r="G1692" s="36" t="e">
        <v>#N/A</v>
      </c>
      <c r="H1692" s="33"/>
      <c r="I1692" s="33"/>
      <c r="J1692" s="33"/>
      <c r="K1692" s="33"/>
      <c r="L1692" s="33"/>
      <c r="M1692" s="33"/>
    </row>
    <row r="1693">
      <c r="A1693" s="32" t="s">
        <v>3845</v>
      </c>
      <c r="B1693" s="32" t="s">
        <v>3846</v>
      </c>
      <c r="C1693" s="35">
        <v>34.590401</v>
      </c>
      <c r="D1693" s="35">
        <v>32.9879</v>
      </c>
      <c r="E1693" s="32" t="s">
        <v>3847</v>
      </c>
      <c r="F1693" s="32" t="s">
        <v>3848</v>
      </c>
      <c r="G1693" s="36" t="e">
        <v>#N/A</v>
      </c>
      <c r="H1693" s="33"/>
      <c r="I1693" s="33"/>
      <c r="J1693" s="33"/>
      <c r="K1693" s="33"/>
      <c r="L1693" s="33"/>
      <c r="M1693" s="33"/>
    </row>
    <row r="1694">
      <c r="A1694" s="32" t="s">
        <v>3849</v>
      </c>
      <c r="B1694" s="32" t="s">
        <v>3850</v>
      </c>
      <c r="C1694" s="35">
        <v>41.262501</v>
      </c>
      <c r="D1694" s="35">
        <v>80.291702</v>
      </c>
      <c r="E1694" s="32" t="s">
        <v>205</v>
      </c>
      <c r="F1694" s="32" t="s">
        <v>3851</v>
      </c>
      <c r="G1694" s="39" t="s">
        <v>206</v>
      </c>
      <c r="H1694" s="33"/>
      <c r="I1694" s="33"/>
      <c r="J1694" s="33"/>
      <c r="K1694" s="33"/>
      <c r="L1694" s="33"/>
      <c r="M1694" s="33"/>
    </row>
    <row r="1695">
      <c r="A1695" s="32" t="s">
        <v>3852</v>
      </c>
      <c r="B1695" s="32" t="s">
        <v>3853</v>
      </c>
      <c r="C1695" s="35">
        <v>60.8185997</v>
      </c>
      <c r="D1695" s="35">
        <v>-78.14859772</v>
      </c>
      <c r="E1695" s="32" t="s">
        <v>94</v>
      </c>
      <c r="F1695" s="32" t="s">
        <v>3854</v>
      </c>
      <c r="G1695" s="36" t="e">
        <v>#N/A</v>
      </c>
      <c r="H1695" s="33"/>
      <c r="I1695" s="33"/>
      <c r="J1695" s="33"/>
      <c r="K1695" s="33"/>
      <c r="L1695" s="33"/>
      <c r="M1695" s="33"/>
    </row>
    <row r="1696">
      <c r="A1696" s="32" t="s">
        <v>3855</v>
      </c>
      <c r="B1696" s="32" t="s">
        <v>3856</v>
      </c>
      <c r="C1696" s="35">
        <v>50.24580002</v>
      </c>
      <c r="D1696" s="35">
        <v>57.20669937</v>
      </c>
      <c r="E1696" s="32" t="s">
        <v>2817</v>
      </c>
      <c r="F1696" s="32" t="s">
        <v>3857</v>
      </c>
      <c r="G1696" s="36" t="e">
        <v>#N/A</v>
      </c>
      <c r="H1696" s="33"/>
      <c r="I1696" s="33"/>
      <c r="J1696" s="33"/>
      <c r="K1696" s="33"/>
      <c r="L1696" s="33"/>
      <c r="M1696" s="33"/>
    </row>
    <row r="1697">
      <c r="A1697" s="32" t="s">
        <v>3858</v>
      </c>
      <c r="B1697" s="32" t="s">
        <v>3859</v>
      </c>
      <c r="C1697" s="35">
        <v>20.13269997</v>
      </c>
      <c r="D1697" s="35">
        <v>92.87259674</v>
      </c>
      <c r="E1697" s="32" t="s">
        <v>1918</v>
      </c>
      <c r="F1697" s="32" t="s">
        <v>3860</v>
      </c>
      <c r="G1697" s="36" t="e">
        <v>#N/A</v>
      </c>
      <c r="H1697" s="33"/>
      <c r="I1697" s="33"/>
      <c r="J1697" s="33"/>
      <c r="K1697" s="33"/>
      <c r="L1697" s="33"/>
      <c r="M1697" s="33"/>
    </row>
    <row r="1698">
      <c r="A1698" s="32" t="s">
        <v>3861</v>
      </c>
      <c r="B1698" s="32" t="s">
        <v>3862</v>
      </c>
      <c r="C1698" s="35">
        <v>43.35210037</v>
      </c>
      <c r="D1698" s="35">
        <v>77.04049683</v>
      </c>
      <c r="E1698" s="32" t="s">
        <v>2817</v>
      </c>
      <c r="F1698" s="32" t="s">
        <v>3863</v>
      </c>
      <c r="G1698" s="36" t="e">
        <v>#N/A</v>
      </c>
      <c r="H1698" s="33"/>
      <c r="I1698" s="33"/>
      <c r="J1698" s="33"/>
      <c r="K1698" s="33"/>
      <c r="L1698" s="33"/>
      <c r="M1698" s="33"/>
    </row>
    <row r="1699">
      <c r="A1699" s="32" t="s">
        <v>3864</v>
      </c>
      <c r="B1699" s="32" t="s">
        <v>3865</v>
      </c>
      <c r="C1699" s="35">
        <v>42.74829865</v>
      </c>
      <c r="D1699" s="35">
        <v>-73.80169678</v>
      </c>
      <c r="E1699" s="32" t="s">
        <v>180</v>
      </c>
      <c r="F1699" s="32" t="s">
        <v>3527</v>
      </c>
      <c r="G1699" s="39" t="s">
        <v>181</v>
      </c>
      <c r="H1699" s="33"/>
      <c r="I1699" s="33"/>
      <c r="J1699" s="33"/>
      <c r="K1699" s="33"/>
      <c r="L1699" s="33"/>
      <c r="M1699" s="33"/>
    </row>
    <row r="1700">
      <c r="A1700" s="32" t="s">
        <v>3866</v>
      </c>
      <c r="B1700" s="32" t="s">
        <v>3867</v>
      </c>
      <c r="C1700" s="35">
        <v>38.28219986</v>
      </c>
      <c r="D1700" s="35">
        <v>-0.558156013</v>
      </c>
      <c r="E1700" s="32" t="s">
        <v>115</v>
      </c>
      <c r="F1700" s="32" t="s">
        <v>3868</v>
      </c>
      <c r="G1700" s="39" t="s">
        <v>116</v>
      </c>
      <c r="H1700" s="33"/>
      <c r="I1700" s="33"/>
      <c r="J1700" s="33"/>
      <c r="K1700" s="33"/>
      <c r="L1700" s="33"/>
      <c r="M1700" s="33"/>
    </row>
    <row r="1701">
      <c r="A1701" s="32" t="s">
        <v>3869</v>
      </c>
      <c r="B1701" s="32" t="s">
        <v>3870</v>
      </c>
      <c r="C1701" s="35">
        <v>69.97609711</v>
      </c>
      <c r="D1701" s="35">
        <v>23.37170029</v>
      </c>
      <c r="E1701" s="32" t="s">
        <v>343</v>
      </c>
      <c r="F1701" s="32" t="s">
        <v>3871</v>
      </c>
      <c r="G1701" s="36" t="e">
        <v>#N/A</v>
      </c>
      <c r="H1701" s="33"/>
      <c r="I1701" s="33"/>
      <c r="J1701" s="33"/>
      <c r="K1701" s="33"/>
      <c r="L1701" s="33"/>
      <c r="M1701" s="33"/>
    </row>
    <row r="1702">
      <c r="A1702" s="32" t="s">
        <v>50</v>
      </c>
      <c r="B1702" s="32" t="s">
        <v>3872</v>
      </c>
      <c r="C1702" s="35">
        <v>36.69100189</v>
      </c>
      <c r="D1702" s="35">
        <v>3.215409994</v>
      </c>
      <c r="E1702" s="32" t="s">
        <v>20</v>
      </c>
      <c r="F1702" s="32" t="s">
        <v>3873</v>
      </c>
      <c r="G1702" s="36" t="e">
        <v>#N/A</v>
      </c>
      <c r="H1702" s="33"/>
      <c r="I1702" s="33"/>
      <c r="J1702" s="33"/>
      <c r="K1702" s="33"/>
      <c r="L1702" s="33"/>
      <c r="M1702" s="33"/>
    </row>
    <row r="1703">
      <c r="A1703" s="32" t="s">
        <v>3874</v>
      </c>
      <c r="B1703" s="32" t="s">
        <v>3875</v>
      </c>
      <c r="C1703" s="35">
        <v>-34.94329834</v>
      </c>
      <c r="D1703" s="35">
        <v>117.8089981</v>
      </c>
      <c r="E1703" s="32" t="s">
        <v>1968</v>
      </c>
      <c r="F1703" s="32" t="s">
        <v>3527</v>
      </c>
      <c r="G1703" s="36" t="e">
        <v>#N/A</v>
      </c>
      <c r="H1703" s="33"/>
      <c r="I1703" s="33"/>
      <c r="J1703" s="33"/>
      <c r="K1703" s="33"/>
      <c r="L1703" s="33"/>
      <c r="M1703" s="33"/>
    </row>
    <row r="1704">
      <c r="A1704" s="32" t="s">
        <v>3876</v>
      </c>
      <c r="B1704" s="32" t="s">
        <v>3877</v>
      </c>
      <c r="C1704" s="35">
        <v>27.74090004</v>
      </c>
      <c r="D1704" s="35">
        <v>-98.02690125</v>
      </c>
      <c r="E1704" s="32" t="s">
        <v>180</v>
      </c>
      <c r="F1704" s="32" t="s">
        <v>3878</v>
      </c>
      <c r="G1704" s="39" t="s">
        <v>181</v>
      </c>
      <c r="H1704" s="33"/>
      <c r="I1704" s="33"/>
      <c r="J1704" s="33"/>
      <c r="K1704" s="33"/>
      <c r="L1704" s="33"/>
      <c r="M1704" s="33"/>
    </row>
    <row r="1705">
      <c r="A1705" s="32" t="s">
        <v>3879</v>
      </c>
      <c r="B1705" s="32" t="s">
        <v>3880</v>
      </c>
      <c r="C1705" s="35">
        <v>-28.57500076</v>
      </c>
      <c r="D1705" s="35">
        <v>16.5333004</v>
      </c>
      <c r="E1705" s="32" t="s">
        <v>16</v>
      </c>
      <c r="F1705" s="32" t="s">
        <v>3881</v>
      </c>
      <c r="G1705" s="36" t="e">
        <v>#N/A</v>
      </c>
      <c r="H1705" s="33"/>
      <c r="I1705" s="33"/>
      <c r="J1705" s="33"/>
      <c r="K1705" s="33"/>
      <c r="L1705" s="33"/>
      <c r="M1705" s="33"/>
    </row>
    <row r="1706">
      <c r="A1706" s="32" t="s">
        <v>3882</v>
      </c>
      <c r="B1706" s="32" t="s">
        <v>3883</v>
      </c>
      <c r="C1706" s="35">
        <v>44.050598</v>
      </c>
      <c r="D1706" s="35">
        <v>8.12743</v>
      </c>
      <c r="E1706" s="32" t="s">
        <v>103</v>
      </c>
      <c r="F1706" s="32" t="s">
        <v>3884</v>
      </c>
      <c r="G1706" s="39" t="s">
        <v>104</v>
      </c>
      <c r="H1706" s="33"/>
      <c r="I1706" s="33"/>
      <c r="J1706" s="33"/>
      <c r="K1706" s="33"/>
      <c r="L1706" s="33"/>
      <c r="M1706" s="33"/>
    </row>
    <row r="1707">
      <c r="A1707" s="32" t="s">
        <v>3885</v>
      </c>
      <c r="B1707" s="32" t="s">
        <v>3886</v>
      </c>
      <c r="C1707" s="35">
        <v>32.83990097</v>
      </c>
      <c r="D1707" s="35">
        <v>-105.9909973</v>
      </c>
      <c r="E1707" s="32" t="s">
        <v>180</v>
      </c>
      <c r="F1707" s="32" t="s">
        <v>3887</v>
      </c>
      <c r="G1707" s="39" t="s">
        <v>181</v>
      </c>
      <c r="H1707" s="33"/>
      <c r="I1707" s="33"/>
      <c r="J1707" s="33"/>
      <c r="K1707" s="33"/>
      <c r="L1707" s="33"/>
      <c r="M1707" s="33"/>
    </row>
    <row r="1708">
      <c r="A1708" s="32" t="s">
        <v>3888</v>
      </c>
      <c r="B1708" s="32" t="s">
        <v>3889</v>
      </c>
      <c r="C1708" s="35">
        <v>38.89030075</v>
      </c>
      <c r="D1708" s="35">
        <v>-90.04599762</v>
      </c>
      <c r="E1708" s="32" t="s">
        <v>180</v>
      </c>
      <c r="F1708" s="32" t="s">
        <v>3890</v>
      </c>
      <c r="G1708" s="39" t="s">
        <v>181</v>
      </c>
      <c r="H1708" s="33"/>
      <c r="I1708" s="33"/>
      <c r="J1708" s="33"/>
      <c r="K1708" s="33"/>
      <c r="L1708" s="33"/>
      <c r="M1708" s="33"/>
    </row>
    <row r="1709">
      <c r="A1709" s="32" t="s">
        <v>3891</v>
      </c>
      <c r="B1709" s="32" t="s">
        <v>3892</v>
      </c>
      <c r="C1709" s="35">
        <v>42.55709839</v>
      </c>
      <c r="D1709" s="35">
        <v>-92.40029907</v>
      </c>
      <c r="E1709" s="32" t="s">
        <v>180</v>
      </c>
      <c r="F1709" s="32" t="s">
        <v>3893</v>
      </c>
      <c r="G1709" s="39" t="s">
        <v>181</v>
      </c>
      <c r="H1709" s="33"/>
      <c r="I1709" s="33"/>
      <c r="J1709" s="33"/>
      <c r="K1709" s="33"/>
      <c r="L1709" s="33"/>
      <c r="M1709" s="33"/>
    </row>
    <row r="1710">
      <c r="A1710" s="32" t="s">
        <v>3894</v>
      </c>
      <c r="B1710" s="32" t="s">
        <v>3895</v>
      </c>
      <c r="C1710" s="35">
        <v>36.18069839</v>
      </c>
      <c r="D1710" s="35">
        <v>37.22439957</v>
      </c>
      <c r="E1710" s="32" t="s">
        <v>3896</v>
      </c>
      <c r="F1710" s="32" t="s">
        <v>3897</v>
      </c>
      <c r="G1710" s="36" t="e">
        <v>#N/A</v>
      </c>
      <c r="H1710" s="33"/>
      <c r="I1710" s="33"/>
      <c r="J1710" s="33"/>
      <c r="K1710" s="33"/>
      <c r="L1710" s="33"/>
      <c r="M1710" s="33"/>
    </row>
    <row r="1711">
      <c r="A1711" s="32" t="s">
        <v>3898</v>
      </c>
      <c r="B1711" s="32" t="s">
        <v>3899</v>
      </c>
      <c r="C1711" s="35">
        <v>-45.21170044</v>
      </c>
      <c r="D1711" s="35">
        <v>169.3730011</v>
      </c>
      <c r="E1711" s="32" t="s">
        <v>1328</v>
      </c>
      <c r="F1711" s="32" t="s">
        <v>3900</v>
      </c>
      <c r="G1711" s="36" t="e">
        <v>#N/A</v>
      </c>
      <c r="H1711" s="33"/>
      <c r="I1711" s="33"/>
      <c r="J1711" s="33"/>
      <c r="K1711" s="33"/>
      <c r="L1711" s="33"/>
      <c r="M1711" s="33"/>
    </row>
    <row r="1712">
      <c r="A1712" s="32" t="s">
        <v>3901</v>
      </c>
      <c r="B1712" s="32" t="s">
        <v>3902</v>
      </c>
      <c r="C1712" s="35">
        <v>37.434898</v>
      </c>
      <c r="D1712" s="35">
        <v>-105.866997</v>
      </c>
      <c r="E1712" s="32" t="s">
        <v>180</v>
      </c>
      <c r="F1712" s="32" t="s">
        <v>3903</v>
      </c>
      <c r="G1712" s="39" t="s">
        <v>181</v>
      </c>
      <c r="H1712" s="33"/>
      <c r="I1712" s="33"/>
      <c r="J1712" s="33"/>
      <c r="K1712" s="33"/>
      <c r="L1712" s="33"/>
      <c r="M1712" s="33"/>
    </row>
    <row r="1713">
      <c r="A1713" s="32" t="s">
        <v>3904</v>
      </c>
      <c r="B1713" s="32" t="s">
        <v>3905</v>
      </c>
      <c r="C1713" s="35">
        <v>11.9582</v>
      </c>
      <c r="D1713" s="35">
        <v>50.748</v>
      </c>
      <c r="E1713" s="32" t="s">
        <v>3906</v>
      </c>
      <c r="F1713" s="32" t="s">
        <v>3907</v>
      </c>
      <c r="G1713" s="36" t="e">
        <v>#N/A</v>
      </c>
      <c r="H1713" s="33"/>
      <c r="I1713" s="33"/>
      <c r="J1713" s="33"/>
      <c r="K1713" s="33"/>
      <c r="L1713" s="33"/>
      <c r="M1713" s="33"/>
    </row>
    <row r="1714">
      <c r="A1714" s="32" t="s">
        <v>3908</v>
      </c>
      <c r="B1714" s="32" t="s">
        <v>3909</v>
      </c>
      <c r="C1714" s="35">
        <v>46.09489822</v>
      </c>
      <c r="D1714" s="35">
        <v>-118.288002</v>
      </c>
      <c r="E1714" s="32" t="s">
        <v>180</v>
      </c>
      <c r="F1714" s="32" t="s">
        <v>3910</v>
      </c>
      <c r="G1714" s="39" t="s">
        <v>181</v>
      </c>
      <c r="H1714" s="33"/>
      <c r="I1714" s="33"/>
      <c r="J1714" s="33"/>
      <c r="K1714" s="33"/>
      <c r="L1714" s="33"/>
      <c r="M1714" s="33"/>
    </row>
    <row r="1715">
      <c r="A1715" s="32" t="s">
        <v>3911</v>
      </c>
      <c r="B1715" s="32" t="s">
        <v>3912</v>
      </c>
      <c r="C1715" s="35">
        <v>32.91469955</v>
      </c>
      <c r="D1715" s="35">
        <v>-85.96299744</v>
      </c>
      <c r="E1715" s="32" t="s">
        <v>180</v>
      </c>
      <c r="F1715" s="32" t="s">
        <v>3913</v>
      </c>
      <c r="G1715" s="39" t="s">
        <v>181</v>
      </c>
      <c r="H1715" s="33"/>
      <c r="I1715" s="33"/>
      <c r="J1715" s="33"/>
      <c r="K1715" s="33"/>
      <c r="L1715" s="33"/>
      <c r="M1715" s="33"/>
    </row>
    <row r="1716">
      <c r="A1716" s="32" t="s">
        <v>3914</v>
      </c>
      <c r="B1716" s="32" t="s">
        <v>3915</v>
      </c>
      <c r="C1716" s="35">
        <v>31.18390083</v>
      </c>
      <c r="D1716" s="35">
        <v>29.94890022</v>
      </c>
      <c r="E1716" s="32" t="s">
        <v>15</v>
      </c>
      <c r="F1716" s="32" t="s">
        <v>1034</v>
      </c>
      <c r="G1716" s="36" t="e">
        <v>#N/A</v>
      </c>
      <c r="H1716" s="33"/>
      <c r="I1716" s="33"/>
      <c r="J1716" s="33"/>
      <c r="K1716" s="33"/>
      <c r="L1716" s="33"/>
      <c r="M1716" s="33"/>
    </row>
    <row r="1717">
      <c r="A1717" s="32" t="s">
        <v>3916</v>
      </c>
      <c r="B1717" s="32" t="s">
        <v>3917</v>
      </c>
      <c r="C1717" s="35">
        <v>35.2193985</v>
      </c>
      <c r="D1717" s="35">
        <v>-101.7060013</v>
      </c>
      <c r="E1717" s="32" t="s">
        <v>180</v>
      </c>
      <c r="F1717" s="32" t="s">
        <v>3918</v>
      </c>
      <c r="G1717" s="39" t="s">
        <v>181</v>
      </c>
      <c r="H1717" s="33"/>
      <c r="I1717" s="33"/>
      <c r="J1717" s="33"/>
      <c r="K1717" s="33"/>
      <c r="L1717" s="33"/>
      <c r="M1717" s="33"/>
    </row>
    <row r="1718">
      <c r="A1718" s="32" t="s">
        <v>3919</v>
      </c>
      <c r="B1718" s="32" t="s">
        <v>3920</v>
      </c>
      <c r="C1718" s="35">
        <v>-13.18840027</v>
      </c>
      <c r="D1718" s="35">
        <v>48.98799896</v>
      </c>
      <c r="E1718" s="32" t="s">
        <v>384</v>
      </c>
      <c r="F1718" s="32" t="s">
        <v>3921</v>
      </c>
      <c r="G1718" s="36" t="e">
        <v>#N/A</v>
      </c>
      <c r="H1718" s="33"/>
      <c r="I1718" s="33"/>
      <c r="J1718" s="33"/>
      <c r="K1718" s="33"/>
      <c r="L1718" s="33"/>
      <c r="M1718" s="33"/>
    </row>
    <row r="1719">
      <c r="A1719" s="32" t="s">
        <v>3922</v>
      </c>
      <c r="B1719" s="32" t="s">
        <v>3923</v>
      </c>
      <c r="C1719" s="35">
        <v>11.0340004</v>
      </c>
      <c r="D1719" s="35">
        <v>20.27400017</v>
      </c>
      <c r="E1719" s="32" t="s">
        <v>3634</v>
      </c>
      <c r="F1719" s="32" t="s">
        <v>3924</v>
      </c>
      <c r="G1719" s="36" t="e">
        <v>#N/A</v>
      </c>
      <c r="H1719" s="33"/>
      <c r="I1719" s="33"/>
      <c r="J1719" s="33"/>
      <c r="K1719" s="33"/>
      <c r="L1719" s="33"/>
      <c r="M1719" s="33"/>
    </row>
    <row r="1720">
      <c r="A1720" s="32" t="s">
        <v>3925</v>
      </c>
      <c r="B1720" s="32" t="s">
        <v>3926</v>
      </c>
      <c r="C1720" s="35">
        <v>23.07719994</v>
      </c>
      <c r="D1720" s="35">
        <v>72.63469696</v>
      </c>
      <c r="E1720" s="32" t="s">
        <v>217</v>
      </c>
      <c r="F1720" s="32" t="s">
        <v>3927</v>
      </c>
      <c r="G1720" s="39" t="s">
        <v>218</v>
      </c>
      <c r="H1720" s="33"/>
      <c r="I1720" s="33"/>
      <c r="J1720" s="33"/>
      <c r="K1720" s="33"/>
      <c r="L1720" s="33"/>
      <c r="M1720" s="33"/>
    </row>
    <row r="1721">
      <c r="A1721" s="32" t="s">
        <v>3928</v>
      </c>
      <c r="B1721" s="32" t="s">
        <v>3929</v>
      </c>
      <c r="C1721" s="35">
        <v>6.039390087</v>
      </c>
      <c r="D1721" s="35">
        <v>37.59049988</v>
      </c>
      <c r="E1721" s="32" t="s">
        <v>18</v>
      </c>
      <c r="F1721" s="32" t="s">
        <v>3930</v>
      </c>
      <c r="G1721" s="36" t="e">
        <v>#N/A</v>
      </c>
      <c r="H1721" s="33"/>
      <c r="I1721" s="33"/>
      <c r="J1721" s="33"/>
      <c r="K1721" s="33"/>
      <c r="L1721" s="33"/>
      <c r="M1721" s="33"/>
    </row>
    <row r="1722">
      <c r="A1722" s="32" t="s">
        <v>3931</v>
      </c>
      <c r="B1722" s="32" t="s">
        <v>3932</v>
      </c>
      <c r="C1722" s="35">
        <v>-8.560709953</v>
      </c>
      <c r="D1722" s="35">
        <v>116.0950012</v>
      </c>
      <c r="E1722" s="32" t="s">
        <v>280</v>
      </c>
      <c r="F1722" s="32" t="s">
        <v>3933</v>
      </c>
      <c r="G1722" s="36" t="e">
        <v>#N/A</v>
      </c>
      <c r="H1722" s="33"/>
      <c r="I1722" s="33"/>
      <c r="J1722" s="33"/>
      <c r="K1722" s="33"/>
      <c r="L1722" s="33"/>
      <c r="M1722" s="33"/>
    </row>
    <row r="1723">
      <c r="A1723" s="32" t="s">
        <v>3934</v>
      </c>
      <c r="B1723" s="32" t="s">
        <v>3935</v>
      </c>
      <c r="C1723" s="35">
        <v>31.72260094</v>
      </c>
      <c r="D1723" s="35">
        <v>35.99319839</v>
      </c>
      <c r="E1723" s="32" t="s">
        <v>253</v>
      </c>
      <c r="F1723" s="32" t="s">
        <v>3599</v>
      </c>
      <c r="G1723" s="36" t="e">
        <v>#N/A</v>
      </c>
      <c r="H1723" s="33"/>
      <c r="I1723" s="33"/>
      <c r="J1723" s="33"/>
      <c r="K1723" s="33"/>
      <c r="L1723" s="33"/>
      <c r="M1723" s="33"/>
    </row>
    <row r="1724">
      <c r="A1724" s="32" t="s">
        <v>3936</v>
      </c>
      <c r="B1724" s="32" t="s">
        <v>3937</v>
      </c>
      <c r="C1724" s="35">
        <v>-3.710259914</v>
      </c>
      <c r="D1724" s="35">
        <v>128.0890045</v>
      </c>
      <c r="E1724" s="32" t="s">
        <v>280</v>
      </c>
      <c r="F1724" s="32" t="s">
        <v>3938</v>
      </c>
      <c r="G1724" s="36" t="e">
        <v>#N/A</v>
      </c>
      <c r="H1724" s="33"/>
      <c r="I1724" s="33"/>
      <c r="J1724" s="33"/>
      <c r="K1724" s="33"/>
      <c r="L1724" s="33"/>
      <c r="M1724" s="33"/>
    </row>
    <row r="1725">
      <c r="A1725" s="32" t="s">
        <v>3939</v>
      </c>
      <c r="B1725" s="32" t="s">
        <v>3940</v>
      </c>
      <c r="C1725" s="35">
        <v>52.30860138</v>
      </c>
      <c r="D1725" s="35">
        <v>4.76388979</v>
      </c>
      <c r="E1725" s="32" t="s">
        <v>127</v>
      </c>
      <c r="F1725" s="32" t="s">
        <v>3941</v>
      </c>
      <c r="G1725" s="39" t="s">
        <v>128</v>
      </c>
      <c r="H1725" s="33"/>
      <c r="I1725" s="33"/>
      <c r="J1725" s="33"/>
      <c r="K1725" s="33"/>
      <c r="L1725" s="33"/>
      <c r="M1725" s="33"/>
    </row>
    <row r="1726">
      <c r="A1726" s="32" t="s">
        <v>3942</v>
      </c>
      <c r="B1726" s="32" t="s">
        <v>3943</v>
      </c>
      <c r="C1726" s="35">
        <v>69.76329803</v>
      </c>
      <c r="D1726" s="35">
        <v>61.5564003</v>
      </c>
      <c r="E1726" s="32" t="s">
        <v>2040</v>
      </c>
      <c r="F1726" s="32" t="s">
        <v>3944</v>
      </c>
      <c r="G1726" s="36" t="e">
        <v>#N/A</v>
      </c>
      <c r="H1726" s="33"/>
      <c r="I1726" s="33"/>
      <c r="J1726" s="33"/>
      <c r="K1726" s="33"/>
      <c r="L1726" s="33"/>
      <c r="M1726" s="33"/>
    </row>
    <row r="1727">
      <c r="A1727" s="32" t="s">
        <v>3945</v>
      </c>
      <c r="B1727" s="32" t="s">
        <v>3946</v>
      </c>
      <c r="C1727" s="35">
        <v>-37.02970123</v>
      </c>
      <c r="D1727" s="35">
        <v>174.9730072</v>
      </c>
      <c r="E1727" s="32" t="s">
        <v>1328</v>
      </c>
      <c r="F1727" s="32" t="s">
        <v>3607</v>
      </c>
      <c r="G1727" s="36" t="e">
        <v>#N/A</v>
      </c>
      <c r="H1727" s="33"/>
      <c r="I1727" s="33"/>
      <c r="J1727" s="33"/>
      <c r="K1727" s="33"/>
      <c r="L1727" s="33"/>
      <c r="M1727" s="33"/>
    </row>
    <row r="1728">
      <c r="A1728" s="32" t="s">
        <v>3947</v>
      </c>
      <c r="B1728" s="32" t="s">
        <v>3948</v>
      </c>
      <c r="C1728" s="35">
        <v>33.58819962</v>
      </c>
      <c r="D1728" s="35">
        <v>-85.85810089</v>
      </c>
      <c r="E1728" s="32" t="s">
        <v>180</v>
      </c>
      <c r="F1728" s="32" t="s">
        <v>3949</v>
      </c>
      <c r="G1728" s="39" t="s">
        <v>181</v>
      </c>
      <c r="H1728" s="33"/>
      <c r="I1728" s="33"/>
      <c r="J1728" s="33"/>
      <c r="K1728" s="33"/>
      <c r="L1728" s="33"/>
      <c r="M1728" s="33"/>
    </row>
    <row r="1729">
      <c r="A1729" s="32" t="s">
        <v>3950</v>
      </c>
      <c r="B1729" s="32" t="s">
        <v>3951</v>
      </c>
      <c r="C1729" s="35">
        <v>61.17440033</v>
      </c>
      <c r="D1729" s="35">
        <v>-149.9960022</v>
      </c>
      <c r="E1729" s="32" t="s">
        <v>180</v>
      </c>
      <c r="F1729" s="32" t="s">
        <v>3952</v>
      </c>
      <c r="G1729" s="39" t="s">
        <v>181</v>
      </c>
      <c r="H1729" s="33"/>
      <c r="I1729" s="33"/>
      <c r="J1729" s="33"/>
      <c r="K1729" s="33"/>
      <c r="L1729" s="33"/>
      <c r="M1729" s="33"/>
    </row>
    <row r="1730">
      <c r="A1730" s="32" t="s">
        <v>3953</v>
      </c>
      <c r="B1730" s="32" t="s">
        <v>3954</v>
      </c>
      <c r="C1730" s="35">
        <v>34.49459839</v>
      </c>
      <c r="D1730" s="35">
        <v>-82.70939636</v>
      </c>
      <c r="E1730" s="32" t="s">
        <v>180</v>
      </c>
      <c r="F1730" s="32" t="s">
        <v>3955</v>
      </c>
      <c r="G1730" s="39" t="s">
        <v>181</v>
      </c>
      <c r="H1730" s="33"/>
      <c r="I1730" s="33"/>
      <c r="J1730" s="33"/>
      <c r="K1730" s="33"/>
      <c r="L1730" s="33"/>
      <c r="M1730" s="33"/>
    </row>
    <row r="1731">
      <c r="A1731" s="32" t="s">
        <v>3956</v>
      </c>
      <c r="B1731" s="32" t="s">
        <v>3957</v>
      </c>
      <c r="C1731" s="35">
        <v>47.56029892</v>
      </c>
      <c r="D1731" s="35">
        <v>-0.312222004</v>
      </c>
      <c r="E1731" s="32" t="s">
        <v>96</v>
      </c>
      <c r="F1731" s="32" t="s">
        <v>3958</v>
      </c>
      <c r="G1731" s="39" t="s">
        <v>97</v>
      </c>
      <c r="H1731" s="33"/>
      <c r="I1731" s="33"/>
      <c r="J1731" s="33"/>
      <c r="K1731" s="33"/>
      <c r="L1731" s="33"/>
      <c r="M1731" s="33"/>
    </row>
    <row r="1732">
      <c r="A1732" s="32" t="s">
        <v>3959</v>
      </c>
      <c r="B1732" s="32" t="s">
        <v>3960</v>
      </c>
      <c r="C1732" s="35">
        <v>-23.44449997</v>
      </c>
      <c r="D1732" s="35">
        <v>-70.44509888</v>
      </c>
      <c r="E1732" s="32" t="s">
        <v>300</v>
      </c>
      <c r="F1732" s="32" t="s">
        <v>3961</v>
      </c>
      <c r="G1732" s="36" t="e">
        <v>#N/A</v>
      </c>
      <c r="H1732" s="33"/>
      <c r="I1732" s="33"/>
      <c r="J1732" s="33"/>
      <c r="K1732" s="33"/>
      <c r="L1732" s="33"/>
      <c r="M1732" s="33"/>
    </row>
    <row r="1733">
      <c r="A1733" s="32" t="s">
        <v>3962</v>
      </c>
      <c r="B1733" s="32" t="s">
        <v>3963</v>
      </c>
      <c r="C1733" s="35">
        <v>45.72919846</v>
      </c>
      <c r="D1733" s="35">
        <v>0.221456006</v>
      </c>
      <c r="E1733" s="32" t="s">
        <v>96</v>
      </c>
      <c r="F1733" s="32" t="s">
        <v>3964</v>
      </c>
      <c r="G1733" s="39" t="s">
        <v>97</v>
      </c>
      <c r="H1733" s="33"/>
      <c r="I1733" s="33"/>
      <c r="J1733" s="33"/>
      <c r="K1733" s="33"/>
      <c r="L1733" s="33"/>
      <c r="M1733" s="33"/>
    </row>
    <row r="1734">
      <c r="A1734" s="32" t="s">
        <v>3965</v>
      </c>
      <c r="B1734" s="32" t="s">
        <v>3966</v>
      </c>
      <c r="C1734" s="35">
        <v>61.58160019</v>
      </c>
      <c r="D1734" s="35">
        <v>-159.5429993</v>
      </c>
      <c r="E1734" s="32" t="s">
        <v>180</v>
      </c>
      <c r="F1734" s="32" t="s">
        <v>3967</v>
      </c>
      <c r="G1734" s="39" t="s">
        <v>181</v>
      </c>
      <c r="H1734" s="33"/>
      <c r="I1734" s="33"/>
      <c r="J1734" s="33"/>
      <c r="K1734" s="33"/>
      <c r="L1734" s="33"/>
      <c r="M1734" s="33"/>
    </row>
    <row r="1735">
      <c r="A1735" s="32" t="s">
        <v>3968</v>
      </c>
      <c r="B1735" s="32" t="s">
        <v>3969</v>
      </c>
      <c r="C1735" s="35">
        <v>39.94979858</v>
      </c>
      <c r="D1735" s="35">
        <v>32.68859863</v>
      </c>
      <c r="E1735" s="32" t="s">
        <v>133</v>
      </c>
      <c r="F1735" s="32" t="s">
        <v>1197</v>
      </c>
      <c r="G1735" s="39" t="s">
        <v>134</v>
      </c>
      <c r="H1735" s="33"/>
      <c r="I1735" s="33"/>
      <c r="J1735" s="33"/>
      <c r="K1735" s="33"/>
      <c r="L1735" s="33"/>
      <c r="M1735" s="33"/>
    </row>
    <row r="1736">
      <c r="A1736" s="32" t="s">
        <v>3970</v>
      </c>
      <c r="B1736" s="32" t="s">
        <v>3971</v>
      </c>
      <c r="C1736" s="35">
        <v>-14.99940014</v>
      </c>
      <c r="D1736" s="35">
        <v>50.32020187</v>
      </c>
      <c r="E1736" s="32" t="s">
        <v>384</v>
      </c>
      <c r="F1736" s="32" t="s">
        <v>3972</v>
      </c>
      <c r="G1736" s="36" t="e">
        <v>#N/A</v>
      </c>
      <c r="H1736" s="33"/>
      <c r="I1736" s="33"/>
      <c r="J1736" s="33"/>
      <c r="K1736" s="33"/>
      <c r="L1736" s="33"/>
      <c r="M1736" s="33"/>
    </row>
    <row r="1737">
      <c r="A1737" s="32" t="s">
        <v>3973</v>
      </c>
      <c r="B1737" s="32" t="s">
        <v>3974</v>
      </c>
      <c r="C1737" s="35">
        <v>55.04240036</v>
      </c>
      <c r="D1737" s="35">
        <v>-131.5720062</v>
      </c>
      <c r="E1737" s="32" t="s">
        <v>180</v>
      </c>
      <c r="F1737" s="32" t="s">
        <v>3975</v>
      </c>
      <c r="G1737" s="39" t="s">
        <v>181</v>
      </c>
      <c r="H1737" s="33"/>
      <c r="I1737" s="33"/>
      <c r="J1737" s="33"/>
      <c r="K1737" s="33"/>
      <c r="L1737" s="33"/>
      <c r="M1737" s="33"/>
    </row>
    <row r="1738">
      <c r="A1738" s="32" t="s">
        <v>3976</v>
      </c>
      <c r="B1738" s="32" t="s">
        <v>3977</v>
      </c>
      <c r="C1738" s="35">
        <v>38.942902</v>
      </c>
      <c r="D1738" s="35">
        <v>-76.568398</v>
      </c>
      <c r="E1738" s="32" t="s">
        <v>180</v>
      </c>
      <c r="F1738" s="32" t="s">
        <v>3978</v>
      </c>
      <c r="G1738" s="39" t="s">
        <v>181</v>
      </c>
      <c r="H1738" s="33"/>
      <c r="I1738" s="33"/>
      <c r="J1738" s="33"/>
      <c r="K1738" s="33"/>
      <c r="L1738" s="33"/>
      <c r="M1738" s="33"/>
    </row>
    <row r="1739">
      <c r="A1739" s="32" t="s">
        <v>3979</v>
      </c>
      <c r="B1739" s="32" t="s">
        <v>3980</v>
      </c>
      <c r="C1739" s="35">
        <v>41.639702</v>
      </c>
      <c r="D1739" s="35">
        <v>-85.083504</v>
      </c>
      <c r="E1739" s="32" t="s">
        <v>180</v>
      </c>
      <c r="F1739" s="32" t="s">
        <v>764</v>
      </c>
      <c r="G1739" s="39" t="s">
        <v>181</v>
      </c>
      <c r="H1739" s="33"/>
      <c r="I1739" s="33"/>
      <c r="J1739" s="33"/>
      <c r="K1739" s="33"/>
      <c r="L1739" s="33"/>
      <c r="M1739" s="33"/>
    </row>
    <row r="1740">
      <c r="A1740" s="32" t="s">
        <v>3981</v>
      </c>
      <c r="B1740" s="32" t="s">
        <v>3982</v>
      </c>
      <c r="C1740" s="35">
        <v>51.18939972</v>
      </c>
      <c r="D1740" s="35">
        <v>4.460279942</v>
      </c>
      <c r="E1740" s="32" t="s">
        <v>197</v>
      </c>
      <c r="F1740" s="32" t="s">
        <v>3983</v>
      </c>
      <c r="G1740" s="36" t="e">
        <v>#N/A</v>
      </c>
      <c r="H1740" s="33"/>
      <c r="I1740" s="33"/>
      <c r="J1740" s="33"/>
      <c r="K1740" s="33"/>
      <c r="L1740" s="33"/>
      <c r="M1740" s="33"/>
    </row>
    <row r="1741">
      <c r="A1741" s="32" t="s">
        <v>3984</v>
      </c>
      <c r="B1741" s="32" t="s">
        <v>3985</v>
      </c>
      <c r="C1741" s="35">
        <v>-13.70639992</v>
      </c>
      <c r="D1741" s="35">
        <v>-73.35040283</v>
      </c>
      <c r="E1741" s="32" t="s">
        <v>307</v>
      </c>
      <c r="F1741" s="32" t="s">
        <v>3986</v>
      </c>
      <c r="G1741" s="36" t="e">
        <v>#N/A</v>
      </c>
      <c r="H1741" s="33"/>
      <c r="I1741" s="33"/>
      <c r="J1741" s="33"/>
      <c r="K1741" s="33"/>
      <c r="L1741" s="33"/>
      <c r="M1741" s="33"/>
    </row>
    <row r="1742">
      <c r="A1742" s="32" t="s">
        <v>3987</v>
      </c>
      <c r="B1742" s="32" t="s">
        <v>3988</v>
      </c>
      <c r="C1742" s="35">
        <v>17.1367</v>
      </c>
      <c r="D1742" s="35">
        <v>-61.792702</v>
      </c>
      <c r="E1742" s="32" t="s">
        <v>3989</v>
      </c>
      <c r="F1742" s="32" t="s">
        <v>3990</v>
      </c>
      <c r="G1742" s="36" t="e">
        <v>#N/A</v>
      </c>
      <c r="H1742" s="33"/>
      <c r="I1742" s="33"/>
      <c r="J1742" s="33"/>
      <c r="K1742" s="33"/>
      <c r="L1742" s="33"/>
      <c r="M1742" s="33"/>
    </row>
    <row r="1743">
      <c r="A1743" s="32" t="s">
        <v>3991</v>
      </c>
      <c r="B1743" s="32" t="s">
        <v>3992</v>
      </c>
      <c r="C1743" s="35">
        <v>62.646702</v>
      </c>
      <c r="D1743" s="35">
        <v>-160.190994</v>
      </c>
      <c r="E1743" s="32" t="s">
        <v>180</v>
      </c>
      <c r="F1743" s="32" t="s">
        <v>3993</v>
      </c>
      <c r="G1743" s="39" t="s">
        <v>181</v>
      </c>
      <c r="H1743" s="33"/>
      <c r="I1743" s="33"/>
      <c r="J1743" s="33"/>
      <c r="K1743" s="33"/>
      <c r="L1743" s="33"/>
      <c r="M1743" s="33"/>
    </row>
    <row r="1744">
      <c r="A1744" s="32" t="s">
        <v>3994</v>
      </c>
      <c r="B1744" s="32" t="s">
        <v>3995</v>
      </c>
      <c r="C1744" s="35">
        <v>69.29250336</v>
      </c>
      <c r="D1744" s="35">
        <v>16.14419937</v>
      </c>
      <c r="E1744" s="32" t="s">
        <v>343</v>
      </c>
      <c r="F1744" s="32" t="s">
        <v>3996</v>
      </c>
      <c r="G1744" s="36" t="e">
        <v>#N/A</v>
      </c>
      <c r="H1744" s="33"/>
      <c r="I1744" s="33"/>
      <c r="J1744" s="33"/>
      <c r="K1744" s="33"/>
      <c r="L1744" s="33"/>
      <c r="M1744" s="33"/>
    </row>
    <row r="1745">
      <c r="A1745" s="32" t="s">
        <v>3997</v>
      </c>
      <c r="B1745" s="32" t="s">
        <v>3998</v>
      </c>
      <c r="C1745" s="35">
        <v>50.98194504</v>
      </c>
      <c r="D1745" s="35">
        <v>12.50638866</v>
      </c>
      <c r="E1745" s="32" t="s">
        <v>109</v>
      </c>
      <c r="F1745" s="32" t="s">
        <v>3999</v>
      </c>
      <c r="G1745" s="39" t="s">
        <v>110</v>
      </c>
      <c r="H1745" s="33"/>
      <c r="I1745" s="33"/>
      <c r="J1745" s="33"/>
      <c r="K1745" s="33"/>
      <c r="L1745" s="33"/>
      <c r="M1745" s="33"/>
    </row>
    <row r="1746">
      <c r="A1746" s="32" t="s">
        <v>4000</v>
      </c>
      <c r="B1746" s="32" t="s">
        <v>4001</v>
      </c>
      <c r="C1746" s="35">
        <v>39.809898</v>
      </c>
      <c r="D1746" s="35">
        <v>30.5194</v>
      </c>
      <c r="E1746" s="32" t="s">
        <v>133</v>
      </c>
      <c r="F1746" s="32" t="s">
        <v>4002</v>
      </c>
      <c r="G1746" s="39" t="s">
        <v>134</v>
      </c>
      <c r="H1746" s="33"/>
      <c r="I1746" s="33"/>
      <c r="J1746" s="33"/>
      <c r="K1746" s="33"/>
      <c r="L1746" s="33"/>
      <c r="M1746" s="33"/>
    </row>
    <row r="1747">
      <c r="A1747" s="32" t="s">
        <v>4003</v>
      </c>
      <c r="B1747" s="32" t="s">
        <v>4004</v>
      </c>
      <c r="C1747" s="35">
        <v>41.105301</v>
      </c>
      <c r="D1747" s="35">
        <v>122.853996</v>
      </c>
      <c r="E1747" s="32" t="s">
        <v>205</v>
      </c>
      <c r="F1747" s="32" t="s">
        <v>4005</v>
      </c>
      <c r="G1747" s="39" t="s">
        <v>206</v>
      </c>
      <c r="H1747" s="33"/>
      <c r="I1747" s="33"/>
      <c r="J1747" s="33"/>
      <c r="K1747" s="33"/>
      <c r="L1747" s="33"/>
      <c r="M1747" s="33"/>
    </row>
    <row r="1748">
      <c r="A1748" s="32" t="s">
        <v>4006</v>
      </c>
      <c r="B1748" s="32" t="s">
        <v>4007</v>
      </c>
      <c r="C1748" s="35">
        <v>40.706902</v>
      </c>
      <c r="D1748" s="35">
        <v>-84.026703</v>
      </c>
      <c r="E1748" s="32" t="s">
        <v>180</v>
      </c>
      <c r="F1748" s="32" t="s">
        <v>4008</v>
      </c>
      <c r="G1748" s="39" t="s">
        <v>181</v>
      </c>
      <c r="H1748" s="33"/>
      <c r="I1748" s="33"/>
      <c r="J1748" s="33"/>
      <c r="K1748" s="33"/>
      <c r="L1748" s="33"/>
      <c r="M1748" s="33"/>
    </row>
    <row r="1749">
      <c r="A1749" s="32" t="s">
        <v>4009</v>
      </c>
      <c r="B1749" s="32" t="s">
        <v>4010</v>
      </c>
      <c r="C1749" s="35">
        <v>43.616299</v>
      </c>
      <c r="D1749" s="35">
        <v>13.3623</v>
      </c>
      <c r="E1749" s="32" t="s">
        <v>103</v>
      </c>
      <c r="F1749" s="32" t="s">
        <v>4011</v>
      </c>
      <c r="G1749" s="39" t="s">
        <v>104</v>
      </c>
      <c r="H1749" s="33"/>
      <c r="I1749" s="33"/>
      <c r="J1749" s="33"/>
      <c r="K1749" s="33"/>
      <c r="L1749" s="33"/>
      <c r="M1749" s="33"/>
    </row>
    <row r="1750">
      <c r="A1750" s="32" t="s">
        <v>4012</v>
      </c>
      <c r="B1750" s="32" t="s">
        <v>4013</v>
      </c>
      <c r="C1750" s="35">
        <v>40.73469925</v>
      </c>
      <c r="D1750" s="35">
        <v>140.6909943</v>
      </c>
      <c r="E1750" s="32" t="s">
        <v>170</v>
      </c>
      <c r="F1750" s="32" t="s">
        <v>4014</v>
      </c>
      <c r="G1750" s="39" t="s">
        <v>171</v>
      </c>
      <c r="H1750" s="33"/>
      <c r="I1750" s="33"/>
      <c r="J1750" s="33"/>
      <c r="K1750" s="33"/>
      <c r="L1750" s="33"/>
      <c r="M1750" s="33"/>
    </row>
    <row r="1751">
      <c r="A1751" s="32" t="s">
        <v>4015</v>
      </c>
      <c r="B1751" s="32" t="s">
        <v>4016</v>
      </c>
      <c r="C1751" s="35">
        <v>35.42139816</v>
      </c>
      <c r="D1751" s="35">
        <v>27.14599991</v>
      </c>
      <c r="E1751" s="32" t="s">
        <v>339</v>
      </c>
      <c r="F1751" s="32" t="s">
        <v>4017</v>
      </c>
      <c r="G1751" s="36" t="e">
        <v>#N/A</v>
      </c>
      <c r="H1751" s="33"/>
      <c r="I1751" s="33"/>
      <c r="J1751" s="33"/>
      <c r="K1751" s="33"/>
      <c r="L1751" s="33"/>
      <c r="M1751" s="33"/>
    </row>
    <row r="1752">
      <c r="A1752" s="32" t="s">
        <v>4018</v>
      </c>
      <c r="B1752" s="32" t="s">
        <v>4019</v>
      </c>
      <c r="C1752" s="35">
        <v>-29.6894</v>
      </c>
      <c r="D1752" s="35">
        <v>-57.1521</v>
      </c>
      <c r="E1752" s="32" t="s">
        <v>296</v>
      </c>
      <c r="F1752" s="32" t="s">
        <v>4020</v>
      </c>
      <c r="G1752" s="36" t="e">
        <v>#N/A</v>
      </c>
      <c r="H1752" s="33"/>
      <c r="I1752" s="33"/>
      <c r="J1752" s="33"/>
      <c r="K1752" s="33"/>
      <c r="L1752" s="33"/>
      <c r="M1752" s="33"/>
    </row>
    <row r="1753">
      <c r="A1753" s="32" t="s">
        <v>4021</v>
      </c>
      <c r="B1753" s="32" t="s">
        <v>4022</v>
      </c>
      <c r="C1753" s="35">
        <v>40.29639816</v>
      </c>
      <c r="D1753" s="35">
        <v>-78.31999969</v>
      </c>
      <c r="E1753" s="32" t="s">
        <v>180</v>
      </c>
      <c r="F1753" s="32" t="s">
        <v>4023</v>
      </c>
      <c r="G1753" s="39" t="s">
        <v>181</v>
      </c>
      <c r="H1753" s="33"/>
      <c r="I1753" s="33"/>
      <c r="J1753" s="33"/>
      <c r="K1753" s="33"/>
      <c r="L1753" s="33"/>
      <c r="M1753" s="33"/>
    </row>
    <row r="1754">
      <c r="A1754" s="32" t="s">
        <v>4024</v>
      </c>
      <c r="B1754" s="32" t="s">
        <v>4025</v>
      </c>
      <c r="C1754" s="35">
        <v>6.189670086</v>
      </c>
      <c r="D1754" s="35">
        <v>100.3980026</v>
      </c>
      <c r="E1754" s="32" t="s">
        <v>284</v>
      </c>
      <c r="F1754" s="32" t="s">
        <v>4026</v>
      </c>
      <c r="G1754" s="36" t="e">
        <v>#N/A</v>
      </c>
      <c r="H1754" s="33"/>
      <c r="I1754" s="33"/>
      <c r="J1754" s="33"/>
      <c r="K1754" s="33"/>
      <c r="L1754" s="33"/>
      <c r="M1754" s="33"/>
    </row>
    <row r="1755">
      <c r="A1755" s="32" t="s">
        <v>4027</v>
      </c>
      <c r="B1755" s="32" t="s">
        <v>4028</v>
      </c>
      <c r="C1755" s="35">
        <v>45.738499</v>
      </c>
      <c r="D1755" s="35">
        <v>7.36872</v>
      </c>
      <c r="E1755" s="32" t="s">
        <v>103</v>
      </c>
      <c r="F1755" s="32" t="s">
        <v>4029</v>
      </c>
      <c r="G1755" s="39" t="s">
        <v>104</v>
      </c>
      <c r="H1755" s="33"/>
      <c r="I1755" s="33"/>
      <c r="J1755" s="33"/>
      <c r="K1755" s="33"/>
      <c r="L1755" s="33"/>
      <c r="M1755" s="33"/>
    </row>
    <row r="1756">
      <c r="A1756" s="32" t="s">
        <v>4030</v>
      </c>
      <c r="B1756" s="32" t="s">
        <v>4031</v>
      </c>
      <c r="C1756" s="35">
        <v>14.81471536</v>
      </c>
      <c r="D1756" s="35">
        <v>106.8216991</v>
      </c>
      <c r="E1756" s="32" t="s">
        <v>1872</v>
      </c>
      <c r="F1756" s="32" t="s">
        <v>4032</v>
      </c>
      <c r="G1756" s="36" t="e">
        <v>#N/A</v>
      </c>
      <c r="H1756" s="33"/>
      <c r="I1756" s="33"/>
      <c r="J1756" s="33"/>
      <c r="K1756" s="33"/>
      <c r="L1756" s="33"/>
      <c r="M1756" s="33"/>
    </row>
    <row r="1757">
      <c r="A1757" s="32" t="s">
        <v>4033</v>
      </c>
      <c r="B1757" s="32" t="s">
        <v>4034</v>
      </c>
      <c r="C1757" s="35">
        <v>39.57009888</v>
      </c>
      <c r="D1757" s="35">
        <v>-104.848999</v>
      </c>
      <c r="E1757" s="32" t="s">
        <v>180</v>
      </c>
      <c r="F1757" s="32" t="s">
        <v>4035</v>
      </c>
      <c r="G1757" s="39" t="s">
        <v>181</v>
      </c>
      <c r="H1757" s="33"/>
      <c r="I1757" s="33"/>
      <c r="J1757" s="33"/>
      <c r="K1757" s="33"/>
      <c r="L1757" s="33"/>
      <c r="M1757" s="33"/>
    </row>
    <row r="1758">
      <c r="A1758" s="32" t="s">
        <v>4036</v>
      </c>
      <c r="B1758" s="32" t="s">
        <v>4037</v>
      </c>
      <c r="C1758" s="35">
        <v>38.2132</v>
      </c>
      <c r="D1758" s="35">
        <v>-122.280998</v>
      </c>
      <c r="E1758" s="32" t="s">
        <v>180</v>
      </c>
      <c r="F1758" s="32" t="s">
        <v>4038</v>
      </c>
      <c r="G1758" s="39" t="s">
        <v>181</v>
      </c>
      <c r="H1758" s="33"/>
      <c r="I1758" s="33"/>
      <c r="J1758" s="33"/>
      <c r="K1758" s="33"/>
      <c r="L1758" s="33"/>
      <c r="M1758" s="33"/>
    </row>
    <row r="1759">
      <c r="A1759" s="32" t="s">
        <v>4039</v>
      </c>
      <c r="B1759" s="32" t="s">
        <v>4040</v>
      </c>
      <c r="C1759" s="35">
        <v>26.15259933</v>
      </c>
      <c r="D1759" s="35">
        <v>-81.77529907</v>
      </c>
      <c r="E1759" s="32" t="s">
        <v>180</v>
      </c>
      <c r="F1759" s="32" t="s">
        <v>4041</v>
      </c>
      <c r="G1759" s="39" t="s">
        <v>181</v>
      </c>
      <c r="H1759" s="33"/>
      <c r="I1759" s="33"/>
      <c r="J1759" s="33"/>
      <c r="K1759" s="33"/>
      <c r="L1759" s="33"/>
      <c r="M1759" s="33"/>
    </row>
    <row r="1760">
      <c r="A1760" s="32" t="s">
        <v>4042</v>
      </c>
      <c r="B1760" s="32" t="s">
        <v>4043</v>
      </c>
      <c r="C1760" s="35">
        <v>39.466202</v>
      </c>
      <c r="D1760" s="35">
        <v>-76.1688</v>
      </c>
      <c r="E1760" s="32" t="s">
        <v>180</v>
      </c>
      <c r="F1760" s="32" t="s">
        <v>3512</v>
      </c>
      <c r="G1760" s="39" t="s">
        <v>181</v>
      </c>
      <c r="H1760" s="33"/>
      <c r="I1760" s="33"/>
      <c r="J1760" s="33"/>
      <c r="K1760" s="33"/>
      <c r="L1760" s="33"/>
      <c r="M1760" s="33"/>
    </row>
    <row r="1761">
      <c r="A1761" s="32" t="s">
        <v>4044</v>
      </c>
      <c r="B1761" s="32" t="s">
        <v>4045</v>
      </c>
      <c r="C1761" s="35">
        <v>4.07607</v>
      </c>
      <c r="D1761" s="35">
        <v>-73.5627</v>
      </c>
      <c r="E1761" s="32" t="s">
        <v>292</v>
      </c>
      <c r="F1761" s="32" t="s">
        <v>4046</v>
      </c>
      <c r="G1761" s="36" t="e">
        <v>#N/A</v>
      </c>
      <c r="H1761" s="33"/>
      <c r="I1761" s="33"/>
      <c r="J1761" s="33"/>
      <c r="K1761" s="33"/>
      <c r="L1761" s="33"/>
      <c r="M1761" s="33"/>
    </row>
    <row r="1762">
      <c r="A1762" s="32" t="s">
        <v>4047</v>
      </c>
      <c r="B1762" s="32" t="s">
        <v>4048</v>
      </c>
      <c r="C1762" s="35">
        <v>-15.57359982</v>
      </c>
      <c r="D1762" s="35">
        <v>-146.4149933</v>
      </c>
      <c r="E1762" s="32" t="s">
        <v>1325</v>
      </c>
      <c r="F1762" s="32" t="s">
        <v>4049</v>
      </c>
      <c r="G1762" s="36" t="e">
        <v>#N/A</v>
      </c>
      <c r="H1762" s="33"/>
      <c r="I1762" s="33"/>
      <c r="J1762" s="33"/>
      <c r="K1762" s="33"/>
      <c r="L1762" s="33"/>
      <c r="M1762" s="33"/>
    </row>
    <row r="1763">
      <c r="A1763" s="32" t="s">
        <v>4050</v>
      </c>
      <c r="B1763" s="32" t="s">
        <v>4051</v>
      </c>
      <c r="C1763" s="35">
        <v>-15.10560036</v>
      </c>
      <c r="D1763" s="35">
        <v>39.28179932</v>
      </c>
      <c r="E1763" s="32" t="s">
        <v>767</v>
      </c>
      <c r="F1763" s="32" t="s">
        <v>4052</v>
      </c>
      <c r="G1763" s="36" t="e">
        <v>#N/A</v>
      </c>
      <c r="H1763" s="33"/>
      <c r="I1763" s="33"/>
      <c r="J1763" s="33"/>
      <c r="K1763" s="33"/>
      <c r="L1763" s="33"/>
      <c r="M1763" s="33"/>
    </row>
    <row r="1764">
      <c r="A1764" s="32" t="s">
        <v>4053</v>
      </c>
      <c r="B1764" s="32" t="s">
        <v>4054</v>
      </c>
      <c r="C1764" s="35">
        <v>45.0780983</v>
      </c>
      <c r="D1764" s="35">
        <v>-83.56030273</v>
      </c>
      <c r="E1764" s="32" t="s">
        <v>180</v>
      </c>
      <c r="F1764" s="32" t="s">
        <v>4055</v>
      </c>
      <c r="G1764" s="39" t="s">
        <v>181</v>
      </c>
      <c r="H1764" s="33"/>
      <c r="I1764" s="33"/>
      <c r="J1764" s="33"/>
      <c r="K1764" s="33"/>
      <c r="L1764" s="33"/>
      <c r="M1764" s="33"/>
    </row>
    <row r="1765">
      <c r="A1765" s="32" t="s">
        <v>4056</v>
      </c>
      <c r="B1765" s="32" t="s">
        <v>4057</v>
      </c>
      <c r="C1765" s="35">
        <v>7.81196</v>
      </c>
      <c r="D1765" s="35">
        <v>-76.7164</v>
      </c>
      <c r="E1765" s="32" t="s">
        <v>292</v>
      </c>
      <c r="F1765" s="32" t="s">
        <v>4058</v>
      </c>
      <c r="G1765" s="36" t="e">
        <v>#N/A</v>
      </c>
      <c r="H1765" s="33"/>
      <c r="I1765" s="33"/>
      <c r="J1765" s="33"/>
      <c r="K1765" s="33"/>
      <c r="L1765" s="33"/>
      <c r="M1765" s="33"/>
    </row>
    <row r="1766">
      <c r="A1766" s="32" t="s">
        <v>4059</v>
      </c>
      <c r="B1766" s="32" t="s">
        <v>4060</v>
      </c>
      <c r="C1766" s="35">
        <v>-9.775360107</v>
      </c>
      <c r="D1766" s="35">
        <v>-36.62919998</v>
      </c>
      <c r="E1766" s="32" t="s">
        <v>288</v>
      </c>
      <c r="F1766" s="32" t="s">
        <v>4061</v>
      </c>
      <c r="G1766" s="36" t="e">
        <v>#N/A</v>
      </c>
      <c r="H1766" s="33"/>
      <c r="I1766" s="33"/>
      <c r="J1766" s="33"/>
      <c r="K1766" s="33"/>
      <c r="L1766" s="33"/>
      <c r="M1766" s="33"/>
    </row>
    <row r="1767">
      <c r="A1767" s="32" t="s">
        <v>4062</v>
      </c>
      <c r="B1767" s="32" t="s">
        <v>4063</v>
      </c>
      <c r="C1767" s="35">
        <v>-13.82999992</v>
      </c>
      <c r="D1767" s="35">
        <v>-172.0079956</v>
      </c>
      <c r="E1767" s="32" t="s">
        <v>4064</v>
      </c>
      <c r="F1767" s="32" t="s">
        <v>4065</v>
      </c>
      <c r="G1767" s="36" t="e">
        <v>#N/A</v>
      </c>
      <c r="H1767" s="33"/>
      <c r="I1767" s="33"/>
      <c r="J1767" s="33"/>
      <c r="K1767" s="33"/>
      <c r="L1767" s="33"/>
      <c r="M1767" s="33"/>
    </row>
    <row r="1768">
      <c r="A1768" s="32" t="s">
        <v>4066</v>
      </c>
      <c r="B1768" s="32" t="s">
        <v>4067</v>
      </c>
      <c r="C1768" s="35">
        <v>-38.975498</v>
      </c>
      <c r="D1768" s="35">
        <v>-70.113602</v>
      </c>
      <c r="E1768" s="32" t="s">
        <v>296</v>
      </c>
      <c r="F1768" s="32" t="s">
        <v>4068</v>
      </c>
      <c r="G1768" s="36" t="e">
        <v>#N/A</v>
      </c>
      <c r="H1768" s="33"/>
      <c r="I1768" s="33"/>
      <c r="J1768" s="33"/>
      <c r="K1768" s="33"/>
      <c r="L1768" s="33"/>
      <c r="M1768" s="33"/>
    </row>
    <row r="1769">
      <c r="A1769" s="32" t="s">
        <v>4069</v>
      </c>
      <c r="B1769" s="32" t="s">
        <v>4070</v>
      </c>
      <c r="C1769" s="35">
        <v>-21.81200027</v>
      </c>
      <c r="D1769" s="35">
        <v>-48.13299942</v>
      </c>
      <c r="E1769" s="32" t="s">
        <v>288</v>
      </c>
      <c r="F1769" s="32" t="s">
        <v>3560</v>
      </c>
      <c r="G1769" s="36" t="e">
        <v>#N/A</v>
      </c>
      <c r="H1769" s="33"/>
      <c r="I1769" s="33"/>
      <c r="J1769" s="33"/>
      <c r="K1769" s="33"/>
      <c r="L1769" s="33"/>
      <c r="M1769" s="33"/>
    </row>
    <row r="1770">
      <c r="A1770" s="32" t="s">
        <v>4071</v>
      </c>
      <c r="B1770" s="32" t="s">
        <v>4072</v>
      </c>
      <c r="C1770" s="35">
        <v>15.01220036</v>
      </c>
      <c r="D1770" s="35">
        <v>-91.15059662</v>
      </c>
      <c r="E1770" s="32" t="s">
        <v>1238</v>
      </c>
      <c r="F1770" s="32" t="s">
        <v>4073</v>
      </c>
      <c r="G1770" s="36" t="e">
        <v>#N/A</v>
      </c>
      <c r="H1770" s="33"/>
      <c r="I1770" s="33"/>
      <c r="J1770" s="33"/>
      <c r="K1770" s="33"/>
      <c r="L1770" s="33"/>
      <c r="M1770" s="33"/>
    </row>
    <row r="1771">
      <c r="A1771" s="32" t="s">
        <v>4074</v>
      </c>
      <c r="B1771" s="32" t="s">
        <v>4075</v>
      </c>
      <c r="C1771" s="35">
        <v>55.55469894</v>
      </c>
      <c r="D1771" s="35">
        <v>-133.102005</v>
      </c>
      <c r="E1771" s="32" t="s">
        <v>180</v>
      </c>
      <c r="F1771" s="32" t="s">
        <v>4076</v>
      </c>
      <c r="G1771" s="39" t="s">
        <v>181</v>
      </c>
      <c r="H1771" s="33"/>
      <c r="I1771" s="33"/>
      <c r="J1771" s="33"/>
      <c r="K1771" s="33"/>
      <c r="L1771" s="33"/>
      <c r="M1771" s="33"/>
    </row>
    <row r="1772">
      <c r="A1772" s="32" t="s">
        <v>4077</v>
      </c>
      <c r="B1772" s="32" t="s">
        <v>4078</v>
      </c>
      <c r="C1772" s="35">
        <v>30.582199</v>
      </c>
      <c r="D1772" s="35">
        <v>117.050003</v>
      </c>
      <c r="E1772" s="32" t="s">
        <v>205</v>
      </c>
      <c r="F1772" s="32" t="s">
        <v>4079</v>
      </c>
      <c r="G1772" s="39" t="s">
        <v>206</v>
      </c>
      <c r="H1772" s="33"/>
      <c r="I1772" s="33"/>
      <c r="J1772" s="33"/>
      <c r="K1772" s="33"/>
      <c r="L1772" s="33"/>
      <c r="M1772" s="33"/>
    </row>
    <row r="1773">
      <c r="A1773" s="32" t="s">
        <v>4080</v>
      </c>
      <c r="B1773" s="32" t="s">
        <v>4081</v>
      </c>
      <c r="C1773" s="35">
        <v>28.335199</v>
      </c>
      <c r="D1773" s="35">
        <v>46.125099</v>
      </c>
      <c r="E1773" s="32" t="s">
        <v>223</v>
      </c>
      <c r="F1773" s="32" t="s">
        <v>4082</v>
      </c>
      <c r="G1773" s="36" t="e">
        <v>#N/A</v>
      </c>
      <c r="H1773" s="33"/>
      <c r="I1773" s="33"/>
      <c r="J1773" s="33"/>
      <c r="K1773" s="33"/>
      <c r="L1773" s="33"/>
      <c r="M1773" s="33"/>
    </row>
    <row r="1774">
      <c r="A1774" s="32" t="s">
        <v>4083</v>
      </c>
      <c r="B1774" s="32" t="s">
        <v>4084</v>
      </c>
      <c r="C1774" s="35">
        <v>29.61160088</v>
      </c>
      <c r="D1774" s="35">
        <v>35.01810074</v>
      </c>
      <c r="E1774" s="32" t="s">
        <v>253</v>
      </c>
      <c r="F1774" s="32" t="s">
        <v>4085</v>
      </c>
      <c r="G1774" s="36" t="e">
        <v>#N/A</v>
      </c>
      <c r="H1774" s="33"/>
      <c r="I1774" s="33"/>
      <c r="J1774" s="33"/>
      <c r="K1774" s="33"/>
      <c r="L1774" s="33"/>
      <c r="M1774" s="33"/>
    </row>
    <row r="1775">
      <c r="A1775" s="32" t="s">
        <v>4086</v>
      </c>
      <c r="B1775" s="32" t="s">
        <v>4087</v>
      </c>
      <c r="C1775" s="35">
        <v>-16.34110069</v>
      </c>
      <c r="D1775" s="35">
        <v>-71.58309937</v>
      </c>
      <c r="E1775" s="32" t="s">
        <v>307</v>
      </c>
      <c r="F1775" s="32" t="s">
        <v>4088</v>
      </c>
      <c r="G1775" s="36" t="e">
        <v>#N/A</v>
      </c>
      <c r="H1775" s="33"/>
      <c r="I1775" s="33"/>
      <c r="J1775" s="33"/>
      <c r="K1775" s="33"/>
      <c r="L1775" s="33"/>
      <c r="M1775" s="33"/>
    </row>
    <row r="1776">
      <c r="A1776" s="32" t="s">
        <v>4089</v>
      </c>
      <c r="B1776" s="32" t="s">
        <v>4090</v>
      </c>
      <c r="C1776" s="35">
        <v>30.0378</v>
      </c>
      <c r="D1776" s="35">
        <v>-91.883904</v>
      </c>
      <c r="E1776" s="32" t="s">
        <v>180</v>
      </c>
      <c r="F1776" s="32" t="s">
        <v>4091</v>
      </c>
      <c r="G1776" s="39" t="s">
        <v>181</v>
      </c>
      <c r="H1776" s="33"/>
      <c r="I1776" s="33"/>
      <c r="J1776" s="33"/>
      <c r="K1776" s="33"/>
      <c r="L1776" s="33"/>
      <c r="M1776" s="33"/>
    </row>
    <row r="1777">
      <c r="A1777" s="32" t="s">
        <v>4092</v>
      </c>
      <c r="B1777" s="32" t="s">
        <v>4093</v>
      </c>
      <c r="C1777" s="35">
        <v>42.22299957</v>
      </c>
      <c r="D1777" s="35">
        <v>-83.74559784</v>
      </c>
      <c r="E1777" s="32" t="s">
        <v>180</v>
      </c>
      <c r="F1777" s="32" t="s">
        <v>4094</v>
      </c>
      <c r="G1777" s="39" t="s">
        <v>181</v>
      </c>
      <c r="H1777" s="33"/>
      <c r="I1777" s="33"/>
      <c r="J1777" s="33"/>
      <c r="K1777" s="33"/>
      <c r="L1777" s="33"/>
      <c r="M1777" s="33"/>
    </row>
    <row r="1778">
      <c r="A1778" s="32" t="s">
        <v>4095</v>
      </c>
      <c r="B1778" s="32" t="s">
        <v>4096</v>
      </c>
      <c r="C1778" s="35">
        <v>68.1147</v>
      </c>
      <c r="D1778" s="35">
        <v>-145.578995</v>
      </c>
      <c r="E1778" s="32" t="s">
        <v>180</v>
      </c>
      <c r="F1778" s="32" t="s">
        <v>4097</v>
      </c>
      <c r="G1778" s="39" t="s">
        <v>181</v>
      </c>
      <c r="H1778" s="33"/>
      <c r="I1778" s="33"/>
      <c r="J1778" s="33"/>
      <c r="K1778" s="33"/>
      <c r="L1778" s="33"/>
      <c r="M1778" s="33"/>
    </row>
    <row r="1779">
      <c r="A1779" s="32" t="s">
        <v>4098</v>
      </c>
      <c r="B1779" s="32" t="s">
        <v>4099</v>
      </c>
      <c r="C1779" s="35">
        <v>-8.132340431</v>
      </c>
      <c r="D1779" s="35">
        <v>124.5970001</v>
      </c>
      <c r="E1779" s="32" t="s">
        <v>280</v>
      </c>
      <c r="F1779" s="32" t="s">
        <v>4100</v>
      </c>
      <c r="G1779" s="36" t="e">
        <v>#N/A</v>
      </c>
      <c r="H1779" s="33"/>
      <c r="I1779" s="33"/>
      <c r="J1779" s="33"/>
      <c r="K1779" s="33"/>
      <c r="L1779" s="33"/>
      <c r="M1779" s="33"/>
    </row>
    <row r="1780">
      <c r="A1780" s="32" t="s">
        <v>4101</v>
      </c>
      <c r="B1780" s="32" t="s">
        <v>4102</v>
      </c>
      <c r="C1780" s="35">
        <v>18.45000076</v>
      </c>
      <c r="D1780" s="35">
        <v>-66.6753006</v>
      </c>
      <c r="E1780" s="32" t="s">
        <v>331</v>
      </c>
      <c r="F1780" s="32" t="s">
        <v>4103</v>
      </c>
      <c r="G1780" s="36" t="e">
        <v>#N/A</v>
      </c>
      <c r="H1780" s="33"/>
      <c r="I1780" s="33"/>
      <c r="J1780" s="33"/>
      <c r="K1780" s="33"/>
      <c r="L1780" s="33"/>
      <c r="M1780" s="33"/>
    </row>
    <row r="1781">
      <c r="A1781" s="32" t="s">
        <v>4104</v>
      </c>
      <c r="B1781" s="32" t="s">
        <v>4105</v>
      </c>
      <c r="C1781" s="35">
        <v>64.60030365</v>
      </c>
      <c r="D1781" s="35">
        <v>40.71670151</v>
      </c>
      <c r="E1781" s="32" t="s">
        <v>2040</v>
      </c>
      <c r="F1781" s="32" t="s">
        <v>2294</v>
      </c>
      <c r="G1781" s="36" t="e">
        <v>#N/A</v>
      </c>
      <c r="H1781" s="33"/>
      <c r="I1781" s="33"/>
      <c r="J1781" s="33"/>
      <c r="K1781" s="33"/>
      <c r="L1781" s="33"/>
      <c r="M1781" s="33"/>
    </row>
    <row r="1782">
      <c r="A1782" s="32" t="s">
        <v>4106</v>
      </c>
      <c r="B1782" s="32" t="s">
        <v>4107</v>
      </c>
      <c r="C1782" s="35">
        <v>-18.3484993</v>
      </c>
      <c r="D1782" s="35">
        <v>-70.33869934</v>
      </c>
      <c r="E1782" s="32" t="s">
        <v>300</v>
      </c>
      <c r="F1782" s="32" t="s">
        <v>4108</v>
      </c>
      <c r="G1782" s="36" t="e">
        <v>#N/A</v>
      </c>
      <c r="H1782" s="33"/>
      <c r="I1782" s="33"/>
      <c r="J1782" s="33"/>
      <c r="K1782" s="33"/>
      <c r="L1782" s="33"/>
      <c r="M1782" s="33"/>
    </row>
    <row r="1783">
      <c r="A1783" s="32" t="s">
        <v>4109</v>
      </c>
      <c r="B1783" s="32" t="s">
        <v>4110</v>
      </c>
      <c r="C1783" s="35">
        <v>-3.367789984</v>
      </c>
      <c r="D1783" s="35">
        <v>36.63330078</v>
      </c>
      <c r="E1783" s="32" t="s">
        <v>2937</v>
      </c>
      <c r="F1783" s="32" t="s">
        <v>4111</v>
      </c>
      <c r="G1783" s="36" t="e">
        <v>#N/A</v>
      </c>
      <c r="H1783" s="33"/>
      <c r="I1783" s="33"/>
      <c r="J1783" s="33"/>
      <c r="K1783" s="33"/>
      <c r="L1783" s="33"/>
      <c r="M1783" s="33"/>
    </row>
    <row r="1784">
      <c r="A1784" s="32" t="s">
        <v>4112</v>
      </c>
      <c r="B1784" s="32" t="s">
        <v>4113</v>
      </c>
      <c r="C1784" s="35">
        <v>-30.52809906</v>
      </c>
      <c r="D1784" s="35">
        <v>151.6170044</v>
      </c>
      <c r="E1784" s="32" t="s">
        <v>1968</v>
      </c>
      <c r="F1784" s="32" t="s">
        <v>4114</v>
      </c>
      <c r="G1784" s="36" t="e">
        <v>#N/A</v>
      </c>
      <c r="H1784" s="33"/>
      <c r="I1784" s="33"/>
      <c r="J1784" s="33"/>
      <c r="K1784" s="33"/>
      <c r="L1784" s="33"/>
      <c r="M1784" s="33"/>
    </row>
    <row r="1785">
      <c r="A1785" s="32" t="s">
        <v>4115</v>
      </c>
      <c r="B1785" s="32" t="s">
        <v>4116</v>
      </c>
      <c r="C1785" s="35">
        <v>59.65190125</v>
      </c>
      <c r="D1785" s="35">
        <v>17.91860008</v>
      </c>
      <c r="E1785" s="32" t="s">
        <v>347</v>
      </c>
      <c r="F1785" s="32" t="s">
        <v>576</v>
      </c>
      <c r="G1785" s="36" t="e">
        <v>#N/A</v>
      </c>
      <c r="H1785" s="33"/>
      <c r="I1785" s="33"/>
      <c r="J1785" s="33"/>
      <c r="K1785" s="33"/>
      <c r="L1785" s="33"/>
      <c r="M1785" s="33"/>
    </row>
    <row r="1786">
      <c r="A1786" s="32" t="s">
        <v>4117</v>
      </c>
      <c r="B1786" s="32" t="s">
        <v>4118</v>
      </c>
      <c r="C1786" s="35">
        <v>-45.013599</v>
      </c>
      <c r="D1786" s="35">
        <v>-70.812202</v>
      </c>
      <c r="E1786" s="32" t="s">
        <v>296</v>
      </c>
      <c r="F1786" s="32" t="s">
        <v>4119</v>
      </c>
      <c r="G1786" s="36" t="e">
        <v>#N/A</v>
      </c>
      <c r="H1786" s="33"/>
      <c r="I1786" s="33"/>
      <c r="J1786" s="33"/>
      <c r="K1786" s="33"/>
      <c r="L1786" s="33"/>
      <c r="M1786" s="33"/>
    </row>
    <row r="1787">
      <c r="A1787" s="32" t="s">
        <v>4120</v>
      </c>
      <c r="B1787" s="32" t="s">
        <v>4121</v>
      </c>
      <c r="C1787" s="35">
        <v>43.9919014</v>
      </c>
      <c r="D1787" s="35">
        <v>-76.021698</v>
      </c>
      <c r="E1787" s="32" t="s">
        <v>180</v>
      </c>
      <c r="F1787" s="32" t="s">
        <v>4122</v>
      </c>
      <c r="G1787" s="39" t="s">
        <v>181</v>
      </c>
      <c r="H1787" s="33"/>
      <c r="I1787" s="33"/>
      <c r="J1787" s="33"/>
      <c r="K1787" s="33"/>
      <c r="L1787" s="33"/>
      <c r="M1787" s="33"/>
    </row>
    <row r="1788">
      <c r="A1788" s="32" t="s">
        <v>4123</v>
      </c>
      <c r="B1788" s="32" t="s">
        <v>4124</v>
      </c>
      <c r="C1788" s="35">
        <v>-21.1413002</v>
      </c>
      <c r="D1788" s="35">
        <v>-50.42470169</v>
      </c>
      <c r="E1788" s="32" t="s">
        <v>288</v>
      </c>
      <c r="F1788" s="32" t="s">
        <v>4125</v>
      </c>
      <c r="G1788" s="36" t="e">
        <v>#N/A</v>
      </c>
      <c r="H1788" s="33"/>
      <c r="I1788" s="33"/>
      <c r="J1788" s="33"/>
      <c r="K1788" s="33"/>
      <c r="L1788" s="33"/>
      <c r="M1788" s="33"/>
    </row>
    <row r="1789">
      <c r="A1789" s="32" t="s">
        <v>4126</v>
      </c>
      <c r="B1789" s="32" t="s">
        <v>4127</v>
      </c>
      <c r="C1789" s="35">
        <v>45.92789841</v>
      </c>
      <c r="D1789" s="35">
        <v>-89.73090363</v>
      </c>
      <c r="E1789" s="32" t="s">
        <v>180</v>
      </c>
      <c r="F1789" s="32" t="s">
        <v>4128</v>
      </c>
      <c r="G1789" s="39" t="s">
        <v>181</v>
      </c>
      <c r="H1789" s="33"/>
      <c r="I1789" s="33"/>
      <c r="J1789" s="33"/>
      <c r="K1789" s="33"/>
      <c r="L1789" s="33"/>
      <c r="M1789" s="33"/>
    </row>
    <row r="1790">
      <c r="A1790" s="32" t="s">
        <v>4129</v>
      </c>
      <c r="B1790" s="32" t="s">
        <v>4130</v>
      </c>
      <c r="C1790" s="35">
        <v>46.17660141</v>
      </c>
      <c r="D1790" s="35">
        <v>21.26199913</v>
      </c>
      <c r="E1790" s="32" t="s">
        <v>2874</v>
      </c>
      <c r="F1790" s="32" t="s">
        <v>4131</v>
      </c>
      <c r="G1790" s="36" t="e">
        <v>#N/A</v>
      </c>
      <c r="H1790" s="33"/>
      <c r="I1790" s="33"/>
      <c r="J1790" s="33"/>
      <c r="K1790" s="33"/>
      <c r="L1790" s="33"/>
      <c r="M1790" s="33"/>
    </row>
    <row r="1791">
      <c r="A1791" s="32" t="s">
        <v>4132</v>
      </c>
      <c r="B1791" s="32" t="s">
        <v>4133</v>
      </c>
      <c r="C1791" s="35">
        <v>-37.30939865</v>
      </c>
      <c r="D1791" s="35">
        <v>142.9889984</v>
      </c>
      <c r="E1791" s="32" t="s">
        <v>1968</v>
      </c>
      <c r="F1791" s="33"/>
      <c r="G1791" s="36" t="e">
        <v>#N/A</v>
      </c>
      <c r="H1791" s="33"/>
      <c r="I1791" s="33"/>
      <c r="J1791" s="33"/>
      <c r="K1791" s="33"/>
      <c r="L1791" s="33"/>
      <c r="M1791" s="33"/>
    </row>
    <row r="1792">
      <c r="A1792" s="32" t="s">
        <v>4134</v>
      </c>
      <c r="B1792" s="32" t="s">
        <v>4135</v>
      </c>
      <c r="C1792" s="35">
        <v>13.07180023</v>
      </c>
      <c r="D1792" s="35">
        <v>42.64500046</v>
      </c>
      <c r="E1792" s="32" t="s">
        <v>4136</v>
      </c>
      <c r="F1792" s="32" t="s">
        <v>4137</v>
      </c>
      <c r="G1792" s="36" t="e">
        <v>#N/A</v>
      </c>
      <c r="H1792" s="33"/>
      <c r="I1792" s="33"/>
      <c r="J1792" s="33"/>
      <c r="K1792" s="33"/>
      <c r="L1792" s="33"/>
      <c r="M1792" s="33"/>
    </row>
    <row r="1793">
      <c r="A1793" s="32" t="s">
        <v>4138</v>
      </c>
      <c r="B1793" s="32" t="s">
        <v>4139</v>
      </c>
      <c r="C1793" s="35">
        <v>37.98680115</v>
      </c>
      <c r="D1793" s="35">
        <v>58.36100006</v>
      </c>
      <c r="E1793" s="32" t="s">
        <v>4140</v>
      </c>
      <c r="F1793" s="32" t="s">
        <v>4141</v>
      </c>
      <c r="G1793" s="36" t="e">
        <v>#N/A</v>
      </c>
      <c r="H1793" s="33"/>
      <c r="I1793" s="33"/>
      <c r="J1793" s="33"/>
      <c r="K1793" s="33"/>
      <c r="L1793" s="33"/>
      <c r="M1793" s="33"/>
    </row>
    <row r="1794">
      <c r="A1794" s="32" t="s">
        <v>4142</v>
      </c>
      <c r="B1794" s="32" t="s">
        <v>4143</v>
      </c>
      <c r="C1794" s="35">
        <v>24.69790077</v>
      </c>
      <c r="D1794" s="35">
        <v>-77.79560089</v>
      </c>
      <c r="E1794" s="32" t="s">
        <v>319</v>
      </c>
      <c r="F1794" s="32" t="s">
        <v>4144</v>
      </c>
      <c r="G1794" s="36" t="e">
        <v>#N/A</v>
      </c>
      <c r="H1794" s="33"/>
      <c r="I1794" s="33"/>
      <c r="J1794" s="33"/>
      <c r="K1794" s="33"/>
      <c r="L1794" s="33"/>
      <c r="M1794" s="33"/>
    </row>
    <row r="1795">
      <c r="A1795" s="32" t="s">
        <v>4145</v>
      </c>
      <c r="B1795" s="32" t="s">
        <v>4146</v>
      </c>
      <c r="C1795" s="35">
        <v>39.22320175</v>
      </c>
      <c r="D1795" s="35">
        <v>-106.8690033</v>
      </c>
      <c r="E1795" s="32" t="s">
        <v>180</v>
      </c>
      <c r="F1795" s="32" t="s">
        <v>4147</v>
      </c>
      <c r="G1795" s="39" t="s">
        <v>181</v>
      </c>
      <c r="H1795" s="33"/>
      <c r="I1795" s="33"/>
      <c r="J1795" s="33"/>
      <c r="K1795" s="33"/>
      <c r="L1795" s="33"/>
      <c r="M1795" s="33"/>
    </row>
    <row r="1796">
      <c r="A1796" s="32" t="s">
        <v>4148</v>
      </c>
      <c r="B1796" s="32" t="s">
        <v>4149</v>
      </c>
      <c r="C1796" s="35">
        <v>46.28329849</v>
      </c>
      <c r="D1796" s="35">
        <v>48.00630188</v>
      </c>
      <c r="E1796" s="32" t="s">
        <v>2040</v>
      </c>
      <c r="F1796" s="32" t="s">
        <v>4150</v>
      </c>
      <c r="G1796" s="36" t="e">
        <v>#N/A</v>
      </c>
      <c r="H1796" s="33"/>
      <c r="I1796" s="33"/>
      <c r="J1796" s="33"/>
      <c r="K1796" s="33"/>
      <c r="L1796" s="33"/>
      <c r="M1796" s="33"/>
    </row>
    <row r="1797">
      <c r="A1797" s="32" t="s">
        <v>4151</v>
      </c>
      <c r="B1797" s="32" t="s">
        <v>4152</v>
      </c>
      <c r="C1797" s="35">
        <v>42.78170013</v>
      </c>
      <c r="D1797" s="35">
        <v>-71.51480103</v>
      </c>
      <c r="E1797" s="32" t="s">
        <v>180</v>
      </c>
      <c r="F1797" s="32" t="s">
        <v>4153</v>
      </c>
      <c r="G1797" s="39" t="s">
        <v>181</v>
      </c>
      <c r="H1797" s="33"/>
      <c r="I1797" s="33"/>
      <c r="J1797" s="33"/>
      <c r="K1797" s="33"/>
      <c r="L1797" s="33"/>
      <c r="M1797" s="33"/>
    </row>
    <row r="1798">
      <c r="A1798" s="32" t="s">
        <v>4154</v>
      </c>
      <c r="B1798" s="32" t="s">
        <v>4155</v>
      </c>
      <c r="C1798" s="35">
        <v>-7.969600201</v>
      </c>
      <c r="D1798" s="35">
        <v>-14.39369965</v>
      </c>
      <c r="E1798" s="32" t="s">
        <v>4156</v>
      </c>
      <c r="F1798" s="32" t="s">
        <v>4157</v>
      </c>
      <c r="G1798" s="36" t="e">
        <v>#N/A</v>
      </c>
      <c r="H1798" s="33"/>
      <c r="I1798" s="33"/>
      <c r="J1798" s="33"/>
      <c r="K1798" s="33"/>
      <c r="L1798" s="33"/>
      <c r="M1798" s="33"/>
    </row>
    <row r="1799">
      <c r="A1799" s="32" t="s">
        <v>4158</v>
      </c>
      <c r="B1799" s="32" t="s">
        <v>4159</v>
      </c>
      <c r="C1799" s="35">
        <v>28.43059921</v>
      </c>
      <c r="D1799" s="35">
        <v>129.7129974</v>
      </c>
      <c r="E1799" s="32" t="s">
        <v>170</v>
      </c>
      <c r="F1799" s="32" t="s">
        <v>4160</v>
      </c>
      <c r="G1799" s="39" t="s">
        <v>171</v>
      </c>
      <c r="H1799" s="33"/>
      <c r="I1799" s="33"/>
      <c r="J1799" s="33"/>
      <c r="K1799" s="33"/>
      <c r="L1799" s="33"/>
      <c r="M1799" s="33"/>
    </row>
    <row r="1800">
      <c r="A1800" s="32" t="s">
        <v>4161</v>
      </c>
      <c r="B1800" s="32" t="s">
        <v>4162</v>
      </c>
      <c r="C1800" s="35">
        <v>6.903170109</v>
      </c>
      <c r="D1800" s="35">
        <v>-5.365580082</v>
      </c>
      <c r="E1800" s="32" t="s">
        <v>3494</v>
      </c>
      <c r="F1800" s="32" t="s">
        <v>4163</v>
      </c>
      <c r="G1800" s="36" t="e">
        <v>#N/A</v>
      </c>
      <c r="H1800" s="33"/>
      <c r="I1800" s="33"/>
      <c r="J1800" s="33"/>
      <c r="K1800" s="33"/>
      <c r="L1800" s="33"/>
      <c r="M1800" s="33"/>
    </row>
    <row r="1801">
      <c r="A1801" s="32" t="s">
        <v>4164</v>
      </c>
      <c r="B1801" s="32" t="s">
        <v>4165</v>
      </c>
      <c r="C1801" s="35">
        <v>15.29189968</v>
      </c>
      <c r="D1801" s="35">
        <v>38.91070175</v>
      </c>
      <c r="E1801" s="32" t="s">
        <v>4136</v>
      </c>
      <c r="F1801" s="32" t="s">
        <v>4166</v>
      </c>
      <c r="G1801" s="36" t="e">
        <v>#N/A</v>
      </c>
      <c r="H1801" s="33"/>
      <c r="I1801" s="33"/>
      <c r="J1801" s="33"/>
      <c r="K1801" s="33"/>
      <c r="L1801" s="33"/>
      <c r="M1801" s="33"/>
    </row>
    <row r="1802">
      <c r="A1802" s="32" t="s">
        <v>4167</v>
      </c>
      <c r="B1802" s="32" t="s">
        <v>4168</v>
      </c>
      <c r="C1802" s="35">
        <v>33.56990051</v>
      </c>
      <c r="D1802" s="35">
        <v>-86.05090332</v>
      </c>
      <c r="E1802" s="32" t="s">
        <v>180</v>
      </c>
      <c r="F1802" s="32" t="s">
        <v>4169</v>
      </c>
      <c r="G1802" s="39" t="s">
        <v>181</v>
      </c>
      <c r="H1802" s="33"/>
      <c r="I1802" s="33"/>
      <c r="J1802" s="33"/>
      <c r="K1802" s="33"/>
      <c r="L1802" s="33"/>
      <c r="M1802" s="33"/>
    </row>
    <row r="1803">
      <c r="A1803" s="32" t="s">
        <v>4170</v>
      </c>
      <c r="B1803" s="32" t="s">
        <v>4171</v>
      </c>
      <c r="C1803" s="35">
        <v>10.01850033</v>
      </c>
      <c r="D1803" s="35">
        <v>34.5862999</v>
      </c>
      <c r="E1803" s="32" t="s">
        <v>18</v>
      </c>
      <c r="F1803" s="32" t="s">
        <v>4172</v>
      </c>
      <c r="G1803" s="36" t="e">
        <v>#N/A</v>
      </c>
      <c r="H1803" s="33"/>
      <c r="I1803" s="33"/>
      <c r="J1803" s="33"/>
      <c r="K1803" s="33"/>
      <c r="L1803" s="33"/>
      <c r="M1803" s="33"/>
    </row>
    <row r="1804">
      <c r="A1804" s="32" t="s">
        <v>4173</v>
      </c>
      <c r="B1804" s="32" t="s">
        <v>4174</v>
      </c>
      <c r="C1804" s="35">
        <v>-23.80669975</v>
      </c>
      <c r="D1804" s="35">
        <v>133.9019928</v>
      </c>
      <c r="E1804" s="32" t="s">
        <v>1968</v>
      </c>
      <c r="F1804" s="32" t="s">
        <v>4175</v>
      </c>
      <c r="G1804" s="36" t="e">
        <v>#N/A</v>
      </c>
      <c r="H1804" s="33"/>
      <c r="I1804" s="33"/>
      <c r="J1804" s="33"/>
      <c r="K1804" s="33"/>
      <c r="L1804" s="33"/>
      <c r="M1804" s="33"/>
    </row>
    <row r="1805">
      <c r="A1805" s="32" t="s">
        <v>4176</v>
      </c>
      <c r="B1805" s="32" t="s">
        <v>4177</v>
      </c>
      <c r="C1805" s="35">
        <v>38.770401</v>
      </c>
      <c r="D1805" s="35">
        <v>35.49539948</v>
      </c>
      <c r="E1805" s="32" t="s">
        <v>133</v>
      </c>
      <c r="F1805" s="32" t="s">
        <v>4178</v>
      </c>
      <c r="G1805" s="39" t="s">
        <v>134</v>
      </c>
      <c r="H1805" s="33"/>
      <c r="I1805" s="33"/>
      <c r="J1805" s="33"/>
      <c r="K1805" s="33"/>
      <c r="L1805" s="33"/>
      <c r="M1805" s="33"/>
    </row>
    <row r="1806">
      <c r="A1806" s="32" t="s">
        <v>4179</v>
      </c>
      <c r="B1806" s="32" t="s">
        <v>4180</v>
      </c>
      <c r="C1806" s="35">
        <v>46.15800095</v>
      </c>
      <c r="D1806" s="35">
        <v>-123.8789978</v>
      </c>
      <c r="E1806" s="32" t="s">
        <v>180</v>
      </c>
      <c r="F1806" s="32" t="s">
        <v>4181</v>
      </c>
      <c r="G1806" s="39" t="s">
        <v>181</v>
      </c>
      <c r="H1806" s="33"/>
      <c r="I1806" s="33"/>
      <c r="J1806" s="33"/>
      <c r="K1806" s="33"/>
      <c r="L1806" s="33"/>
      <c r="M1806" s="33"/>
    </row>
    <row r="1807">
      <c r="A1807" s="32" t="s">
        <v>4182</v>
      </c>
      <c r="B1807" s="32" t="s">
        <v>4183</v>
      </c>
      <c r="C1807" s="35">
        <v>-25.23999977</v>
      </c>
      <c r="D1807" s="35">
        <v>-57.52000046</v>
      </c>
      <c r="E1807" s="32" t="s">
        <v>1723</v>
      </c>
      <c r="F1807" s="32" t="s">
        <v>4184</v>
      </c>
      <c r="G1807" s="36" t="e">
        <v>#N/A</v>
      </c>
      <c r="H1807" s="33"/>
      <c r="I1807" s="33"/>
      <c r="J1807" s="33"/>
      <c r="K1807" s="33"/>
      <c r="L1807" s="33"/>
      <c r="M1807" s="33"/>
    </row>
    <row r="1808">
      <c r="A1808" s="32" t="s">
        <v>4185</v>
      </c>
      <c r="B1808" s="32" t="s">
        <v>4186</v>
      </c>
      <c r="C1808" s="35">
        <v>-2.645050049</v>
      </c>
      <c r="D1808" s="35">
        <v>37.25310135</v>
      </c>
      <c r="E1808" s="32" t="s">
        <v>21</v>
      </c>
      <c r="F1808" s="32" t="s">
        <v>4187</v>
      </c>
      <c r="G1808" s="36" t="e">
        <v>#N/A</v>
      </c>
      <c r="H1808" s="33"/>
      <c r="I1808" s="33"/>
      <c r="J1808" s="33"/>
      <c r="K1808" s="33"/>
      <c r="L1808" s="33"/>
      <c r="M1808" s="33"/>
    </row>
    <row r="1809">
      <c r="A1809" s="32" t="s">
        <v>4188</v>
      </c>
      <c r="B1809" s="32" t="s">
        <v>4189</v>
      </c>
      <c r="C1809" s="35">
        <v>23.96439934</v>
      </c>
      <c r="D1809" s="35">
        <v>32.81999969</v>
      </c>
      <c r="E1809" s="32" t="s">
        <v>15</v>
      </c>
      <c r="F1809" s="32" t="s">
        <v>4190</v>
      </c>
      <c r="G1809" s="36" t="e">
        <v>#N/A</v>
      </c>
      <c r="H1809" s="33"/>
      <c r="I1809" s="33"/>
      <c r="J1809" s="33"/>
      <c r="K1809" s="33"/>
      <c r="L1809" s="33"/>
      <c r="M1809" s="33"/>
    </row>
    <row r="1810">
      <c r="A1810" s="32" t="s">
        <v>4191</v>
      </c>
      <c r="B1810" s="32" t="s">
        <v>4192</v>
      </c>
      <c r="C1810" s="35">
        <v>-9.347439766</v>
      </c>
      <c r="D1810" s="35">
        <v>-77.5983963</v>
      </c>
      <c r="E1810" s="32" t="s">
        <v>307</v>
      </c>
      <c r="F1810" s="32" t="s">
        <v>4193</v>
      </c>
      <c r="G1810" s="36" t="e">
        <v>#N/A</v>
      </c>
      <c r="H1810" s="33"/>
      <c r="I1810" s="33"/>
      <c r="J1810" s="33"/>
      <c r="K1810" s="33"/>
      <c r="L1810" s="33"/>
      <c r="M1810" s="33"/>
    </row>
    <row r="1811">
      <c r="A1811" s="32" t="s">
        <v>4194</v>
      </c>
      <c r="B1811" s="32" t="s">
        <v>4195</v>
      </c>
      <c r="C1811" s="35">
        <v>17.71034431</v>
      </c>
      <c r="D1811" s="35">
        <v>34.05701828</v>
      </c>
      <c r="E1811" s="32" t="s">
        <v>844</v>
      </c>
      <c r="F1811" s="32" t="s">
        <v>4196</v>
      </c>
      <c r="G1811" s="36" t="e">
        <v>#N/A</v>
      </c>
      <c r="H1811" s="33"/>
      <c r="I1811" s="33"/>
      <c r="J1811" s="33"/>
      <c r="K1811" s="33"/>
      <c r="L1811" s="33"/>
      <c r="M1811" s="33"/>
    </row>
    <row r="1812">
      <c r="A1812" s="32" t="s">
        <v>4197</v>
      </c>
      <c r="B1812" s="32" t="s">
        <v>4198</v>
      </c>
      <c r="C1812" s="35">
        <v>24.62940025</v>
      </c>
      <c r="D1812" s="35">
        <v>-75.67379761</v>
      </c>
      <c r="E1812" s="32" t="s">
        <v>319</v>
      </c>
      <c r="F1812" s="32" t="s">
        <v>4199</v>
      </c>
      <c r="G1812" s="36" t="e">
        <v>#N/A</v>
      </c>
      <c r="H1812" s="33"/>
      <c r="I1812" s="33"/>
      <c r="J1812" s="33"/>
      <c r="K1812" s="33"/>
      <c r="L1812" s="33"/>
      <c r="M1812" s="33"/>
    </row>
    <row r="1813">
      <c r="A1813" s="32" t="s">
        <v>4200</v>
      </c>
      <c r="B1813" s="32" t="s">
        <v>4201</v>
      </c>
      <c r="C1813" s="35">
        <v>-8.87333</v>
      </c>
      <c r="D1813" s="35">
        <v>161.011002</v>
      </c>
      <c r="E1813" s="32" t="s">
        <v>3666</v>
      </c>
      <c r="F1813" s="32" t="s">
        <v>4202</v>
      </c>
      <c r="G1813" s="36" t="e">
        <v>#N/A</v>
      </c>
      <c r="H1813" s="33"/>
      <c r="I1813" s="33"/>
      <c r="J1813" s="33"/>
      <c r="K1813" s="33"/>
      <c r="L1813" s="33"/>
      <c r="M1813" s="33"/>
    </row>
    <row r="1814">
      <c r="A1814" s="32" t="s">
        <v>4203</v>
      </c>
      <c r="B1814" s="32" t="s">
        <v>4204</v>
      </c>
      <c r="C1814" s="35">
        <v>-1.212069988</v>
      </c>
      <c r="D1814" s="35">
        <v>-78.57460022</v>
      </c>
      <c r="E1814" s="32" t="s">
        <v>311</v>
      </c>
      <c r="F1814" s="32" t="s">
        <v>4205</v>
      </c>
      <c r="G1814" s="36" t="e">
        <v>#N/A</v>
      </c>
      <c r="H1814" s="33"/>
      <c r="I1814" s="33"/>
      <c r="J1814" s="33"/>
      <c r="K1814" s="33"/>
      <c r="L1814" s="33"/>
      <c r="M1814" s="33"/>
    </row>
    <row r="1815">
      <c r="A1815" s="32" t="s">
        <v>4206</v>
      </c>
      <c r="B1815" s="32" t="s">
        <v>4207</v>
      </c>
      <c r="C1815" s="35">
        <v>33.86909866</v>
      </c>
      <c r="D1815" s="35">
        <v>72.40090179</v>
      </c>
      <c r="E1815" s="32" t="s">
        <v>1470</v>
      </c>
      <c r="F1815" s="32" t="s">
        <v>4208</v>
      </c>
      <c r="G1815" s="36" t="e">
        <v>#N/A</v>
      </c>
      <c r="H1815" s="33"/>
      <c r="I1815" s="33"/>
      <c r="J1815" s="33"/>
      <c r="K1815" s="33"/>
      <c r="L1815" s="33"/>
      <c r="M1815" s="33"/>
    </row>
    <row r="1816">
      <c r="A1816" s="32" t="s">
        <v>4209</v>
      </c>
      <c r="B1816" s="32" t="s">
        <v>4210</v>
      </c>
      <c r="C1816" s="35">
        <v>37.93640137</v>
      </c>
      <c r="D1816" s="35">
        <v>23.94449997</v>
      </c>
      <c r="E1816" s="32" t="s">
        <v>339</v>
      </c>
      <c r="F1816" s="32" t="s">
        <v>2377</v>
      </c>
      <c r="G1816" s="36" t="e">
        <v>#N/A</v>
      </c>
      <c r="H1816" s="33"/>
      <c r="I1816" s="33"/>
      <c r="J1816" s="33"/>
      <c r="K1816" s="33"/>
      <c r="L1816" s="33"/>
      <c r="M1816" s="33"/>
    </row>
    <row r="1817">
      <c r="A1817" s="32" t="s">
        <v>4211</v>
      </c>
      <c r="B1817" s="32" t="s">
        <v>4212</v>
      </c>
      <c r="C1817" s="35">
        <v>-30.40069962</v>
      </c>
      <c r="D1817" s="35">
        <v>-56.50790024</v>
      </c>
      <c r="E1817" s="32" t="s">
        <v>1779</v>
      </c>
      <c r="F1817" s="32" t="s">
        <v>4213</v>
      </c>
      <c r="G1817" s="36" t="e">
        <v>#N/A</v>
      </c>
      <c r="H1817" s="33"/>
      <c r="I1817" s="33"/>
      <c r="J1817" s="33"/>
      <c r="K1817" s="33"/>
      <c r="L1817" s="33"/>
      <c r="M1817" s="33"/>
    </row>
    <row r="1818">
      <c r="A1818" s="32" t="s">
        <v>4214</v>
      </c>
      <c r="B1818" s="32" t="s">
        <v>4215</v>
      </c>
      <c r="C1818" s="35">
        <v>-19.83922148</v>
      </c>
      <c r="D1818" s="35">
        <v>47.06371307</v>
      </c>
      <c r="E1818" s="32" t="s">
        <v>384</v>
      </c>
      <c r="F1818" s="32" t="s">
        <v>4216</v>
      </c>
      <c r="G1818" s="36" t="e">
        <v>#N/A</v>
      </c>
      <c r="H1818" s="33"/>
      <c r="I1818" s="33"/>
      <c r="J1818" s="33"/>
      <c r="K1818" s="33"/>
      <c r="L1818" s="33"/>
      <c r="M1818" s="33"/>
    </row>
    <row r="1819">
      <c r="A1819" s="32" t="s">
        <v>4217</v>
      </c>
      <c r="B1819" s="32" t="s">
        <v>4218</v>
      </c>
      <c r="C1819" s="35">
        <v>70.46730042</v>
      </c>
      <c r="D1819" s="35">
        <v>-157.4360046</v>
      </c>
      <c r="E1819" s="32" t="s">
        <v>180</v>
      </c>
      <c r="F1819" s="32" t="s">
        <v>4219</v>
      </c>
      <c r="G1819" s="39" t="s">
        <v>181</v>
      </c>
      <c r="H1819" s="33"/>
      <c r="I1819" s="33"/>
      <c r="J1819" s="33"/>
      <c r="K1819" s="33"/>
      <c r="L1819" s="33"/>
      <c r="M1819" s="33"/>
    </row>
    <row r="1820">
      <c r="A1820" s="32" t="s">
        <v>4220</v>
      </c>
      <c r="B1820" s="32" t="s">
        <v>4221</v>
      </c>
      <c r="C1820" s="35">
        <v>33.63669968</v>
      </c>
      <c r="D1820" s="35">
        <v>-84.42810059</v>
      </c>
      <c r="E1820" s="32" t="s">
        <v>180</v>
      </c>
      <c r="F1820" s="32" t="s">
        <v>4222</v>
      </c>
      <c r="G1820" s="39" t="s">
        <v>181</v>
      </c>
      <c r="H1820" s="33"/>
      <c r="I1820" s="33"/>
      <c r="J1820" s="33"/>
      <c r="K1820" s="33"/>
      <c r="L1820" s="33"/>
      <c r="M1820" s="33"/>
    </row>
    <row r="1821">
      <c r="A1821" s="32" t="s">
        <v>4223</v>
      </c>
      <c r="B1821" s="32" t="s">
        <v>4224</v>
      </c>
      <c r="C1821" s="35">
        <v>-3.253910065</v>
      </c>
      <c r="D1821" s="35">
        <v>-52.25400162</v>
      </c>
      <c r="E1821" s="32" t="s">
        <v>288</v>
      </c>
      <c r="F1821" s="32" t="s">
        <v>4225</v>
      </c>
      <c r="G1821" s="36" t="e">
        <v>#N/A</v>
      </c>
      <c r="H1821" s="33"/>
      <c r="I1821" s="33"/>
      <c r="J1821" s="33"/>
      <c r="K1821" s="33"/>
      <c r="L1821" s="33"/>
      <c r="M1821" s="33"/>
    </row>
    <row r="1822">
      <c r="A1822" s="32" t="s">
        <v>4226</v>
      </c>
      <c r="B1822" s="32" t="s">
        <v>4227</v>
      </c>
      <c r="C1822" s="35">
        <v>31.70960045</v>
      </c>
      <c r="D1822" s="35">
        <v>74.79730225</v>
      </c>
      <c r="E1822" s="32" t="s">
        <v>217</v>
      </c>
      <c r="F1822" s="32" t="s">
        <v>4228</v>
      </c>
      <c r="G1822" s="39" t="s">
        <v>218</v>
      </c>
      <c r="H1822" s="33"/>
      <c r="I1822" s="33"/>
      <c r="J1822" s="33"/>
      <c r="K1822" s="33"/>
      <c r="L1822" s="33"/>
      <c r="M1822" s="33"/>
    </row>
    <row r="1823">
      <c r="A1823" s="32" t="s">
        <v>4229</v>
      </c>
      <c r="B1823" s="32" t="s">
        <v>4230</v>
      </c>
      <c r="C1823" s="35">
        <v>20.5067997</v>
      </c>
      <c r="D1823" s="35">
        <v>-13.04319954</v>
      </c>
      <c r="E1823" s="32" t="s">
        <v>817</v>
      </c>
      <c r="F1823" s="32" t="s">
        <v>4231</v>
      </c>
      <c r="G1823" s="36" t="e">
        <v>#N/A</v>
      </c>
      <c r="H1823" s="33"/>
      <c r="I1823" s="33"/>
      <c r="J1823" s="33"/>
      <c r="K1823" s="33"/>
      <c r="L1823" s="33"/>
      <c r="M1823" s="33"/>
    </row>
    <row r="1824">
      <c r="A1824" s="32" t="s">
        <v>4232</v>
      </c>
      <c r="B1824" s="32" t="s">
        <v>4233</v>
      </c>
      <c r="C1824" s="35">
        <v>44.2580986</v>
      </c>
      <c r="D1824" s="35">
        <v>-88.51909637</v>
      </c>
      <c r="E1824" s="32" t="s">
        <v>180</v>
      </c>
      <c r="F1824" s="32" t="s">
        <v>4234</v>
      </c>
      <c r="G1824" s="39" t="s">
        <v>181</v>
      </c>
      <c r="H1824" s="33"/>
      <c r="I1824" s="33"/>
      <c r="J1824" s="33"/>
      <c r="K1824" s="33"/>
      <c r="L1824" s="33"/>
      <c r="M1824" s="33"/>
    </row>
    <row r="1825">
      <c r="A1825" s="32" t="s">
        <v>4235</v>
      </c>
      <c r="B1825" s="32" t="s">
        <v>4236</v>
      </c>
      <c r="C1825" s="35">
        <v>44.91400146</v>
      </c>
      <c r="D1825" s="35">
        <v>-97.15470123</v>
      </c>
      <c r="E1825" s="32" t="s">
        <v>180</v>
      </c>
      <c r="F1825" s="32" t="s">
        <v>4122</v>
      </c>
      <c r="G1825" s="39" t="s">
        <v>181</v>
      </c>
      <c r="H1825" s="33"/>
      <c r="I1825" s="33"/>
      <c r="J1825" s="33"/>
      <c r="K1825" s="33"/>
      <c r="L1825" s="33"/>
      <c r="M1825" s="33"/>
    </row>
    <row r="1826">
      <c r="A1826" s="32" t="s">
        <v>4237</v>
      </c>
      <c r="B1826" s="32" t="s">
        <v>4238</v>
      </c>
      <c r="C1826" s="35">
        <v>27.04649925</v>
      </c>
      <c r="D1826" s="35">
        <v>31.01199913</v>
      </c>
      <c r="E1826" s="32" t="s">
        <v>15</v>
      </c>
      <c r="F1826" s="32" t="s">
        <v>4239</v>
      </c>
      <c r="G1826" s="36" t="e">
        <v>#N/A</v>
      </c>
      <c r="H1826" s="33"/>
      <c r="I1826" s="33"/>
      <c r="J1826" s="33"/>
      <c r="K1826" s="33"/>
      <c r="L1826" s="33"/>
      <c r="M1826" s="33"/>
    </row>
    <row r="1827">
      <c r="A1827" s="32" t="s">
        <v>4240</v>
      </c>
      <c r="B1827" s="32" t="s">
        <v>4241</v>
      </c>
      <c r="C1827" s="35">
        <v>12.50139999</v>
      </c>
      <c r="D1827" s="35">
        <v>-70.01519775</v>
      </c>
      <c r="E1827" s="32" t="s">
        <v>4242</v>
      </c>
      <c r="F1827" s="32" t="s">
        <v>4243</v>
      </c>
      <c r="G1827" s="36" t="e">
        <v>#N/A</v>
      </c>
      <c r="H1827" s="33"/>
      <c r="I1827" s="33"/>
      <c r="J1827" s="33"/>
      <c r="K1827" s="33"/>
      <c r="L1827" s="33"/>
      <c r="M1827" s="33"/>
    </row>
    <row r="1828">
      <c r="A1828" s="32" t="s">
        <v>4244</v>
      </c>
      <c r="B1828" s="32" t="s">
        <v>4245</v>
      </c>
      <c r="C1828" s="35">
        <v>7.06888</v>
      </c>
      <c r="D1828" s="35">
        <v>-70.7369</v>
      </c>
      <c r="E1828" s="32" t="s">
        <v>292</v>
      </c>
      <c r="F1828" s="32" t="s">
        <v>4246</v>
      </c>
      <c r="G1828" s="36" t="e">
        <v>#N/A</v>
      </c>
      <c r="H1828" s="33"/>
      <c r="I1828" s="33"/>
      <c r="J1828" s="33"/>
      <c r="K1828" s="33"/>
      <c r="L1828" s="33"/>
      <c r="M1828" s="33"/>
    </row>
    <row r="1829">
      <c r="A1829" s="32" t="s">
        <v>4247</v>
      </c>
      <c r="B1829" s="32" t="s">
        <v>4248</v>
      </c>
      <c r="C1829" s="35">
        <v>47.85020065</v>
      </c>
      <c r="D1829" s="35">
        <v>3.49710989</v>
      </c>
      <c r="E1829" s="32" t="s">
        <v>96</v>
      </c>
      <c r="F1829" s="32" t="s">
        <v>4249</v>
      </c>
      <c r="G1829" s="39" t="s">
        <v>97</v>
      </c>
      <c r="H1829" s="33"/>
      <c r="I1829" s="33"/>
      <c r="J1829" s="33"/>
      <c r="K1829" s="33"/>
      <c r="L1829" s="33"/>
      <c r="M1829" s="33"/>
    </row>
    <row r="1830">
      <c r="A1830" s="32" t="s">
        <v>4250</v>
      </c>
      <c r="B1830" s="32" t="s">
        <v>4251</v>
      </c>
      <c r="C1830" s="35">
        <v>44.3205986</v>
      </c>
      <c r="D1830" s="35">
        <v>-69.79730225</v>
      </c>
      <c r="E1830" s="32" t="s">
        <v>180</v>
      </c>
      <c r="F1830" s="32" t="s">
        <v>3388</v>
      </c>
      <c r="G1830" s="39" t="s">
        <v>181</v>
      </c>
      <c r="H1830" s="33"/>
      <c r="I1830" s="33"/>
      <c r="J1830" s="33"/>
      <c r="K1830" s="33"/>
      <c r="L1830" s="33"/>
      <c r="M1830" s="33"/>
    </row>
    <row r="1831">
      <c r="A1831" s="32" t="s">
        <v>4252</v>
      </c>
      <c r="B1831" s="32" t="s">
        <v>4253</v>
      </c>
      <c r="C1831" s="35">
        <v>24.43300056</v>
      </c>
      <c r="D1831" s="35">
        <v>54.65110016</v>
      </c>
      <c r="E1831" s="32" t="s">
        <v>139</v>
      </c>
      <c r="F1831" s="32" t="s">
        <v>1462</v>
      </c>
      <c r="G1831" s="39" t="s">
        <v>140</v>
      </c>
      <c r="H1831" s="33"/>
      <c r="I1831" s="33"/>
      <c r="J1831" s="33"/>
      <c r="K1831" s="33"/>
      <c r="L1831" s="33"/>
      <c r="M1831" s="33"/>
    </row>
    <row r="1832">
      <c r="A1832" s="32" t="s">
        <v>4254</v>
      </c>
      <c r="B1832" s="32" t="s">
        <v>4255</v>
      </c>
      <c r="C1832" s="35">
        <v>62.68004227</v>
      </c>
      <c r="D1832" s="35">
        <v>-164.6599274</v>
      </c>
      <c r="E1832" s="32" t="s">
        <v>180</v>
      </c>
      <c r="F1832" s="32" t="s">
        <v>4256</v>
      </c>
      <c r="G1832" s="39" t="s">
        <v>181</v>
      </c>
      <c r="H1832" s="33"/>
      <c r="I1832" s="33"/>
      <c r="J1832" s="33"/>
      <c r="K1832" s="33"/>
      <c r="L1832" s="33"/>
      <c r="M1832" s="33"/>
    </row>
    <row r="1833">
      <c r="A1833" s="32" t="s">
        <v>4257</v>
      </c>
      <c r="B1833" s="32" t="s">
        <v>4258</v>
      </c>
      <c r="C1833" s="35">
        <v>32.61510086</v>
      </c>
      <c r="D1833" s="35">
        <v>-85.43399811</v>
      </c>
      <c r="E1833" s="32" t="s">
        <v>180</v>
      </c>
      <c r="F1833" s="32" t="s">
        <v>4259</v>
      </c>
      <c r="G1833" s="39" t="s">
        <v>181</v>
      </c>
      <c r="H1833" s="33"/>
      <c r="I1833" s="33"/>
      <c r="J1833" s="33"/>
      <c r="K1833" s="33"/>
      <c r="L1833" s="33"/>
      <c r="M1833" s="33"/>
    </row>
    <row r="1834">
      <c r="A1834" s="32" t="s">
        <v>4260</v>
      </c>
      <c r="B1834" s="32" t="s">
        <v>4261</v>
      </c>
      <c r="C1834" s="35">
        <v>-9.768790245</v>
      </c>
      <c r="D1834" s="35">
        <v>-139.0110016</v>
      </c>
      <c r="E1834" s="32" t="s">
        <v>1325</v>
      </c>
      <c r="F1834" s="32" t="s">
        <v>4262</v>
      </c>
      <c r="G1834" s="36" t="e">
        <v>#N/A</v>
      </c>
      <c r="H1834" s="33"/>
      <c r="I1834" s="33"/>
      <c r="J1834" s="33"/>
      <c r="K1834" s="33"/>
      <c r="L1834" s="33"/>
      <c r="M1834" s="33"/>
    </row>
    <row r="1835">
      <c r="A1835" s="32" t="s">
        <v>4263</v>
      </c>
      <c r="B1835" s="32" t="s">
        <v>4264</v>
      </c>
      <c r="C1835" s="35">
        <v>44.89139938</v>
      </c>
      <c r="D1835" s="35">
        <v>2.421940088</v>
      </c>
      <c r="E1835" s="32" t="s">
        <v>96</v>
      </c>
      <c r="F1835" s="32" t="s">
        <v>4265</v>
      </c>
      <c r="G1835" s="39" t="s">
        <v>97</v>
      </c>
      <c r="H1835" s="33"/>
      <c r="I1835" s="33"/>
      <c r="J1835" s="33"/>
      <c r="K1835" s="33"/>
      <c r="L1835" s="33"/>
      <c r="M1835" s="33"/>
    </row>
    <row r="1836">
      <c r="A1836" s="32" t="s">
        <v>4266</v>
      </c>
      <c r="B1836" s="32" t="s">
        <v>4267</v>
      </c>
      <c r="C1836" s="35">
        <v>30.19449997</v>
      </c>
      <c r="D1836" s="35">
        <v>-97.66989899</v>
      </c>
      <c r="E1836" s="32" t="s">
        <v>180</v>
      </c>
      <c r="F1836" s="32" t="s">
        <v>2919</v>
      </c>
      <c r="G1836" s="39" t="s">
        <v>181</v>
      </c>
      <c r="H1836" s="33"/>
      <c r="I1836" s="33"/>
      <c r="J1836" s="33"/>
      <c r="K1836" s="33"/>
      <c r="L1836" s="33"/>
      <c r="M1836" s="33"/>
    </row>
    <row r="1837">
      <c r="A1837" s="32" t="s">
        <v>4268</v>
      </c>
      <c r="B1837" s="32" t="s">
        <v>4269</v>
      </c>
      <c r="C1837" s="35">
        <v>-13.354067</v>
      </c>
      <c r="D1837" s="35">
        <v>141.72065</v>
      </c>
      <c r="E1837" s="32" t="s">
        <v>1968</v>
      </c>
      <c r="F1837" s="32" t="s">
        <v>4270</v>
      </c>
      <c r="G1837" s="36" t="e">
        <v>#N/A</v>
      </c>
      <c r="H1837" s="33"/>
      <c r="I1837" s="33"/>
      <c r="J1837" s="33"/>
      <c r="K1837" s="33"/>
      <c r="L1837" s="33"/>
      <c r="M1837" s="33"/>
    </row>
    <row r="1838">
      <c r="A1838" s="32" t="s">
        <v>4271</v>
      </c>
      <c r="B1838" s="32" t="s">
        <v>4272</v>
      </c>
      <c r="C1838" s="35">
        <v>44.92620087</v>
      </c>
      <c r="D1838" s="35">
        <v>-89.62660217</v>
      </c>
      <c r="E1838" s="32" t="s">
        <v>180</v>
      </c>
      <c r="F1838" s="32" t="s">
        <v>4273</v>
      </c>
      <c r="G1838" s="39" t="s">
        <v>181</v>
      </c>
      <c r="H1838" s="33"/>
      <c r="I1838" s="33"/>
      <c r="J1838" s="33"/>
      <c r="K1838" s="33"/>
      <c r="L1838" s="33"/>
      <c r="M1838" s="33"/>
    </row>
    <row r="1839">
      <c r="A1839" s="32" t="s">
        <v>4274</v>
      </c>
      <c r="B1839" s="32" t="s">
        <v>4275</v>
      </c>
      <c r="C1839" s="35">
        <v>-7.22787</v>
      </c>
      <c r="D1839" s="35">
        <v>-48.240501</v>
      </c>
      <c r="E1839" s="32" t="s">
        <v>288</v>
      </c>
      <c r="F1839" s="32" t="s">
        <v>4276</v>
      </c>
      <c r="G1839" s="36" t="e">
        <v>#N/A</v>
      </c>
      <c r="H1839" s="33"/>
      <c r="I1839" s="33"/>
      <c r="J1839" s="33"/>
      <c r="K1839" s="33"/>
      <c r="L1839" s="33"/>
      <c r="M1839" s="33"/>
    </row>
    <row r="1840">
      <c r="A1840" s="32" t="s">
        <v>4277</v>
      </c>
      <c r="B1840" s="32" t="s">
        <v>4278</v>
      </c>
      <c r="C1840" s="35">
        <v>-20.24920082</v>
      </c>
      <c r="D1840" s="35">
        <v>169.7709961</v>
      </c>
      <c r="E1840" s="32" t="s">
        <v>4279</v>
      </c>
      <c r="F1840" s="32" t="s">
        <v>4280</v>
      </c>
      <c r="G1840" s="36" t="e">
        <v>#N/A</v>
      </c>
      <c r="H1840" s="33"/>
      <c r="I1840" s="33"/>
      <c r="J1840" s="33"/>
      <c r="K1840" s="33"/>
      <c r="L1840" s="33"/>
      <c r="M1840" s="33"/>
    </row>
    <row r="1841">
      <c r="A1841" s="32" t="s">
        <v>4281</v>
      </c>
      <c r="B1841" s="32" t="s">
        <v>4282</v>
      </c>
      <c r="C1841" s="35">
        <v>26.26055556</v>
      </c>
      <c r="D1841" s="35">
        <v>105.8733333</v>
      </c>
      <c r="E1841" s="32" t="s">
        <v>205</v>
      </c>
      <c r="F1841" s="32" t="s">
        <v>4283</v>
      </c>
      <c r="G1841" s="39" t="s">
        <v>206</v>
      </c>
      <c r="H1841" s="33"/>
      <c r="I1841" s="33"/>
      <c r="J1841" s="33"/>
      <c r="K1841" s="33"/>
      <c r="L1841" s="33"/>
      <c r="M1841" s="33"/>
    </row>
    <row r="1842">
      <c r="A1842" s="32" t="s">
        <v>4284</v>
      </c>
      <c r="B1842" s="32" t="s">
        <v>4285</v>
      </c>
      <c r="C1842" s="35">
        <v>46.031898</v>
      </c>
      <c r="D1842" s="35">
        <v>12.596503</v>
      </c>
      <c r="E1842" s="32" t="s">
        <v>103</v>
      </c>
      <c r="F1842" s="32" t="s">
        <v>4286</v>
      </c>
      <c r="G1842" s="39" t="s">
        <v>104</v>
      </c>
      <c r="H1842" s="33"/>
      <c r="I1842" s="33"/>
      <c r="J1842" s="33"/>
      <c r="K1842" s="33"/>
      <c r="L1842" s="33"/>
      <c r="M1842" s="33"/>
    </row>
    <row r="1843">
      <c r="A1843" s="32" t="s">
        <v>4287</v>
      </c>
      <c r="B1843" s="32" t="s">
        <v>4288</v>
      </c>
      <c r="C1843" s="35">
        <v>22.02709961</v>
      </c>
      <c r="D1843" s="35">
        <v>-78.78959656</v>
      </c>
      <c r="E1843" s="32" t="s">
        <v>1294</v>
      </c>
      <c r="F1843" s="32" t="s">
        <v>4289</v>
      </c>
      <c r="G1843" s="36" t="e">
        <v>#N/A</v>
      </c>
      <c r="H1843" s="33"/>
      <c r="I1843" s="33"/>
      <c r="J1843" s="33"/>
      <c r="K1843" s="33"/>
      <c r="L1843" s="33"/>
      <c r="M1843" s="33"/>
    </row>
    <row r="1844">
      <c r="A1844" s="32" t="s">
        <v>4290</v>
      </c>
      <c r="B1844" s="32" t="s">
        <v>4291</v>
      </c>
      <c r="C1844" s="35">
        <v>46.25030136</v>
      </c>
      <c r="D1844" s="35">
        <v>102.802002</v>
      </c>
      <c r="E1844" s="32" t="s">
        <v>2274</v>
      </c>
      <c r="F1844" s="32" t="s">
        <v>4292</v>
      </c>
      <c r="G1844" s="36" t="e">
        <v>#N/A</v>
      </c>
      <c r="H1844" s="33"/>
      <c r="I1844" s="33"/>
      <c r="J1844" s="33"/>
      <c r="K1844" s="33"/>
      <c r="L1844" s="33"/>
      <c r="M1844" s="33"/>
    </row>
    <row r="1845">
      <c r="A1845" s="32" t="s">
        <v>4293</v>
      </c>
      <c r="B1845" s="32" t="s">
        <v>4294</v>
      </c>
      <c r="C1845" s="35">
        <v>35.43619919</v>
      </c>
      <c r="D1845" s="35">
        <v>-82.54180145</v>
      </c>
      <c r="E1845" s="32" t="s">
        <v>180</v>
      </c>
      <c r="F1845" s="32" t="s">
        <v>4295</v>
      </c>
      <c r="G1845" s="39" t="s">
        <v>181</v>
      </c>
      <c r="H1845" s="33"/>
      <c r="I1845" s="33"/>
      <c r="J1845" s="33"/>
      <c r="K1845" s="33"/>
      <c r="L1845" s="33"/>
      <c r="M1845" s="33"/>
    </row>
    <row r="1846">
      <c r="A1846" s="32" t="s">
        <v>4296</v>
      </c>
      <c r="B1846" s="32" t="s">
        <v>4297</v>
      </c>
      <c r="C1846" s="35">
        <v>43.90729904</v>
      </c>
      <c r="D1846" s="35">
        <v>4.901830196</v>
      </c>
      <c r="E1846" s="32" t="s">
        <v>96</v>
      </c>
      <c r="F1846" s="32" t="s">
        <v>4298</v>
      </c>
      <c r="G1846" s="39" t="s">
        <v>97</v>
      </c>
      <c r="H1846" s="33"/>
      <c r="I1846" s="33"/>
      <c r="J1846" s="33"/>
      <c r="K1846" s="33"/>
      <c r="L1846" s="33"/>
      <c r="M1846" s="33"/>
    </row>
    <row r="1847">
      <c r="A1847" s="32" t="s">
        <v>4299</v>
      </c>
      <c r="B1847" s="32" t="s">
        <v>4300</v>
      </c>
      <c r="C1847" s="35">
        <v>27.59119987</v>
      </c>
      <c r="D1847" s="35">
        <v>-81.52780151</v>
      </c>
      <c r="E1847" s="32" t="s">
        <v>180</v>
      </c>
      <c r="F1847" s="32" t="s">
        <v>4301</v>
      </c>
      <c r="G1847" s="39" t="s">
        <v>181</v>
      </c>
      <c r="H1847" s="33"/>
      <c r="I1847" s="33"/>
      <c r="J1847" s="33"/>
      <c r="K1847" s="33"/>
      <c r="L1847" s="33"/>
      <c r="M1847" s="33"/>
    </row>
    <row r="1848">
      <c r="A1848" s="32" t="s">
        <v>4302</v>
      </c>
      <c r="B1848" s="32" t="s">
        <v>4303</v>
      </c>
      <c r="C1848" s="35">
        <v>41.33850098</v>
      </c>
      <c r="D1848" s="35">
        <v>-75.7233963</v>
      </c>
      <c r="E1848" s="32" t="s">
        <v>180</v>
      </c>
      <c r="F1848" s="32" t="s">
        <v>2877</v>
      </c>
      <c r="G1848" s="39" t="s">
        <v>181</v>
      </c>
      <c r="H1848" s="33"/>
      <c r="I1848" s="33"/>
      <c r="J1848" s="33"/>
      <c r="K1848" s="33"/>
      <c r="L1848" s="33"/>
      <c r="M1848" s="33"/>
    </row>
    <row r="1849">
      <c r="A1849" s="32" t="s">
        <v>4304</v>
      </c>
      <c r="B1849" s="32" t="s">
        <v>4305</v>
      </c>
      <c r="C1849" s="35">
        <v>-38.03939819</v>
      </c>
      <c r="D1849" s="35">
        <v>144.4689941</v>
      </c>
      <c r="E1849" s="32" t="s">
        <v>1968</v>
      </c>
      <c r="F1849" s="32" t="s">
        <v>4306</v>
      </c>
      <c r="G1849" s="36" t="e">
        <v>#N/A</v>
      </c>
      <c r="H1849" s="33"/>
      <c r="I1849" s="33"/>
      <c r="J1849" s="33"/>
      <c r="K1849" s="33"/>
      <c r="L1849" s="33"/>
      <c r="M1849" s="33"/>
    </row>
    <row r="1850">
      <c r="A1850" s="32" t="s">
        <v>4307</v>
      </c>
      <c r="B1850" s="32" t="s">
        <v>4308</v>
      </c>
      <c r="C1850" s="35">
        <v>32.409599299999996</v>
      </c>
      <c r="D1850" s="35">
        <v>-111.2180023</v>
      </c>
      <c r="E1850" s="32" t="s">
        <v>180</v>
      </c>
      <c r="F1850" s="32" t="s">
        <v>3044</v>
      </c>
      <c r="G1850" s="39" t="s">
        <v>181</v>
      </c>
      <c r="H1850" s="33"/>
      <c r="I1850" s="33"/>
      <c r="J1850" s="33"/>
      <c r="K1850" s="33"/>
      <c r="L1850" s="33"/>
      <c r="M1850" s="33"/>
    </row>
    <row r="1851">
      <c r="A1851" s="32" t="s">
        <v>4309</v>
      </c>
      <c r="B1851" s="32" t="s">
        <v>4310</v>
      </c>
      <c r="C1851" s="35">
        <v>33.4049</v>
      </c>
      <c r="D1851" s="35">
        <v>-118.416</v>
      </c>
      <c r="E1851" s="32" t="s">
        <v>180</v>
      </c>
      <c r="F1851" s="32" t="s">
        <v>4311</v>
      </c>
      <c r="G1851" s="39" t="s">
        <v>181</v>
      </c>
      <c r="H1851" s="33"/>
      <c r="I1851" s="33"/>
      <c r="J1851" s="33"/>
      <c r="K1851" s="33"/>
      <c r="L1851" s="33"/>
      <c r="M1851" s="33"/>
    </row>
    <row r="1852">
      <c r="A1852" s="32" t="s">
        <v>4312</v>
      </c>
      <c r="B1852" s="32" t="s">
        <v>4313</v>
      </c>
      <c r="C1852" s="35">
        <v>7.066999912</v>
      </c>
      <c r="D1852" s="35">
        <v>38.5</v>
      </c>
      <c r="E1852" s="32" t="s">
        <v>18</v>
      </c>
      <c r="F1852" s="32" t="s">
        <v>4314</v>
      </c>
      <c r="G1852" s="36" t="e">
        <v>#N/A</v>
      </c>
      <c r="H1852" s="33"/>
      <c r="I1852" s="33"/>
      <c r="J1852" s="33"/>
      <c r="K1852" s="33"/>
      <c r="L1852" s="33"/>
      <c r="M1852" s="33"/>
    </row>
    <row r="1853">
      <c r="A1853" s="32" t="s">
        <v>4315</v>
      </c>
      <c r="B1853" s="32" t="s">
        <v>4316</v>
      </c>
      <c r="C1853" s="35">
        <v>-19.2346</v>
      </c>
      <c r="D1853" s="35">
        <v>169.6009</v>
      </c>
      <c r="E1853" s="32" t="s">
        <v>4279</v>
      </c>
      <c r="F1853" s="32" t="s">
        <v>4317</v>
      </c>
      <c r="G1853" s="36" t="e">
        <v>#N/A</v>
      </c>
      <c r="H1853" s="33"/>
      <c r="I1853" s="33"/>
      <c r="J1853" s="33"/>
      <c r="K1853" s="33"/>
      <c r="L1853" s="33"/>
      <c r="M1853" s="33"/>
    </row>
    <row r="1854">
      <c r="A1854" s="32" t="s">
        <v>4318</v>
      </c>
      <c r="B1854" s="32" t="s">
        <v>4319</v>
      </c>
      <c r="C1854" s="35">
        <v>19.28210068</v>
      </c>
      <c r="D1854" s="35">
        <v>166.6360016</v>
      </c>
      <c r="E1854" s="32" t="s">
        <v>4320</v>
      </c>
      <c r="F1854" s="32" t="s">
        <v>4321</v>
      </c>
      <c r="G1854" s="36" t="e">
        <v>#N/A</v>
      </c>
      <c r="H1854" s="33"/>
      <c r="I1854" s="33"/>
      <c r="J1854" s="33"/>
      <c r="K1854" s="33"/>
      <c r="L1854" s="33"/>
      <c r="M1854" s="33"/>
    </row>
    <row r="1855">
      <c r="A1855" s="32" t="s">
        <v>4322</v>
      </c>
      <c r="B1855" s="32" t="s">
        <v>4323</v>
      </c>
      <c r="C1855" s="35">
        <v>48.16070175</v>
      </c>
      <c r="D1855" s="35">
        <v>-122.1589966</v>
      </c>
      <c r="E1855" s="32" t="s">
        <v>180</v>
      </c>
      <c r="F1855" s="32" t="s">
        <v>4324</v>
      </c>
      <c r="G1855" s="39" t="s">
        <v>181</v>
      </c>
      <c r="H1855" s="33"/>
      <c r="I1855" s="33"/>
      <c r="J1855" s="33"/>
      <c r="K1855" s="33"/>
      <c r="L1855" s="33"/>
      <c r="M1855" s="33"/>
    </row>
    <row r="1856">
      <c r="A1856" s="32" t="s">
        <v>4325</v>
      </c>
      <c r="B1856" s="32" t="s">
        <v>4326</v>
      </c>
      <c r="C1856" s="35">
        <v>31.33740044</v>
      </c>
      <c r="D1856" s="35">
        <v>48.76200104</v>
      </c>
      <c r="E1856" s="32" t="s">
        <v>1378</v>
      </c>
      <c r="F1856" s="32" t="s">
        <v>4327</v>
      </c>
      <c r="G1856" s="36" t="e">
        <v>#N/A</v>
      </c>
      <c r="H1856" s="33"/>
      <c r="I1856" s="33"/>
      <c r="J1856" s="33"/>
      <c r="K1856" s="33"/>
      <c r="L1856" s="33"/>
      <c r="M1856" s="33"/>
    </row>
    <row r="1857">
      <c r="A1857" s="32" t="s">
        <v>4328</v>
      </c>
      <c r="B1857" s="32" t="s">
        <v>4329</v>
      </c>
      <c r="C1857" s="35">
        <v>18.204799649999998</v>
      </c>
      <c r="D1857" s="35">
        <v>-63.05509949</v>
      </c>
      <c r="E1857" s="32" t="s">
        <v>4330</v>
      </c>
      <c r="F1857" s="32" t="s">
        <v>4331</v>
      </c>
      <c r="G1857" s="36" t="e">
        <v>#N/A</v>
      </c>
      <c r="H1857" s="33"/>
      <c r="I1857" s="33"/>
      <c r="J1857" s="33"/>
      <c r="K1857" s="33"/>
      <c r="L1857" s="33"/>
      <c r="M1857" s="33"/>
    </row>
    <row r="1858">
      <c r="A1858" s="32" t="s">
        <v>4332</v>
      </c>
      <c r="B1858" s="32" t="s">
        <v>4333</v>
      </c>
      <c r="C1858" s="35">
        <v>40.85589981</v>
      </c>
      <c r="D1858" s="35">
        <v>25.95630074</v>
      </c>
      <c r="E1858" s="32" t="s">
        <v>339</v>
      </c>
      <c r="F1858" s="32" t="s">
        <v>4334</v>
      </c>
      <c r="G1858" s="36" t="e">
        <v>#N/A</v>
      </c>
      <c r="H1858" s="33"/>
      <c r="I1858" s="33"/>
      <c r="J1858" s="33"/>
      <c r="K1858" s="33"/>
      <c r="L1858" s="33"/>
      <c r="M1858" s="33"/>
    </row>
    <row r="1859">
      <c r="A1859" s="32" t="s">
        <v>4335</v>
      </c>
      <c r="B1859" s="32" t="s">
        <v>4336</v>
      </c>
      <c r="C1859" s="35">
        <v>32.482498</v>
      </c>
      <c r="D1859" s="35">
        <v>130.158997</v>
      </c>
      <c r="E1859" s="32" t="s">
        <v>170</v>
      </c>
      <c r="F1859" s="32" t="s">
        <v>4337</v>
      </c>
      <c r="G1859" s="39" t="s">
        <v>171</v>
      </c>
      <c r="H1859" s="33"/>
      <c r="I1859" s="33"/>
      <c r="J1859" s="33"/>
      <c r="K1859" s="33"/>
      <c r="L1859" s="33"/>
      <c r="M1859" s="33"/>
    </row>
    <row r="1860">
      <c r="A1860" s="32" t="s">
        <v>4338</v>
      </c>
      <c r="B1860" s="32" t="s">
        <v>4339</v>
      </c>
      <c r="C1860" s="35">
        <v>14.55130005</v>
      </c>
      <c r="D1860" s="35">
        <v>46.82619858</v>
      </c>
      <c r="E1860" s="32" t="s">
        <v>2020</v>
      </c>
      <c r="F1860" s="32" t="s">
        <v>4340</v>
      </c>
      <c r="G1860" s="36" t="e">
        <v>#N/A</v>
      </c>
      <c r="H1860" s="33"/>
      <c r="I1860" s="33"/>
      <c r="J1860" s="33"/>
      <c r="K1860" s="33"/>
      <c r="L1860" s="33"/>
      <c r="M1860" s="33"/>
    </row>
    <row r="1861">
      <c r="A1861" s="32" t="s">
        <v>4341</v>
      </c>
      <c r="B1861" s="32" t="s">
        <v>4342</v>
      </c>
      <c r="C1861" s="35">
        <v>4.45278</v>
      </c>
      <c r="D1861" s="35">
        <v>-75.7664</v>
      </c>
      <c r="E1861" s="32" t="s">
        <v>292</v>
      </c>
      <c r="F1861" s="32" t="s">
        <v>2015</v>
      </c>
      <c r="G1861" s="36" t="e">
        <v>#N/A</v>
      </c>
      <c r="H1861" s="33"/>
      <c r="I1861" s="33"/>
      <c r="J1861" s="33"/>
      <c r="K1861" s="33"/>
      <c r="L1861" s="33"/>
      <c r="M1861" s="33"/>
    </row>
    <row r="1862">
      <c r="A1862" s="32" t="s">
        <v>4343</v>
      </c>
      <c r="B1862" s="32" t="s">
        <v>4344</v>
      </c>
      <c r="C1862" s="35">
        <v>45.86629868</v>
      </c>
      <c r="D1862" s="35">
        <v>-95.3946991</v>
      </c>
      <c r="E1862" s="32" t="s">
        <v>180</v>
      </c>
      <c r="F1862" s="32" t="s">
        <v>1034</v>
      </c>
      <c r="G1862" s="39" t="s">
        <v>181</v>
      </c>
      <c r="H1862" s="33"/>
      <c r="I1862" s="33"/>
      <c r="J1862" s="33"/>
      <c r="K1862" s="33"/>
      <c r="L1862" s="33"/>
      <c r="M1862" s="33"/>
    </row>
    <row r="1863">
      <c r="A1863" s="32" t="s">
        <v>4345</v>
      </c>
      <c r="B1863" s="32" t="s">
        <v>4346</v>
      </c>
      <c r="C1863" s="35">
        <v>22.44179916</v>
      </c>
      <c r="D1863" s="35">
        <v>-73.97090149</v>
      </c>
      <c r="E1863" s="32" t="s">
        <v>319</v>
      </c>
      <c r="F1863" s="32" t="s">
        <v>4347</v>
      </c>
      <c r="G1863" s="36" t="e">
        <v>#N/A</v>
      </c>
      <c r="H1863" s="33"/>
      <c r="I1863" s="33"/>
      <c r="J1863" s="33"/>
      <c r="K1863" s="33"/>
      <c r="L1863" s="33"/>
      <c r="M1863" s="33"/>
    </row>
    <row r="1864">
      <c r="A1864" s="32" t="s">
        <v>4348</v>
      </c>
      <c r="B1864" s="32" t="s">
        <v>4349</v>
      </c>
      <c r="C1864" s="35">
        <v>-15.2482996</v>
      </c>
      <c r="D1864" s="35">
        <v>-146.6170044</v>
      </c>
      <c r="E1864" s="32" t="s">
        <v>1325</v>
      </c>
      <c r="F1864" s="32" t="s">
        <v>4350</v>
      </c>
      <c r="G1864" s="36" t="e">
        <v>#N/A</v>
      </c>
      <c r="H1864" s="33"/>
      <c r="I1864" s="33"/>
      <c r="J1864" s="33"/>
      <c r="K1864" s="33"/>
      <c r="L1864" s="33"/>
      <c r="M1864" s="33"/>
    </row>
    <row r="1865">
      <c r="A1865" s="32" t="s">
        <v>4351</v>
      </c>
      <c r="B1865" s="32" t="s">
        <v>4352</v>
      </c>
      <c r="C1865" s="35">
        <v>39.61560059</v>
      </c>
      <c r="D1865" s="35">
        <v>140.2189941</v>
      </c>
      <c r="E1865" s="32" t="s">
        <v>170</v>
      </c>
      <c r="F1865" s="32" t="s">
        <v>4353</v>
      </c>
      <c r="G1865" s="39" t="s">
        <v>171</v>
      </c>
      <c r="H1865" s="33"/>
      <c r="I1865" s="33"/>
      <c r="J1865" s="33"/>
      <c r="K1865" s="33"/>
      <c r="L1865" s="33"/>
      <c r="M1865" s="33"/>
    </row>
    <row r="1866">
      <c r="A1866" s="32" t="s">
        <v>4354</v>
      </c>
      <c r="B1866" s="32" t="s">
        <v>4355</v>
      </c>
      <c r="C1866" s="35">
        <v>14.14680004</v>
      </c>
      <c r="D1866" s="35">
        <v>38.77280045</v>
      </c>
      <c r="E1866" s="32" t="s">
        <v>18</v>
      </c>
      <c r="F1866" s="32" t="s">
        <v>4356</v>
      </c>
      <c r="G1866" s="36" t="e">
        <v>#N/A</v>
      </c>
      <c r="H1866" s="33"/>
      <c r="I1866" s="33"/>
      <c r="J1866" s="33"/>
      <c r="K1866" s="33"/>
      <c r="L1866" s="33"/>
      <c r="M1866" s="33"/>
    </row>
    <row r="1867">
      <c r="A1867" s="32" t="s">
        <v>4357</v>
      </c>
      <c r="B1867" s="32" t="s">
        <v>4358</v>
      </c>
      <c r="C1867" s="35">
        <v>50.3185997</v>
      </c>
      <c r="D1867" s="35">
        <v>66.95279694</v>
      </c>
      <c r="E1867" s="32" t="s">
        <v>2817</v>
      </c>
      <c r="F1867" s="32" t="s">
        <v>4359</v>
      </c>
      <c r="G1867" s="36" t="e">
        <v>#N/A</v>
      </c>
      <c r="H1867" s="33"/>
      <c r="I1867" s="33"/>
      <c r="J1867" s="33"/>
      <c r="K1867" s="33"/>
      <c r="L1867" s="33"/>
      <c r="M1867" s="33"/>
    </row>
    <row r="1868">
      <c r="A1868" s="32" t="s">
        <v>4360</v>
      </c>
      <c r="B1868" s="32" t="s">
        <v>4361</v>
      </c>
      <c r="C1868" s="35">
        <v>-13.15480042</v>
      </c>
      <c r="D1868" s="35">
        <v>-74.20439911</v>
      </c>
      <c r="E1868" s="32" t="s">
        <v>307</v>
      </c>
      <c r="F1868" s="32" t="s">
        <v>4362</v>
      </c>
      <c r="G1868" s="36" t="e">
        <v>#N/A</v>
      </c>
      <c r="H1868" s="33"/>
      <c r="I1868" s="33"/>
      <c r="J1868" s="33"/>
      <c r="K1868" s="33"/>
      <c r="L1868" s="33"/>
      <c r="M1868" s="33"/>
    </row>
    <row r="1869">
      <c r="A1869" s="32" t="s">
        <v>4363</v>
      </c>
      <c r="B1869" s="32" t="s">
        <v>4364</v>
      </c>
      <c r="C1869" s="35">
        <v>-25.1861</v>
      </c>
      <c r="D1869" s="35">
        <v>130.975998</v>
      </c>
      <c r="E1869" s="32" t="s">
        <v>1968</v>
      </c>
      <c r="F1869" s="32" t="s">
        <v>4365</v>
      </c>
      <c r="G1869" s="36" t="e">
        <v>#N/A</v>
      </c>
      <c r="H1869" s="33"/>
      <c r="I1869" s="33"/>
      <c r="J1869" s="33"/>
      <c r="K1869" s="33"/>
      <c r="L1869" s="33"/>
      <c r="M1869" s="33"/>
    </row>
    <row r="1870">
      <c r="A1870" s="32" t="s">
        <v>4366</v>
      </c>
      <c r="B1870" s="32" t="s">
        <v>4367</v>
      </c>
      <c r="C1870" s="35">
        <v>36.898701</v>
      </c>
      <c r="D1870" s="35">
        <v>30.800501</v>
      </c>
      <c r="E1870" s="32" t="s">
        <v>133</v>
      </c>
      <c r="F1870" s="32" t="s">
        <v>4368</v>
      </c>
      <c r="G1870" s="39" t="s">
        <v>134</v>
      </c>
      <c r="H1870" s="33"/>
      <c r="I1870" s="33"/>
      <c r="J1870" s="33"/>
      <c r="K1870" s="33"/>
      <c r="L1870" s="33"/>
      <c r="M1870" s="33"/>
    </row>
    <row r="1871">
      <c r="A1871" s="32" t="s">
        <v>4369</v>
      </c>
      <c r="B1871" s="32" t="s">
        <v>4370</v>
      </c>
      <c r="C1871" s="35">
        <v>33.12575</v>
      </c>
      <c r="D1871" s="35">
        <v>68.838517</v>
      </c>
      <c r="E1871" s="32" t="s">
        <v>1350</v>
      </c>
      <c r="F1871" s="32" t="s">
        <v>4371</v>
      </c>
      <c r="G1871" s="36" t="e">
        <v>#N/A</v>
      </c>
      <c r="H1871" s="33"/>
      <c r="I1871" s="33"/>
      <c r="J1871" s="33"/>
      <c r="K1871" s="33"/>
      <c r="L1871" s="33"/>
      <c r="M1871" s="33"/>
    </row>
    <row r="1872">
      <c r="A1872" s="32" t="s">
        <v>4372</v>
      </c>
      <c r="B1872" s="32" t="s">
        <v>4373</v>
      </c>
      <c r="C1872" s="35">
        <v>33.30780029</v>
      </c>
      <c r="D1872" s="35">
        <v>-111.6549988</v>
      </c>
      <c r="E1872" s="32" t="s">
        <v>180</v>
      </c>
      <c r="F1872" s="32" t="s">
        <v>4374</v>
      </c>
      <c r="G1872" s="39" t="s">
        <v>181</v>
      </c>
      <c r="H1872" s="33"/>
      <c r="I1872" s="33"/>
      <c r="J1872" s="33"/>
      <c r="K1872" s="33"/>
      <c r="L1872" s="33"/>
      <c r="M1872" s="33"/>
    </row>
    <row r="1873">
      <c r="A1873" s="32" t="s">
        <v>4375</v>
      </c>
      <c r="B1873" s="32" t="s">
        <v>4376</v>
      </c>
      <c r="C1873" s="35">
        <v>31.9048996</v>
      </c>
      <c r="D1873" s="35">
        <v>54.2765007</v>
      </c>
      <c r="E1873" s="32" t="s">
        <v>1378</v>
      </c>
      <c r="F1873" s="32" t="s">
        <v>4377</v>
      </c>
      <c r="G1873" s="36" t="e">
        <v>#N/A</v>
      </c>
      <c r="H1873" s="33"/>
      <c r="I1873" s="33"/>
      <c r="J1873" s="33"/>
      <c r="K1873" s="33"/>
      <c r="L1873" s="33"/>
      <c r="M1873" s="33"/>
    </row>
    <row r="1874">
      <c r="A1874" s="32" t="s">
        <v>4378</v>
      </c>
      <c r="B1874" s="32" t="s">
        <v>4379</v>
      </c>
      <c r="C1874" s="35">
        <v>24.42830086</v>
      </c>
      <c r="D1874" s="35">
        <v>54.45809937</v>
      </c>
      <c r="E1874" s="32" t="s">
        <v>139</v>
      </c>
      <c r="F1874" s="32" t="s">
        <v>1462</v>
      </c>
      <c r="G1874" s="39" t="s">
        <v>140</v>
      </c>
      <c r="H1874" s="33"/>
      <c r="I1874" s="33"/>
      <c r="J1874" s="33"/>
      <c r="K1874" s="33"/>
      <c r="L1874" s="33"/>
      <c r="M1874" s="33"/>
    </row>
    <row r="1875">
      <c r="A1875" s="32" t="s">
        <v>4380</v>
      </c>
      <c r="B1875" s="32" t="s">
        <v>4381</v>
      </c>
      <c r="C1875" s="35">
        <v>40.72769928</v>
      </c>
      <c r="D1875" s="35">
        <v>72.29399872</v>
      </c>
      <c r="E1875" s="32" t="s">
        <v>3332</v>
      </c>
      <c r="F1875" s="32" t="s">
        <v>4382</v>
      </c>
      <c r="G1875" s="36" t="e">
        <v>#N/A</v>
      </c>
      <c r="H1875" s="33"/>
      <c r="I1875" s="33"/>
      <c r="J1875" s="33"/>
      <c r="K1875" s="33"/>
      <c r="L1875" s="33"/>
      <c r="M1875" s="33"/>
    </row>
    <row r="1876">
      <c r="A1876" s="32" t="s">
        <v>4383</v>
      </c>
      <c r="B1876" s="32" t="s">
        <v>4384</v>
      </c>
      <c r="C1876" s="35">
        <v>42.23490143</v>
      </c>
      <c r="D1876" s="35">
        <v>-85.55210114</v>
      </c>
      <c r="E1876" s="32" t="s">
        <v>180</v>
      </c>
      <c r="F1876" s="32" t="s">
        <v>4385</v>
      </c>
      <c r="G1876" s="39" t="s">
        <v>181</v>
      </c>
      <c r="H1876" s="33"/>
      <c r="I1876" s="33"/>
      <c r="J1876" s="33"/>
      <c r="K1876" s="33"/>
      <c r="L1876" s="33"/>
      <c r="M1876" s="33"/>
    </row>
    <row r="1877">
      <c r="A1877" s="32" t="s">
        <v>4386</v>
      </c>
      <c r="B1877" s="32" t="s">
        <v>4387</v>
      </c>
      <c r="C1877" s="35">
        <v>27.83760071</v>
      </c>
      <c r="D1877" s="35">
        <v>-0.186414003</v>
      </c>
      <c r="E1877" s="32" t="s">
        <v>20</v>
      </c>
      <c r="F1877" s="32" t="s">
        <v>4388</v>
      </c>
      <c r="G1877" s="36" t="e">
        <v>#N/A</v>
      </c>
      <c r="H1877" s="33"/>
      <c r="I1877" s="33"/>
      <c r="J1877" s="33"/>
      <c r="K1877" s="33"/>
      <c r="L1877" s="33"/>
      <c r="M1877" s="33"/>
    </row>
    <row r="1878">
      <c r="A1878" s="32" t="s">
        <v>4389</v>
      </c>
      <c r="B1878" s="32" t="s">
        <v>4390</v>
      </c>
      <c r="C1878" s="35">
        <v>19.2670002</v>
      </c>
      <c r="D1878" s="35">
        <v>-69.74199677</v>
      </c>
      <c r="E1878" s="32" t="s">
        <v>335</v>
      </c>
      <c r="F1878" s="32" t="s">
        <v>4391</v>
      </c>
      <c r="G1878" s="36" t="e">
        <v>#N/A</v>
      </c>
      <c r="H1878" s="33"/>
      <c r="I1878" s="33"/>
      <c r="J1878" s="33"/>
      <c r="K1878" s="33"/>
      <c r="L1878" s="33"/>
      <c r="M1878" s="33"/>
    </row>
    <row r="1879">
      <c r="A1879" s="32" t="s">
        <v>4392</v>
      </c>
      <c r="B1879" s="32" t="s">
        <v>4393</v>
      </c>
      <c r="C1879" s="35">
        <v>39.13610077</v>
      </c>
      <c r="D1879" s="35">
        <v>-121.4369965</v>
      </c>
      <c r="E1879" s="32" t="s">
        <v>180</v>
      </c>
      <c r="F1879" s="32" t="s">
        <v>4394</v>
      </c>
      <c r="G1879" s="39" t="s">
        <v>181</v>
      </c>
      <c r="H1879" s="33"/>
      <c r="I1879" s="33"/>
      <c r="J1879" s="33"/>
      <c r="K1879" s="33"/>
      <c r="L1879" s="33"/>
      <c r="M1879" s="33"/>
    </row>
    <row r="1880">
      <c r="A1880" s="32" t="s">
        <v>4395</v>
      </c>
      <c r="B1880" s="32" t="s">
        <v>4396</v>
      </c>
      <c r="C1880" s="35">
        <v>32.50180054</v>
      </c>
      <c r="D1880" s="35">
        <v>-93.66269684</v>
      </c>
      <c r="E1880" s="32" t="s">
        <v>180</v>
      </c>
      <c r="F1880" s="32" t="s">
        <v>2906</v>
      </c>
      <c r="G1880" s="39" t="s">
        <v>181</v>
      </c>
      <c r="H1880" s="33"/>
      <c r="I1880" s="33"/>
      <c r="J1880" s="33"/>
      <c r="K1880" s="33"/>
      <c r="L1880" s="33"/>
      <c r="M1880" s="33"/>
    </row>
    <row r="1881">
      <c r="A1881" s="32" t="s">
        <v>4397</v>
      </c>
      <c r="B1881" s="32" t="s">
        <v>4398</v>
      </c>
      <c r="C1881" s="35">
        <v>42.157799</v>
      </c>
      <c r="D1881" s="35">
        <v>-72.715599</v>
      </c>
      <c r="E1881" s="32" t="s">
        <v>180</v>
      </c>
      <c r="F1881" s="32" t="s">
        <v>4399</v>
      </c>
      <c r="G1881" s="39" t="s">
        <v>181</v>
      </c>
      <c r="H1881" s="33"/>
      <c r="I1881" s="33"/>
      <c r="J1881" s="33"/>
      <c r="K1881" s="33"/>
      <c r="L1881" s="33"/>
      <c r="M1881" s="33"/>
    </row>
    <row r="1882">
      <c r="A1882" s="32" t="s">
        <v>4400</v>
      </c>
      <c r="B1882" s="32" t="s">
        <v>4401</v>
      </c>
      <c r="C1882" s="35">
        <v>16.37509918</v>
      </c>
      <c r="D1882" s="35">
        <v>120.6200027</v>
      </c>
      <c r="E1882" s="32" t="s">
        <v>270</v>
      </c>
      <c r="F1882" s="32" t="s">
        <v>4402</v>
      </c>
      <c r="G1882" s="36" t="e">
        <v>#N/A</v>
      </c>
      <c r="H1882" s="33"/>
      <c r="I1882" s="33"/>
      <c r="J1882" s="33"/>
      <c r="K1882" s="33"/>
      <c r="L1882" s="33"/>
      <c r="M1882" s="33"/>
    </row>
    <row r="1883">
      <c r="A1883" s="32" t="s">
        <v>4403</v>
      </c>
      <c r="B1883" s="32" t="s">
        <v>4404</v>
      </c>
      <c r="C1883" s="35">
        <v>26.27079964</v>
      </c>
      <c r="D1883" s="35">
        <v>50.63359833</v>
      </c>
      <c r="E1883" s="32" t="s">
        <v>248</v>
      </c>
      <c r="F1883" s="32" t="s">
        <v>248</v>
      </c>
      <c r="G1883" s="36" t="e">
        <v>#N/A</v>
      </c>
      <c r="H1883" s="33"/>
      <c r="I1883" s="33"/>
      <c r="J1883" s="33"/>
      <c r="K1883" s="33"/>
      <c r="L1883" s="33"/>
      <c r="M1883" s="33"/>
    </row>
    <row r="1884">
      <c r="A1884" s="32" t="s">
        <v>4405</v>
      </c>
      <c r="B1884" s="32" t="s">
        <v>4406</v>
      </c>
      <c r="C1884" s="35">
        <v>37.92900085</v>
      </c>
      <c r="D1884" s="35">
        <v>41.11660004</v>
      </c>
      <c r="E1884" s="32" t="s">
        <v>133</v>
      </c>
      <c r="F1884" s="32" t="s">
        <v>4407</v>
      </c>
      <c r="G1884" s="39" t="s">
        <v>134</v>
      </c>
      <c r="H1884" s="33"/>
      <c r="I1884" s="33"/>
      <c r="J1884" s="33"/>
      <c r="K1884" s="33"/>
      <c r="L1884" s="33"/>
      <c r="M1884" s="33"/>
    </row>
    <row r="1885">
      <c r="A1885" s="32" t="s">
        <v>4408</v>
      </c>
      <c r="B1885" s="32" t="s">
        <v>4409</v>
      </c>
      <c r="C1885" s="35">
        <v>10.8896</v>
      </c>
      <c r="D1885" s="35">
        <v>-74.7808</v>
      </c>
      <c r="E1885" s="32" t="s">
        <v>292</v>
      </c>
      <c r="F1885" s="32" t="s">
        <v>4410</v>
      </c>
      <c r="G1885" s="36" t="e">
        <v>#N/A</v>
      </c>
      <c r="H1885" s="33"/>
      <c r="I1885" s="33"/>
      <c r="J1885" s="33"/>
      <c r="K1885" s="33"/>
      <c r="L1885" s="33"/>
      <c r="M1885" s="33"/>
    </row>
    <row r="1886">
      <c r="A1886" s="32" t="s">
        <v>4411</v>
      </c>
      <c r="B1886" s="32" t="s">
        <v>4412</v>
      </c>
      <c r="C1886" s="35">
        <v>-6.990745</v>
      </c>
      <c r="D1886" s="35">
        <v>155.886656</v>
      </c>
      <c r="E1886" s="32" t="s">
        <v>3666</v>
      </c>
      <c r="F1886" s="32" t="s">
        <v>4413</v>
      </c>
      <c r="G1886" s="36" t="e">
        <v>#N/A</v>
      </c>
      <c r="H1886" s="33"/>
      <c r="I1886" s="33"/>
      <c r="J1886" s="33"/>
      <c r="K1886" s="33"/>
      <c r="L1886" s="33"/>
      <c r="M1886" s="33"/>
    </row>
    <row r="1887">
      <c r="A1887" s="32" t="s">
        <v>4414</v>
      </c>
      <c r="B1887" s="32" t="s">
        <v>4415</v>
      </c>
      <c r="C1887" s="35">
        <v>-20.58449936</v>
      </c>
      <c r="D1887" s="35">
        <v>-48.59410095</v>
      </c>
      <c r="E1887" s="32" t="s">
        <v>288</v>
      </c>
      <c r="F1887" s="32" t="s">
        <v>4416</v>
      </c>
      <c r="G1887" s="36" t="e">
        <v>#N/A</v>
      </c>
      <c r="H1887" s="33"/>
      <c r="I1887" s="33"/>
      <c r="J1887" s="33"/>
      <c r="K1887" s="33"/>
      <c r="L1887" s="33"/>
      <c r="M1887" s="33"/>
    </row>
    <row r="1888">
      <c r="A1888" s="32" t="s">
        <v>4417</v>
      </c>
      <c r="B1888" s="32" t="s">
        <v>4418</v>
      </c>
      <c r="C1888" s="35">
        <v>-22.34499931</v>
      </c>
      <c r="D1888" s="35">
        <v>-49.05379868</v>
      </c>
      <c r="E1888" s="32" t="s">
        <v>288</v>
      </c>
      <c r="F1888" s="32" t="s">
        <v>4419</v>
      </c>
      <c r="G1888" s="36" t="e">
        <v>#N/A</v>
      </c>
      <c r="H1888" s="33"/>
      <c r="I1888" s="33"/>
      <c r="J1888" s="33"/>
      <c r="K1888" s="33"/>
      <c r="L1888" s="33"/>
      <c r="M1888" s="33"/>
    </row>
    <row r="1889">
      <c r="A1889" s="32" t="s">
        <v>4420</v>
      </c>
      <c r="B1889" s="32" t="s">
        <v>4421</v>
      </c>
      <c r="C1889" s="35">
        <v>40.56000137</v>
      </c>
      <c r="D1889" s="35">
        <v>109.9970016</v>
      </c>
      <c r="E1889" s="32" t="s">
        <v>205</v>
      </c>
      <c r="F1889" s="32" t="s">
        <v>4422</v>
      </c>
      <c r="G1889" s="39" t="s">
        <v>206</v>
      </c>
      <c r="H1889" s="33"/>
      <c r="I1889" s="33"/>
      <c r="J1889" s="33"/>
      <c r="K1889" s="33"/>
      <c r="L1889" s="33"/>
      <c r="M1889" s="33"/>
    </row>
    <row r="1890">
      <c r="A1890" s="32" t="s">
        <v>4423</v>
      </c>
      <c r="B1890" s="32" t="s">
        <v>4424</v>
      </c>
      <c r="C1890" s="35">
        <v>53.36380005</v>
      </c>
      <c r="D1890" s="35">
        <v>83.53849792</v>
      </c>
      <c r="E1890" s="32" t="s">
        <v>2040</v>
      </c>
      <c r="F1890" s="32" t="s">
        <v>4425</v>
      </c>
      <c r="G1890" s="36" t="e">
        <v>#N/A</v>
      </c>
      <c r="H1890" s="33"/>
      <c r="I1890" s="33"/>
      <c r="J1890" s="33"/>
      <c r="K1890" s="33"/>
      <c r="L1890" s="33"/>
      <c r="M1890" s="33"/>
    </row>
    <row r="1891">
      <c r="A1891" s="32" t="s">
        <v>4426</v>
      </c>
      <c r="B1891" s="32" t="s">
        <v>4427</v>
      </c>
      <c r="C1891" s="35">
        <v>47.65840149</v>
      </c>
      <c r="D1891" s="35">
        <v>23.46999931</v>
      </c>
      <c r="E1891" s="32" t="s">
        <v>2874</v>
      </c>
      <c r="F1891" s="32" t="s">
        <v>4428</v>
      </c>
      <c r="G1891" s="36" t="e">
        <v>#N/A</v>
      </c>
      <c r="H1891" s="33"/>
      <c r="I1891" s="33"/>
      <c r="J1891" s="33"/>
      <c r="K1891" s="33"/>
      <c r="L1891" s="33"/>
      <c r="M1891" s="33"/>
    </row>
    <row r="1892">
      <c r="A1892" s="32" t="s">
        <v>4429</v>
      </c>
      <c r="B1892" s="32" t="s">
        <v>4430</v>
      </c>
      <c r="C1892" s="35">
        <v>-0.981292</v>
      </c>
      <c r="D1892" s="35">
        <v>-62.919601</v>
      </c>
      <c r="E1892" s="32" t="s">
        <v>288</v>
      </c>
      <c r="F1892" s="32" t="s">
        <v>4431</v>
      </c>
      <c r="G1892" s="36" t="e">
        <v>#N/A</v>
      </c>
      <c r="H1892" s="33"/>
      <c r="I1892" s="33"/>
      <c r="J1892" s="33"/>
      <c r="K1892" s="33"/>
      <c r="L1892" s="33"/>
      <c r="M1892" s="33"/>
    </row>
    <row r="1893">
      <c r="A1893" s="32" t="s">
        <v>4432</v>
      </c>
      <c r="B1893" s="32" t="s">
        <v>4433</v>
      </c>
      <c r="C1893" s="35">
        <v>-45.91609955</v>
      </c>
      <c r="D1893" s="35">
        <v>-71.6894989</v>
      </c>
      <c r="E1893" s="32" t="s">
        <v>300</v>
      </c>
      <c r="F1893" s="32" t="s">
        <v>4434</v>
      </c>
      <c r="G1893" s="36" t="e">
        <v>#N/A</v>
      </c>
      <c r="H1893" s="33"/>
      <c r="I1893" s="33"/>
      <c r="J1893" s="33"/>
      <c r="K1893" s="33"/>
      <c r="L1893" s="33"/>
      <c r="M1893" s="33"/>
    </row>
    <row r="1894">
      <c r="A1894" s="32" t="s">
        <v>4435</v>
      </c>
      <c r="B1894" s="32" t="s">
        <v>4436</v>
      </c>
      <c r="C1894" s="35">
        <v>31.17930031</v>
      </c>
      <c r="D1894" s="35">
        <v>-99.32389832</v>
      </c>
      <c r="E1894" s="32" t="s">
        <v>180</v>
      </c>
      <c r="F1894" s="32" t="s">
        <v>4437</v>
      </c>
      <c r="G1894" s="39" t="s">
        <v>181</v>
      </c>
      <c r="H1894" s="33"/>
      <c r="I1894" s="33"/>
      <c r="J1894" s="33"/>
      <c r="K1894" s="33"/>
      <c r="L1894" s="33"/>
      <c r="M1894" s="33"/>
    </row>
    <row r="1895">
      <c r="A1895" s="32" t="s">
        <v>4438</v>
      </c>
      <c r="B1895" s="32" t="s">
        <v>4439</v>
      </c>
      <c r="C1895" s="35">
        <v>3.08583</v>
      </c>
      <c r="D1895" s="35">
        <v>172.811005</v>
      </c>
      <c r="E1895" s="32" t="s">
        <v>3439</v>
      </c>
      <c r="F1895" s="32" t="s">
        <v>4440</v>
      </c>
      <c r="G1895" s="36" t="e">
        <v>#N/A</v>
      </c>
      <c r="H1895" s="33"/>
      <c r="I1895" s="33"/>
      <c r="J1895" s="33"/>
      <c r="K1895" s="33"/>
      <c r="L1895" s="33"/>
      <c r="M1895" s="33"/>
    </row>
    <row r="1896">
      <c r="A1896" s="32" t="s">
        <v>4441</v>
      </c>
      <c r="B1896" s="32" t="s">
        <v>4442</v>
      </c>
      <c r="C1896" s="35">
        <v>54.338253</v>
      </c>
      <c r="D1896" s="35">
        <v>12.710515</v>
      </c>
      <c r="E1896" s="32" t="s">
        <v>109</v>
      </c>
      <c r="F1896" s="32" t="s">
        <v>4443</v>
      </c>
      <c r="G1896" s="39" t="s">
        <v>110</v>
      </c>
      <c r="H1896" s="33"/>
      <c r="I1896" s="33"/>
      <c r="J1896" s="33"/>
      <c r="K1896" s="33"/>
      <c r="L1896" s="33"/>
      <c r="M1896" s="33"/>
    </row>
    <row r="1897">
      <c r="A1897" s="32" t="s">
        <v>4444</v>
      </c>
      <c r="B1897" s="32" t="s">
        <v>4445</v>
      </c>
      <c r="C1897" s="35">
        <v>20.24440002</v>
      </c>
      <c r="D1897" s="35">
        <v>85.81780243</v>
      </c>
      <c r="E1897" s="32" t="s">
        <v>217</v>
      </c>
      <c r="F1897" s="32" t="s">
        <v>4446</v>
      </c>
      <c r="G1897" s="39" t="s">
        <v>218</v>
      </c>
      <c r="H1897" s="33"/>
      <c r="I1897" s="33"/>
      <c r="J1897" s="33"/>
      <c r="K1897" s="33"/>
      <c r="L1897" s="33"/>
      <c r="M1897" s="33"/>
    </row>
    <row r="1898">
      <c r="A1898" s="32" t="s">
        <v>4447</v>
      </c>
      <c r="B1898" s="32" t="s">
        <v>4448</v>
      </c>
      <c r="C1898" s="35">
        <v>49.945278</v>
      </c>
      <c r="D1898" s="35">
        <v>6.565</v>
      </c>
      <c r="E1898" s="32" t="s">
        <v>109</v>
      </c>
      <c r="F1898" s="32" t="s">
        <v>4449</v>
      </c>
      <c r="G1898" s="39" t="s">
        <v>110</v>
      </c>
      <c r="H1898" s="33"/>
      <c r="I1898" s="33"/>
      <c r="J1898" s="33"/>
      <c r="K1898" s="33"/>
      <c r="L1898" s="33"/>
      <c r="M1898" s="33"/>
    </row>
    <row r="1899">
      <c r="A1899" s="32" t="s">
        <v>4450</v>
      </c>
      <c r="B1899" s="32" t="s">
        <v>4451</v>
      </c>
      <c r="C1899" s="35">
        <v>-17.83289909</v>
      </c>
      <c r="D1899" s="35">
        <v>25.16239929</v>
      </c>
      <c r="E1899" s="32" t="s">
        <v>2285</v>
      </c>
      <c r="F1899" s="32" t="s">
        <v>4452</v>
      </c>
      <c r="G1899" s="36" t="e">
        <v>#N/A</v>
      </c>
      <c r="H1899" s="33"/>
      <c r="I1899" s="33"/>
      <c r="J1899" s="33"/>
      <c r="K1899" s="33"/>
      <c r="L1899" s="33"/>
      <c r="M1899" s="33"/>
    </row>
    <row r="1900">
      <c r="A1900" s="32" t="s">
        <v>4453</v>
      </c>
      <c r="B1900" s="32" t="s">
        <v>4454</v>
      </c>
      <c r="C1900" s="35">
        <v>13.09560013</v>
      </c>
      <c r="D1900" s="35">
        <v>103.223999</v>
      </c>
      <c r="E1900" s="32" t="s">
        <v>1832</v>
      </c>
      <c r="F1900" s="32" t="s">
        <v>4455</v>
      </c>
      <c r="G1900" s="36" t="e">
        <v>#N/A</v>
      </c>
      <c r="H1900" s="33"/>
      <c r="I1900" s="33"/>
      <c r="J1900" s="33"/>
      <c r="K1900" s="33"/>
      <c r="L1900" s="33"/>
      <c r="M1900" s="33"/>
    </row>
    <row r="1901">
      <c r="A1901" s="32" t="s">
        <v>4456</v>
      </c>
      <c r="B1901" s="32" t="s">
        <v>4457</v>
      </c>
      <c r="C1901" s="35">
        <v>3.733890057</v>
      </c>
      <c r="D1901" s="35">
        <v>115.4789963</v>
      </c>
      <c r="E1901" s="32" t="s">
        <v>284</v>
      </c>
      <c r="F1901" s="32" t="s">
        <v>4458</v>
      </c>
      <c r="G1901" s="36" t="e">
        <v>#N/A</v>
      </c>
      <c r="H1901" s="33"/>
      <c r="I1901" s="33"/>
      <c r="J1901" s="33"/>
      <c r="K1901" s="33"/>
      <c r="L1901" s="33"/>
      <c r="M1901" s="33"/>
    </row>
    <row r="1902">
      <c r="A1902" s="32" t="s">
        <v>4459</v>
      </c>
      <c r="B1902" s="32" t="s">
        <v>4460</v>
      </c>
      <c r="C1902" s="35">
        <v>10.38920021</v>
      </c>
      <c r="D1902" s="35">
        <v>44.94110107</v>
      </c>
      <c r="E1902" s="32" t="s">
        <v>3906</v>
      </c>
      <c r="F1902" s="32" t="s">
        <v>4461</v>
      </c>
      <c r="G1902" s="36" t="e">
        <v>#N/A</v>
      </c>
      <c r="H1902" s="33"/>
      <c r="I1902" s="33"/>
      <c r="J1902" s="33"/>
      <c r="K1902" s="33"/>
      <c r="L1902" s="33"/>
      <c r="M1902" s="33"/>
    </row>
    <row r="1903">
      <c r="A1903" s="32" t="s">
        <v>4462</v>
      </c>
      <c r="B1903" s="32" t="s">
        <v>4463</v>
      </c>
      <c r="C1903" s="35">
        <v>50.67810059</v>
      </c>
      <c r="D1903" s="35">
        <v>-1.109439969</v>
      </c>
      <c r="E1903" s="32" t="s">
        <v>90</v>
      </c>
      <c r="F1903" s="32" t="s">
        <v>4464</v>
      </c>
      <c r="G1903" s="39" t="s">
        <v>91</v>
      </c>
      <c r="H1903" s="33"/>
      <c r="I1903" s="33"/>
      <c r="J1903" s="33"/>
      <c r="K1903" s="33"/>
      <c r="L1903" s="33"/>
      <c r="M1903" s="33"/>
    </row>
    <row r="1904">
      <c r="A1904" s="32" t="s">
        <v>4465</v>
      </c>
      <c r="B1904" s="32" t="s">
        <v>4466</v>
      </c>
      <c r="C1904" s="35">
        <v>17.635799</v>
      </c>
      <c r="D1904" s="35">
        <v>-61.828602</v>
      </c>
      <c r="E1904" s="32" t="s">
        <v>3989</v>
      </c>
      <c r="F1904" s="32" t="s">
        <v>4467</v>
      </c>
      <c r="G1904" s="36" t="e">
        <v>#N/A</v>
      </c>
      <c r="H1904" s="33"/>
      <c r="I1904" s="33"/>
      <c r="J1904" s="33"/>
      <c r="K1904" s="33"/>
      <c r="L1904" s="33"/>
      <c r="M1904" s="33"/>
    </row>
    <row r="1905">
      <c r="A1905" s="32" t="s">
        <v>4468</v>
      </c>
      <c r="B1905" s="32" t="s">
        <v>4469</v>
      </c>
      <c r="C1905" s="35">
        <v>16.01329994</v>
      </c>
      <c r="D1905" s="35">
        <v>-61.74219894</v>
      </c>
      <c r="E1905" s="32" t="s">
        <v>4470</v>
      </c>
      <c r="F1905" s="32" t="s">
        <v>4471</v>
      </c>
      <c r="G1905" s="36" t="e">
        <v>#N/A</v>
      </c>
      <c r="H1905" s="33"/>
      <c r="I1905" s="33"/>
      <c r="J1905" s="33"/>
      <c r="K1905" s="33"/>
      <c r="L1905" s="33"/>
      <c r="M1905" s="33"/>
    </row>
    <row r="1906">
      <c r="A1906" s="32" t="s">
        <v>4472</v>
      </c>
      <c r="B1906" s="32" t="s">
        <v>4473</v>
      </c>
      <c r="C1906" s="35">
        <v>51.32389832</v>
      </c>
      <c r="D1906" s="35">
        <v>-0.847500026</v>
      </c>
      <c r="E1906" s="32" t="s">
        <v>90</v>
      </c>
      <c r="F1906" s="32" t="s">
        <v>4474</v>
      </c>
      <c r="G1906" s="39" t="s">
        <v>91</v>
      </c>
      <c r="H1906" s="33"/>
      <c r="I1906" s="33"/>
      <c r="J1906" s="33"/>
      <c r="K1906" s="33"/>
      <c r="L1906" s="33"/>
      <c r="M1906" s="33"/>
    </row>
    <row r="1907">
      <c r="A1907" s="32" t="s">
        <v>4475</v>
      </c>
      <c r="B1907" s="32" t="s">
        <v>4476</v>
      </c>
      <c r="C1907" s="35">
        <v>4.221580029</v>
      </c>
      <c r="D1907" s="35">
        <v>15.78639984</v>
      </c>
      <c r="E1907" s="32" t="s">
        <v>4477</v>
      </c>
      <c r="F1907" s="32" t="s">
        <v>4478</v>
      </c>
      <c r="G1907" s="36" t="e">
        <v>#N/A</v>
      </c>
      <c r="H1907" s="33"/>
      <c r="I1907" s="33"/>
      <c r="J1907" s="33"/>
      <c r="K1907" s="33"/>
      <c r="L1907" s="33"/>
      <c r="M1907" s="33"/>
    </row>
    <row r="1908">
      <c r="A1908" s="32" t="s">
        <v>4479</v>
      </c>
      <c r="B1908" s="32" t="s">
        <v>4480</v>
      </c>
      <c r="C1908" s="35">
        <v>44.50320053</v>
      </c>
      <c r="D1908" s="35">
        <v>26.10210037</v>
      </c>
      <c r="E1908" s="32" t="s">
        <v>2874</v>
      </c>
      <c r="F1908" s="32" t="s">
        <v>4481</v>
      </c>
      <c r="G1908" s="36" t="e">
        <v>#N/A</v>
      </c>
      <c r="H1908" s="33"/>
      <c r="I1908" s="33"/>
      <c r="J1908" s="33"/>
      <c r="K1908" s="33"/>
      <c r="L1908" s="33"/>
      <c r="M1908" s="33"/>
    </row>
    <row r="1909">
      <c r="A1909" s="32" t="s">
        <v>4482</v>
      </c>
      <c r="B1909" s="32" t="s">
        <v>4483</v>
      </c>
      <c r="C1909" s="35">
        <v>40.13750076</v>
      </c>
      <c r="D1909" s="35">
        <v>-75.26509857</v>
      </c>
      <c r="E1909" s="32" t="s">
        <v>180</v>
      </c>
      <c r="F1909" s="32" t="s">
        <v>4484</v>
      </c>
      <c r="G1909" s="39" t="s">
        <v>181</v>
      </c>
      <c r="H1909" s="33"/>
      <c r="I1909" s="33"/>
      <c r="J1909" s="33"/>
      <c r="K1909" s="33"/>
      <c r="L1909" s="33"/>
      <c r="M1909" s="33"/>
    </row>
    <row r="1910">
      <c r="A1910" s="32" t="s">
        <v>4485</v>
      </c>
      <c r="B1910" s="32" t="s">
        <v>4486</v>
      </c>
      <c r="C1910" s="35">
        <v>20.36529922</v>
      </c>
      <c r="D1910" s="35">
        <v>-74.5062027</v>
      </c>
      <c r="E1910" s="32" t="s">
        <v>1294</v>
      </c>
      <c r="F1910" s="32" t="s">
        <v>4487</v>
      </c>
      <c r="G1910" s="36" t="e">
        <v>#N/A</v>
      </c>
      <c r="H1910" s="33"/>
      <c r="I1910" s="33"/>
      <c r="J1910" s="33"/>
      <c r="K1910" s="33"/>
      <c r="L1910" s="33"/>
      <c r="M1910" s="33"/>
    </row>
    <row r="1911">
      <c r="A1911" s="32" t="s">
        <v>4488</v>
      </c>
      <c r="B1911" s="32" t="s">
        <v>4489</v>
      </c>
      <c r="C1911" s="35">
        <v>10.7764</v>
      </c>
      <c r="D1911" s="35">
        <v>123.014999</v>
      </c>
      <c r="E1911" s="32" t="s">
        <v>270</v>
      </c>
      <c r="F1911" s="32" t="s">
        <v>4490</v>
      </c>
      <c r="G1911" s="36" t="e">
        <v>#N/A</v>
      </c>
      <c r="H1911" s="33"/>
      <c r="I1911" s="33"/>
      <c r="J1911" s="33"/>
      <c r="K1911" s="33"/>
      <c r="L1911" s="33"/>
      <c r="M1911" s="33"/>
    </row>
    <row r="1912">
      <c r="A1912" s="32" t="s">
        <v>4491</v>
      </c>
      <c r="B1912" s="32" t="s">
        <v>4492</v>
      </c>
      <c r="C1912" s="35">
        <v>37.70640183</v>
      </c>
      <c r="D1912" s="35">
        <v>-112.1449966</v>
      </c>
      <c r="E1912" s="32" t="s">
        <v>180</v>
      </c>
      <c r="F1912" s="32" t="s">
        <v>4493</v>
      </c>
      <c r="G1912" s="39" t="s">
        <v>181</v>
      </c>
      <c r="H1912" s="33"/>
      <c r="I1912" s="33"/>
      <c r="J1912" s="33"/>
      <c r="K1912" s="33"/>
      <c r="L1912" s="33"/>
      <c r="M1912" s="33"/>
    </row>
    <row r="1913">
      <c r="A1913" s="32" t="s">
        <v>4494</v>
      </c>
      <c r="B1913" s="32" t="s">
        <v>4495</v>
      </c>
      <c r="C1913" s="35">
        <v>-23.56529999</v>
      </c>
      <c r="D1913" s="35">
        <v>145.3070068</v>
      </c>
      <c r="E1913" s="32" t="s">
        <v>1968</v>
      </c>
      <c r="F1913" s="32" t="s">
        <v>4496</v>
      </c>
      <c r="G1913" s="36" t="e">
        <v>#N/A</v>
      </c>
      <c r="H1913" s="33"/>
      <c r="I1913" s="33"/>
      <c r="J1913" s="33"/>
      <c r="K1913" s="33"/>
      <c r="L1913" s="33"/>
      <c r="M1913" s="33"/>
    </row>
    <row r="1914">
      <c r="A1914" s="32" t="s">
        <v>4497</v>
      </c>
      <c r="B1914" s="32" t="s">
        <v>4498</v>
      </c>
      <c r="C1914" s="35">
        <v>10.76869965</v>
      </c>
      <c r="D1914" s="35">
        <v>-83.58560181</v>
      </c>
      <c r="E1914" s="32" t="s">
        <v>1267</v>
      </c>
      <c r="F1914" s="32" t="s">
        <v>4499</v>
      </c>
      <c r="G1914" s="36" t="e">
        <v>#N/A</v>
      </c>
      <c r="H1914" s="33"/>
      <c r="I1914" s="33"/>
      <c r="J1914" s="33"/>
      <c r="K1914" s="33"/>
      <c r="L1914" s="33"/>
      <c r="M1914" s="33"/>
    </row>
    <row r="1915">
      <c r="A1915" s="32" t="s">
        <v>4500</v>
      </c>
      <c r="B1915" s="32" t="s">
        <v>4501</v>
      </c>
      <c r="C1915" s="35">
        <v>46.52190018</v>
      </c>
      <c r="D1915" s="35">
        <v>26.9102993</v>
      </c>
      <c r="E1915" s="32" t="s">
        <v>2874</v>
      </c>
      <c r="F1915" s="32" t="s">
        <v>4502</v>
      </c>
      <c r="G1915" s="36" t="e">
        <v>#N/A</v>
      </c>
      <c r="H1915" s="33"/>
      <c r="I1915" s="33"/>
      <c r="J1915" s="33"/>
      <c r="K1915" s="33"/>
      <c r="L1915" s="33"/>
      <c r="M1915" s="33"/>
    </row>
    <row r="1916">
      <c r="A1916" s="32" t="s">
        <v>4503</v>
      </c>
      <c r="B1916" s="32" t="s">
        <v>4504</v>
      </c>
      <c r="C1916" s="35">
        <v>41.29710007</v>
      </c>
      <c r="D1916" s="35">
        <v>2.078459978</v>
      </c>
      <c r="E1916" s="32" t="s">
        <v>115</v>
      </c>
      <c r="F1916" s="32" t="s">
        <v>4505</v>
      </c>
      <c r="G1916" s="39" t="s">
        <v>116</v>
      </c>
      <c r="H1916" s="33"/>
      <c r="I1916" s="33"/>
      <c r="J1916" s="33"/>
      <c r="K1916" s="33"/>
      <c r="L1916" s="33"/>
      <c r="M1916" s="33"/>
    </row>
    <row r="1917">
      <c r="A1917" s="32" t="s">
        <v>4506</v>
      </c>
      <c r="B1917" s="32" t="s">
        <v>4507</v>
      </c>
      <c r="C1917" s="35">
        <v>5.78287</v>
      </c>
      <c r="D1917" s="35">
        <v>36.562</v>
      </c>
      <c r="E1917" s="32" t="s">
        <v>18</v>
      </c>
      <c r="F1917" s="32" t="s">
        <v>4508</v>
      </c>
      <c r="G1917" s="36" t="e">
        <v>#N/A</v>
      </c>
      <c r="H1917" s="33"/>
      <c r="I1917" s="33"/>
      <c r="J1917" s="33"/>
      <c r="K1917" s="33"/>
      <c r="L1917" s="33"/>
      <c r="M1917" s="33"/>
    </row>
    <row r="1918">
      <c r="A1918" s="32" t="s">
        <v>4509</v>
      </c>
      <c r="B1918" s="32" t="s">
        <v>4510</v>
      </c>
      <c r="C1918" s="35">
        <v>26.37849998</v>
      </c>
      <c r="D1918" s="35">
        <v>-80.10769653</v>
      </c>
      <c r="E1918" s="32" t="s">
        <v>180</v>
      </c>
      <c r="F1918" s="32" t="s">
        <v>4511</v>
      </c>
      <c r="G1918" s="39" t="s">
        <v>181</v>
      </c>
      <c r="H1918" s="33"/>
      <c r="I1918" s="33"/>
      <c r="J1918" s="33"/>
      <c r="K1918" s="33"/>
      <c r="L1918" s="33"/>
      <c r="M1918" s="33"/>
    </row>
    <row r="1919">
      <c r="A1919" s="32" t="s">
        <v>4512</v>
      </c>
      <c r="B1919" s="32" t="s">
        <v>4513</v>
      </c>
      <c r="C1919" s="35">
        <v>61.41650009</v>
      </c>
      <c r="D1919" s="35">
        <v>-149.5070038</v>
      </c>
      <c r="E1919" s="32" t="s">
        <v>4514</v>
      </c>
      <c r="F1919" s="32" t="s">
        <v>4515</v>
      </c>
      <c r="G1919" s="36" t="e">
        <v>#N/A</v>
      </c>
      <c r="H1919" s="33"/>
      <c r="I1919" s="33"/>
      <c r="J1919" s="33"/>
      <c r="K1919" s="33"/>
      <c r="L1919" s="33"/>
      <c r="M1919" s="33"/>
    </row>
    <row r="1920">
      <c r="A1920" s="32" t="s">
        <v>4516</v>
      </c>
      <c r="B1920" s="32" t="s">
        <v>4517</v>
      </c>
      <c r="C1920" s="35">
        <v>32.36399841</v>
      </c>
      <c r="D1920" s="35">
        <v>-64.67870331</v>
      </c>
      <c r="E1920" s="32" t="s">
        <v>4518</v>
      </c>
      <c r="F1920" s="32" t="s">
        <v>4518</v>
      </c>
      <c r="G1920" s="36" t="e">
        <v>#N/A</v>
      </c>
      <c r="H1920" s="33"/>
      <c r="I1920" s="33"/>
      <c r="J1920" s="33"/>
      <c r="K1920" s="33"/>
      <c r="L1920" s="33"/>
      <c r="M1920" s="33"/>
    </row>
    <row r="1921">
      <c r="A1921" s="32" t="s">
        <v>4519</v>
      </c>
      <c r="B1921" s="32" t="s">
        <v>4520</v>
      </c>
      <c r="C1921" s="35">
        <v>-24.90390015</v>
      </c>
      <c r="D1921" s="35">
        <v>152.3190002</v>
      </c>
      <c r="E1921" s="32" t="s">
        <v>1968</v>
      </c>
      <c r="F1921" s="32" t="s">
        <v>4521</v>
      </c>
      <c r="G1921" s="36" t="e">
        <v>#N/A</v>
      </c>
      <c r="H1921" s="33"/>
      <c r="I1921" s="33"/>
      <c r="J1921" s="33"/>
      <c r="K1921" s="33"/>
      <c r="L1921" s="33"/>
      <c r="M1921" s="33"/>
    </row>
    <row r="1922">
      <c r="A1922" s="32" t="s">
        <v>4522</v>
      </c>
      <c r="B1922" s="32" t="s">
        <v>4523</v>
      </c>
      <c r="C1922" s="35">
        <v>-10.14999962</v>
      </c>
      <c r="D1922" s="35">
        <v>142.1734</v>
      </c>
      <c r="E1922" s="32" t="s">
        <v>1968</v>
      </c>
      <c r="F1922" s="32" t="s">
        <v>4524</v>
      </c>
      <c r="G1922" s="36" t="e">
        <v>#N/A</v>
      </c>
      <c r="H1922" s="33"/>
      <c r="I1922" s="33"/>
      <c r="J1922" s="33"/>
      <c r="K1922" s="33"/>
      <c r="L1922" s="33"/>
      <c r="M1922" s="33"/>
    </row>
    <row r="1923">
      <c r="A1923" s="32" t="s">
        <v>4525</v>
      </c>
      <c r="B1923" s="32" t="s">
        <v>4526</v>
      </c>
      <c r="C1923" s="35">
        <v>48.72840118</v>
      </c>
      <c r="D1923" s="35">
        <v>-94.61219788</v>
      </c>
      <c r="E1923" s="32" t="s">
        <v>180</v>
      </c>
      <c r="F1923" s="32" t="s">
        <v>4527</v>
      </c>
      <c r="G1923" s="39" t="s">
        <v>181</v>
      </c>
      <c r="H1923" s="33"/>
      <c r="I1923" s="33"/>
      <c r="J1923" s="33"/>
      <c r="K1923" s="33"/>
      <c r="L1923" s="33"/>
      <c r="M1923" s="33"/>
    </row>
    <row r="1924">
      <c r="A1924" s="32" t="s">
        <v>4528</v>
      </c>
      <c r="B1924" s="32" t="s">
        <v>4529</v>
      </c>
      <c r="C1924" s="35">
        <v>26.53199959</v>
      </c>
      <c r="D1924" s="35">
        <v>54.82479858</v>
      </c>
      <c r="E1924" s="32" t="s">
        <v>1378</v>
      </c>
      <c r="F1924" s="32" t="s">
        <v>4530</v>
      </c>
      <c r="G1924" s="36" t="e">
        <v>#N/A</v>
      </c>
      <c r="H1924" s="33"/>
      <c r="I1924" s="33"/>
      <c r="J1924" s="33"/>
      <c r="K1924" s="33"/>
      <c r="L1924" s="33"/>
      <c r="M1924" s="33"/>
    </row>
    <row r="1925">
      <c r="A1925" s="32" t="s">
        <v>4531</v>
      </c>
      <c r="B1925" s="32" t="s">
        <v>4532</v>
      </c>
      <c r="C1925" s="35">
        <v>-3.72472</v>
      </c>
      <c r="D1925" s="35">
        <v>55.205299</v>
      </c>
      <c r="E1925" s="32" t="s">
        <v>778</v>
      </c>
      <c r="F1925" s="32" t="s">
        <v>4533</v>
      </c>
      <c r="G1925" s="36" t="e">
        <v>#N/A</v>
      </c>
      <c r="H1925" s="33"/>
      <c r="I1925" s="33"/>
      <c r="J1925" s="33"/>
      <c r="K1925" s="33"/>
      <c r="L1925" s="33"/>
      <c r="M1925" s="33"/>
    </row>
    <row r="1926">
      <c r="A1926" s="32" t="s">
        <v>4534</v>
      </c>
      <c r="B1926" s="32" t="s">
        <v>4535</v>
      </c>
      <c r="C1926" s="35">
        <v>-3.442359924</v>
      </c>
      <c r="D1926" s="35">
        <v>114.7630005</v>
      </c>
      <c r="E1926" s="32" t="s">
        <v>280</v>
      </c>
      <c r="F1926" s="32" t="s">
        <v>4536</v>
      </c>
      <c r="G1926" s="36" t="e">
        <v>#N/A</v>
      </c>
      <c r="H1926" s="33"/>
      <c r="I1926" s="33"/>
      <c r="J1926" s="33"/>
      <c r="K1926" s="33"/>
      <c r="L1926" s="33"/>
      <c r="M1926" s="33"/>
    </row>
    <row r="1927">
      <c r="A1927" s="32" t="s">
        <v>4537</v>
      </c>
      <c r="B1927" s="32" t="s">
        <v>4538</v>
      </c>
      <c r="C1927" s="35">
        <v>41.93889999</v>
      </c>
      <c r="D1927" s="35">
        <v>-72.68319702</v>
      </c>
      <c r="E1927" s="32" t="s">
        <v>180</v>
      </c>
      <c r="F1927" s="32" t="s">
        <v>4539</v>
      </c>
      <c r="G1927" s="39" t="s">
        <v>181</v>
      </c>
      <c r="H1927" s="33"/>
      <c r="I1927" s="33"/>
      <c r="J1927" s="33"/>
      <c r="K1927" s="33"/>
      <c r="L1927" s="33"/>
      <c r="M1927" s="33"/>
    </row>
    <row r="1928">
      <c r="A1928" s="32" t="s">
        <v>4540</v>
      </c>
      <c r="B1928" s="32" t="s">
        <v>4541</v>
      </c>
      <c r="C1928" s="35">
        <v>40.31800079</v>
      </c>
      <c r="D1928" s="35">
        <v>27.97769928</v>
      </c>
      <c r="E1928" s="32" t="s">
        <v>133</v>
      </c>
      <c r="F1928" s="32" t="s">
        <v>4542</v>
      </c>
      <c r="G1928" s="39" t="s">
        <v>134</v>
      </c>
      <c r="H1928" s="33"/>
      <c r="I1928" s="33"/>
      <c r="J1928" s="33"/>
      <c r="K1928" s="33"/>
      <c r="L1928" s="33"/>
      <c r="M1928" s="33"/>
    </row>
    <row r="1929">
      <c r="A1929" s="32" t="s">
        <v>4543</v>
      </c>
      <c r="B1929" s="32" t="s">
        <v>4544</v>
      </c>
      <c r="C1929" s="35">
        <v>24.84149933</v>
      </c>
      <c r="D1929" s="35">
        <v>68.83840179</v>
      </c>
      <c r="E1929" s="32" t="s">
        <v>1470</v>
      </c>
      <c r="F1929" s="32" t="s">
        <v>4545</v>
      </c>
      <c r="G1929" s="36" t="e">
        <v>#N/A</v>
      </c>
      <c r="H1929" s="33"/>
      <c r="I1929" s="33"/>
      <c r="J1929" s="33"/>
      <c r="K1929" s="33"/>
      <c r="L1929" s="33"/>
      <c r="M1929" s="33"/>
    </row>
    <row r="1930">
      <c r="A1930" s="32" t="s">
        <v>4546</v>
      </c>
      <c r="B1930" s="32" t="s">
        <v>4547</v>
      </c>
      <c r="C1930" s="35">
        <v>-6.900629997</v>
      </c>
      <c r="D1930" s="35">
        <v>107.5759964</v>
      </c>
      <c r="E1930" s="32" t="s">
        <v>280</v>
      </c>
      <c r="F1930" s="32" t="s">
        <v>4548</v>
      </c>
      <c r="G1930" s="36" t="e">
        <v>#N/A</v>
      </c>
      <c r="H1930" s="33"/>
      <c r="I1930" s="33"/>
      <c r="J1930" s="33"/>
      <c r="K1930" s="33"/>
      <c r="L1930" s="33"/>
      <c r="M1930" s="33"/>
    </row>
    <row r="1931">
      <c r="A1931" s="32" t="s">
        <v>4549</v>
      </c>
      <c r="B1931" s="32" t="s">
        <v>4550</v>
      </c>
      <c r="C1931" s="35">
        <v>26.57080078</v>
      </c>
      <c r="D1931" s="35">
        <v>88.07959747</v>
      </c>
      <c r="E1931" s="32" t="s">
        <v>1877</v>
      </c>
      <c r="F1931" s="32" t="s">
        <v>4551</v>
      </c>
      <c r="G1931" s="36" t="e">
        <v>#N/A</v>
      </c>
      <c r="H1931" s="33"/>
      <c r="I1931" s="33"/>
      <c r="J1931" s="33"/>
      <c r="K1931" s="33"/>
      <c r="L1931" s="33"/>
      <c r="M1931" s="33"/>
    </row>
    <row r="1932">
      <c r="A1932" s="32" t="s">
        <v>4552</v>
      </c>
      <c r="B1932" s="32" t="s">
        <v>4553</v>
      </c>
      <c r="C1932" s="35">
        <v>22.33620071</v>
      </c>
      <c r="D1932" s="35">
        <v>73.2263031</v>
      </c>
      <c r="E1932" s="32" t="s">
        <v>217</v>
      </c>
      <c r="F1932" s="32" t="s">
        <v>4554</v>
      </c>
      <c r="G1932" s="39" t="s">
        <v>218</v>
      </c>
      <c r="H1932" s="33"/>
      <c r="I1932" s="33"/>
      <c r="J1932" s="33"/>
      <c r="K1932" s="33"/>
      <c r="L1932" s="33"/>
      <c r="M1932" s="33"/>
    </row>
    <row r="1933">
      <c r="A1933" s="32" t="s">
        <v>4555</v>
      </c>
      <c r="B1933" s="32" t="s">
        <v>4556</v>
      </c>
      <c r="C1933" s="35">
        <v>41.16350174</v>
      </c>
      <c r="D1933" s="35">
        <v>-73.12619781</v>
      </c>
      <c r="E1933" s="32" t="s">
        <v>180</v>
      </c>
      <c r="F1933" s="32" t="s">
        <v>4557</v>
      </c>
      <c r="G1933" s="39" t="s">
        <v>181</v>
      </c>
      <c r="H1933" s="33"/>
      <c r="I1933" s="33"/>
      <c r="J1933" s="33"/>
      <c r="K1933" s="33"/>
      <c r="L1933" s="33"/>
      <c r="M1933" s="33"/>
    </row>
    <row r="1934">
      <c r="A1934" s="32" t="s">
        <v>4558</v>
      </c>
      <c r="B1934" s="32" t="s">
        <v>4559</v>
      </c>
      <c r="C1934" s="35">
        <v>40.6576</v>
      </c>
      <c r="D1934" s="35">
        <v>17.947001</v>
      </c>
      <c r="E1934" s="32" t="s">
        <v>103</v>
      </c>
      <c r="F1934" s="32" t="s">
        <v>4560</v>
      </c>
      <c r="G1934" s="39" t="s">
        <v>104</v>
      </c>
      <c r="H1934" s="33"/>
      <c r="I1934" s="33"/>
      <c r="J1934" s="33"/>
      <c r="K1934" s="33"/>
      <c r="L1934" s="33"/>
      <c r="M1934" s="33"/>
    </row>
    <row r="1935">
      <c r="A1935" s="32" t="s">
        <v>4561</v>
      </c>
      <c r="B1935" s="32" t="s">
        <v>4562</v>
      </c>
      <c r="C1935" s="35">
        <v>4.253210068</v>
      </c>
      <c r="D1935" s="35">
        <v>20.97529984</v>
      </c>
      <c r="E1935" s="32" t="s">
        <v>800</v>
      </c>
      <c r="F1935" s="32" t="s">
        <v>4563</v>
      </c>
      <c r="G1935" s="36" t="e">
        <v>#N/A</v>
      </c>
      <c r="H1935" s="33"/>
      <c r="I1935" s="33"/>
      <c r="J1935" s="33"/>
      <c r="K1935" s="33"/>
      <c r="L1935" s="33"/>
      <c r="M1935" s="33"/>
    </row>
    <row r="1936">
      <c r="A1936" s="32" t="s">
        <v>4564</v>
      </c>
      <c r="B1936" s="32" t="s">
        <v>4565</v>
      </c>
      <c r="C1936" s="35">
        <v>69.05580139</v>
      </c>
      <c r="D1936" s="35">
        <v>18.54039955</v>
      </c>
      <c r="E1936" s="32" t="s">
        <v>343</v>
      </c>
      <c r="F1936" s="32" t="s">
        <v>4566</v>
      </c>
      <c r="G1936" s="36" t="e">
        <v>#N/A</v>
      </c>
      <c r="H1936" s="33"/>
      <c r="I1936" s="33"/>
      <c r="J1936" s="33"/>
      <c r="K1936" s="33"/>
      <c r="L1936" s="33"/>
      <c r="M1936" s="33"/>
    </row>
    <row r="1937">
      <c r="A1937" s="32" t="s">
        <v>4567</v>
      </c>
      <c r="B1937" s="32" t="s">
        <v>4568</v>
      </c>
      <c r="C1937" s="35">
        <v>57.48109818</v>
      </c>
      <c r="D1937" s="35">
        <v>-7.362780094</v>
      </c>
      <c r="E1937" s="32" t="s">
        <v>90</v>
      </c>
      <c r="F1937" s="32" t="s">
        <v>4569</v>
      </c>
      <c r="G1937" s="39" t="s">
        <v>91</v>
      </c>
      <c r="H1937" s="33"/>
      <c r="I1937" s="33"/>
      <c r="J1937" s="33"/>
      <c r="K1937" s="33"/>
      <c r="L1937" s="33"/>
      <c r="M1937" s="33"/>
    </row>
    <row r="1938">
      <c r="A1938" s="32" t="s">
        <v>4570</v>
      </c>
      <c r="B1938" s="32" t="s">
        <v>4571</v>
      </c>
      <c r="C1938" s="35">
        <v>37.69449997</v>
      </c>
      <c r="D1938" s="35">
        <v>-97.21499634</v>
      </c>
      <c r="E1938" s="32" t="s">
        <v>180</v>
      </c>
      <c r="F1938" s="32" t="s">
        <v>4572</v>
      </c>
      <c r="G1938" s="39" t="s">
        <v>181</v>
      </c>
      <c r="H1938" s="33"/>
      <c r="I1938" s="33"/>
      <c r="J1938" s="33"/>
      <c r="K1938" s="33"/>
      <c r="L1938" s="33"/>
      <c r="M1938" s="33"/>
    </row>
    <row r="1939">
      <c r="A1939" s="32" t="s">
        <v>4573</v>
      </c>
      <c r="B1939" s="32" t="s">
        <v>4574</v>
      </c>
      <c r="C1939" s="35">
        <v>42.47000122</v>
      </c>
      <c r="D1939" s="35">
        <v>-71.28900146</v>
      </c>
      <c r="E1939" s="32" t="s">
        <v>180</v>
      </c>
      <c r="F1939" s="32" t="s">
        <v>2604</v>
      </c>
      <c r="G1939" s="39" t="s">
        <v>181</v>
      </c>
      <c r="H1939" s="33"/>
      <c r="I1939" s="33"/>
      <c r="J1939" s="33"/>
      <c r="K1939" s="33"/>
      <c r="L1939" s="33"/>
      <c r="M1939" s="33"/>
    </row>
    <row r="1940">
      <c r="A1940" s="32" t="s">
        <v>4575</v>
      </c>
      <c r="B1940" s="32" t="s">
        <v>4576</v>
      </c>
      <c r="C1940" s="35">
        <v>11.99100018</v>
      </c>
      <c r="D1940" s="35">
        <v>-83.77410126</v>
      </c>
      <c r="E1940" s="32" t="s">
        <v>1260</v>
      </c>
      <c r="F1940" s="32" t="s">
        <v>4577</v>
      </c>
      <c r="G1940" s="36" t="e">
        <v>#N/A</v>
      </c>
      <c r="H1940" s="33"/>
      <c r="I1940" s="33"/>
      <c r="J1940" s="33"/>
      <c r="K1940" s="33"/>
      <c r="L1940" s="33"/>
      <c r="M1940" s="33"/>
    </row>
    <row r="1941">
      <c r="A1941" s="32" t="s">
        <v>4578</v>
      </c>
      <c r="B1941" s="32" t="s">
        <v>4579</v>
      </c>
      <c r="C1941" s="35">
        <v>44.81840134</v>
      </c>
      <c r="D1941" s="35">
        <v>20.3090992</v>
      </c>
      <c r="E1941" s="32" t="s">
        <v>1226</v>
      </c>
      <c r="F1941" s="32" t="s">
        <v>4580</v>
      </c>
      <c r="G1941" s="36" t="e">
        <v>#N/A</v>
      </c>
      <c r="H1941" s="33"/>
      <c r="I1941" s="33"/>
      <c r="J1941" s="33"/>
      <c r="K1941" s="33"/>
      <c r="L1941" s="33"/>
      <c r="M1941" s="33"/>
    </row>
    <row r="1942">
      <c r="A1942" s="32" t="s">
        <v>4581</v>
      </c>
      <c r="B1942" s="32" t="s">
        <v>4582</v>
      </c>
      <c r="C1942" s="35">
        <v>9.386389732</v>
      </c>
      <c r="D1942" s="35">
        <v>34.52190018</v>
      </c>
      <c r="E1942" s="32" t="s">
        <v>18</v>
      </c>
      <c r="F1942" s="32" t="s">
        <v>4583</v>
      </c>
      <c r="G1942" s="36" t="e">
        <v>#N/A</v>
      </c>
      <c r="H1942" s="33"/>
      <c r="I1942" s="33"/>
      <c r="J1942" s="33"/>
      <c r="K1942" s="33"/>
      <c r="L1942" s="33"/>
      <c r="M1942" s="33"/>
    </row>
    <row r="1943">
      <c r="A1943" s="32" t="s">
        <v>4584</v>
      </c>
      <c r="B1943" s="32" t="s">
        <v>4585</v>
      </c>
      <c r="C1943" s="35">
        <v>2.155499935</v>
      </c>
      <c r="D1943" s="35">
        <v>117.4319992</v>
      </c>
      <c r="E1943" s="32" t="s">
        <v>280</v>
      </c>
      <c r="F1943" s="32" t="s">
        <v>4586</v>
      </c>
      <c r="G1943" s="36" t="e">
        <v>#N/A</v>
      </c>
      <c r="H1943" s="33"/>
      <c r="I1943" s="33"/>
      <c r="J1943" s="33"/>
      <c r="K1943" s="33"/>
      <c r="L1943" s="33"/>
      <c r="M1943" s="33"/>
    </row>
    <row r="1944">
      <c r="A1944" s="32" t="s">
        <v>4587</v>
      </c>
      <c r="B1944" s="32" t="s">
        <v>4588</v>
      </c>
      <c r="C1944" s="35">
        <v>-1.37925005</v>
      </c>
      <c r="D1944" s="35">
        <v>-48.47629929</v>
      </c>
      <c r="E1944" s="32" t="s">
        <v>288</v>
      </c>
      <c r="F1944" s="32" t="s">
        <v>1661</v>
      </c>
      <c r="G1944" s="36" t="e">
        <v>#N/A</v>
      </c>
      <c r="H1944" s="33"/>
      <c r="I1944" s="33"/>
      <c r="J1944" s="33"/>
      <c r="K1944" s="33"/>
      <c r="L1944" s="33"/>
      <c r="M1944" s="33"/>
    </row>
    <row r="1945">
      <c r="A1945" s="32" t="s">
        <v>4589</v>
      </c>
      <c r="B1945" s="32" t="s">
        <v>4590</v>
      </c>
      <c r="C1945" s="35">
        <v>32.40000153</v>
      </c>
      <c r="D1945" s="35">
        <v>-6.333330154</v>
      </c>
      <c r="E1945" s="32" t="s">
        <v>17</v>
      </c>
      <c r="F1945" s="32" t="s">
        <v>4591</v>
      </c>
      <c r="G1945" s="36" t="e">
        <v>#N/A</v>
      </c>
      <c r="H1945" s="33"/>
      <c r="I1945" s="33"/>
      <c r="J1945" s="33"/>
      <c r="K1945" s="33"/>
      <c r="L1945" s="33"/>
      <c r="M1945" s="33"/>
    </row>
    <row r="1946">
      <c r="A1946" s="32" t="s">
        <v>4592</v>
      </c>
      <c r="B1946" s="32" t="s">
        <v>4593</v>
      </c>
      <c r="C1946" s="35">
        <v>32.09680176</v>
      </c>
      <c r="D1946" s="35">
        <v>20.26950073</v>
      </c>
      <c r="E1946" s="32" t="s">
        <v>829</v>
      </c>
      <c r="F1946" s="32" t="s">
        <v>4594</v>
      </c>
      <c r="G1946" s="36" t="e">
        <v>#N/A</v>
      </c>
      <c r="H1946" s="33"/>
      <c r="I1946" s="33"/>
      <c r="J1946" s="33"/>
      <c r="K1946" s="33"/>
      <c r="L1946" s="33"/>
      <c r="M1946" s="33"/>
    </row>
    <row r="1947">
      <c r="A1947" s="32" t="s">
        <v>4595</v>
      </c>
      <c r="B1947" s="32" t="s">
        <v>4596</v>
      </c>
      <c r="C1947" s="35">
        <v>-33.0667</v>
      </c>
      <c r="D1947" s="35">
        <v>151.647995</v>
      </c>
      <c r="E1947" s="32" t="s">
        <v>1968</v>
      </c>
      <c r="F1947" s="32" t="s">
        <v>4597</v>
      </c>
      <c r="G1947" s="36" t="e">
        <v>#N/A</v>
      </c>
      <c r="H1947" s="33"/>
      <c r="I1947" s="33"/>
      <c r="J1947" s="33"/>
      <c r="K1947" s="33"/>
      <c r="L1947" s="33"/>
      <c r="M1947" s="33"/>
    </row>
    <row r="1948">
      <c r="A1948" s="32" t="s">
        <v>4598</v>
      </c>
      <c r="B1948" s="32" t="s">
        <v>4599</v>
      </c>
      <c r="C1948" s="35">
        <v>15.16279984</v>
      </c>
      <c r="D1948" s="35">
        <v>76.88279724</v>
      </c>
      <c r="E1948" s="32" t="s">
        <v>217</v>
      </c>
      <c r="F1948" s="32" t="s">
        <v>4600</v>
      </c>
      <c r="G1948" s="39" t="s">
        <v>218</v>
      </c>
      <c r="H1948" s="33"/>
      <c r="I1948" s="33"/>
      <c r="J1948" s="33"/>
      <c r="K1948" s="33"/>
      <c r="L1948" s="33"/>
      <c r="M1948" s="33"/>
    </row>
    <row r="1949">
      <c r="A1949" s="32" t="s">
        <v>4601</v>
      </c>
      <c r="B1949" s="32" t="s">
        <v>4602</v>
      </c>
      <c r="C1949" s="35">
        <v>52.34260178</v>
      </c>
      <c r="D1949" s="35">
        <v>0.772939026</v>
      </c>
      <c r="E1949" s="32" t="s">
        <v>90</v>
      </c>
      <c r="F1949" s="32" t="s">
        <v>4603</v>
      </c>
      <c r="G1949" s="39" t="s">
        <v>91</v>
      </c>
      <c r="H1949" s="33"/>
      <c r="I1949" s="33"/>
      <c r="J1949" s="33"/>
      <c r="K1949" s="33"/>
      <c r="L1949" s="33"/>
      <c r="M1949" s="33"/>
    </row>
    <row r="1950">
      <c r="A1950" s="32" t="s">
        <v>4604</v>
      </c>
      <c r="B1950" s="32" t="s">
        <v>4605</v>
      </c>
      <c r="C1950" s="35">
        <v>48.44789886</v>
      </c>
      <c r="D1950" s="35">
        <v>-4.418540001</v>
      </c>
      <c r="E1950" s="32" t="s">
        <v>96</v>
      </c>
      <c r="F1950" s="32" t="s">
        <v>4606</v>
      </c>
      <c r="G1950" s="39" t="s">
        <v>97</v>
      </c>
      <c r="H1950" s="33"/>
      <c r="I1950" s="33"/>
      <c r="J1950" s="33"/>
      <c r="K1950" s="33"/>
      <c r="L1950" s="33"/>
      <c r="M1950" s="33"/>
    </row>
    <row r="1951">
      <c r="A1951" s="32" t="s">
        <v>4607</v>
      </c>
      <c r="B1951" s="32" t="s">
        <v>4608</v>
      </c>
      <c r="C1951" s="35">
        <v>60.77980042</v>
      </c>
      <c r="D1951" s="35">
        <v>-161.8379974</v>
      </c>
      <c r="E1951" s="32" t="s">
        <v>180</v>
      </c>
      <c r="F1951" s="32" t="s">
        <v>4609</v>
      </c>
      <c r="G1951" s="39" t="s">
        <v>181</v>
      </c>
      <c r="H1951" s="33"/>
      <c r="I1951" s="33"/>
      <c r="J1951" s="33"/>
      <c r="K1951" s="33"/>
      <c r="L1951" s="33"/>
      <c r="M1951" s="33"/>
    </row>
    <row r="1952">
      <c r="A1952" s="32" t="s">
        <v>4610</v>
      </c>
      <c r="B1952" s="32" t="s">
        <v>4611</v>
      </c>
      <c r="C1952" s="35">
        <v>-24.34609985</v>
      </c>
      <c r="D1952" s="35">
        <v>139.4600067</v>
      </c>
      <c r="E1952" s="32" t="s">
        <v>1968</v>
      </c>
      <c r="F1952" s="32" t="s">
        <v>4612</v>
      </c>
      <c r="G1952" s="36" t="e">
        <v>#N/A</v>
      </c>
      <c r="H1952" s="33"/>
      <c r="I1952" s="33"/>
      <c r="J1952" s="33"/>
      <c r="K1952" s="33"/>
      <c r="L1952" s="33"/>
      <c r="M1952" s="33"/>
    </row>
    <row r="1953">
      <c r="A1953" s="32" t="s">
        <v>4613</v>
      </c>
      <c r="B1953" s="32" t="s">
        <v>4614</v>
      </c>
      <c r="C1953" s="35">
        <v>31.28700066</v>
      </c>
      <c r="D1953" s="35">
        <v>34.72299957</v>
      </c>
      <c r="E1953" s="32" t="s">
        <v>243</v>
      </c>
      <c r="F1953" s="32" t="s">
        <v>4615</v>
      </c>
      <c r="G1953" s="36" t="e">
        <v>#N/A</v>
      </c>
      <c r="H1953" s="33"/>
      <c r="I1953" s="33"/>
      <c r="J1953" s="33"/>
      <c r="K1953" s="33"/>
      <c r="L1953" s="33"/>
      <c r="M1953" s="33"/>
    </row>
    <row r="1954">
      <c r="A1954" s="32" t="s">
        <v>4616</v>
      </c>
      <c r="B1954" s="32" t="s">
        <v>4617</v>
      </c>
      <c r="C1954" s="35">
        <v>-19.79640007</v>
      </c>
      <c r="D1954" s="35">
        <v>34.9076004</v>
      </c>
      <c r="E1954" s="32" t="s">
        <v>767</v>
      </c>
      <c r="F1954" s="32" t="s">
        <v>4618</v>
      </c>
      <c r="G1954" s="36" t="e">
        <v>#N/A</v>
      </c>
      <c r="H1954" s="33"/>
      <c r="I1954" s="33"/>
      <c r="J1954" s="33"/>
      <c r="K1954" s="33"/>
      <c r="L1954" s="33"/>
      <c r="M1954" s="33"/>
    </row>
    <row r="1955">
      <c r="A1955" s="32" t="s">
        <v>4619</v>
      </c>
      <c r="B1955" s="32" t="s">
        <v>4620</v>
      </c>
      <c r="C1955" s="35">
        <v>33.82089996</v>
      </c>
      <c r="D1955" s="35">
        <v>35.48839951</v>
      </c>
      <c r="E1955" s="32" t="s">
        <v>1455</v>
      </c>
      <c r="F1955" s="32" t="s">
        <v>4621</v>
      </c>
      <c r="G1955" s="36" t="e">
        <v>#N/A</v>
      </c>
      <c r="H1955" s="33"/>
      <c r="I1955" s="33"/>
      <c r="J1955" s="33"/>
      <c r="K1955" s="33"/>
      <c r="L1955" s="33"/>
      <c r="M1955" s="33"/>
    </row>
    <row r="1956">
      <c r="A1956" s="32" t="s">
        <v>4622</v>
      </c>
      <c r="B1956" s="32" t="s">
        <v>4623</v>
      </c>
      <c r="C1956" s="35">
        <v>-1.354719996</v>
      </c>
      <c r="D1956" s="35">
        <v>176.0070038</v>
      </c>
      <c r="E1956" s="32" t="s">
        <v>3439</v>
      </c>
      <c r="F1956" s="32" t="s">
        <v>4624</v>
      </c>
      <c r="G1956" s="36" t="e">
        <v>#N/A</v>
      </c>
      <c r="H1956" s="33"/>
      <c r="I1956" s="33"/>
      <c r="J1956" s="33"/>
      <c r="K1956" s="33"/>
      <c r="L1956" s="33"/>
      <c r="M1956" s="33"/>
    </row>
    <row r="1957">
      <c r="A1957" s="32" t="s">
        <v>4625</v>
      </c>
      <c r="B1957" s="32" t="s">
        <v>4626</v>
      </c>
      <c r="C1957" s="35">
        <v>41.80310059</v>
      </c>
      <c r="D1957" s="35">
        <v>-78.64009857</v>
      </c>
      <c r="E1957" s="32" t="s">
        <v>180</v>
      </c>
      <c r="F1957" s="32" t="s">
        <v>4627</v>
      </c>
      <c r="G1957" s="39" t="s">
        <v>181</v>
      </c>
      <c r="H1957" s="33"/>
      <c r="I1957" s="33"/>
      <c r="J1957" s="33"/>
      <c r="K1957" s="33"/>
      <c r="L1957" s="33"/>
      <c r="M1957" s="33"/>
    </row>
    <row r="1958">
      <c r="A1958" s="32" t="s">
        <v>4628</v>
      </c>
      <c r="B1958" s="32" t="s">
        <v>4629</v>
      </c>
      <c r="C1958" s="35">
        <v>41.87400055</v>
      </c>
      <c r="D1958" s="35">
        <v>-103.5960007</v>
      </c>
      <c r="E1958" s="32" t="s">
        <v>180</v>
      </c>
      <c r="F1958" s="32" t="s">
        <v>4630</v>
      </c>
      <c r="G1958" s="39" t="s">
        <v>181</v>
      </c>
      <c r="H1958" s="33"/>
      <c r="I1958" s="33"/>
      <c r="J1958" s="33"/>
      <c r="K1958" s="33"/>
      <c r="L1958" s="33"/>
      <c r="M1958" s="33"/>
    </row>
    <row r="1959">
      <c r="A1959" s="32" t="s">
        <v>4631</v>
      </c>
      <c r="B1959" s="32" t="s">
        <v>4632</v>
      </c>
      <c r="C1959" s="35">
        <v>-25.40509987</v>
      </c>
      <c r="D1959" s="35">
        <v>-49.23199844</v>
      </c>
      <c r="E1959" s="32" t="s">
        <v>288</v>
      </c>
      <c r="F1959" s="32" t="s">
        <v>4633</v>
      </c>
      <c r="G1959" s="36" t="e">
        <v>#N/A</v>
      </c>
      <c r="H1959" s="33"/>
      <c r="I1959" s="33"/>
      <c r="J1959" s="33"/>
      <c r="K1959" s="33"/>
      <c r="L1959" s="33"/>
      <c r="M1959" s="33"/>
    </row>
    <row r="1960">
      <c r="A1960" s="32" t="s">
        <v>4634</v>
      </c>
      <c r="B1960" s="32" t="s">
        <v>4635</v>
      </c>
      <c r="C1960" s="35">
        <v>47.52999878</v>
      </c>
      <c r="D1960" s="35">
        <v>-122.302002</v>
      </c>
      <c r="E1960" s="32" t="s">
        <v>180</v>
      </c>
      <c r="F1960" s="32" t="s">
        <v>4636</v>
      </c>
      <c r="G1960" s="39" t="s">
        <v>181</v>
      </c>
      <c r="H1960" s="33"/>
      <c r="I1960" s="33"/>
      <c r="J1960" s="33"/>
      <c r="K1960" s="33"/>
      <c r="L1960" s="33"/>
      <c r="M1960" s="33"/>
    </row>
    <row r="1961">
      <c r="A1961" s="32" t="s">
        <v>4637</v>
      </c>
      <c r="B1961" s="32" t="s">
        <v>4638</v>
      </c>
      <c r="C1961" s="35">
        <v>27.267066</v>
      </c>
      <c r="D1961" s="35">
        <v>105.472097</v>
      </c>
      <c r="E1961" s="32" t="s">
        <v>205</v>
      </c>
      <c r="F1961" s="32" t="s">
        <v>4639</v>
      </c>
      <c r="G1961" s="39" t="s">
        <v>206</v>
      </c>
      <c r="H1961" s="33"/>
      <c r="I1961" s="33"/>
      <c r="J1961" s="33"/>
      <c r="K1961" s="33"/>
      <c r="L1961" s="33"/>
      <c r="M1961" s="33"/>
    </row>
    <row r="1962">
      <c r="A1962" s="32" t="s">
        <v>4640</v>
      </c>
      <c r="B1962" s="32" t="s">
        <v>4641</v>
      </c>
      <c r="C1962" s="35">
        <v>35.43360138</v>
      </c>
      <c r="D1962" s="35">
        <v>-119.0569992</v>
      </c>
      <c r="E1962" s="32" t="s">
        <v>180</v>
      </c>
      <c r="F1962" s="32" t="s">
        <v>4642</v>
      </c>
      <c r="G1962" s="39" t="s">
        <v>181</v>
      </c>
      <c r="H1962" s="33"/>
      <c r="I1962" s="33"/>
      <c r="J1962" s="33"/>
      <c r="K1962" s="33"/>
      <c r="L1962" s="33"/>
      <c r="M1962" s="33"/>
    </row>
    <row r="1963">
      <c r="A1963" s="32" t="s">
        <v>4643</v>
      </c>
      <c r="B1963" s="32" t="s">
        <v>4644</v>
      </c>
      <c r="C1963" s="35">
        <v>30.62680054</v>
      </c>
      <c r="D1963" s="35">
        <v>-88.06809998</v>
      </c>
      <c r="E1963" s="32" t="s">
        <v>180</v>
      </c>
      <c r="F1963" s="32" t="s">
        <v>2398</v>
      </c>
      <c r="G1963" s="39" t="s">
        <v>181</v>
      </c>
      <c r="H1963" s="33"/>
      <c r="I1963" s="33"/>
      <c r="J1963" s="33"/>
      <c r="K1963" s="33"/>
      <c r="L1963" s="33"/>
      <c r="M1963" s="33"/>
    </row>
    <row r="1964">
      <c r="A1964" s="32" t="s">
        <v>4645</v>
      </c>
      <c r="B1964" s="32" t="s">
        <v>4646</v>
      </c>
      <c r="C1964" s="35">
        <v>-29.09269905</v>
      </c>
      <c r="D1964" s="35">
        <v>26.30240059</v>
      </c>
      <c r="E1964" s="32" t="s">
        <v>16</v>
      </c>
      <c r="F1964" s="32" t="s">
        <v>740</v>
      </c>
      <c r="G1964" s="36" t="e">
        <v>#N/A</v>
      </c>
      <c r="H1964" s="33"/>
      <c r="I1964" s="33"/>
      <c r="J1964" s="33"/>
      <c r="K1964" s="33"/>
      <c r="L1964" s="33"/>
      <c r="M1964" s="33"/>
    </row>
    <row r="1965">
      <c r="A1965" s="32" t="s">
        <v>4647</v>
      </c>
      <c r="B1965" s="32" t="s">
        <v>4648</v>
      </c>
      <c r="C1965" s="35">
        <v>-21.00810051</v>
      </c>
      <c r="D1965" s="35">
        <v>31.57859993</v>
      </c>
      <c r="E1965" s="32" t="s">
        <v>785</v>
      </c>
      <c r="F1965" s="32" t="s">
        <v>4649</v>
      </c>
      <c r="G1965" s="36" t="e">
        <v>#N/A</v>
      </c>
      <c r="H1965" s="33"/>
      <c r="I1965" s="33"/>
      <c r="J1965" s="33"/>
      <c r="K1965" s="33"/>
      <c r="L1965" s="33"/>
      <c r="M1965" s="33"/>
    </row>
    <row r="1966">
      <c r="A1966" s="32" t="s">
        <v>4650</v>
      </c>
      <c r="B1966" s="32" t="s">
        <v>4651</v>
      </c>
      <c r="C1966" s="35">
        <v>40.77249908</v>
      </c>
      <c r="D1966" s="35">
        <v>-80.3914032</v>
      </c>
      <c r="E1966" s="32" t="s">
        <v>180</v>
      </c>
      <c r="F1966" s="32" t="s">
        <v>4652</v>
      </c>
      <c r="G1966" s="39" t="s">
        <v>181</v>
      </c>
      <c r="H1966" s="33"/>
      <c r="I1966" s="33"/>
      <c r="J1966" s="33"/>
      <c r="K1966" s="33"/>
      <c r="L1966" s="33"/>
      <c r="M1966" s="33"/>
    </row>
    <row r="1967">
      <c r="A1967" s="32" t="s">
        <v>4653</v>
      </c>
      <c r="B1967" s="32" t="s">
        <v>4654</v>
      </c>
      <c r="C1967" s="35">
        <v>54.65750122</v>
      </c>
      <c r="D1967" s="35">
        <v>-6.215829849</v>
      </c>
      <c r="E1967" s="32" t="s">
        <v>90</v>
      </c>
      <c r="F1967" s="32" t="s">
        <v>4655</v>
      </c>
      <c r="G1967" s="39" t="s">
        <v>91</v>
      </c>
      <c r="H1967" s="33"/>
      <c r="I1967" s="33"/>
      <c r="J1967" s="33"/>
      <c r="K1967" s="33"/>
      <c r="L1967" s="33"/>
      <c r="M1967" s="33"/>
    </row>
    <row r="1968">
      <c r="A1968" s="32" t="s">
        <v>4656</v>
      </c>
      <c r="B1968" s="32" t="s">
        <v>4657</v>
      </c>
      <c r="C1968" s="35">
        <v>32.41220093</v>
      </c>
      <c r="D1968" s="35">
        <v>-80.63439941</v>
      </c>
      <c r="E1968" s="32" t="s">
        <v>180</v>
      </c>
      <c r="F1968" s="32" t="s">
        <v>4658</v>
      </c>
      <c r="G1968" s="39" t="s">
        <v>181</v>
      </c>
      <c r="H1968" s="33"/>
      <c r="I1968" s="33"/>
      <c r="J1968" s="33"/>
      <c r="K1968" s="33"/>
      <c r="L1968" s="33"/>
      <c r="M1968" s="33"/>
    </row>
    <row r="1969">
      <c r="A1969" s="32" t="s">
        <v>4659</v>
      </c>
      <c r="B1969" s="32" t="s">
        <v>4660</v>
      </c>
      <c r="C1969" s="35">
        <v>32.84773333</v>
      </c>
      <c r="D1969" s="35">
        <v>117.3202444</v>
      </c>
      <c r="E1969" s="32" t="s">
        <v>205</v>
      </c>
      <c r="F1969" s="32" t="s">
        <v>4661</v>
      </c>
      <c r="G1969" s="39" t="s">
        <v>206</v>
      </c>
      <c r="H1969" s="33"/>
      <c r="I1969" s="33"/>
      <c r="J1969" s="33"/>
      <c r="K1969" s="33"/>
      <c r="L1969" s="33"/>
      <c r="M1969" s="33"/>
    </row>
    <row r="1970">
      <c r="A1970" s="32" t="s">
        <v>4662</v>
      </c>
      <c r="B1970" s="32" t="s">
        <v>4663</v>
      </c>
      <c r="C1970" s="35">
        <v>15.22949982</v>
      </c>
      <c r="D1970" s="35">
        <v>103.2529984</v>
      </c>
      <c r="E1970" s="32" t="s">
        <v>175</v>
      </c>
      <c r="F1970" s="32" t="s">
        <v>4664</v>
      </c>
      <c r="G1970" s="39" t="s">
        <v>176</v>
      </c>
      <c r="H1970" s="33"/>
      <c r="I1970" s="33"/>
      <c r="J1970" s="33"/>
      <c r="K1970" s="33"/>
      <c r="L1970" s="33"/>
      <c r="M1970" s="33"/>
    </row>
    <row r="1971">
      <c r="A1971" s="32" t="s">
        <v>4665</v>
      </c>
      <c r="B1971" s="32" t="s">
        <v>4666</v>
      </c>
      <c r="C1971" s="35">
        <v>5.536920071</v>
      </c>
      <c r="D1971" s="35">
        <v>10.35459995</v>
      </c>
      <c r="E1971" s="32" t="s">
        <v>32</v>
      </c>
      <c r="F1971" s="32" t="s">
        <v>4667</v>
      </c>
      <c r="G1971" s="36" t="e">
        <v>#N/A</v>
      </c>
      <c r="H1971" s="33"/>
      <c r="I1971" s="33"/>
      <c r="J1971" s="33"/>
      <c r="K1971" s="33"/>
      <c r="L1971" s="33"/>
      <c r="M1971" s="33"/>
    </row>
    <row r="1972">
      <c r="A1972" s="32" t="s">
        <v>4668</v>
      </c>
      <c r="B1972" s="32" t="s">
        <v>4669</v>
      </c>
      <c r="C1972" s="35">
        <v>7.1265</v>
      </c>
      <c r="D1972" s="35">
        <v>-73.1848</v>
      </c>
      <c r="E1972" s="32" t="s">
        <v>292</v>
      </c>
      <c r="F1972" s="32" t="s">
        <v>4670</v>
      </c>
      <c r="G1972" s="36" t="e">
        <v>#N/A</v>
      </c>
      <c r="H1972" s="33"/>
      <c r="I1972" s="33"/>
      <c r="J1972" s="33"/>
      <c r="K1972" s="33"/>
      <c r="L1972" s="33"/>
      <c r="M1972" s="33"/>
    </row>
    <row r="1973">
      <c r="A1973" s="32" t="s">
        <v>4671</v>
      </c>
      <c r="B1973" s="32" t="s">
        <v>4672</v>
      </c>
      <c r="C1973" s="35">
        <v>41.85779953</v>
      </c>
      <c r="D1973" s="35">
        <v>-6.707129955</v>
      </c>
      <c r="E1973" s="32" t="s">
        <v>121</v>
      </c>
      <c r="F1973" s="32" t="s">
        <v>4673</v>
      </c>
      <c r="G1973" s="39" t="s">
        <v>122</v>
      </c>
      <c r="H1973" s="33"/>
      <c r="I1973" s="33"/>
      <c r="J1973" s="33"/>
      <c r="K1973" s="33"/>
      <c r="L1973" s="33"/>
      <c r="M1973" s="33"/>
    </row>
    <row r="1974">
      <c r="A1974" s="32" t="s">
        <v>4674</v>
      </c>
      <c r="B1974" s="32" t="s">
        <v>4675</v>
      </c>
      <c r="C1974" s="35">
        <v>30.9715004</v>
      </c>
      <c r="D1974" s="35">
        <v>-84.63739777</v>
      </c>
      <c r="E1974" s="32" t="s">
        <v>180</v>
      </c>
      <c r="F1974" s="32" t="s">
        <v>4676</v>
      </c>
      <c r="G1974" s="39" t="s">
        <v>181</v>
      </c>
      <c r="H1974" s="33"/>
      <c r="I1974" s="33"/>
      <c r="J1974" s="33"/>
      <c r="K1974" s="33"/>
      <c r="L1974" s="33"/>
      <c r="M1974" s="33"/>
    </row>
    <row r="1975">
      <c r="A1975" s="32" t="s">
        <v>4677</v>
      </c>
      <c r="B1975" s="32" t="s">
        <v>4678</v>
      </c>
      <c r="C1975" s="35">
        <v>4.398479939</v>
      </c>
      <c r="D1975" s="35">
        <v>18.51880074</v>
      </c>
      <c r="E1975" s="32" t="s">
        <v>4477</v>
      </c>
      <c r="F1975" s="32" t="s">
        <v>4679</v>
      </c>
      <c r="G1975" s="36" t="e">
        <v>#N/A</v>
      </c>
      <c r="H1975" s="33"/>
      <c r="I1975" s="33"/>
      <c r="J1975" s="33"/>
      <c r="K1975" s="33"/>
      <c r="L1975" s="33"/>
      <c r="M1975" s="33"/>
    </row>
    <row r="1976">
      <c r="A1976" s="32" t="s">
        <v>4680</v>
      </c>
      <c r="B1976" s="32" t="s">
        <v>4681</v>
      </c>
      <c r="C1976" s="35">
        <v>13.07460022</v>
      </c>
      <c r="D1976" s="35">
        <v>-59.49250031</v>
      </c>
      <c r="E1976" s="32" t="s">
        <v>4682</v>
      </c>
      <c r="F1976" s="32" t="s">
        <v>4683</v>
      </c>
      <c r="G1976" s="36" t="e">
        <v>#N/A</v>
      </c>
      <c r="H1976" s="33"/>
      <c r="I1976" s="33"/>
      <c r="J1976" s="33"/>
      <c r="K1976" s="33"/>
      <c r="L1976" s="33"/>
      <c r="M1976" s="33"/>
    </row>
    <row r="1977">
      <c r="A1977" s="32" t="s">
        <v>4684</v>
      </c>
      <c r="B1977" s="32" t="s">
        <v>4685</v>
      </c>
      <c r="C1977" s="35">
        <v>42.20869827</v>
      </c>
      <c r="D1977" s="35">
        <v>-75.97979736</v>
      </c>
      <c r="E1977" s="32" t="s">
        <v>180</v>
      </c>
      <c r="F1977" s="32" t="s">
        <v>4686</v>
      </c>
      <c r="G1977" s="39" t="s">
        <v>181</v>
      </c>
      <c r="H1977" s="33"/>
      <c r="I1977" s="33"/>
      <c r="J1977" s="33"/>
      <c r="K1977" s="33"/>
      <c r="L1977" s="33"/>
      <c r="M1977" s="33"/>
    </row>
    <row r="1978">
      <c r="A1978" s="32" t="s">
        <v>4687</v>
      </c>
      <c r="B1978" s="32" t="s">
        <v>4688</v>
      </c>
      <c r="C1978" s="35">
        <v>60.29339981</v>
      </c>
      <c r="D1978" s="35">
        <v>5.218140125</v>
      </c>
      <c r="E1978" s="32" t="s">
        <v>343</v>
      </c>
      <c r="F1978" s="32" t="s">
        <v>4689</v>
      </c>
      <c r="G1978" s="36" t="e">
        <v>#N/A</v>
      </c>
      <c r="H1978" s="33"/>
      <c r="I1978" s="33"/>
      <c r="J1978" s="33"/>
      <c r="K1978" s="33"/>
      <c r="L1978" s="33"/>
      <c r="M1978" s="33"/>
    </row>
    <row r="1979">
      <c r="A1979" s="32" t="s">
        <v>4690</v>
      </c>
      <c r="B1979" s="32" t="s">
        <v>4691</v>
      </c>
      <c r="C1979" s="35">
        <v>44.80739975</v>
      </c>
      <c r="D1979" s="35">
        <v>-68.82810211</v>
      </c>
      <c r="E1979" s="32" t="s">
        <v>180</v>
      </c>
      <c r="F1979" s="32" t="s">
        <v>4692</v>
      </c>
      <c r="G1979" s="39" t="s">
        <v>181</v>
      </c>
      <c r="H1979" s="33"/>
      <c r="I1979" s="33"/>
      <c r="J1979" s="33"/>
      <c r="K1979" s="33"/>
      <c r="L1979" s="33"/>
      <c r="M1979" s="33"/>
    </row>
    <row r="1980">
      <c r="A1980" s="32" t="s">
        <v>4693</v>
      </c>
      <c r="B1980" s="32" t="s">
        <v>4694</v>
      </c>
      <c r="C1980" s="35">
        <v>33.26250076</v>
      </c>
      <c r="D1980" s="35">
        <v>44.23460007</v>
      </c>
      <c r="E1980" s="32" t="s">
        <v>259</v>
      </c>
      <c r="F1980" s="32" t="s">
        <v>4695</v>
      </c>
      <c r="G1980" s="36" t="e">
        <v>#N/A</v>
      </c>
      <c r="H1980" s="33"/>
      <c r="I1980" s="33"/>
      <c r="J1980" s="33"/>
      <c r="K1980" s="33"/>
      <c r="L1980" s="33"/>
      <c r="M1980" s="33"/>
    </row>
    <row r="1981">
      <c r="A1981" s="32" t="s">
        <v>4696</v>
      </c>
      <c r="B1981" s="32" t="s">
        <v>4697</v>
      </c>
      <c r="C1981" s="35">
        <v>-31.39049911</v>
      </c>
      <c r="D1981" s="35">
        <v>-54.11220169</v>
      </c>
      <c r="E1981" s="32" t="s">
        <v>288</v>
      </c>
      <c r="F1981" s="32" t="s">
        <v>4698</v>
      </c>
      <c r="G1981" s="36" t="e">
        <v>#N/A</v>
      </c>
      <c r="H1981" s="33"/>
      <c r="I1981" s="33"/>
      <c r="J1981" s="33"/>
      <c r="K1981" s="33"/>
      <c r="L1981" s="33"/>
      <c r="M1981" s="33"/>
    </row>
    <row r="1982">
      <c r="A1982" s="32" t="s">
        <v>4699</v>
      </c>
      <c r="B1982" s="32" t="s">
        <v>4700</v>
      </c>
      <c r="C1982" s="35">
        <v>45.673901</v>
      </c>
      <c r="D1982" s="35">
        <v>9.70417</v>
      </c>
      <c r="E1982" s="32" t="s">
        <v>103</v>
      </c>
      <c r="F1982" s="32" t="s">
        <v>4701</v>
      </c>
      <c r="G1982" s="39" t="s">
        <v>104</v>
      </c>
      <c r="H1982" s="33"/>
      <c r="I1982" s="33"/>
      <c r="J1982" s="33"/>
      <c r="K1982" s="33"/>
      <c r="L1982" s="33"/>
      <c r="M1982" s="33"/>
    </row>
    <row r="1983">
      <c r="A1983" s="32" t="s">
        <v>4702</v>
      </c>
      <c r="B1983" s="32" t="s">
        <v>4703</v>
      </c>
      <c r="C1983" s="35">
        <v>44.45000076</v>
      </c>
      <c r="D1983" s="35">
        <v>-68.3615036</v>
      </c>
      <c r="E1983" s="32" t="s">
        <v>180</v>
      </c>
      <c r="F1983" s="32" t="s">
        <v>4704</v>
      </c>
      <c r="G1983" s="39" t="s">
        <v>181</v>
      </c>
      <c r="H1983" s="33"/>
      <c r="I1983" s="33"/>
      <c r="J1983" s="33"/>
      <c r="K1983" s="33"/>
      <c r="L1983" s="33"/>
      <c r="M1983" s="33"/>
    </row>
    <row r="1984">
      <c r="A1984" s="32" t="s">
        <v>4705</v>
      </c>
      <c r="B1984" s="32" t="s">
        <v>4706</v>
      </c>
      <c r="C1984" s="35">
        <v>54.61809921</v>
      </c>
      <c r="D1984" s="35">
        <v>-5.872499943</v>
      </c>
      <c r="E1984" s="32" t="s">
        <v>90</v>
      </c>
      <c r="F1984" s="32" t="s">
        <v>4655</v>
      </c>
      <c r="G1984" s="39" t="s">
        <v>91</v>
      </c>
      <c r="H1984" s="33"/>
      <c r="I1984" s="33"/>
      <c r="J1984" s="33"/>
      <c r="K1984" s="33"/>
      <c r="L1984" s="33"/>
      <c r="M1984" s="33"/>
    </row>
    <row r="1985">
      <c r="A1985" s="32" t="s">
        <v>4707</v>
      </c>
      <c r="B1985" s="32" t="s">
        <v>4708</v>
      </c>
      <c r="C1985" s="35">
        <v>-41.5182991</v>
      </c>
      <c r="D1985" s="35">
        <v>173.8699951</v>
      </c>
      <c r="E1985" s="32" t="s">
        <v>1328</v>
      </c>
      <c r="F1985" s="32" t="s">
        <v>4709</v>
      </c>
      <c r="G1985" s="36" t="e">
        <v>#N/A</v>
      </c>
      <c r="H1985" s="33"/>
      <c r="I1985" s="33"/>
      <c r="J1985" s="33"/>
      <c r="K1985" s="33"/>
      <c r="L1985" s="33"/>
      <c r="M1985" s="33"/>
    </row>
    <row r="1986">
      <c r="A1986" s="32" t="s">
        <v>4710</v>
      </c>
      <c r="B1986" s="32" t="s">
        <v>4711</v>
      </c>
      <c r="C1986" s="35">
        <v>15.7631</v>
      </c>
      <c r="D1986" s="35">
        <v>-84.543602</v>
      </c>
      <c r="E1986" s="32" t="s">
        <v>1245</v>
      </c>
      <c r="F1986" s="32" t="s">
        <v>4712</v>
      </c>
      <c r="G1986" s="36" t="e">
        <v>#N/A</v>
      </c>
      <c r="H1986" s="33"/>
      <c r="I1986" s="33"/>
      <c r="J1986" s="33"/>
      <c r="K1986" s="33"/>
      <c r="L1986" s="33"/>
      <c r="M1986" s="33"/>
    </row>
    <row r="1987">
      <c r="A1987" s="32" t="s">
        <v>4713</v>
      </c>
      <c r="B1987" s="32" t="s">
        <v>4714</v>
      </c>
      <c r="C1987" s="35">
        <v>19.9843998</v>
      </c>
      <c r="D1987" s="35">
        <v>42.6208992</v>
      </c>
      <c r="E1987" s="32" t="s">
        <v>223</v>
      </c>
      <c r="F1987" s="32" t="s">
        <v>4715</v>
      </c>
      <c r="G1987" s="36" t="e">
        <v>#N/A</v>
      </c>
      <c r="H1987" s="33"/>
      <c r="I1987" s="33"/>
      <c r="J1987" s="33"/>
      <c r="K1987" s="33"/>
      <c r="L1987" s="33"/>
      <c r="M1987" s="33"/>
    </row>
    <row r="1988">
      <c r="A1988" s="32" t="s">
        <v>4716</v>
      </c>
      <c r="B1988" s="32" t="s">
        <v>4717</v>
      </c>
      <c r="C1988" s="35">
        <v>-38.725</v>
      </c>
      <c r="D1988" s="35">
        <v>-62.1693</v>
      </c>
      <c r="E1988" s="32" t="s">
        <v>296</v>
      </c>
      <c r="F1988" s="32" t="s">
        <v>4718</v>
      </c>
      <c r="G1988" s="36" t="e">
        <v>#N/A</v>
      </c>
      <c r="H1988" s="33"/>
      <c r="I1988" s="33"/>
      <c r="J1988" s="33"/>
      <c r="K1988" s="33"/>
      <c r="L1988" s="33"/>
      <c r="M1988" s="33"/>
    </row>
    <row r="1989">
      <c r="A1989" s="32" t="s">
        <v>4719</v>
      </c>
      <c r="B1989" s="32" t="s">
        <v>4720</v>
      </c>
      <c r="C1989" s="35">
        <v>23.28779984</v>
      </c>
      <c r="D1989" s="35">
        <v>69.67019653</v>
      </c>
      <c r="E1989" s="32" t="s">
        <v>217</v>
      </c>
      <c r="F1989" s="32" t="s">
        <v>4721</v>
      </c>
      <c r="G1989" s="39" t="s">
        <v>218</v>
      </c>
      <c r="H1989" s="33"/>
      <c r="I1989" s="33"/>
      <c r="J1989" s="33"/>
      <c r="K1989" s="33"/>
      <c r="L1989" s="33"/>
      <c r="M1989" s="33"/>
    </row>
    <row r="1990">
      <c r="A1990" s="32" t="s">
        <v>4722</v>
      </c>
      <c r="B1990" s="32" t="s">
        <v>4723</v>
      </c>
      <c r="C1990" s="35">
        <v>39.77500153</v>
      </c>
      <c r="D1990" s="35">
        <v>64.48329926</v>
      </c>
      <c r="E1990" s="32" t="s">
        <v>3332</v>
      </c>
      <c r="F1990" s="32" t="s">
        <v>4724</v>
      </c>
      <c r="G1990" s="36" t="e">
        <v>#N/A</v>
      </c>
      <c r="H1990" s="33"/>
      <c r="I1990" s="33"/>
      <c r="J1990" s="33"/>
      <c r="K1990" s="33"/>
      <c r="L1990" s="33"/>
      <c r="M1990" s="33"/>
    </row>
    <row r="1991">
      <c r="A1991" s="32" t="s">
        <v>4725</v>
      </c>
      <c r="B1991" s="32" t="s">
        <v>4726</v>
      </c>
      <c r="C1991" s="35">
        <v>33.56290054</v>
      </c>
      <c r="D1991" s="35">
        <v>-86.75350189</v>
      </c>
      <c r="E1991" s="32" t="s">
        <v>180</v>
      </c>
      <c r="F1991" s="32" t="s">
        <v>4727</v>
      </c>
      <c r="G1991" s="39" t="s">
        <v>181</v>
      </c>
      <c r="H1991" s="33"/>
      <c r="I1991" s="33"/>
      <c r="J1991" s="33"/>
      <c r="K1991" s="33"/>
      <c r="L1991" s="33"/>
      <c r="M1991" s="33"/>
    </row>
    <row r="1992">
      <c r="A1992" s="32" t="s">
        <v>4728</v>
      </c>
      <c r="B1992" s="32" t="s">
        <v>4729</v>
      </c>
      <c r="C1992" s="35">
        <v>14.78199959</v>
      </c>
      <c r="D1992" s="35">
        <v>45.7201004</v>
      </c>
      <c r="E1992" s="32" t="s">
        <v>2020</v>
      </c>
      <c r="F1992" s="32" t="s">
        <v>4730</v>
      </c>
      <c r="G1992" s="36" t="e">
        <v>#N/A</v>
      </c>
      <c r="H1992" s="33"/>
      <c r="I1992" s="33"/>
      <c r="J1992" s="33"/>
      <c r="K1992" s="33"/>
      <c r="L1992" s="33"/>
      <c r="M1992" s="33"/>
    </row>
    <row r="1993">
      <c r="A1993" s="32" t="s">
        <v>4731</v>
      </c>
      <c r="B1993" s="32" t="s">
        <v>4732</v>
      </c>
      <c r="C1993" s="35">
        <v>23.28750038</v>
      </c>
      <c r="D1993" s="35">
        <v>77.33740234</v>
      </c>
      <c r="E1993" s="32" t="s">
        <v>217</v>
      </c>
      <c r="F1993" s="32" t="s">
        <v>4733</v>
      </c>
      <c r="G1993" s="39" t="s">
        <v>218</v>
      </c>
      <c r="H1993" s="33"/>
      <c r="I1993" s="33"/>
      <c r="J1993" s="33"/>
      <c r="K1993" s="33"/>
      <c r="L1993" s="33"/>
      <c r="M1993" s="33"/>
    </row>
    <row r="1994">
      <c r="A1994" s="32" t="s">
        <v>4734</v>
      </c>
      <c r="B1994" s="32" t="s">
        <v>4735</v>
      </c>
      <c r="C1994" s="35">
        <v>27.1473999</v>
      </c>
      <c r="D1994" s="35">
        <v>87.05079651</v>
      </c>
      <c r="E1994" s="32" t="s">
        <v>1877</v>
      </c>
      <c r="F1994" s="32" t="s">
        <v>4736</v>
      </c>
      <c r="G1994" s="36" t="e">
        <v>#N/A</v>
      </c>
      <c r="H1994" s="33"/>
      <c r="I1994" s="33"/>
      <c r="J1994" s="33"/>
      <c r="K1994" s="33"/>
      <c r="L1994" s="33"/>
      <c r="M1994" s="33"/>
    </row>
    <row r="1995">
      <c r="A1995" s="32" t="s">
        <v>4737</v>
      </c>
      <c r="B1995" s="32" t="s">
        <v>4738</v>
      </c>
      <c r="C1995" s="35">
        <v>-32.00139999</v>
      </c>
      <c r="D1995" s="35">
        <v>141.4720001</v>
      </c>
      <c r="E1995" s="32" t="s">
        <v>1968</v>
      </c>
      <c r="F1995" s="32" t="s">
        <v>4739</v>
      </c>
      <c r="G1995" s="36" t="e">
        <v>#N/A</v>
      </c>
      <c r="H1995" s="33"/>
      <c r="I1995" s="33"/>
      <c r="J1995" s="33"/>
      <c r="K1995" s="33"/>
      <c r="L1995" s="33"/>
      <c r="M1995" s="33"/>
    </row>
    <row r="1996">
      <c r="A1996" s="32" t="s">
        <v>4740</v>
      </c>
      <c r="B1996" s="32" t="s">
        <v>4741</v>
      </c>
      <c r="C1996" s="35">
        <v>27.67810059</v>
      </c>
      <c r="D1996" s="35">
        <v>84.42939758</v>
      </c>
      <c r="E1996" s="32" t="s">
        <v>1877</v>
      </c>
      <c r="F1996" s="32" t="s">
        <v>4742</v>
      </c>
      <c r="G1996" s="36" t="e">
        <v>#N/A</v>
      </c>
      <c r="H1996" s="33"/>
      <c r="I1996" s="33"/>
      <c r="J1996" s="33"/>
      <c r="K1996" s="33"/>
      <c r="L1996" s="33"/>
      <c r="M1996" s="33"/>
    </row>
    <row r="1997">
      <c r="A1997" s="32" t="s">
        <v>4743</v>
      </c>
      <c r="B1997" s="32" t="s">
        <v>4744</v>
      </c>
      <c r="C1997" s="35">
        <v>-33.40940094</v>
      </c>
      <c r="D1997" s="35">
        <v>149.6519928</v>
      </c>
      <c r="E1997" s="32" t="s">
        <v>1968</v>
      </c>
      <c r="F1997" s="32" t="s">
        <v>4745</v>
      </c>
      <c r="G1997" s="36" t="e">
        <v>#N/A</v>
      </c>
      <c r="H1997" s="33"/>
      <c r="I1997" s="33"/>
      <c r="J1997" s="33"/>
      <c r="K1997" s="33"/>
      <c r="L1997" s="33"/>
      <c r="M1997" s="33"/>
    </row>
    <row r="1998">
      <c r="A1998" s="32" t="s">
        <v>4746</v>
      </c>
      <c r="B1998" s="32" t="s">
        <v>4747</v>
      </c>
      <c r="C1998" s="35">
        <v>21.75219917</v>
      </c>
      <c r="D1998" s="35">
        <v>72.18520355</v>
      </c>
      <c r="E1998" s="32" t="s">
        <v>217</v>
      </c>
      <c r="F1998" s="32" t="s">
        <v>4748</v>
      </c>
      <c r="G1998" s="39" t="s">
        <v>218</v>
      </c>
      <c r="H1998" s="33"/>
      <c r="I1998" s="33"/>
      <c r="J1998" s="33"/>
      <c r="K1998" s="33"/>
      <c r="L1998" s="33"/>
      <c r="M1998" s="33"/>
    </row>
    <row r="1999">
      <c r="A1999" s="32" t="s">
        <v>4749</v>
      </c>
      <c r="B1999" s="32" t="s">
        <v>4750</v>
      </c>
      <c r="C1999" s="35">
        <v>29.34810066</v>
      </c>
      <c r="D1999" s="35">
        <v>71.71800232</v>
      </c>
      <c r="E1999" s="32" t="s">
        <v>1470</v>
      </c>
      <c r="F1999" s="32" t="s">
        <v>4751</v>
      </c>
      <c r="G1999" s="36" t="e">
        <v>#N/A</v>
      </c>
      <c r="H1999" s="33"/>
      <c r="I1999" s="33"/>
      <c r="J1999" s="33"/>
      <c r="K1999" s="33"/>
      <c r="L1999" s="33"/>
      <c r="M1999" s="33"/>
    </row>
    <row r="2000">
      <c r="A2000" s="32" t="s">
        <v>4752</v>
      </c>
      <c r="B2000" s="32" t="s">
        <v>4753</v>
      </c>
      <c r="C2000" s="35">
        <v>52.45389938</v>
      </c>
      <c r="D2000" s="35">
        <v>-1.748029947</v>
      </c>
      <c r="E2000" s="32" t="s">
        <v>90</v>
      </c>
      <c r="F2000" s="32" t="s">
        <v>4727</v>
      </c>
      <c r="G2000" s="39" t="s">
        <v>91</v>
      </c>
      <c r="H2000" s="33"/>
      <c r="I2000" s="33"/>
      <c r="J2000" s="33"/>
      <c r="K2000" s="33"/>
      <c r="L2000" s="33"/>
      <c r="M2000" s="33"/>
    </row>
    <row r="2001">
      <c r="A2001" s="32" t="s">
        <v>4754</v>
      </c>
      <c r="B2001" s="32" t="s">
        <v>4755</v>
      </c>
      <c r="C2001" s="35">
        <v>21.5394</v>
      </c>
      <c r="D2001" s="35">
        <v>109.293999</v>
      </c>
      <c r="E2001" s="32" t="s">
        <v>205</v>
      </c>
      <c r="F2001" s="32" t="s">
        <v>4756</v>
      </c>
      <c r="G2001" s="39" t="s">
        <v>206</v>
      </c>
      <c r="H2001" s="33"/>
      <c r="I2001" s="33"/>
      <c r="J2001" s="33"/>
      <c r="K2001" s="33"/>
      <c r="L2001" s="33"/>
      <c r="M2001" s="33"/>
    </row>
    <row r="2002">
      <c r="A2002" s="32" t="s">
        <v>4757</v>
      </c>
      <c r="B2002" s="32" t="s">
        <v>4758</v>
      </c>
      <c r="C2002" s="35">
        <v>42.55270004</v>
      </c>
      <c r="D2002" s="35">
        <v>9.483730316</v>
      </c>
      <c r="E2002" s="32" t="s">
        <v>96</v>
      </c>
      <c r="F2002" s="32" t="s">
        <v>4759</v>
      </c>
      <c r="G2002" s="39" t="s">
        <v>97</v>
      </c>
      <c r="H2002" s="33"/>
      <c r="I2002" s="33"/>
      <c r="J2002" s="33"/>
      <c r="K2002" s="33"/>
      <c r="L2002" s="33"/>
      <c r="M2002" s="33"/>
    </row>
    <row r="2003">
      <c r="A2003" s="32" t="s">
        <v>4760</v>
      </c>
      <c r="B2003" s="32" t="s">
        <v>4761</v>
      </c>
      <c r="C2003" s="35">
        <v>41.16809845</v>
      </c>
      <c r="D2003" s="35">
        <v>-71.57779694</v>
      </c>
      <c r="E2003" s="32" t="s">
        <v>180</v>
      </c>
      <c r="F2003" s="32" t="s">
        <v>4762</v>
      </c>
      <c r="G2003" s="39" t="s">
        <v>181</v>
      </c>
      <c r="H2003" s="33"/>
      <c r="I2003" s="33"/>
      <c r="J2003" s="33"/>
      <c r="K2003" s="33"/>
      <c r="L2003" s="33"/>
      <c r="M2003" s="33"/>
    </row>
    <row r="2004">
      <c r="A2004" s="32" t="s">
        <v>4763</v>
      </c>
      <c r="B2004" s="32" t="s">
        <v>4764</v>
      </c>
      <c r="C2004" s="35">
        <v>31.84950066</v>
      </c>
      <c r="D2004" s="35">
        <v>-106.3799973</v>
      </c>
      <c r="E2004" s="32" t="s">
        <v>180</v>
      </c>
      <c r="F2004" s="32" t="s">
        <v>4765</v>
      </c>
      <c r="G2004" s="39" t="s">
        <v>181</v>
      </c>
      <c r="H2004" s="33"/>
      <c r="I2004" s="33"/>
      <c r="J2004" s="33"/>
      <c r="K2004" s="33"/>
      <c r="L2004" s="33"/>
      <c r="M2004" s="33"/>
    </row>
    <row r="2005">
      <c r="A2005" s="32" t="s">
        <v>4766</v>
      </c>
      <c r="B2005" s="32" t="s">
        <v>4767</v>
      </c>
      <c r="C2005" s="35">
        <v>63.99449921</v>
      </c>
      <c r="D2005" s="35">
        <v>-145.7220001</v>
      </c>
      <c r="E2005" s="32" t="s">
        <v>180</v>
      </c>
      <c r="F2005" s="32" t="s">
        <v>4768</v>
      </c>
      <c r="G2005" s="39" t="s">
        <v>181</v>
      </c>
      <c r="H2005" s="33"/>
      <c r="I2005" s="33"/>
      <c r="J2005" s="33"/>
      <c r="K2005" s="33"/>
      <c r="L2005" s="33"/>
      <c r="M2005" s="33"/>
    </row>
    <row r="2006">
      <c r="A2006" s="32" t="s">
        <v>4769</v>
      </c>
      <c r="B2006" s="32" t="s">
        <v>4770</v>
      </c>
      <c r="C2006" s="35">
        <v>37.37310028</v>
      </c>
      <c r="D2006" s="35">
        <v>-118.3639984</v>
      </c>
      <c r="E2006" s="32" t="s">
        <v>180</v>
      </c>
      <c r="F2006" s="32" t="s">
        <v>4771</v>
      </c>
      <c r="G2006" s="39" t="s">
        <v>181</v>
      </c>
      <c r="H2006" s="33"/>
      <c r="I2006" s="33"/>
      <c r="J2006" s="33"/>
      <c r="K2006" s="33"/>
      <c r="L2006" s="33"/>
      <c r="M2006" s="33"/>
    </row>
    <row r="2007">
      <c r="A2007" s="32" t="s">
        <v>4772</v>
      </c>
      <c r="B2007" s="32" t="s">
        <v>4773</v>
      </c>
      <c r="C2007" s="35">
        <v>-1.190019965</v>
      </c>
      <c r="D2007" s="35">
        <v>136.1080017</v>
      </c>
      <c r="E2007" s="32" t="s">
        <v>280</v>
      </c>
      <c r="F2007" s="32" t="s">
        <v>4774</v>
      </c>
      <c r="G2007" s="36" t="e">
        <v>#N/A</v>
      </c>
      <c r="H2007" s="33"/>
      <c r="I2007" s="33"/>
      <c r="J2007" s="33"/>
      <c r="K2007" s="33"/>
      <c r="L2007" s="33"/>
      <c r="M2007" s="33"/>
    </row>
    <row r="2008">
      <c r="A2008" s="32" t="s">
        <v>4775</v>
      </c>
      <c r="B2008" s="32" t="s">
        <v>4776</v>
      </c>
      <c r="C2008" s="35">
        <v>45.807701109999996</v>
      </c>
      <c r="D2008" s="35">
        <v>-108.5429993</v>
      </c>
      <c r="E2008" s="32" t="s">
        <v>180</v>
      </c>
      <c r="F2008" s="32" t="s">
        <v>4777</v>
      </c>
      <c r="G2008" s="39" t="s">
        <v>181</v>
      </c>
      <c r="H2008" s="33"/>
      <c r="I2008" s="33"/>
      <c r="J2008" s="33"/>
      <c r="K2008" s="33"/>
      <c r="L2008" s="33"/>
      <c r="M2008" s="33"/>
    </row>
    <row r="2009">
      <c r="A2009" s="32" t="s">
        <v>4778</v>
      </c>
      <c r="B2009" s="32" t="s">
        <v>4779</v>
      </c>
      <c r="C2009" s="35">
        <v>25.69989967</v>
      </c>
      <c r="D2009" s="35">
        <v>-79.26470184</v>
      </c>
      <c r="E2009" s="32" t="s">
        <v>319</v>
      </c>
      <c r="F2009" s="32" t="s">
        <v>4780</v>
      </c>
      <c r="G2009" s="36" t="e">
        <v>#N/A</v>
      </c>
      <c r="H2009" s="33"/>
      <c r="I2009" s="33"/>
      <c r="J2009" s="33"/>
      <c r="K2009" s="33"/>
      <c r="L2009" s="33"/>
      <c r="M2009" s="33"/>
    </row>
    <row r="2010">
      <c r="A2010" s="32" t="s">
        <v>4781</v>
      </c>
      <c r="B2010" s="32" t="s">
        <v>4782</v>
      </c>
      <c r="C2010" s="35">
        <v>34.81700134</v>
      </c>
      <c r="D2010" s="35">
        <v>67.81700134</v>
      </c>
      <c r="E2010" s="32" t="s">
        <v>1350</v>
      </c>
      <c r="F2010" s="32" t="s">
        <v>4783</v>
      </c>
      <c r="G2010" s="36" t="e">
        <v>#N/A</v>
      </c>
      <c r="H2010" s="33"/>
      <c r="I2010" s="33"/>
      <c r="J2010" s="33"/>
      <c r="K2010" s="33"/>
      <c r="L2010" s="33"/>
      <c r="M2010" s="33"/>
    </row>
    <row r="2011">
      <c r="A2011" s="32" t="s">
        <v>4784</v>
      </c>
      <c r="B2011" s="32" t="s">
        <v>4785</v>
      </c>
      <c r="C2011" s="35">
        <v>43.30110168</v>
      </c>
      <c r="D2011" s="35">
        <v>-2.910609961</v>
      </c>
      <c r="E2011" s="32" t="s">
        <v>115</v>
      </c>
      <c r="F2011" s="32" t="s">
        <v>4786</v>
      </c>
      <c r="G2011" s="39" t="s">
        <v>116</v>
      </c>
      <c r="H2011" s="33"/>
      <c r="I2011" s="33"/>
      <c r="J2011" s="33"/>
      <c r="K2011" s="33"/>
      <c r="L2011" s="33"/>
      <c r="M2011" s="33"/>
    </row>
    <row r="2012">
      <c r="A2012" s="32" t="s">
        <v>4787</v>
      </c>
      <c r="B2012" s="32" t="s">
        <v>4788</v>
      </c>
      <c r="C2012" s="35">
        <v>43.4683333</v>
      </c>
      <c r="D2012" s="35">
        <v>-1.5311111</v>
      </c>
      <c r="E2012" s="32" t="s">
        <v>96</v>
      </c>
      <c r="F2012" s="32" t="s">
        <v>4789</v>
      </c>
      <c r="G2012" s="39" t="s">
        <v>97</v>
      </c>
      <c r="H2012" s="33"/>
      <c r="I2012" s="33"/>
      <c r="J2012" s="33"/>
      <c r="K2012" s="33"/>
      <c r="L2012" s="33"/>
      <c r="M2012" s="33"/>
    </row>
    <row r="2013">
      <c r="A2013" s="32" t="s">
        <v>4790</v>
      </c>
      <c r="B2013" s="32" t="s">
        <v>4791</v>
      </c>
      <c r="C2013" s="35">
        <v>26.48150063</v>
      </c>
      <c r="D2013" s="35">
        <v>87.26399994</v>
      </c>
      <c r="E2013" s="32" t="s">
        <v>1877</v>
      </c>
      <c r="F2013" s="32" t="s">
        <v>4792</v>
      </c>
      <c r="G2013" s="36" t="e">
        <v>#N/A</v>
      </c>
      <c r="H2013" s="33"/>
      <c r="I2013" s="33"/>
      <c r="J2013" s="33"/>
      <c r="K2013" s="33"/>
      <c r="L2013" s="33"/>
      <c r="M2013" s="33"/>
    </row>
    <row r="2014">
      <c r="A2014" s="32" t="s">
        <v>4793</v>
      </c>
      <c r="B2014" s="32" t="s">
        <v>4794</v>
      </c>
      <c r="C2014" s="35">
        <v>46.77270126</v>
      </c>
      <c r="D2014" s="35">
        <v>-100.7460022</v>
      </c>
      <c r="E2014" s="32" t="s">
        <v>180</v>
      </c>
      <c r="F2014" s="32" t="s">
        <v>4795</v>
      </c>
      <c r="G2014" s="39" t="s">
        <v>181</v>
      </c>
      <c r="H2014" s="33"/>
      <c r="I2014" s="33"/>
      <c r="J2014" s="33"/>
      <c r="K2014" s="33"/>
      <c r="L2014" s="33"/>
      <c r="M2014" s="33"/>
    </row>
    <row r="2015">
      <c r="A2015" s="32" t="s">
        <v>4796</v>
      </c>
      <c r="B2015" s="32" t="s">
        <v>4797</v>
      </c>
      <c r="C2015" s="35">
        <v>65.64129639</v>
      </c>
      <c r="D2015" s="35">
        <v>-23.5461998</v>
      </c>
      <c r="E2015" s="32" t="s">
        <v>2037</v>
      </c>
      <c r="F2015" s="32" t="s">
        <v>4798</v>
      </c>
      <c r="G2015" s="36" t="e">
        <v>#N/A</v>
      </c>
      <c r="H2015" s="33"/>
      <c r="I2015" s="33"/>
      <c r="J2015" s="33"/>
      <c r="K2015" s="33"/>
      <c r="L2015" s="33"/>
      <c r="M2015" s="33"/>
    </row>
    <row r="2016">
      <c r="A2016" s="32" t="s">
        <v>4799</v>
      </c>
      <c r="B2016" s="32" t="s">
        <v>4800</v>
      </c>
      <c r="C2016" s="35">
        <v>42.74290085</v>
      </c>
      <c r="D2016" s="35">
        <v>-86.10739899</v>
      </c>
      <c r="E2016" s="32" t="s">
        <v>180</v>
      </c>
      <c r="F2016" s="32" t="s">
        <v>4801</v>
      </c>
      <c r="G2016" s="39" t="s">
        <v>181</v>
      </c>
      <c r="H2016" s="33"/>
      <c r="I2016" s="33"/>
      <c r="J2016" s="33"/>
      <c r="K2016" s="33"/>
      <c r="L2016" s="33"/>
      <c r="M2016" s="33"/>
    </row>
    <row r="2017">
      <c r="A2017" s="32" t="s">
        <v>4802</v>
      </c>
      <c r="B2017" s="32" t="s">
        <v>4803</v>
      </c>
      <c r="C2017" s="35">
        <v>30.41040039</v>
      </c>
      <c r="D2017" s="35">
        <v>-88.92440033</v>
      </c>
      <c r="E2017" s="32" t="s">
        <v>180</v>
      </c>
      <c r="F2017" s="32" t="s">
        <v>4804</v>
      </c>
      <c r="G2017" s="39" t="s">
        <v>181</v>
      </c>
      <c r="H2017" s="33"/>
      <c r="I2017" s="33"/>
      <c r="J2017" s="33"/>
      <c r="K2017" s="33"/>
      <c r="L2017" s="33"/>
      <c r="M2017" s="33"/>
    </row>
    <row r="2018">
      <c r="A2018" s="32" t="s">
        <v>4805</v>
      </c>
      <c r="B2018" s="32" t="s">
        <v>4806</v>
      </c>
      <c r="C2018" s="35">
        <v>-32.89709854</v>
      </c>
      <c r="D2018" s="35">
        <v>27.27910042</v>
      </c>
      <c r="E2018" s="32" t="s">
        <v>16</v>
      </c>
      <c r="F2018" s="32" t="s">
        <v>4807</v>
      </c>
      <c r="G2018" s="36" t="e">
        <v>#N/A</v>
      </c>
      <c r="H2018" s="33"/>
      <c r="I2018" s="33"/>
      <c r="J2018" s="33"/>
      <c r="K2018" s="33"/>
      <c r="L2018" s="33"/>
      <c r="M2018" s="33"/>
    </row>
    <row r="2019">
      <c r="A2019" s="32" t="s">
        <v>4808</v>
      </c>
      <c r="B2019" s="32" t="s">
        <v>4809</v>
      </c>
      <c r="C2019" s="35">
        <v>36.7120018</v>
      </c>
      <c r="D2019" s="35">
        <v>5.069920063</v>
      </c>
      <c r="E2019" s="32" t="s">
        <v>20</v>
      </c>
      <c r="F2019" s="32" t="s">
        <v>4810</v>
      </c>
      <c r="G2019" s="36" t="e">
        <v>#N/A</v>
      </c>
      <c r="H2019" s="33"/>
      <c r="I2019" s="33"/>
      <c r="J2019" s="33"/>
      <c r="K2019" s="33"/>
      <c r="L2019" s="33"/>
      <c r="M2019" s="33"/>
    </row>
    <row r="2020">
      <c r="A2020" s="32" t="s">
        <v>4811</v>
      </c>
      <c r="B2020" s="32" t="s">
        <v>4812</v>
      </c>
      <c r="C2020" s="35">
        <v>37.49300003</v>
      </c>
      <c r="D2020" s="35">
        <v>57.30820084</v>
      </c>
      <c r="E2020" s="32" t="s">
        <v>1378</v>
      </c>
      <c r="F2020" s="32" t="s">
        <v>4813</v>
      </c>
      <c r="G2020" s="36" t="e">
        <v>#N/A</v>
      </c>
      <c r="H2020" s="33"/>
      <c r="I2020" s="33"/>
      <c r="J2020" s="33"/>
      <c r="K2020" s="33"/>
      <c r="L2020" s="33"/>
      <c r="M2020" s="33"/>
    </row>
    <row r="2021">
      <c r="A2021" s="32" t="s">
        <v>4814</v>
      </c>
      <c r="B2021" s="32" t="s">
        <v>4815</v>
      </c>
      <c r="C2021" s="35">
        <v>39.90879822</v>
      </c>
      <c r="D2021" s="35">
        <v>-105.1169968</v>
      </c>
      <c r="E2021" s="32" t="s">
        <v>180</v>
      </c>
      <c r="F2021" s="32" t="s">
        <v>4816</v>
      </c>
      <c r="G2021" s="39" t="s">
        <v>181</v>
      </c>
      <c r="H2021" s="33"/>
      <c r="I2021" s="33"/>
      <c r="J2021" s="33"/>
      <c r="K2021" s="33"/>
      <c r="L2021" s="33"/>
      <c r="M2021" s="33"/>
    </row>
    <row r="2022">
      <c r="A2022" s="32" t="s">
        <v>4817</v>
      </c>
      <c r="B2022" s="32" t="s">
        <v>4818</v>
      </c>
      <c r="C2022" s="35">
        <v>70.60050201</v>
      </c>
      <c r="D2022" s="35">
        <v>29.69140053</v>
      </c>
      <c r="E2022" s="32" t="s">
        <v>343</v>
      </c>
      <c r="F2022" s="32" t="s">
        <v>4819</v>
      </c>
      <c r="G2022" s="36" t="e">
        <v>#N/A</v>
      </c>
      <c r="H2022" s="33"/>
      <c r="I2022" s="33"/>
      <c r="J2022" s="33"/>
      <c r="K2022" s="33"/>
      <c r="L2022" s="33"/>
      <c r="M2022" s="33"/>
    </row>
    <row r="2023">
      <c r="A2023" s="32" t="s">
        <v>4820</v>
      </c>
      <c r="B2023" s="32" t="s">
        <v>4821</v>
      </c>
      <c r="C2023" s="35">
        <v>29.53899956</v>
      </c>
      <c r="D2023" s="35">
        <v>81.18540192</v>
      </c>
      <c r="E2023" s="32" t="s">
        <v>1877</v>
      </c>
      <c r="F2023" s="32" t="s">
        <v>4822</v>
      </c>
      <c r="G2023" s="36" t="e">
        <v>#N/A</v>
      </c>
      <c r="H2023" s="33"/>
      <c r="I2023" s="33"/>
      <c r="J2023" s="33"/>
      <c r="K2023" s="33"/>
      <c r="L2023" s="33"/>
      <c r="M2023" s="33"/>
    </row>
    <row r="2024">
      <c r="A2024" s="32" t="s">
        <v>4823</v>
      </c>
      <c r="B2024" s="32" t="s">
        <v>4824</v>
      </c>
      <c r="C2024" s="35">
        <v>47.50939941</v>
      </c>
      <c r="D2024" s="35">
        <v>-94.93370056</v>
      </c>
      <c r="E2024" s="32" t="s">
        <v>180</v>
      </c>
      <c r="F2024" s="32" t="s">
        <v>4825</v>
      </c>
      <c r="G2024" s="39" t="s">
        <v>181</v>
      </c>
      <c r="H2024" s="33"/>
      <c r="I2024" s="33"/>
      <c r="J2024" s="33"/>
      <c r="K2024" s="33"/>
      <c r="L2024" s="33"/>
      <c r="M2024" s="33"/>
    </row>
    <row r="2025">
      <c r="A2025" s="32" t="s">
        <v>4826</v>
      </c>
      <c r="B2025" s="32" t="s">
        <v>4827</v>
      </c>
      <c r="C2025" s="35">
        <v>13.3380003</v>
      </c>
      <c r="D2025" s="35">
        <v>-16.6522007</v>
      </c>
      <c r="E2025" s="32" t="s">
        <v>4828</v>
      </c>
      <c r="F2025" s="32" t="s">
        <v>4829</v>
      </c>
      <c r="G2025" s="36" t="e">
        <v>#N/A</v>
      </c>
      <c r="H2025" s="33"/>
      <c r="I2025" s="33"/>
      <c r="J2025" s="33"/>
      <c r="K2025" s="33"/>
      <c r="L2025" s="33"/>
      <c r="M2025" s="33"/>
    </row>
    <row r="2026">
      <c r="A2026" s="32" t="s">
        <v>4830</v>
      </c>
      <c r="B2026" s="32" t="s">
        <v>4831</v>
      </c>
      <c r="C2026" s="35">
        <v>-3.324019909</v>
      </c>
      <c r="D2026" s="35">
        <v>29.31850052</v>
      </c>
      <c r="E2026" s="32" t="s">
        <v>4832</v>
      </c>
      <c r="F2026" s="32" t="s">
        <v>4833</v>
      </c>
      <c r="G2026" s="36" t="e">
        <v>#N/A</v>
      </c>
      <c r="H2026" s="33"/>
      <c r="I2026" s="33"/>
      <c r="J2026" s="33"/>
      <c r="K2026" s="33"/>
      <c r="L2026" s="33"/>
      <c r="M2026" s="33"/>
    </row>
    <row r="2027">
      <c r="A2027" s="32" t="s">
        <v>4834</v>
      </c>
      <c r="B2027" s="32" t="s">
        <v>4835</v>
      </c>
      <c r="C2027" s="35">
        <v>-22.77330017</v>
      </c>
      <c r="D2027" s="35">
        <v>-64.31289673</v>
      </c>
      <c r="E2027" s="32" t="s">
        <v>323</v>
      </c>
      <c r="F2027" s="32" t="s">
        <v>4836</v>
      </c>
      <c r="G2027" s="36" t="e">
        <v>#N/A</v>
      </c>
      <c r="H2027" s="33"/>
      <c r="I2027" s="33"/>
      <c r="J2027" s="33"/>
      <c r="K2027" s="33"/>
      <c r="L2027" s="33"/>
      <c r="M2027" s="33"/>
    </row>
    <row r="2028">
      <c r="A2028" s="32" t="s">
        <v>4837</v>
      </c>
      <c r="B2028" s="32" t="s">
        <v>4838</v>
      </c>
      <c r="C2028" s="35">
        <v>-22.979162</v>
      </c>
      <c r="D2028" s="35">
        <v>-46.537508</v>
      </c>
      <c r="E2028" s="32" t="s">
        <v>288</v>
      </c>
      <c r="F2028" s="32" t="s">
        <v>4839</v>
      </c>
      <c r="G2028" s="36" t="e">
        <v>#N/A</v>
      </c>
      <c r="H2028" s="33"/>
      <c r="I2028" s="33"/>
      <c r="J2028" s="33"/>
      <c r="K2028" s="33"/>
      <c r="L2028" s="33"/>
      <c r="M2028" s="33"/>
    </row>
    <row r="2029">
      <c r="A2029" s="32" t="s">
        <v>4840</v>
      </c>
      <c r="B2029" s="32" t="s">
        <v>4841</v>
      </c>
      <c r="C2029" s="35">
        <v>11.60809994</v>
      </c>
      <c r="D2029" s="35">
        <v>37.32160187</v>
      </c>
      <c r="E2029" s="32" t="s">
        <v>18</v>
      </c>
      <c r="F2029" s="32" t="s">
        <v>4842</v>
      </c>
      <c r="G2029" s="36" t="e">
        <v>#N/A</v>
      </c>
      <c r="H2029" s="33"/>
      <c r="I2029" s="33"/>
      <c r="J2029" s="33"/>
      <c r="K2029" s="33"/>
      <c r="L2029" s="33"/>
      <c r="M2029" s="33"/>
    </row>
    <row r="2030">
      <c r="A2030" s="32" t="s">
        <v>4843</v>
      </c>
      <c r="B2030" s="32" t="s">
        <v>4844</v>
      </c>
      <c r="C2030" s="35">
        <v>29.50200081</v>
      </c>
      <c r="D2030" s="35">
        <v>81.66899872</v>
      </c>
      <c r="E2030" s="32" t="s">
        <v>1877</v>
      </c>
      <c r="F2030" s="32" t="s">
        <v>4845</v>
      </c>
      <c r="G2030" s="36" t="e">
        <v>#N/A</v>
      </c>
      <c r="H2030" s="33"/>
      <c r="I2030" s="33"/>
      <c r="J2030" s="33"/>
      <c r="K2030" s="33"/>
      <c r="L2030" s="33"/>
      <c r="M2030" s="33"/>
    </row>
    <row r="2031">
      <c r="A2031" s="32" t="s">
        <v>4846</v>
      </c>
      <c r="B2031" s="32" t="s">
        <v>4847</v>
      </c>
      <c r="C2031" s="35">
        <v>37.25059891</v>
      </c>
      <c r="D2031" s="35">
        <v>27.66430092</v>
      </c>
      <c r="E2031" s="32" t="s">
        <v>133</v>
      </c>
      <c r="F2031" s="32" t="s">
        <v>4848</v>
      </c>
      <c r="G2031" s="39" t="s">
        <v>134</v>
      </c>
      <c r="H2031" s="33"/>
      <c r="I2031" s="33"/>
      <c r="J2031" s="33"/>
      <c r="K2031" s="33"/>
      <c r="L2031" s="33"/>
      <c r="M2031" s="33"/>
    </row>
    <row r="2032">
      <c r="A2032" s="32" t="s">
        <v>4849</v>
      </c>
      <c r="B2032" s="32" t="s">
        <v>4850</v>
      </c>
      <c r="C2032" s="35">
        <v>20.99349976</v>
      </c>
      <c r="D2032" s="35">
        <v>-101.4810028</v>
      </c>
      <c r="E2032" s="32" t="s">
        <v>186</v>
      </c>
      <c r="F2032" s="32" t="s">
        <v>4851</v>
      </c>
      <c r="G2032" s="39" t="s">
        <v>187</v>
      </c>
      <c r="H2032" s="33"/>
      <c r="I2032" s="33"/>
      <c r="J2032" s="33"/>
      <c r="K2032" s="33"/>
      <c r="L2032" s="33"/>
      <c r="M2032" s="33"/>
    </row>
    <row r="2033">
      <c r="A2033" s="32" t="s">
        <v>4852</v>
      </c>
      <c r="B2033" s="32" t="s">
        <v>4853</v>
      </c>
      <c r="C2033" s="35">
        <v>44.935299</v>
      </c>
      <c r="D2033" s="35">
        <v>20.2575</v>
      </c>
      <c r="E2033" s="32" t="s">
        <v>1226</v>
      </c>
      <c r="F2033" s="32" t="s">
        <v>4854</v>
      </c>
      <c r="G2033" s="36" t="e">
        <v>#N/A</v>
      </c>
      <c r="H2033" s="33"/>
      <c r="I2033" s="33"/>
      <c r="J2033" s="33"/>
      <c r="K2033" s="33"/>
      <c r="L2033" s="33"/>
      <c r="M2033" s="33"/>
    </row>
    <row r="2034">
      <c r="A2034" s="32" t="s">
        <v>4855</v>
      </c>
      <c r="B2034" s="32" t="s">
        <v>4856</v>
      </c>
      <c r="C2034" s="35">
        <v>38.8913002</v>
      </c>
      <c r="D2034" s="35">
        <v>-6.82133007</v>
      </c>
      <c r="E2034" s="32" t="s">
        <v>115</v>
      </c>
      <c r="F2034" s="32" t="s">
        <v>4857</v>
      </c>
      <c r="G2034" s="39" t="s">
        <v>116</v>
      </c>
      <c r="H2034" s="33"/>
      <c r="I2034" s="33"/>
      <c r="J2034" s="33"/>
      <c r="K2034" s="33"/>
      <c r="L2034" s="33"/>
      <c r="M2034" s="33"/>
    </row>
    <row r="2035">
      <c r="A2035" s="32" t="s">
        <v>4858</v>
      </c>
      <c r="B2035" s="32" t="s">
        <v>4859</v>
      </c>
      <c r="C2035" s="35">
        <v>55.61719894</v>
      </c>
      <c r="D2035" s="35">
        <v>38.06000137</v>
      </c>
      <c r="E2035" s="32" t="s">
        <v>2040</v>
      </c>
      <c r="F2035" s="32" t="s">
        <v>2653</v>
      </c>
      <c r="G2035" s="36" t="e">
        <v>#N/A</v>
      </c>
      <c r="H2035" s="33"/>
      <c r="I2035" s="33"/>
      <c r="J2035" s="33"/>
      <c r="K2035" s="33"/>
      <c r="L2035" s="33"/>
      <c r="M2035" s="33"/>
    </row>
    <row r="2036">
      <c r="A2036" s="32" t="s">
        <v>4860</v>
      </c>
      <c r="B2036" s="32" t="s">
        <v>4861</v>
      </c>
      <c r="C2036" s="35">
        <v>65.9815979</v>
      </c>
      <c r="D2036" s="35">
        <v>-161.1490021</v>
      </c>
      <c r="E2036" s="32" t="s">
        <v>180</v>
      </c>
      <c r="F2036" s="32" t="s">
        <v>4862</v>
      </c>
      <c r="G2036" s="39" t="s">
        <v>181</v>
      </c>
      <c r="H2036" s="33"/>
      <c r="I2036" s="33"/>
      <c r="J2036" s="33"/>
      <c r="K2036" s="33"/>
      <c r="L2036" s="33"/>
      <c r="M2036" s="33"/>
    </row>
    <row r="2037">
      <c r="A2037" s="32" t="s">
        <v>4863</v>
      </c>
      <c r="B2037" s="32" t="s">
        <v>4864</v>
      </c>
      <c r="C2037" s="35">
        <v>32.71900177</v>
      </c>
      <c r="D2037" s="35">
        <v>-98.89099884</v>
      </c>
      <c r="E2037" s="32" t="s">
        <v>180</v>
      </c>
      <c r="F2037" s="32" t="s">
        <v>4865</v>
      </c>
      <c r="G2037" s="39" t="s">
        <v>181</v>
      </c>
      <c r="H2037" s="33"/>
      <c r="I2037" s="33"/>
      <c r="J2037" s="33"/>
      <c r="K2037" s="33"/>
      <c r="L2037" s="33"/>
      <c r="M2037" s="33"/>
    </row>
    <row r="2038">
      <c r="A2038" s="32" t="s">
        <v>4866</v>
      </c>
      <c r="B2038" s="32" t="s">
        <v>4867</v>
      </c>
      <c r="C2038" s="35">
        <v>44.83729935</v>
      </c>
      <c r="D2038" s="35">
        <v>-117.8089981</v>
      </c>
      <c r="E2038" s="32" t="s">
        <v>180</v>
      </c>
      <c r="F2038" s="32" t="s">
        <v>4868</v>
      </c>
      <c r="G2038" s="39" t="s">
        <v>181</v>
      </c>
      <c r="H2038" s="33"/>
      <c r="I2038" s="33"/>
      <c r="J2038" s="33"/>
      <c r="K2038" s="33"/>
      <c r="L2038" s="33"/>
      <c r="M2038" s="33"/>
    </row>
    <row r="2039">
      <c r="A2039" s="32" t="s">
        <v>4869</v>
      </c>
      <c r="B2039" s="32" t="s">
        <v>4870</v>
      </c>
      <c r="C2039" s="35">
        <v>39.7016983</v>
      </c>
      <c r="D2039" s="35">
        <v>-104.7519989</v>
      </c>
      <c r="E2039" s="32" t="s">
        <v>180</v>
      </c>
      <c r="F2039" s="32" t="s">
        <v>4871</v>
      </c>
      <c r="G2039" s="39" t="s">
        <v>181</v>
      </c>
      <c r="H2039" s="33"/>
      <c r="I2039" s="33"/>
      <c r="J2039" s="33"/>
      <c r="K2039" s="33"/>
      <c r="L2039" s="33"/>
      <c r="M2039" s="33"/>
    </row>
    <row r="2040">
      <c r="A2040" s="32" t="s">
        <v>4872</v>
      </c>
      <c r="B2040" s="32" t="s">
        <v>4873</v>
      </c>
      <c r="C2040" s="35">
        <v>22.02280045</v>
      </c>
      <c r="D2040" s="35">
        <v>-159.7850037</v>
      </c>
      <c r="E2040" s="32" t="s">
        <v>180</v>
      </c>
      <c r="F2040" s="32" t="s">
        <v>4874</v>
      </c>
      <c r="G2040" s="39" t="s">
        <v>181</v>
      </c>
      <c r="H2040" s="33"/>
      <c r="I2040" s="33"/>
      <c r="J2040" s="33"/>
      <c r="K2040" s="33"/>
      <c r="L2040" s="33"/>
      <c r="M2040" s="33"/>
    </row>
    <row r="2041">
      <c r="A2041" s="32" t="s">
        <v>4875</v>
      </c>
      <c r="B2041" s="32" t="s">
        <v>4876</v>
      </c>
      <c r="C2041" s="35">
        <v>5.937210083</v>
      </c>
      <c r="D2041" s="35">
        <v>116.0510025</v>
      </c>
      <c r="E2041" s="32" t="s">
        <v>284</v>
      </c>
      <c r="F2041" s="32" t="s">
        <v>4877</v>
      </c>
      <c r="G2041" s="36" t="e">
        <v>#N/A</v>
      </c>
      <c r="H2041" s="33"/>
      <c r="I2041" s="33"/>
      <c r="J2041" s="33"/>
      <c r="K2041" s="33"/>
      <c r="L2041" s="33"/>
      <c r="M2041" s="33"/>
    </row>
    <row r="2042">
      <c r="A2042" s="32" t="s">
        <v>4878</v>
      </c>
      <c r="B2042" s="32" t="s">
        <v>4879</v>
      </c>
      <c r="C2042" s="35">
        <v>13.68109989</v>
      </c>
      <c r="D2042" s="35">
        <v>100.7470016</v>
      </c>
      <c r="E2042" s="32" t="s">
        <v>175</v>
      </c>
      <c r="F2042" s="32" t="s">
        <v>4880</v>
      </c>
      <c r="G2042" s="39" t="s">
        <v>176</v>
      </c>
      <c r="H2042" s="33"/>
      <c r="I2042" s="33"/>
      <c r="J2042" s="33"/>
      <c r="K2042" s="33"/>
      <c r="L2042" s="33"/>
      <c r="M2042" s="33"/>
    </row>
    <row r="2043">
      <c r="A2043" s="32" t="s">
        <v>4881</v>
      </c>
      <c r="B2043" s="32" t="s">
        <v>4882</v>
      </c>
      <c r="C2043" s="35">
        <v>41.51750183</v>
      </c>
      <c r="D2043" s="35">
        <v>-81.6832962</v>
      </c>
      <c r="E2043" s="32" t="s">
        <v>180</v>
      </c>
      <c r="F2043" s="32" t="s">
        <v>4883</v>
      </c>
      <c r="G2043" s="39" t="s">
        <v>181</v>
      </c>
      <c r="H2043" s="33"/>
      <c r="I2043" s="33"/>
      <c r="J2043" s="33"/>
      <c r="K2043" s="33"/>
      <c r="L2043" s="33"/>
      <c r="M2043" s="33"/>
    </row>
    <row r="2044">
      <c r="A2044" s="32" t="s">
        <v>4884</v>
      </c>
      <c r="B2044" s="32" t="s">
        <v>4885</v>
      </c>
      <c r="C2044" s="35">
        <v>3.973999977</v>
      </c>
      <c r="D2044" s="35">
        <v>115.6179962</v>
      </c>
      <c r="E2044" s="32" t="s">
        <v>284</v>
      </c>
      <c r="F2044" s="32" t="s">
        <v>4886</v>
      </c>
      <c r="G2044" s="36" t="e">
        <v>#N/A</v>
      </c>
      <c r="H2044" s="33"/>
      <c r="I2044" s="33"/>
      <c r="J2044" s="33"/>
      <c r="K2044" s="33"/>
      <c r="L2044" s="33"/>
      <c r="M2044" s="33"/>
    </row>
    <row r="2045">
      <c r="A2045" s="32" t="s">
        <v>4887</v>
      </c>
      <c r="B2045" s="32" t="s">
        <v>4888</v>
      </c>
      <c r="C2045" s="35">
        <v>12.53349972</v>
      </c>
      <c r="D2045" s="35">
        <v>-7.949940205</v>
      </c>
      <c r="E2045" s="32" t="s">
        <v>807</v>
      </c>
      <c r="F2045" s="32" t="s">
        <v>4889</v>
      </c>
      <c r="G2045" s="36" t="e">
        <v>#N/A</v>
      </c>
      <c r="H2045" s="33"/>
      <c r="I2045" s="33"/>
      <c r="J2045" s="33"/>
      <c r="K2045" s="33"/>
      <c r="L2045" s="33"/>
      <c r="M2045" s="33"/>
    </row>
    <row r="2046">
      <c r="A2046" s="32" t="s">
        <v>4890</v>
      </c>
      <c r="B2046" s="32" t="s">
        <v>4891</v>
      </c>
      <c r="C2046" s="35">
        <v>-24.42779922</v>
      </c>
      <c r="D2046" s="35">
        <v>145.4290009</v>
      </c>
      <c r="E2046" s="32" t="s">
        <v>1968</v>
      </c>
      <c r="F2046" s="32" t="s">
        <v>4892</v>
      </c>
      <c r="G2046" s="36" t="e">
        <v>#N/A</v>
      </c>
      <c r="H2046" s="33"/>
      <c r="I2046" s="33"/>
      <c r="J2046" s="33"/>
      <c r="K2046" s="33"/>
      <c r="L2046" s="33"/>
      <c r="M2046" s="33"/>
    </row>
    <row r="2047">
      <c r="A2047" s="32" t="s">
        <v>4893</v>
      </c>
      <c r="B2047" s="32" t="s">
        <v>4894</v>
      </c>
      <c r="C2047" s="35">
        <v>-3.8637</v>
      </c>
      <c r="D2047" s="35">
        <v>102.338997</v>
      </c>
      <c r="E2047" s="32" t="s">
        <v>280</v>
      </c>
      <c r="F2047" s="32" t="s">
        <v>4895</v>
      </c>
      <c r="G2047" s="36" t="e">
        <v>#N/A</v>
      </c>
      <c r="H2047" s="33"/>
      <c r="I2047" s="33"/>
      <c r="J2047" s="33"/>
      <c r="K2047" s="33"/>
      <c r="L2047" s="33"/>
      <c r="M2047" s="33"/>
    </row>
    <row r="2048">
      <c r="A2048" s="32" t="s">
        <v>4896</v>
      </c>
      <c r="B2048" s="32" t="s">
        <v>4897</v>
      </c>
      <c r="C2048" s="35">
        <v>37.78730011</v>
      </c>
      <c r="D2048" s="35">
        <v>-81.12419891</v>
      </c>
      <c r="E2048" s="32" t="s">
        <v>180</v>
      </c>
      <c r="F2048" s="32" t="s">
        <v>4898</v>
      </c>
      <c r="G2048" s="39" t="s">
        <v>181</v>
      </c>
      <c r="H2048" s="33"/>
      <c r="I2048" s="33"/>
      <c r="J2048" s="33"/>
      <c r="K2048" s="33"/>
      <c r="L2048" s="33"/>
      <c r="M2048" s="33"/>
    </row>
    <row r="2049">
      <c r="A2049" s="32" t="s">
        <v>4899</v>
      </c>
      <c r="B2049" s="32" t="s">
        <v>4900</v>
      </c>
      <c r="C2049" s="35">
        <v>-2.308979988</v>
      </c>
      <c r="D2049" s="35">
        <v>28.80879974</v>
      </c>
      <c r="E2049" s="32" t="s">
        <v>800</v>
      </c>
      <c r="F2049" s="32" t="s">
        <v>4901</v>
      </c>
      <c r="G2049" s="36" t="e">
        <v>#N/A</v>
      </c>
      <c r="H2049" s="33"/>
      <c r="I2049" s="33"/>
      <c r="J2049" s="33"/>
      <c r="K2049" s="33"/>
      <c r="L2049" s="33"/>
      <c r="M2049" s="33"/>
    </row>
    <row r="2050">
      <c r="A2050" s="32" t="s">
        <v>4902</v>
      </c>
      <c r="B2050" s="32" t="s">
        <v>4903</v>
      </c>
      <c r="C2050" s="35">
        <v>-1.332</v>
      </c>
      <c r="D2050" s="35">
        <v>31.8212</v>
      </c>
      <c r="E2050" s="32" t="s">
        <v>2937</v>
      </c>
      <c r="F2050" s="32" t="s">
        <v>4904</v>
      </c>
      <c r="G2050" s="36" t="e">
        <v>#N/A</v>
      </c>
      <c r="H2050" s="33"/>
      <c r="I2050" s="33"/>
      <c r="J2050" s="33"/>
      <c r="K2050" s="33"/>
      <c r="L2050" s="33"/>
      <c r="M2050" s="33"/>
    </row>
    <row r="2051">
      <c r="A2051" s="32" t="s">
        <v>4905</v>
      </c>
      <c r="B2051" s="32" t="s">
        <v>4906</v>
      </c>
      <c r="C2051" s="35">
        <v>10.10709953</v>
      </c>
      <c r="D2051" s="35">
        <v>-64.68920135</v>
      </c>
      <c r="E2051" s="32" t="s">
        <v>315</v>
      </c>
      <c r="F2051" s="32" t="s">
        <v>4505</v>
      </c>
      <c r="G2051" s="36" t="e">
        <v>#N/A</v>
      </c>
      <c r="H2051" s="33"/>
      <c r="I2051" s="33"/>
      <c r="J2051" s="33"/>
      <c r="K2051" s="33"/>
      <c r="L2051" s="33"/>
      <c r="M2051" s="33"/>
    </row>
    <row r="2052">
      <c r="A2052" s="32" t="s">
        <v>4907</v>
      </c>
      <c r="B2052" s="32" t="s">
        <v>4908</v>
      </c>
      <c r="C2052" s="35">
        <v>8.91479</v>
      </c>
      <c r="D2052" s="35">
        <v>-79.599602</v>
      </c>
      <c r="E2052" s="32" t="s">
        <v>327</v>
      </c>
      <c r="F2052" s="32" t="s">
        <v>4909</v>
      </c>
      <c r="G2052" s="36" t="e">
        <v>#N/A</v>
      </c>
      <c r="H2052" s="33"/>
      <c r="I2052" s="33"/>
      <c r="J2052" s="33"/>
      <c r="K2052" s="33"/>
      <c r="L2052" s="33"/>
      <c r="M2052" s="33"/>
    </row>
    <row r="2053">
      <c r="A2053" s="32" t="s">
        <v>4910</v>
      </c>
      <c r="B2053" s="32" t="s">
        <v>4911</v>
      </c>
      <c r="C2053" s="35">
        <v>60.42200089</v>
      </c>
      <c r="D2053" s="35">
        <v>15.51519966</v>
      </c>
      <c r="E2053" s="32" t="s">
        <v>347</v>
      </c>
      <c r="F2053" s="32" t="s">
        <v>4912</v>
      </c>
      <c r="G2053" s="36" t="e">
        <v>#N/A</v>
      </c>
      <c r="H2053" s="33"/>
      <c r="I2053" s="33"/>
      <c r="J2053" s="33"/>
      <c r="K2053" s="33"/>
      <c r="L2053" s="33"/>
      <c r="M2053" s="33"/>
    </row>
    <row r="2054">
      <c r="A2054" s="32" t="s">
        <v>4913</v>
      </c>
      <c r="B2054" s="32" t="s">
        <v>4914</v>
      </c>
      <c r="C2054" s="35">
        <v>37.29579926</v>
      </c>
      <c r="D2054" s="35">
        <v>-81.20770264</v>
      </c>
      <c r="E2054" s="32" t="s">
        <v>180</v>
      </c>
      <c r="F2054" s="32" t="s">
        <v>4915</v>
      </c>
      <c r="G2054" s="39" t="s">
        <v>181</v>
      </c>
      <c r="H2054" s="33"/>
      <c r="I2054" s="33"/>
      <c r="J2054" s="33"/>
      <c r="K2054" s="33"/>
      <c r="L2054" s="33"/>
      <c r="M2054" s="33"/>
    </row>
    <row r="2055">
      <c r="A2055" s="32" t="s">
        <v>4916</v>
      </c>
      <c r="B2055" s="32" t="s">
        <v>4917</v>
      </c>
      <c r="C2055" s="35">
        <v>2.650000095</v>
      </c>
      <c r="D2055" s="35">
        <v>113.7669983</v>
      </c>
      <c r="E2055" s="32" t="s">
        <v>284</v>
      </c>
      <c r="F2055" s="32" t="s">
        <v>4918</v>
      </c>
      <c r="G2055" s="36" t="e">
        <v>#N/A</v>
      </c>
      <c r="H2055" s="33"/>
      <c r="I2055" s="33"/>
      <c r="J2055" s="33"/>
      <c r="K2055" s="33"/>
      <c r="L2055" s="33"/>
      <c r="M2055" s="33"/>
    </row>
    <row r="2056">
      <c r="A2056" s="32" t="s">
        <v>4919</v>
      </c>
      <c r="B2056" s="32" t="s">
        <v>4920</v>
      </c>
      <c r="C2056" s="35">
        <v>33.61920166</v>
      </c>
      <c r="D2056" s="35">
        <v>-114.7170029</v>
      </c>
      <c r="E2056" s="32" t="s">
        <v>180</v>
      </c>
      <c r="F2056" s="32" t="s">
        <v>4921</v>
      </c>
      <c r="G2056" s="39" t="s">
        <v>181</v>
      </c>
      <c r="H2056" s="33"/>
      <c r="I2056" s="33"/>
      <c r="J2056" s="33"/>
      <c r="K2056" s="33"/>
      <c r="L2056" s="33"/>
      <c r="M2056" s="33"/>
    </row>
    <row r="2057">
      <c r="A2057" s="32" t="s">
        <v>4922</v>
      </c>
      <c r="B2057" s="32" t="s">
        <v>4923</v>
      </c>
      <c r="C2057" s="35">
        <v>48.7928009</v>
      </c>
      <c r="D2057" s="35">
        <v>-122.538002</v>
      </c>
      <c r="E2057" s="32" t="s">
        <v>180</v>
      </c>
      <c r="F2057" s="32" t="s">
        <v>4924</v>
      </c>
      <c r="G2057" s="39" t="s">
        <v>181</v>
      </c>
      <c r="H2057" s="33"/>
      <c r="I2057" s="33"/>
      <c r="J2057" s="33"/>
      <c r="K2057" s="33"/>
      <c r="L2057" s="33"/>
      <c r="M2057" s="33"/>
    </row>
    <row r="2058">
      <c r="A2058" s="32" t="s">
        <v>4925</v>
      </c>
      <c r="B2058" s="32" t="s">
        <v>4926</v>
      </c>
      <c r="C2058" s="35">
        <v>35.7521019</v>
      </c>
      <c r="D2058" s="35">
        <v>6.308589935</v>
      </c>
      <c r="E2058" s="32" t="s">
        <v>20</v>
      </c>
      <c r="F2058" s="32" t="s">
        <v>4927</v>
      </c>
      <c r="G2058" s="36" t="e">
        <v>#N/A</v>
      </c>
      <c r="H2058" s="33"/>
      <c r="I2058" s="33"/>
      <c r="J2058" s="33"/>
      <c r="K2058" s="33"/>
      <c r="L2058" s="33"/>
      <c r="M2058" s="33"/>
    </row>
    <row r="2059">
      <c r="A2059" s="32" t="s">
        <v>4928</v>
      </c>
      <c r="B2059" s="32" t="s">
        <v>4929</v>
      </c>
      <c r="C2059" s="35">
        <v>53.77170181</v>
      </c>
      <c r="D2059" s="35">
        <v>-3.028609991</v>
      </c>
      <c r="E2059" s="32" t="s">
        <v>90</v>
      </c>
      <c r="F2059" s="32" t="s">
        <v>4930</v>
      </c>
      <c r="G2059" s="39" t="s">
        <v>91</v>
      </c>
      <c r="H2059" s="33"/>
      <c r="I2059" s="33"/>
      <c r="J2059" s="33"/>
      <c r="K2059" s="33"/>
      <c r="L2059" s="33"/>
      <c r="M2059" s="33"/>
    </row>
    <row r="2060">
      <c r="A2060" s="32" t="s">
        <v>4931</v>
      </c>
      <c r="B2060" s="32" t="s">
        <v>4932</v>
      </c>
      <c r="C2060" s="35">
        <v>55.74029922</v>
      </c>
      <c r="D2060" s="35">
        <v>9.151780128</v>
      </c>
      <c r="E2060" s="32" t="s">
        <v>533</v>
      </c>
      <c r="F2060" s="32" t="s">
        <v>4933</v>
      </c>
      <c r="G2060" s="36" t="e">
        <v>#N/A</v>
      </c>
      <c r="H2060" s="33"/>
      <c r="I2060" s="33"/>
      <c r="J2060" s="33"/>
      <c r="K2060" s="33"/>
      <c r="L2060" s="33"/>
      <c r="M2060" s="33"/>
    </row>
    <row r="2061">
      <c r="A2061" s="32" t="s">
        <v>4934</v>
      </c>
      <c r="B2061" s="32" t="s">
        <v>4935</v>
      </c>
      <c r="C2061" s="35">
        <v>-36.55189896</v>
      </c>
      <c r="D2061" s="35">
        <v>146.0070038</v>
      </c>
      <c r="E2061" s="32" t="s">
        <v>1968</v>
      </c>
      <c r="F2061" s="33"/>
      <c r="G2061" s="36" t="e">
        <v>#N/A</v>
      </c>
      <c r="H2061" s="33"/>
      <c r="I2061" s="33"/>
      <c r="J2061" s="33"/>
      <c r="K2061" s="33"/>
      <c r="L2061" s="33"/>
      <c r="M2061" s="33"/>
    </row>
    <row r="2062">
      <c r="A2062" s="32" t="s">
        <v>4936</v>
      </c>
      <c r="B2062" s="32" t="s">
        <v>4937</v>
      </c>
      <c r="C2062" s="35">
        <v>44.5354</v>
      </c>
      <c r="D2062" s="35">
        <v>11.2887</v>
      </c>
      <c r="E2062" s="32" t="s">
        <v>103</v>
      </c>
      <c r="F2062" s="32" t="s">
        <v>4938</v>
      </c>
      <c r="G2062" s="39" t="s">
        <v>104</v>
      </c>
      <c r="H2062" s="33"/>
      <c r="I2062" s="33"/>
      <c r="J2062" s="33"/>
      <c r="K2062" s="33"/>
      <c r="L2062" s="33"/>
      <c r="M2062" s="33"/>
    </row>
    <row r="2063">
      <c r="A2063" s="32" t="s">
        <v>4939</v>
      </c>
      <c r="B2063" s="32" t="s">
        <v>4940</v>
      </c>
      <c r="C2063" s="35">
        <v>13.1979</v>
      </c>
      <c r="D2063" s="35">
        <v>77.706299</v>
      </c>
      <c r="E2063" s="32" t="s">
        <v>217</v>
      </c>
      <c r="F2063" s="32" t="s">
        <v>3023</v>
      </c>
      <c r="G2063" s="39" t="s">
        <v>218</v>
      </c>
      <c r="H2063" s="33"/>
      <c r="I2063" s="33"/>
      <c r="J2063" s="33"/>
      <c r="K2063" s="33"/>
      <c r="L2063" s="33"/>
      <c r="M2063" s="33"/>
    </row>
    <row r="2064">
      <c r="A2064" s="32" t="s">
        <v>4941</v>
      </c>
      <c r="B2064" s="32" t="s">
        <v>4942</v>
      </c>
      <c r="C2064" s="35">
        <v>-23.60309982</v>
      </c>
      <c r="D2064" s="35">
        <v>148.8070068</v>
      </c>
      <c r="E2064" s="32" t="s">
        <v>1968</v>
      </c>
      <c r="F2064" s="32" t="s">
        <v>4943</v>
      </c>
      <c r="G2064" s="36" t="e">
        <v>#N/A</v>
      </c>
      <c r="H2064" s="33"/>
      <c r="I2064" s="33"/>
      <c r="J2064" s="33"/>
      <c r="K2064" s="33"/>
      <c r="L2064" s="33"/>
      <c r="M2064" s="33"/>
    </row>
    <row r="2065">
      <c r="A2065" s="32" t="s">
        <v>4944</v>
      </c>
      <c r="B2065" s="32" t="s">
        <v>4945</v>
      </c>
      <c r="C2065" s="35">
        <v>38.5452</v>
      </c>
      <c r="D2065" s="35">
        <v>-89.835197</v>
      </c>
      <c r="E2065" s="32" t="s">
        <v>180</v>
      </c>
      <c r="F2065" s="32" t="s">
        <v>4946</v>
      </c>
      <c r="G2065" s="39" t="s">
        <v>181</v>
      </c>
      <c r="H2065" s="33"/>
      <c r="I2065" s="33"/>
      <c r="J2065" s="33"/>
      <c r="K2065" s="33"/>
      <c r="L2065" s="33"/>
      <c r="M2065" s="33"/>
    </row>
    <row r="2066">
      <c r="A2066" s="32" t="s">
        <v>4947</v>
      </c>
      <c r="B2066" s="32" t="s">
        <v>4948</v>
      </c>
      <c r="C2066" s="35">
        <v>-15.67910004</v>
      </c>
      <c r="D2066" s="35">
        <v>34.97399902</v>
      </c>
      <c r="E2066" s="32" t="s">
        <v>794</v>
      </c>
      <c r="F2066" s="32" t="s">
        <v>4949</v>
      </c>
      <c r="G2066" s="36" t="e">
        <v>#N/A</v>
      </c>
      <c r="H2066" s="33"/>
      <c r="I2066" s="33"/>
      <c r="J2066" s="33"/>
      <c r="K2066" s="33"/>
      <c r="L2066" s="33"/>
      <c r="M2066" s="33"/>
    </row>
    <row r="2067">
      <c r="A2067" s="32" t="s">
        <v>4950</v>
      </c>
      <c r="B2067" s="32" t="s">
        <v>4951</v>
      </c>
      <c r="C2067" s="35">
        <v>59.35440063</v>
      </c>
      <c r="D2067" s="35">
        <v>17.94169998</v>
      </c>
      <c r="E2067" s="32" t="s">
        <v>347</v>
      </c>
      <c r="F2067" s="32" t="s">
        <v>576</v>
      </c>
      <c r="G2067" s="36" t="e">
        <v>#N/A</v>
      </c>
      <c r="H2067" s="33"/>
      <c r="I2067" s="33"/>
      <c r="J2067" s="33"/>
      <c r="K2067" s="33"/>
      <c r="L2067" s="33"/>
      <c r="M2067" s="33"/>
    </row>
    <row r="2068">
      <c r="A2068" s="32" t="s">
        <v>4952</v>
      </c>
      <c r="B2068" s="32" t="s">
        <v>4953</v>
      </c>
      <c r="C2068" s="35">
        <v>2.182780027</v>
      </c>
      <c r="D2068" s="35">
        <v>22.4817009</v>
      </c>
      <c r="E2068" s="32" t="s">
        <v>800</v>
      </c>
      <c r="F2068" s="32" t="s">
        <v>4954</v>
      </c>
      <c r="G2068" s="36" t="e">
        <v>#N/A</v>
      </c>
      <c r="H2068" s="33"/>
      <c r="I2068" s="33"/>
      <c r="J2068" s="33"/>
      <c r="K2068" s="33"/>
      <c r="L2068" s="33"/>
      <c r="M2068" s="33"/>
    </row>
    <row r="2069">
      <c r="A2069" s="32" t="s">
        <v>4955</v>
      </c>
      <c r="B2069" s="32" t="s">
        <v>4956</v>
      </c>
      <c r="C2069" s="35">
        <v>41.55239868</v>
      </c>
      <c r="D2069" s="35">
        <v>-112.0619965</v>
      </c>
      <c r="E2069" s="32" t="s">
        <v>180</v>
      </c>
      <c r="F2069" s="32" t="s">
        <v>4957</v>
      </c>
      <c r="G2069" s="39" t="s">
        <v>181</v>
      </c>
      <c r="H2069" s="33"/>
      <c r="I2069" s="33"/>
      <c r="J2069" s="33"/>
      <c r="K2069" s="33"/>
      <c r="L2069" s="33"/>
      <c r="M2069" s="33"/>
    </row>
    <row r="2070">
      <c r="A2070" s="32" t="s">
        <v>4958</v>
      </c>
      <c r="B2070" s="32" t="s">
        <v>4959</v>
      </c>
      <c r="C2070" s="35">
        <v>-19.68670082</v>
      </c>
      <c r="D2070" s="35">
        <v>44.54190063</v>
      </c>
      <c r="E2070" s="32" t="s">
        <v>384</v>
      </c>
      <c r="F2070" s="32" t="s">
        <v>4960</v>
      </c>
      <c r="G2070" s="36" t="e">
        <v>#N/A</v>
      </c>
      <c r="H2070" s="33"/>
      <c r="I2070" s="33"/>
      <c r="J2070" s="33"/>
      <c r="K2070" s="33"/>
      <c r="L2070" s="33"/>
      <c r="M2070" s="33"/>
    </row>
    <row r="2071">
      <c r="A2071" s="32" t="s">
        <v>4961</v>
      </c>
      <c r="B2071" s="32" t="s">
        <v>4962</v>
      </c>
      <c r="C2071" s="35">
        <v>-17.94470024</v>
      </c>
      <c r="D2071" s="35">
        <v>122.2320023</v>
      </c>
      <c r="E2071" s="32" t="s">
        <v>1968</v>
      </c>
      <c r="F2071" s="32" t="s">
        <v>4963</v>
      </c>
      <c r="G2071" s="36" t="e">
        <v>#N/A</v>
      </c>
      <c r="H2071" s="33"/>
      <c r="I2071" s="33"/>
      <c r="J2071" s="33"/>
      <c r="K2071" s="33"/>
      <c r="L2071" s="33"/>
      <c r="M2071" s="33"/>
    </row>
    <row r="2072">
      <c r="A2072" s="32" t="s">
        <v>4964</v>
      </c>
      <c r="B2072" s="32" t="s">
        <v>4965</v>
      </c>
      <c r="C2072" s="35">
        <v>39.14599991</v>
      </c>
      <c r="D2072" s="35">
        <v>-86.61669922</v>
      </c>
      <c r="E2072" s="32" t="s">
        <v>180</v>
      </c>
      <c r="F2072" s="32" t="s">
        <v>4966</v>
      </c>
      <c r="G2072" s="39" t="s">
        <v>181</v>
      </c>
      <c r="H2072" s="33"/>
      <c r="I2072" s="33"/>
      <c r="J2072" s="33"/>
      <c r="K2072" s="33"/>
      <c r="L2072" s="33"/>
      <c r="M2072" s="33"/>
    </row>
    <row r="2073">
      <c r="A2073" s="32" t="s">
        <v>4967</v>
      </c>
      <c r="B2073" s="32" t="s">
        <v>4968</v>
      </c>
      <c r="C2073" s="35">
        <v>40.47710037</v>
      </c>
      <c r="D2073" s="35">
        <v>-88.91590118</v>
      </c>
      <c r="E2073" s="32" t="s">
        <v>180</v>
      </c>
      <c r="F2073" s="32" t="s">
        <v>4966</v>
      </c>
      <c r="G2073" s="39" t="s">
        <v>181</v>
      </c>
      <c r="H2073" s="33"/>
      <c r="I2073" s="33"/>
      <c r="J2073" s="33"/>
      <c r="K2073" s="33"/>
      <c r="L2073" s="33"/>
      <c r="M2073" s="33"/>
    </row>
    <row r="2074">
      <c r="A2074" s="32" t="s">
        <v>4969</v>
      </c>
      <c r="B2074" s="32" t="s">
        <v>4970</v>
      </c>
      <c r="C2074" s="35">
        <v>53.59638977</v>
      </c>
      <c r="D2074" s="35">
        <v>6.709167004</v>
      </c>
      <c r="E2074" s="32" t="s">
        <v>109</v>
      </c>
      <c r="F2074" s="32" t="s">
        <v>4971</v>
      </c>
      <c r="G2074" s="39" t="s">
        <v>110</v>
      </c>
      <c r="H2074" s="33"/>
      <c r="I2074" s="33"/>
      <c r="J2074" s="33"/>
      <c r="K2074" s="33"/>
      <c r="L2074" s="33"/>
      <c r="M2074" s="33"/>
    </row>
    <row r="2075">
      <c r="A2075" s="32" t="s">
        <v>4972</v>
      </c>
      <c r="B2075" s="32" t="s">
        <v>4973</v>
      </c>
      <c r="C2075" s="35">
        <v>2.075639963</v>
      </c>
      <c r="D2075" s="35">
        <v>11.4932003</v>
      </c>
      <c r="E2075" s="32" t="s">
        <v>4974</v>
      </c>
      <c r="F2075" s="32" t="s">
        <v>4975</v>
      </c>
      <c r="G2075" s="36" t="e">
        <v>#N/A</v>
      </c>
      <c r="H2075" s="33"/>
      <c r="I2075" s="33"/>
      <c r="J2075" s="33"/>
      <c r="K2075" s="33"/>
      <c r="L2075" s="33"/>
      <c r="M2075" s="33"/>
    </row>
    <row r="2076">
      <c r="A2076" s="32" t="s">
        <v>4976</v>
      </c>
      <c r="B2076" s="32" t="s">
        <v>4977</v>
      </c>
      <c r="C2076" s="35">
        <v>24.2689991</v>
      </c>
      <c r="D2076" s="35">
        <v>97.24620056</v>
      </c>
      <c r="E2076" s="32" t="s">
        <v>1918</v>
      </c>
      <c r="F2076" s="32" t="s">
        <v>4978</v>
      </c>
      <c r="G2076" s="36" t="e">
        <v>#N/A</v>
      </c>
      <c r="H2076" s="33"/>
      <c r="I2076" s="33"/>
      <c r="J2076" s="33"/>
      <c r="K2076" s="33"/>
      <c r="L2076" s="33"/>
      <c r="M2076" s="33"/>
    </row>
    <row r="2077">
      <c r="A2077" s="32" t="s">
        <v>4979</v>
      </c>
      <c r="B2077" s="32" t="s">
        <v>4980</v>
      </c>
      <c r="C2077" s="35">
        <v>-20.80330086</v>
      </c>
      <c r="D2077" s="35">
        <v>149.2700043</v>
      </c>
      <c r="E2077" s="32" t="s">
        <v>1968</v>
      </c>
      <c r="F2077" s="32" t="s">
        <v>4981</v>
      </c>
      <c r="G2077" s="36" t="e">
        <v>#N/A</v>
      </c>
      <c r="H2077" s="33"/>
      <c r="I2077" s="33"/>
      <c r="J2077" s="33"/>
      <c r="K2077" s="33"/>
      <c r="L2077" s="33"/>
      <c r="M2077" s="33"/>
    </row>
    <row r="2078">
      <c r="A2078" s="32" t="s">
        <v>4982</v>
      </c>
      <c r="B2078" s="32" t="s">
        <v>4983</v>
      </c>
      <c r="C2078" s="35">
        <v>30.73889923</v>
      </c>
      <c r="D2078" s="35">
        <v>-98.23860168</v>
      </c>
      <c r="E2078" s="32" t="s">
        <v>21</v>
      </c>
      <c r="F2078" s="32" t="s">
        <v>4984</v>
      </c>
      <c r="G2078" s="36" t="e">
        <v>#N/A</v>
      </c>
      <c r="H2078" s="33"/>
      <c r="I2078" s="33"/>
      <c r="J2078" s="33"/>
      <c r="K2078" s="33"/>
      <c r="L2078" s="33"/>
      <c r="M2078" s="33"/>
    </row>
    <row r="2079">
      <c r="A2079" s="32" t="s">
        <v>4985</v>
      </c>
      <c r="B2079" s="32" t="s">
        <v>4986</v>
      </c>
      <c r="C2079" s="35">
        <v>30.07069969</v>
      </c>
      <c r="D2079" s="35">
        <v>-94.21579742</v>
      </c>
      <c r="E2079" s="32" t="s">
        <v>180</v>
      </c>
      <c r="F2079" s="32" t="s">
        <v>4987</v>
      </c>
      <c r="G2079" s="39" t="s">
        <v>181</v>
      </c>
      <c r="H2079" s="33"/>
      <c r="I2079" s="33"/>
      <c r="J2079" s="33"/>
      <c r="K2079" s="33"/>
      <c r="L2079" s="33"/>
      <c r="M2079" s="33"/>
    </row>
    <row r="2080">
      <c r="A2080" s="32" t="s">
        <v>4988</v>
      </c>
      <c r="B2080" s="32" t="s">
        <v>4989</v>
      </c>
      <c r="C2080" s="35">
        <v>-8.539649963</v>
      </c>
      <c r="D2080" s="35">
        <v>118.6869965</v>
      </c>
      <c r="E2080" s="32" t="s">
        <v>280</v>
      </c>
      <c r="F2080" s="32" t="s">
        <v>4990</v>
      </c>
      <c r="G2080" s="36" t="e">
        <v>#N/A</v>
      </c>
      <c r="H2080" s="33"/>
      <c r="I2080" s="33"/>
      <c r="J2080" s="33"/>
      <c r="K2080" s="33"/>
      <c r="L2080" s="33"/>
      <c r="M2080" s="33"/>
    </row>
    <row r="2081">
      <c r="A2081" s="32" t="s">
        <v>4991</v>
      </c>
      <c r="B2081" s="32" t="s">
        <v>4992</v>
      </c>
      <c r="C2081" s="35">
        <v>12.66829968</v>
      </c>
      <c r="D2081" s="35">
        <v>108.1200027</v>
      </c>
      <c r="E2081" s="32" t="s">
        <v>1913</v>
      </c>
      <c r="F2081" s="32" t="s">
        <v>4993</v>
      </c>
      <c r="G2081" s="36" t="e">
        <v>#N/A</v>
      </c>
      <c r="H2081" s="33"/>
      <c r="I2081" s="33"/>
      <c r="J2081" s="33"/>
      <c r="K2081" s="33"/>
      <c r="L2081" s="33"/>
      <c r="M2081" s="33"/>
    </row>
    <row r="2082">
      <c r="A2082" s="32" t="s">
        <v>4994</v>
      </c>
      <c r="B2082" s="32" t="s">
        <v>4995</v>
      </c>
      <c r="C2082" s="35">
        <v>21.375</v>
      </c>
      <c r="D2082" s="35">
        <v>0.923888981</v>
      </c>
      <c r="E2082" s="32" t="s">
        <v>20</v>
      </c>
      <c r="F2082" s="32" t="s">
        <v>4996</v>
      </c>
      <c r="G2082" s="36" t="e">
        <v>#N/A</v>
      </c>
      <c r="H2082" s="33"/>
      <c r="I2082" s="33"/>
      <c r="J2082" s="33"/>
      <c r="K2082" s="33"/>
      <c r="L2082" s="33"/>
      <c r="M2082" s="33"/>
    </row>
    <row r="2083">
      <c r="A2083" s="32" t="s">
        <v>4997</v>
      </c>
      <c r="B2083" s="32" t="s">
        <v>4998</v>
      </c>
      <c r="C2083" s="35">
        <v>59.36119843</v>
      </c>
      <c r="D2083" s="35">
        <v>-155.2590027</v>
      </c>
      <c r="E2083" s="32" t="s">
        <v>180</v>
      </c>
      <c r="F2083" s="32" t="s">
        <v>4999</v>
      </c>
      <c r="G2083" s="39" t="s">
        <v>181</v>
      </c>
      <c r="H2083" s="33"/>
      <c r="I2083" s="33"/>
      <c r="J2083" s="33"/>
      <c r="K2083" s="33"/>
      <c r="L2083" s="33"/>
      <c r="M2083" s="33"/>
    </row>
    <row r="2084">
      <c r="A2084" s="32" t="s">
        <v>5000</v>
      </c>
      <c r="B2084" s="32" t="s">
        <v>5001</v>
      </c>
      <c r="C2084" s="35">
        <v>-19.72060013</v>
      </c>
      <c r="D2084" s="35">
        <v>163.6609955</v>
      </c>
      <c r="E2084" s="32" t="s">
        <v>5002</v>
      </c>
      <c r="F2084" s="32" t="s">
        <v>5003</v>
      </c>
      <c r="G2084" s="36" t="e">
        <v>#N/A</v>
      </c>
      <c r="H2084" s="33"/>
      <c r="I2084" s="33"/>
      <c r="J2084" s="33"/>
      <c r="K2084" s="33"/>
      <c r="L2084" s="33"/>
      <c r="M2084" s="33"/>
    </row>
    <row r="2085">
      <c r="A2085" s="32" t="s">
        <v>5004</v>
      </c>
      <c r="B2085" s="32" t="s">
        <v>5005</v>
      </c>
      <c r="C2085" s="35">
        <v>36.12450027</v>
      </c>
      <c r="D2085" s="35">
        <v>-86.67819977</v>
      </c>
      <c r="E2085" s="32" t="s">
        <v>180</v>
      </c>
      <c r="F2085" s="32" t="s">
        <v>5006</v>
      </c>
      <c r="G2085" s="39" t="s">
        <v>181</v>
      </c>
      <c r="H2085" s="33"/>
      <c r="I2085" s="33"/>
      <c r="J2085" s="33"/>
      <c r="K2085" s="33"/>
      <c r="L2085" s="33"/>
      <c r="M2085" s="33"/>
    </row>
    <row r="2086">
      <c r="A2086" s="32" t="s">
        <v>5007</v>
      </c>
      <c r="B2086" s="32" t="s">
        <v>5008</v>
      </c>
      <c r="C2086" s="35">
        <v>-0.216999993</v>
      </c>
      <c r="D2086" s="35">
        <v>20.85000038</v>
      </c>
      <c r="E2086" s="32" t="s">
        <v>800</v>
      </c>
      <c r="F2086" s="32" t="s">
        <v>5009</v>
      </c>
      <c r="G2086" s="36" t="e">
        <v>#N/A</v>
      </c>
      <c r="H2086" s="33"/>
      <c r="I2086" s="33"/>
      <c r="J2086" s="33"/>
      <c r="K2086" s="33"/>
      <c r="L2086" s="33"/>
      <c r="M2086" s="33"/>
    </row>
    <row r="2087">
      <c r="A2087" s="32" t="s">
        <v>5010</v>
      </c>
      <c r="B2087" s="32" t="s">
        <v>5011</v>
      </c>
      <c r="C2087" s="35">
        <v>0.574999988</v>
      </c>
      <c r="D2087" s="35">
        <v>29.47389984</v>
      </c>
      <c r="E2087" s="32" t="s">
        <v>800</v>
      </c>
      <c r="F2087" s="32" t="s">
        <v>5012</v>
      </c>
      <c r="G2087" s="36" t="e">
        <v>#N/A</v>
      </c>
      <c r="H2087" s="33"/>
      <c r="I2087" s="33"/>
      <c r="J2087" s="33"/>
      <c r="K2087" s="33"/>
      <c r="L2087" s="33"/>
      <c r="M2087" s="33"/>
    </row>
    <row r="2088">
      <c r="A2088" s="32" t="s">
        <v>5013</v>
      </c>
      <c r="B2088" s="32" t="s">
        <v>5014</v>
      </c>
      <c r="C2088" s="35">
        <v>27.21829987</v>
      </c>
      <c r="D2088" s="35">
        <v>56.37779999</v>
      </c>
      <c r="E2088" s="32" t="s">
        <v>1378</v>
      </c>
      <c r="F2088" s="32" t="s">
        <v>1422</v>
      </c>
      <c r="G2088" s="36" t="e">
        <v>#N/A</v>
      </c>
      <c r="H2088" s="33"/>
      <c r="I2088" s="33"/>
      <c r="J2088" s="33"/>
      <c r="K2088" s="33"/>
      <c r="L2088" s="33"/>
      <c r="M2088" s="33"/>
    </row>
    <row r="2089">
      <c r="A2089" s="32" t="s">
        <v>5015</v>
      </c>
      <c r="B2089" s="32" t="s">
        <v>5016</v>
      </c>
      <c r="C2089" s="35">
        <v>-27.38419914</v>
      </c>
      <c r="D2089" s="35">
        <v>153.1170044</v>
      </c>
      <c r="E2089" s="32" t="s">
        <v>1968</v>
      </c>
      <c r="F2089" s="32" t="s">
        <v>1969</v>
      </c>
      <c r="G2089" s="36" t="e">
        <v>#N/A</v>
      </c>
      <c r="H2089" s="33"/>
      <c r="I2089" s="33"/>
      <c r="J2089" s="33"/>
      <c r="K2089" s="33"/>
      <c r="L2089" s="33"/>
      <c r="M2089" s="33"/>
    </row>
    <row r="2090">
      <c r="A2090" s="32" t="s">
        <v>5017</v>
      </c>
      <c r="B2090" s="32" t="s">
        <v>5018</v>
      </c>
      <c r="C2090" s="35">
        <v>33.92309952</v>
      </c>
      <c r="D2090" s="35">
        <v>-116.8509979</v>
      </c>
      <c r="E2090" s="32" t="s">
        <v>180</v>
      </c>
      <c r="F2090" s="32" t="s">
        <v>5019</v>
      </c>
      <c r="G2090" s="39" t="s">
        <v>181</v>
      </c>
      <c r="H2090" s="33"/>
      <c r="I2090" s="33"/>
      <c r="J2090" s="33"/>
      <c r="K2090" s="33"/>
      <c r="L2090" s="33"/>
      <c r="M2090" s="33"/>
    </row>
    <row r="2091">
      <c r="A2091" s="32" t="s">
        <v>5020</v>
      </c>
      <c r="B2091" s="32" t="s">
        <v>5021</v>
      </c>
      <c r="C2091" s="35">
        <v>6.316979885</v>
      </c>
      <c r="D2091" s="35">
        <v>5.599500179</v>
      </c>
      <c r="E2091" s="32" t="s">
        <v>19</v>
      </c>
      <c r="F2091" s="32" t="s">
        <v>5022</v>
      </c>
      <c r="G2091" s="36" t="e">
        <v>#N/A</v>
      </c>
      <c r="H2091" s="33"/>
      <c r="I2091" s="33"/>
      <c r="J2091" s="33"/>
      <c r="K2091" s="33"/>
      <c r="L2091" s="33"/>
      <c r="M2091" s="33"/>
    </row>
    <row r="2092">
      <c r="A2092" s="32" t="s">
        <v>5023</v>
      </c>
      <c r="B2092" s="32" t="s">
        <v>5024</v>
      </c>
      <c r="C2092" s="35">
        <v>-28.83390045</v>
      </c>
      <c r="D2092" s="35">
        <v>153.5619965</v>
      </c>
      <c r="E2092" s="32" t="s">
        <v>1968</v>
      </c>
      <c r="F2092" s="32" t="s">
        <v>5025</v>
      </c>
      <c r="G2092" s="36" t="e">
        <v>#N/A</v>
      </c>
      <c r="H2092" s="33"/>
      <c r="I2092" s="33"/>
      <c r="J2092" s="33"/>
      <c r="K2092" s="33"/>
      <c r="L2092" s="33"/>
      <c r="M2092" s="33"/>
    </row>
    <row r="2093">
      <c r="A2093" s="32" t="s">
        <v>5026</v>
      </c>
      <c r="B2093" s="32" t="s">
        <v>5027</v>
      </c>
      <c r="C2093" s="35">
        <v>65.46109772</v>
      </c>
      <c r="D2093" s="35">
        <v>12.21749973</v>
      </c>
      <c r="E2093" s="32" t="s">
        <v>343</v>
      </c>
      <c r="F2093" s="32" t="s">
        <v>5028</v>
      </c>
      <c r="G2093" s="36" t="e">
        <v>#N/A</v>
      </c>
      <c r="H2093" s="33"/>
      <c r="I2093" s="33"/>
      <c r="J2093" s="33"/>
      <c r="K2093" s="33"/>
      <c r="L2093" s="33"/>
      <c r="M2093" s="33"/>
    </row>
    <row r="2094">
      <c r="A2094" s="32" t="s">
        <v>5029</v>
      </c>
      <c r="B2094" s="32" t="s">
        <v>5030</v>
      </c>
      <c r="C2094" s="35">
        <v>32.97290039</v>
      </c>
      <c r="D2094" s="35">
        <v>70.5279007</v>
      </c>
      <c r="E2094" s="32" t="s">
        <v>1470</v>
      </c>
      <c r="F2094" s="32" t="s">
        <v>5031</v>
      </c>
      <c r="G2094" s="36" t="e">
        <v>#N/A</v>
      </c>
      <c r="H2094" s="33"/>
      <c r="I2094" s="33"/>
      <c r="J2094" s="33"/>
      <c r="K2094" s="33"/>
      <c r="L2094" s="33"/>
      <c r="M2094" s="33"/>
    </row>
    <row r="2095">
      <c r="A2095" s="32" t="s">
        <v>5032</v>
      </c>
      <c r="B2095" s="32" t="s">
        <v>5033</v>
      </c>
      <c r="C2095" s="35">
        <v>8.619569778</v>
      </c>
      <c r="D2095" s="35">
        <v>-70.22080231</v>
      </c>
      <c r="E2095" s="32" t="s">
        <v>315</v>
      </c>
      <c r="F2095" s="32" t="s">
        <v>5034</v>
      </c>
      <c r="G2095" s="36" t="e">
        <v>#N/A</v>
      </c>
      <c r="H2095" s="33"/>
      <c r="I2095" s="33"/>
      <c r="J2095" s="33"/>
      <c r="K2095" s="33"/>
      <c r="L2095" s="33"/>
      <c r="M2095" s="33"/>
    </row>
    <row r="2096">
      <c r="A2096" s="32" t="s">
        <v>5035</v>
      </c>
      <c r="B2096" s="32" t="s">
        <v>5036</v>
      </c>
      <c r="C2096" s="35">
        <v>-26.83060074</v>
      </c>
      <c r="D2096" s="35">
        <v>-49.09030151</v>
      </c>
      <c r="E2096" s="32" t="s">
        <v>288</v>
      </c>
      <c r="F2096" s="32" t="s">
        <v>5037</v>
      </c>
      <c r="G2096" s="36" t="e">
        <v>#N/A</v>
      </c>
      <c r="H2096" s="33"/>
      <c r="I2096" s="33"/>
      <c r="J2096" s="33"/>
      <c r="K2096" s="33"/>
      <c r="L2096" s="33"/>
      <c r="M2096" s="33"/>
    </row>
    <row r="2097">
      <c r="A2097" s="32" t="s">
        <v>5038</v>
      </c>
      <c r="B2097" s="32" t="s">
        <v>5039</v>
      </c>
      <c r="C2097" s="35">
        <v>44.94139862</v>
      </c>
      <c r="D2097" s="35">
        <v>17.29750061</v>
      </c>
      <c r="E2097" s="32" t="s">
        <v>2150</v>
      </c>
      <c r="F2097" s="32" t="s">
        <v>5040</v>
      </c>
      <c r="G2097" s="36" t="e">
        <v>#N/A</v>
      </c>
      <c r="H2097" s="33"/>
      <c r="I2097" s="33"/>
      <c r="J2097" s="33"/>
      <c r="K2097" s="33"/>
      <c r="L2097" s="33"/>
      <c r="M2097" s="33"/>
    </row>
    <row r="2098">
      <c r="A2098" s="32" t="s">
        <v>5041</v>
      </c>
      <c r="B2098" s="32" t="s">
        <v>5042</v>
      </c>
      <c r="C2098" s="35">
        <v>-5.854000092</v>
      </c>
      <c r="D2098" s="35">
        <v>13.06400013</v>
      </c>
      <c r="E2098" s="32" t="s">
        <v>800</v>
      </c>
      <c r="F2098" s="32" t="s">
        <v>5043</v>
      </c>
      <c r="G2098" s="36" t="e">
        <v>#N/A</v>
      </c>
      <c r="H2098" s="33"/>
      <c r="I2098" s="33"/>
      <c r="J2098" s="33"/>
      <c r="K2098" s="33"/>
      <c r="L2098" s="33"/>
      <c r="M2098" s="33"/>
    </row>
    <row r="2099">
      <c r="A2099" s="32" t="s">
        <v>5044</v>
      </c>
      <c r="B2099" s="32" t="s">
        <v>5045</v>
      </c>
      <c r="C2099" s="35">
        <v>-16.44440079</v>
      </c>
      <c r="D2099" s="35">
        <v>-151.7510071</v>
      </c>
      <c r="E2099" s="32" t="s">
        <v>1325</v>
      </c>
      <c r="F2099" s="32" t="s">
        <v>5046</v>
      </c>
      <c r="G2099" s="36" t="e">
        <v>#N/A</v>
      </c>
      <c r="H2099" s="33"/>
      <c r="I2099" s="33"/>
      <c r="J2099" s="33"/>
      <c r="K2099" s="33"/>
      <c r="L2099" s="33"/>
      <c r="M2099" s="33"/>
    </row>
    <row r="2100">
      <c r="A2100" s="32" t="s">
        <v>5047</v>
      </c>
      <c r="B2100" s="32" t="s">
        <v>5048</v>
      </c>
      <c r="C2100" s="35">
        <v>9.340849876</v>
      </c>
      <c r="D2100" s="35">
        <v>-82.25080109</v>
      </c>
      <c r="E2100" s="32" t="s">
        <v>327</v>
      </c>
      <c r="F2100" s="32" t="s">
        <v>5049</v>
      </c>
      <c r="G2100" s="36" t="e">
        <v>#N/A</v>
      </c>
      <c r="H2100" s="33"/>
      <c r="I2100" s="33"/>
      <c r="J2100" s="33"/>
      <c r="K2100" s="33"/>
      <c r="L2100" s="33"/>
      <c r="M2100" s="33"/>
    </row>
    <row r="2101">
      <c r="A2101" s="32" t="s">
        <v>5050</v>
      </c>
      <c r="B2101" s="32" t="s">
        <v>5051</v>
      </c>
      <c r="C2101" s="35">
        <v>44.82830048</v>
      </c>
      <c r="D2101" s="35">
        <v>-0.715556026</v>
      </c>
      <c r="E2101" s="32" t="s">
        <v>96</v>
      </c>
      <c r="F2101" s="32" t="s">
        <v>5052</v>
      </c>
      <c r="G2101" s="39" t="s">
        <v>97</v>
      </c>
      <c r="H2101" s="33"/>
      <c r="I2101" s="33"/>
      <c r="J2101" s="33"/>
      <c r="K2101" s="33"/>
      <c r="L2101" s="33"/>
      <c r="M2101" s="33"/>
    </row>
    <row r="2102">
      <c r="A2102" s="32" t="s">
        <v>5053</v>
      </c>
      <c r="B2102" s="32" t="s">
        <v>5054</v>
      </c>
      <c r="C2102" s="35">
        <v>4.70159</v>
      </c>
      <c r="D2102" s="35">
        <v>-74.1469</v>
      </c>
      <c r="E2102" s="32" t="s">
        <v>292</v>
      </c>
      <c r="F2102" s="32" t="s">
        <v>5055</v>
      </c>
      <c r="G2102" s="36" t="e">
        <v>#N/A</v>
      </c>
      <c r="H2102" s="33"/>
      <c r="I2102" s="33"/>
      <c r="J2102" s="33"/>
      <c r="K2102" s="33"/>
      <c r="L2102" s="33"/>
      <c r="M2102" s="33"/>
    </row>
    <row r="2103">
      <c r="A2103" s="32" t="s">
        <v>5056</v>
      </c>
      <c r="B2103" s="32" t="s">
        <v>5057</v>
      </c>
      <c r="C2103" s="35">
        <v>50.77999878</v>
      </c>
      <c r="D2103" s="35">
        <v>-1.842499971</v>
      </c>
      <c r="E2103" s="32" t="s">
        <v>90</v>
      </c>
      <c r="F2103" s="32" t="s">
        <v>5058</v>
      </c>
      <c r="G2103" s="39" t="s">
        <v>91</v>
      </c>
      <c r="H2103" s="33"/>
      <c r="I2103" s="33"/>
      <c r="J2103" s="33"/>
      <c r="K2103" s="33"/>
      <c r="L2103" s="33"/>
      <c r="M2103" s="33"/>
    </row>
    <row r="2104">
      <c r="A2104" s="32" t="s">
        <v>5059</v>
      </c>
      <c r="B2104" s="32" t="s">
        <v>5060</v>
      </c>
      <c r="C2104" s="35">
        <v>43.56439972</v>
      </c>
      <c r="D2104" s="35">
        <v>-116.2229996</v>
      </c>
      <c r="E2104" s="32" t="s">
        <v>180</v>
      </c>
      <c r="F2104" s="32" t="s">
        <v>5061</v>
      </c>
      <c r="G2104" s="39" t="s">
        <v>181</v>
      </c>
      <c r="H2104" s="33"/>
      <c r="I2104" s="33"/>
      <c r="J2104" s="33"/>
      <c r="K2104" s="33"/>
      <c r="L2104" s="33"/>
      <c r="M2104" s="33"/>
    </row>
    <row r="2105">
      <c r="A2105" s="32" t="s">
        <v>5062</v>
      </c>
      <c r="B2105" s="32" t="s">
        <v>5063</v>
      </c>
      <c r="C2105" s="35">
        <v>42.56959915</v>
      </c>
      <c r="D2105" s="35">
        <v>27.51519966</v>
      </c>
      <c r="E2105" s="32" t="s">
        <v>849</v>
      </c>
      <c r="F2105" s="32" t="s">
        <v>5064</v>
      </c>
      <c r="G2105" s="36" t="e">
        <v>#N/A</v>
      </c>
      <c r="H2105" s="33"/>
      <c r="I2105" s="33"/>
      <c r="J2105" s="33"/>
      <c r="K2105" s="33"/>
      <c r="L2105" s="33"/>
      <c r="M2105" s="33"/>
    </row>
    <row r="2106">
      <c r="A2106" s="32" t="s">
        <v>5065</v>
      </c>
      <c r="B2106" s="32" t="s">
        <v>5066</v>
      </c>
      <c r="C2106" s="35">
        <v>19.08869934</v>
      </c>
      <c r="D2106" s="35">
        <v>72.86789703</v>
      </c>
      <c r="E2106" s="32" t="s">
        <v>217</v>
      </c>
      <c r="F2106" s="32" t="s">
        <v>5067</v>
      </c>
      <c r="G2106" s="39" t="s">
        <v>218</v>
      </c>
      <c r="H2106" s="33"/>
      <c r="I2106" s="33"/>
      <c r="J2106" s="33"/>
      <c r="K2106" s="33"/>
      <c r="L2106" s="33"/>
      <c r="M2106" s="33"/>
    </row>
    <row r="2107">
      <c r="A2107" s="32" t="s">
        <v>5068</v>
      </c>
      <c r="B2107" s="32" t="s">
        <v>5069</v>
      </c>
      <c r="C2107" s="35">
        <v>12.13099957</v>
      </c>
      <c r="D2107" s="35">
        <v>-68.26850128</v>
      </c>
      <c r="E2107" s="32" t="s">
        <v>5070</v>
      </c>
      <c r="F2107" s="32" t="s">
        <v>5071</v>
      </c>
      <c r="G2107" s="36" t="e">
        <v>#N/A</v>
      </c>
      <c r="H2107" s="33"/>
      <c r="I2107" s="33"/>
      <c r="J2107" s="33"/>
      <c r="K2107" s="33"/>
      <c r="L2107" s="33"/>
      <c r="M2107" s="33"/>
    </row>
    <row r="2108">
      <c r="A2108" s="32" t="s">
        <v>5072</v>
      </c>
      <c r="B2108" s="32" t="s">
        <v>5073</v>
      </c>
      <c r="C2108" s="35">
        <v>67.26920319</v>
      </c>
      <c r="D2108" s="35">
        <v>14.36530018</v>
      </c>
      <c r="E2108" s="32" t="s">
        <v>343</v>
      </c>
      <c r="F2108" s="32" t="s">
        <v>5074</v>
      </c>
      <c r="G2108" s="36" t="e">
        <v>#N/A</v>
      </c>
      <c r="H2108" s="33"/>
      <c r="I2108" s="33"/>
      <c r="J2108" s="33"/>
      <c r="K2108" s="33"/>
      <c r="L2108" s="33"/>
      <c r="M2108" s="33"/>
    </row>
    <row r="2109">
      <c r="A2109" s="32" t="s">
        <v>5075</v>
      </c>
      <c r="B2109" s="32" t="s">
        <v>5076</v>
      </c>
      <c r="C2109" s="35">
        <v>47.6556015</v>
      </c>
      <c r="D2109" s="35">
        <v>7.010829926</v>
      </c>
      <c r="E2109" s="32" t="s">
        <v>96</v>
      </c>
      <c r="F2109" s="32" t="s">
        <v>5077</v>
      </c>
      <c r="G2109" s="39" t="s">
        <v>97</v>
      </c>
      <c r="H2109" s="33"/>
      <c r="I2109" s="33"/>
      <c r="J2109" s="33"/>
      <c r="K2109" s="33"/>
      <c r="L2109" s="33"/>
      <c r="M2109" s="33"/>
    </row>
    <row r="2110">
      <c r="A2110" s="32" t="s">
        <v>5078</v>
      </c>
      <c r="B2110" s="32" t="s">
        <v>5079</v>
      </c>
      <c r="C2110" s="35">
        <v>42.36429977</v>
      </c>
      <c r="D2110" s="35">
        <v>-71.00520325</v>
      </c>
      <c r="E2110" s="32" t="s">
        <v>180</v>
      </c>
      <c r="F2110" s="32" t="s">
        <v>5080</v>
      </c>
      <c r="G2110" s="39" t="s">
        <v>181</v>
      </c>
      <c r="H2110" s="33"/>
      <c r="I2110" s="33"/>
      <c r="J2110" s="33"/>
      <c r="K2110" s="33"/>
      <c r="L2110" s="33"/>
      <c r="M2110" s="33"/>
    </row>
    <row r="2111">
      <c r="A2111" s="32" t="s">
        <v>5081</v>
      </c>
      <c r="B2111" s="32" t="s">
        <v>5082</v>
      </c>
      <c r="C2111" s="35">
        <v>47.05810165</v>
      </c>
      <c r="D2111" s="35">
        <v>2.370280027</v>
      </c>
      <c r="E2111" s="32" t="s">
        <v>96</v>
      </c>
      <c r="F2111" s="32" t="s">
        <v>5083</v>
      </c>
      <c r="G2111" s="39" t="s">
        <v>97</v>
      </c>
      <c r="H2111" s="33"/>
      <c r="I2111" s="33"/>
      <c r="J2111" s="33"/>
      <c r="K2111" s="33"/>
      <c r="L2111" s="33"/>
      <c r="M2111" s="33"/>
    </row>
    <row r="2112">
      <c r="A2112" s="32" t="s">
        <v>5084</v>
      </c>
      <c r="B2112" s="32" t="s">
        <v>5085</v>
      </c>
      <c r="C2112" s="35">
        <v>27.94339943</v>
      </c>
      <c r="D2112" s="35">
        <v>-81.78340149</v>
      </c>
      <c r="E2112" s="32" t="s">
        <v>180</v>
      </c>
      <c r="F2112" s="32" t="s">
        <v>5086</v>
      </c>
      <c r="G2112" s="39" t="s">
        <v>181</v>
      </c>
      <c r="H2112" s="33"/>
      <c r="I2112" s="33"/>
      <c r="J2112" s="33"/>
      <c r="K2112" s="33"/>
      <c r="L2112" s="33"/>
      <c r="M2112" s="33"/>
    </row>
    <row r="2113">
      <c r="A2113" s="32" t="s">
        <v>5087</v>
      </c>
      <c r="B2113" s="32" t="s">
        <v>5088</v>
      </c>
      <c r="C2113" s="35">
        <v>-16.07530022</v>
      </c>
      <c r="D2113" s="35">
        <v>136.302002</v>
      </c>
      <c r="E2113" s="32" t="s">
        <v>1968</v>
      </c>
      <c r="F2113" s="32" t="s">
        <v>5089</v>
      </c>
      <c r="G2113" s="36" t="e">
        <v>#N/A</v>
      </c>
      <c r="H2113" s="33"/>
      <c r="I2113" s="33"/>
      <c r="J2113" s="33"/>
      <c r="K2113" s="33"/>
      <c r="L2113" s="33"/>
      <c r="M2113" s="33"/>
    </row>
    <row r="2114">
      <c r="A2114" s="32" t="s">
        <v>5090</v>
      </c>
      <c r="B2114" s="32" t="s">
        <v>5091</v>
      </c>
      <c r="C2114" s="35">
        <v>11.16009998</v>
      </c>
      <c r="D2114" s="35">
        <v>-4.33096981</v>
      </c>
      <c r="E2114" s="32" t="s">
        <v>5092</v>
      </c>
      <c r="F2114" s="32" t="s">
        <v>5093</v>
      </c>
      <c r="G2114" s="36" t="e">
        <v>#N/A</v>
      </c>
      <c r="H2114" s="33"/>
      <c r="I2114" s="33"/>
      <c r="J2114" s="33"/>
      <c r="K2114" s="33"/>
      <c r="L2114" s="33"/>
      <c r="M2114" s="33"/>
    </row>
    <row r="2115">
      <c r="A2115" s="32" t="s">
        <v>5094</v>
      </c>
      <c r="B2115" s="32" t="s">
        <v>5095</v>
      </c>
      <c r="C2115" s="35">
        <v>6.039239883</v>
      </c>
      <c r="D2115" s="35">
        <v>10.1225996</v>
      </c>
      <c r="E2115" s="32" t="s">
        <v>32</v>
      </c>
      <c r="F2115" s="32" t="s">
        <v>5096</v>
      </c>
      <c r="G2115" s="36" t="e">
        <v>#N/A</v>
      </c>
      <c r="H2115" s="33"/>
      <c r="I2115" s="33"/>
      <c r="J2115" s="33"/>
      <c r="K2115" s="33"/>
      <c r="L2115" s="33"/>
      <c r="M2115" s="33"/>
    </row>
    <row r="2116">
      <c r="A2116" s="32" t="s">
        <v>5097</v>
      </c>
      <c r="B2116" s="32" t="s">
        <v>5098</v>
      </c>
      <c r="C2116" s="35">
        <v>39.666389</v>
      </c>
      <c r="D2116" s="35">
        <v>119.058889</v>
      </c>
      <c r="E2116" s="32" t="s">
        <v>1918</v>
      </c>
      <c r="F2116" s="32" t="s">
        <v>5099</v>
      </c>
      <c r="G2116" s="36" t="e">
        <v>#N/A</v>
      </c>
      <c r="H2116" s="33"/>
      <c r="I2116" s="33"/>
      <c r="J2116" s="33"/>
      <c r="K2116" s="33"/>
      <c r="L2116" s="33"/>
      <c r="M2116" s="33"/>
    </row>
    <row r="2117">
      <c r="A2117" s="32" t="s">
        <v>5100</v>
      </c>
      <c r="B2117" s="32" t="s">
        <v>5101</v>
      </c>
      <c r="C2117" s="35">
        <v>8.195949554</v>
      </c>
      <c r="D2117" s="35">
        <v>126.3219986</v>
      </c>
      <c r="E2117" s="32" t="s">
        <v>270</v>
      </c>
      <c r="F2117" s="33"/>
      <c r="G2117" s="36" t="e">
        <v>#N/A</v>
      </c>
      <c r="H2117" s="33"/>
      <c r="I2117" s="33"/>
      <c r="J2117" s="33"/>
      <c r="K2117" s="33"/>
      <c r="L2117" s="33"/>
      <c r="M2117" s="33"/>
    </row>
    <row r="2118">
      <c r="A2118" s="32" t="s">
        <v>5102</v>
      </c>
      <c r="B2118" s="32" t="s">
        <v>5103</v>
      </c>
      <c r="C2118" s="35">
        <v>42.58509827</v>
      </c>
      <c r="D2118" s="35">
        <v>-110.1110001</v>
      </c>
      <c r="E2118" s="32" t="s">
        <v>180</v>
      </c>
      <c r="F2118" s="32" t="s">
        <v>5104</v>
      </c>
      <c r="G2118" s="39" t="s">
        <v>181</v>
      </c>
      <c r="H2118" s="33"/>
      <c r="I2118" s="33"/>
      <c r="J2118" s="33"/>
      <c r="K2118" s="33"/>
      <c r="L2118" s="33"/>
      <c r="M2118" s="33"/>
    </row>
    <row r="2119">
      <c r="A2119" s="32" t="s">
        <v>5105</v>
      </c>
      <c r="B2119" s="32" t="s">
        <v>5106</v>
      </c>
      <c r="C2119" s="35">
        <v>44.895</v>
      </c>
      <c r="D2119" s="35">
        <v>82.3</v>
      </c>
      <c r="E2119" s="32" t="s">
        <v>205</v>
      </c>
      <c r="F2119" s="32" t="s">
        <v>5107</v>
      </c>
      <c r="G2119" s="39" t="s">
        <v>206</v>
      </c>
      <c r="H2119" s="33"/>
      <c r="I2119" s="33"/>
      <c r="J2119" s="33"/>
      <c r="K2119" s="33"/>
      <c r="L2119" s="33"/>
      <c r="M2119" s="33"/>
    </row>
    <row r="2120">
      <c r="A2120" s="32" t="s">
        <v>5108</v>
      </c>
      <c r="B2120" s="32" t="s">
        <v>5109</v>
      </c>
      <c r="C2120" s="35">
        <v>17.4531002</v>
      </c>
      <c r="D2120" s="35">
        <v>78.46759796</v>
      </c>
      <c r="E2120" s="32" t="s">
        <v>217</v>
      </c>
      <c r="F2120" s="32" t="s">
        <v>5110</v>
      </c>
      <c r="G2120" s="39" t="s">
        <v>218</v>
      </c>
      <c r="H2120" s="33"/>
      <c r="I2120" s="33"/>
      <c r="J2120" s="33"/>
      <c r="K2120" s="33"/>
      <c r="L2120" s="33"/>
      <c r="M2120" s="33"/>
    </row>
    <row r="2121">
      <c r="A2121" s="32" t="s">
        <v>5111</v>
      </c>
      <c r="B2121" s="32" t="s">
        <v>5112</v>
      </c>
      <c r="C2121" s="35">
        <v>-1.268270016</v>
      </c>
      <c r="D2121" s="35">
        <v>116.8939972</v>
      </c>
      <c r="E2121" s="32" t="s">
        <v>280</v>
      </c>
      <c r="F2121" s="32" t="s">
        <v>5113</v>
      </c>
      <c r="G2121" s="36" t="e">
        <v>#N/A</v>
      </c>
      <c r="H2121" s="33"/>
      <c r="I2121" s="33"/>
      <c r="J2121" s="33"/>
      <c r="K2121" s="33"/>
      <c r="L2121" s="33"/>
      <c r="M2121" s="33"/>
    </row>
    <row r="2122">
      <c r="A2122" s="32" t="s">
        <v>5114</v>
      </c>
      <c r="B2122" s="32" t="s">
        <v>5115</v>
      </c>
      <c r="C2122" s="35">
        <v>11.67430019</v>
      </c>
      <c r="D2122" s="35">
        <v>125.4789963</v>
      </c>
      <c r="E2122" s="32" t="s">
        <v>270</v>
      </c>
      <c r="F2122" s="32" t="s">
        <v>5116</v>
      </c>
      <c r="G2122" s="36" t="e">
        <v>#N/A</v>
      </c>
      <c r="H2122" s="33"/>
      <c r="I2122" s="33"/>
      <c r="J2122" s="33"/>
      <c r="K2122" s="33"/>
      <c r="L2122" s="33"/>
      <c r="M2122" s="33"/>
    </row>
    <row r="2123">
      <c r="A2123" s="32" t="s">
        <v>5117</v>
      </c>
      <c r="B2123" s="32" t="s">
        <v>5118</v>
      </c>
      <c r="C2123" s="35">
        <v>-16.43860054</v>
      </c>
      <c r="D2123" s="35">
        <v>-39.08089828</v>
      </c>
      <c r="E2123" s="32" t="s">
        <v>288</v>
      </c>
      <c r="F2123" s="32" t="s">
        <v>5119</v>
      </c>
      <c r="G2123" s="36" t="e">
        <v>#N/A</v>
      </c>
      <c r="H2123" s="33"/>
      <c r="I2123" s="33"/>
      <c r="J2123" s="33"/>
      <c r="K2123" s="33"/>
      <c r="L2123" s="33"/>
      <c r="M2123" s="33"/>
    </row>
    <row r="2124">
      <c r="A2124" s="32" t="s">
        <v>5120</v>
      </c>
      <c r="B2124" s="32" t="s">
        <v>5121</v>
      </c>
      <c r="C2124" s="35">
        <v>29.95079994</v>
      </c>
      <c r="D2124" s="35">
        <v>-94.02069855</v>
      </c>
      <c r="E2124" s="32" t="s">
        <v>180</v>
      </c>
      <c r="F2124" s="32" t="s">
        <v>4987</v>
      </c>
      <c r="G2124" s="39" t="s">
        <v>181</v>
      </c>
      <c r="H2124" s="33"/>
      <c r="I2124" s="33"/>
      <c r="J2124" s="33"/>
      <c r="K2124" s="33"/>
      <c r="L2124" s="33"/>
      <c r="M2124" s="33"/>
    </row>
    <row r="2125">
      <c r="A2125" s="32" t="s">
        <v>5122</v>
      </c>
      <c r="B2125" s="32" t="s">
        <v>5123</v>
      </c>
      <c r="C2125" s="35">
        <v>30.55360031</v>
      </c>
      <c r="D2125" s="35">
        <v>97.10829926</v>
      </c>
      <c r="E2125" s="32" t="s">
        <v>205</v>
      </c>
      <c r="F2125" s="32" t="s">
        <v>5124</v>
      </c>
      <c r="G2125" s="39" t="s">
        <v>206</v>
      </c>
      <c r="H2125" s="33"/>
      <c r="I2125" s="33"/>
      <c r="J2125" s="33"/>
      <c r="K2125" s="33"/>
      <c r="L2125" s="33"/>
      <c r="M2125" s="33"/>
    </row>
    <row r="2126">
      <c r="A2126" s="32" t="s">
        <v>5125</v>
      </c>
      <c r="B2126" s="32" t="s">
        <v>5126</v>
      </c>
      <c r="C2126" s="35">
        <v>-16.7445303</v>
      </c>
      <c r="D2126" s="35">
        <v>44.48248386</v>
      </c>
      <c r="E2126" s="32" t="s">
        <v>384</v>
      </c>
      <c r="F2126" s="32" t="s">
        <v>5127</v>
      </c>
      <c r="G2126" s="36" t="e">
        <v>#N/A</v>
      </c>
      <c r="H2126" s="33"/>
      <c r="I2126" s="33"/>
      <c r="J2126" s="33"/>
      <c r="K2126" s="33"/>
      <c r="L2126" s="33"/>
      <c r="M2126" s="33"/>
    </row>
    <row r="2127">
      <c r="A2127" s="32" t="s">
        <v>5128</v>
      </c>
      <c r="B2127" s="32" t="s">
        <v>5129</v>
      </c>
      <c r="C2127" s="35">
        <v>-33.68842316</v>
      </c>
      <c r="D2127" s="35">
        <v>115.4015961</v>
      </c>
      <c r="E2127" s="32" t="s">
        <v>1968</v>
      </c>
      <c r="F2127" s="32" t="s">
        <v>5130</v>
      </c>
      <c r="G2127" s="36" t="e">
        <v>#N/A</v>
      </c>
      <c r="H2127" s="33"/>
      <c r="I2127" s="33"/>
      <c r="J2127" s="33"/>
      <c r="K2127" s="33"/>
      <c r="L2127" s="33"/>
      <c r="M2127" s="33"/>
    </row>
    <row r="2128">
      <c r="A2128" s="32" t="s">
        <v>5131</v>
      </c>
      <c r="B2128" s="32" t="s">
        <v>5132</v>
      </c>
      <c r="C2128" s="35">
        <v>11.29735565</v>
      </c>
      <c r="D2128" s="35">
        <v>-15.83807945</v>
      </c>
      <c r="E2128" s="32" t="s">
        <v>810</v>
      </c>
      <c r="F2128" s="32" t="s">
        <v>5133</v>
      </c>
      <c r="G2128" s="36" t="e">
        <v>#N/A</v>
      </c>
      <c r="H2128" s="33"/>
      <c r="I2128" s="33"/>
      <c r="J2128" s="33"/>
      <c r="K2128" s="33"/>
      <c r="L2128" s="33"/>
      <c r="M2128" s="33"/>
    </row>
    <row r="2129">
      <c r="A2129" s="32" t="s">
        <v>5134</v>
      </c>
      <c r="B2129" s="32" t="s">
        <v>5135</v>
      </c>
      <c r="C2129" s="35">
        <v>51.3307991</v>
      </c>
      <c r="D2129" s="35">
        <v>0.032499999</v>
      </c>
      <c r="E2129" s="32" t="s">
        <v>90</v>
      </c>
      <c r="F2129" s="32" t="s">
        <v>5136</v>
      </c>
      <c r="G2129" s="39" t="s">
        <v>91</v>
      </c>
      <c r="H2129" s="33"/>
      <c r="I2129" s="33"/>
      <c r="J2129" s="33"/>
      <c r="K2129" s="33"/>
      <c r="L2129" s="33"/>
      <c r="M2129" s="33"/>
    </row>
    <row r="2130">
      <c r="A2130" s="32" t="s">
        <v>5137</v>
      </c>
      <c r="B2130" s="32" t="s">
        <v>5138</v>
      </c>
      <c r="C2130" s="35">
        <v>31.25880051</v>
      </c>
      <c r="D2130" s="35">
        <v>-81.46649933</v>
      </c>
      <c r="E2130" s="32" t="s">
        <v>180</v>
      </c>
      <c r="F2130" s="32" t="s">
        <v>5139</v>
      </c>
      <c r="G2130" s="39" t="s">
        <v>181</v>
      </c>
      <c r="H2130" s="33"/>
      <c r="I2130" s="33"/>
      <c r="J2130" s="33"/>
      <c r="K2130" s="33"/>
      <c r="L2130" s="33"/>
      <c r="M2130" s="33"/>
    </row>
    <row r="2131">
      <c r="A2131" s="32" t="s">
        <v>5140</v>
      </c>
      <c r="B2131" s="32" t="s">
        <v>5141</v>
      </c>
      <c r="C2131" s="35">
        <v>-22.91329956</v>
      </c>
      <c r="D2131" s="35">
        <v>139.8999939</v>
      </c>
      <c r="E2131" s="32" t="s">
        <v>1968</v>
      </c>
      <c r="F2131" s="32" t="s">
        <v>5142</v>
      </c>
      <c r="G2131" s="36" t="e">
        <v>#N/A</v>
      </c>
      <c r="H2131" s="33"/>
      <c r="I2131" s="33"/>
      <c r="J2131" s="33"/>
      <c r="K2131" s="33"/>
      <c r="L2131" s="33"/>
      <c r="M2131" s="33"/>
    </row>
    <row r="2132">
      <c r="A2132" s="32" t="s">
        <v>5143</v>
      </c>
      <c r="B2132" s="32" t="s">
        <v>5144</v>
      </c>
      <c r="C2132" s="35">
        <v>18.49489975</v>
      </c>
      <c r="D2132" s="35">
        <v>-67.12940216</v>
      </c>
      <c r="E2132" s="32" t="s">
        <v>331</v>
      </c>
      <c r="F2132" s="32" t="s">
        <v>5145</v>
      </c>
      <c r="G2132" s="36" t="e">
        <v>#N/A</v>
      </c>
      <c r="H2132" s="33"/>
      <c r="I2132" s="33"/>
      <c r="J2132" s="33"/>
      <c r="K2132" s="33"/>
      <c r="L2132" s="33"/>
      <c r="M2132" s="33"/>
    </row>
    <row r="2133">
      <c r="A2133" s="32" t="s">
        <v>5146</v>
      </c>
      <c r="B2133" s="32" t="s">
        <v>5147</v>
      </c>
      <c r="C2133" s="35">
        <v>50.42539978</v>
      </c>
      <c r="D2133" s="35">
        <v>127.4120026</v>
      </c>
      <c r="E2133" s="32" t="s">
        <v>2040</v>
      </c>
      <c r="F2133" s="32" t="s">
        <v>5148</v>
      </c>
      <c r="G2133" s="36" t="e">
        <v>#N/A</v>
      </c>
      <c r="H2133" s="33"/>
      <c r="I2133" s="33"/>
      <c r="J2133" s="33"/>
      <c r="K2133" s="33"/>
      <c r="L2133" s="33"/>
      <c r="M2133" s="33"/>
    </row>
    <row r="2134">
      <c r="A2134" s="32" t="s">
        <v>5149</v>
      </c>
      <c r="B2134" s="32" t="s">
        <v>5150</v>
      </c>
      <c r="C2134" s="35">
        <v>52.108299</v>
      </c>
      <c r="D2134" s="35">
        <v>23.8981</v>
      </c>
      <c r="E2134" s="32" t="s">
        <v>2097</v>
      </c>
      <c r="F2134" s="32" t="s">
        <v>4606</v>
      </c>
      <c r="G2134" s="36" t="e">
        <v>#N/A</v>
      </c>
      <c r="H2134" s="33"/>
      <c r="I2134" s="33"/>
      <c r="J2134" s="33"/>
      <c r="K2134" s="33"/>
      <c r="L2134" s="33"/>
      <c r="M2134" s="33"/>
    </row>
    <row r="2135">
      <c r="A2135" s="32" t="s">
        <v>5151</v>
      </c>
      <c r="B2135" s="32" t="s">
        <v>5152</v>
      </c>
      <c r="C2135" s="35">
        <v>12.98840046</v>
      </c>
      <c r="D2135" s="35">
        <v>-61.26200104</v>
      </c>
      <c r="E2135" s="32" t="s">
        <v>5153</v>
      </c>
      <c r="F2135" s="32" t="s">
        <v>5154</v>
      </c>
      <c r="G2135" s="36" t="e">
        <v>#N/A</v>
      </c>
      <c r="H2135" s="33"/>
      <c r="I2135" s="33"/>
      <c r="J2135" s="33"/>
      <c r="K2135" s="33"/>
      <c r="L2135" s="33"/>
      <c r="M2135" s="33"/>
    </row>
    <row r="2136">
      <c r="A2136" s="32" t="s">
        <v>5155</v>
      </c>
      <c r="B2136" s="32" t="s">
        <v>5156</v>
      </c>
      <c r="C2136" s="35">
        <v>-12.07890034</v>
      </c>
      <c r="D2136" s="35">
        <v>-45.00899887</v>
      </c>
      <c r="E2136" s="32" t="s">
        <v>288</v>
      </c>
      <c r="F2136" s="32" t="s">
        <v>5157</v>
      </c>
      <c r="G2136" s="36" t="e">
        <v>#N/A</v>
      </c>
      <c r="H2136" s="33"/>
      <c r="I2136" s="33"/>
      <c r="J2136" s="33"/>
      <c r="K2136" s="33"/>
      <c r="L2136" s="33"/>
      <c r="M2136" s="33"/>
    </row>
    <row r="2137">
      <c r="A2137" s="32" t="s">
        <v>5158</v>
      </c>
      <c r="B2137" s="32" t="s">
        <v>5159</v>
      </c>
      <c r="C2137" s="35">
        <v>-41.15119934</v>
      </c>
      <c r="D2137" s="35">
        <v>-71.15750122</v>
      </c>
      <c r="E2137" s="32" t="s">
        <v>296</v>
      </c>
      <c r="F2137" s="32" t="s">
        <v>5160</v>
      </c>
      <c r="G2137" s="36" t="e">
        <v>#N/A</v>
      </c>
      <c r="H2137" s="33"/>
      <c r="I2137" s="33"/>
      <c r="J2137" s="33"/>
      <c r="K2137" s="33"/>
      <c r="L2137" s="33"/>
      <c r="M2137" s="33"/>
    </row>
    <row r="2138">
      <c r="A2138" s="32" t="s">
        <v>5161</v>
      </c>
      <c r="B2138" s="32" t="s">
        <v>5162</v>
      </c>
      <c r="C2138" s="35">
        <v>46.39830017</v>
      </c>
      <c r="D2138" s="35">
        <v>-94.13809967</v>
      </c>
      <c r="E2138" s="32" t="s">
        <v>180</v>
      </c>
      <c r="F2138" s="32" t="s">
        <v>5163</v>
      </c>
      <c r="G2138" s="39" t="s">
        <v>181</v>
      </c>
      <c r="H2138" s="33"/>
      <c r="I2138" s="33"/>
      <c r="J2138" s="33"/>
      <c r="K2138" s="33"/>
      <c r="L2138" s="33"/>
      <c r="M2138" s="33"/>
    </row>
    <row r="2139">
      <c r="A2139" s="32" t="s">
        <v>5164</v>
      </c>
      <c r="B2139" s="32" t="s">
        <v>5165</v>
      </c>
      <c r="C2139" s="35">
        <v>53.04750061</v>
      </c>
      <c r="D2139" s="35">
        <v>8.786669731</v>
      </c>
      <c r="E2139" s="32" t="s">
        <v>109</v>
      </c>
      <c r="F2139" s="32" t="s">
        <v>5166</v>
      </c>
      <c r="G2139" s="39" t="s">
        <v>110</v>
      </c>
      <c r="H2139" s="33"/>
      <c r="I2139" s="33"/>
      <c r="J2139" s="33"/>
      <c r="K2139" s="33"/>
      <c r="L2139" s="33"/>
      <c r="M2139" s="33"/>
    </row>
    <row r="2140">
      <c r="A2140" s="32" t="s">
        <v>5167</v>
      </c>
      <c r="B2140" s="32" t="s">
        <v>5168</v>
      </c>
      <c r="C2140" s="35">
        <v>41.138901</v>
      </c>
      <c r="D2140" s="35">
        <v>16.760599</v>
      </c>
      <c r="E2140" s="32" t="s">
        <v>103</v>
      </c>
      <c r="F2140" s="32" t="s">
        <v>5169</v>
      </c>
      <c r="G2140" s="39" t="s">
        <v>104</v>
      </c>
      <c r="H2140" s="33"/>
      <c r="I2140" s="33"/>
      <c r="J2140" s="33"/>
      <c r="K2140" s="33"/>
      <c r="L2140" s="33"/>
      <c r="M2140" s="33"/>
    </row>
    <row r="2141">
      <c r="A2141" s="32" t="s">
        <v>5170</v>
      </c>
      <c r="B2141" s="32" t="s">
        <v>5171</v>
      </c>
      <c r="C2141" s="35">
        <v>-30.03919983</v>
      </c>
      <c r="D2141" s="35">
        <v>145.9519958</v>
      </c>
      <c r="E2141" s="32" t="s">
        <v>1968</v>
      </c>
      <c r="F2141" s="32" t="s">
        <v>5172</v>
      </c>
      <c r="G2141" s="36" t="e">
        <v>#N/A</v>
      </c>
      <c r="H2141" s="33"/>
      <c r="I2141" s="33"/>
      <c r="J2141" s="33"/>
      <c r="K2141" s="33"/>
      <c r="L2141" s="33"/>
      <c r="M2141" s="33"/>
    </row>
    <row r="2142">
      <c r="A2142" s="32" t="s">
        <v>5173</v>
      </c>
      <c r="B2142" s="32" t="s">
        <v>5174</v>
      </c>
      <c r="C2142" s="35">
        <v>40.78319931</v>
      </c>
      <c r="D2142" s="35">
        <v>-91.12550354</v>
      </c>
      <c r="E2142" s="32" t="s">
        <v>180</v>
      </c>
      <c r="F2142" s="32" t="s">
        <v>2320</v>
      </c>
      <c r="G2142" s="39" t="s">
        <v>181</v>
      </c>
      <c r="H2142" s="33"/>
      <c r="I2142" s="33"/>
      <c r="J2142" s="33"/>
      <c r="K2142" s="33"/>
      <c r="L2142" s="33"/>
      <c r="M2142" s="33"/>
    </row>
    <row r="2143">
      <c r="A2143" s="32" t="s">
        <v>5175</v>
      </c>
      <c r="B2143" s="32" t="s">
        <v>5176</v>
      </c>
      <c r="C2143" s="35">
        <v>10.04274654</v>
      </c>
      <c r="D2143" s="35">
        <v>-69.35861969</v>
      </c>
      <c r="E2143" s="32" t="s">
        <v>315</v>
      </c>
      <c r="F2143" s="32" t="s">
        <v>5177</v>
      </c>
      <c r="G2143" s="36" t="e">
        <v>#N/A</v>
      </c>
      <c r="H2143" s="33"/>
      <c r="I2143" s="33"/>
      <c r="J2143" s="33"/>
      <c r="K2143" s="33"/>
      <c r="L2143" s="33"/>
      <c r="M2143" s="33"/>
    </row>
    <row r="2144">
      <c r="A2144" s="32" t="s">
        <v>5178</v>
      </c>
      <c r="B2144" s="32" t="s">
        <v>5179</v>
      </c>
      <c r="C2144" s="35">
        <v>46.91410065</v>
      </c>
      <c r="D2144" s="35">
        <v>7.497149944</v>
      </c>
      <c r="E2144" s="32" t="s">
        <v>1180</v>
      </c>
      <c r="F2144" s="32" t="s">
        <v>5180</v>
      </c>
      <c r="G2144" s="36" t="e">
        <v>#N/A</v>
      </c>
      <c r="H2144" s="33"/>
      <c r="I2144" s="33"/>
      <c r="J2144" s="33"/>
      <c r="K2144" s="33"/>
      <c r="L2144" s="33"/>
      <c r="M2144" s="33"/>
    </row>
    <row r="2145">
      <c r="A2145" s="32" t="s">
        <v>5181</v>
      </c>
      <c r="B2145" s="32" t="s">
        <v>5182</v>
      </c>
      <c r="C2145" s="35">
        <v>25.90679932</v>
      </c>
      <c r="D2145" s="35">
        <v>-97.42590332</v>
      </c>
      <c r="E2145" s="32" t="s">
        <v>180</v>
      </c>
      <c r="F2145" s="32" t="s">
        <v>5183</v>
      </c>
      <c r="G2145" s="39" t="s">
        <v>181</v>
      </c>
      <c r="H2145" s="33"/>
      <c r="I2145" s="33"/>
      <c r="J2145" s="33"/>
      <c r="K2145" s="33"/>
      <c r="L2145" s="33"/>
      <c r="M2145" s="33"/>
    </row>
    <row r="2146">
      <c r="A2146" s="32" t="s">
        <v>5184</v>
      </c>
      <c r="B2146" s="32" t="s">
        <v>5185</v>
      </c>
      <c r="C2146" s="35">
        <v>49.15129852</v>
      </c>
      <c r="D2146" s="35">
        <v>16.69440079</v>
      </c>
      <c r="E2146" s="32" t="s">
        <v>1104</v>
      </c>
      <c r="F2146" s="32" t="s">
        <v>5186</v>
      </c>
      <c r="G2146" s="36" t="e">
        <v>#N/A</v>
      </c>
      <c r="H2146" s="33"/>
      <c r="I2146" s="33"/>
      <c r="J2146" s="33"/>
      <c r="K2146" s="33"/>
      <c r="L2146" s="33"/>
      <c r="M2146" s="33"/>
    </row>
    <row r="2147">
      <c r="A2147" s="32" t="s">
        <v>5187</v>
      </c>
      <c r="B2147" s="32" t="s">
        <v>5188</v>
      </c>
      <c r="C2147" s="35">
        <v>57.02280045</v>
      </c>
      <c r="D2147" s="35">
        <v>-7.443059921</v>
      </c>
      <c r="E2147" s="32" t="s">
        <v>90</v>
      </c>
      <c r="F2147" s="32" t="s">
        <v>5189</v>
      </c>
      <c r="G2147" s="39" t="s">
        <v>91</v>
      </c>
      <c r="H2147" s="33"/>
      <c r="I2147" s="33"/>
      <c r="J2147" s="33"/>
      <c r="K2147" s="33"/>
      <c r="L2147" s="33"/>
      <c r="M2147" s="33"/>
    </row>
    <row r="2148">
      <c r="A2148" s="32" t="s">
        <v>5190</v>
      </c>
      <c r="B2148" s="32" t="s">
        <v>5191</v>
      </c>
      <c r="C2148" s="35">
        <v>51.382702</v>
      </c>
      <c r="D2148" s="35">
        <v>-2.71909</v>
      </c>
      <c r="E2148" s="32" t="s">
        <v>90</v>
      </c>
      <c r="F2148" s="32" t="s">
        <v>5192</v>
      </c>
      <c r="G2148" s="39" t="s">
        <v>91</v>
      </c>
      <c r="H2148" s="33"/>
      <c r="I2148" s="33"/>
      <c r="J2148" s="33"/>
      <c r="K2148" s="33"/>
      <c r="L2148" s="33"/>
      <c r="M2148" s="33"/>
    </row>
    <row r="2149">
      <c r="A2149" s="32" t="s">
        <v>5193</v>
      </c>
      <c r="B2149" s="32" t="s">
        <v>5194</v>
      </c>
      <c r="C2149" s="35">
        <v>-11.76920033</v>
      </c>
      <c r="D2149" s="35">
        <v>130.6199951</v>
      </c>
      <c r="E2149" s="32" t="s">
        <v>1968</v>
      </c>
      <c r="F2149" s="32" t="s">
        <v>5195</v>
      </c>
      <c r="G2149" s="36" t="e">
        <v>#N/A</v>
      </c>
      <c r="H2149" s="33"/>
      <c r="I2149" s="33"/>
      <c r="J2149" s="33"/>
      <c r="K2149" s="33"/>
      <c r="L2149" s="33"/>
      <c r="M2149" s="33"/>
    </row>
    <row r="2150">
      <c r="A2150" s="32" t="s">
        <v>5196</v>
      </c>
      <c r="B2150" s="32" t="s">
        <v>5197</v>
      </c>
      <c r="C2150" s="35">
        <v>50.90140152</v>
      </c>
      <c r="D2150" s="35">
        <v>4.48443985</v>
      </c>
      <c r="E2150" s="32" t="s">
        <v>197</v>
      </c>
      <c r="F2150" s="32" t="s">
        <v>5198</v>
      </c>
      <c r="G2150" s="36" t="e">
        <v>#N/A</v>
      </c>
      <c r="H2150" s="33"/>
      <c r="I2150" s="33"/>
      <c r="J2150" s="33"/>
      <c r="K2150" s="33"/>
      <c r="L2150" s="33"/>
      <c r="M2150" s="33"/>
    </row>
    <row r="2151">
      <c r="A2151" s="32" t="s">
        <v>5199</v>
      </c>
      <c r="B2151" s="32" t="s">
        <v>5200</v>
      </c>
      <c r="C2151" s="35">
        <v>53.506943</v>
      </c>
      <c r="D2151" s="35">
        <v>8.572778</v>
      </c>
      <c r="E2151" s="32" t="s">
        <v>109</v>
      </c>
      <c r="F2151" s="32" t="s">
        <v>5201</v>
      </c>
      <c r="G2151" s="39" t="s">
        <v>110</v>
      </c>
      <c r="H2151" s="33"/>
      <c r="I2151" s="33"/>
      <c r="J2151" s="33"/>
      <c r="K2151" s="33"/>
      <c r="L2151" s="33"/>
      <c r="M2151" s="33"/>
    </row>
    <row r="2152">
      <c r="A2152" s="32" t="s">
        <v>5202</v>
      </c>
      <c r="B2152" s="32" t="s">
        <v>5203</v>
      </c>
      <c r="C2152" s="35">
        <v>71.285402</v>
      </c>
      <c r="D2152" s="35">
        <v>-156.766008</v>
      </c>
      <c r="E2152" s="32" t="s">
        <v>180</v>
      </c>
      <c r="F2152" s="32" t="s">
        <v>5204</v>
      </c>
      <c r="G2152" s="39" t="s">
        <v>181</v>
      </c>
      <c r="H2152" s="33"/>
      <c r="I2152" s="33"/>
      <c r="J2152" s="33"/>
      <c r="K2152" s="33"/>
      <c r="L2152" s="33"/>
      <c r="M2152" s="33"/>
    </row>
    <row r="2153">
      <c r="A2153" s="32" t="s">
        <v>5205</v>
      </c>
      <c r="B2153" s="32" t="s">
        <v>5206</v>
      </c>
      <c r="C2153" s="35">
        <v>18.25149918</v>
      </c>
      <c r="D2153" s="35">
        <v>-71.12039948</v>
      </c>
      <c r="E2153" s="32" t="s">
        <v>335</v>
      </c>
      <c r="F2153" s="32" t="s">
        <v>5207</v>
      </c>
      <c r="G2153" s="36" t="e">
        <v>#N/A</v>
      </c>
      <c r="H2153" s="33"/>
      <c r="I2153" s="33"/>
      <c r="J2153" s="33"/>
      <c r="K2153" s="33"/>
      <c r="L2153" s="33"/>
      <c r="M2153" s="33"/>
    </row>
    <row r="2154">
      <c r="A2154" s="32" t="s">
        <v>5208</v>
      </c>
      <c r="B2154" s="32" t="s">
        <v>5209</v>
      </c>
      <c r="C2154" s="35">
        <v>11.27530003</v>
      </c>
      <c r="D2154" s="35">
        <v>49.1493988</v>
      </c>
      <c r="E2154" s="32" t="s">
        <v>3906</v>
      </c>
      <c r="F2154" s="32" t="s">
        <v>5210</v>
      </c>
      <c r="G2154" s="36" t="e">
        <v>#N/A</v>
      </c>
      <c r="H2154" s="33"/>
      <c r="I2154" s="33"/>
      <c r="J2154" s="33"/>
      <c r="K2154" s="33"/>
      <c r="L2154" s="33"/>
      <c r="M2154" s="33"/>
    </row>
    <row r="2155">
      <c r="A2155" s="32" t="s">
        <v>5211</v>
      </c>
      <c r="B2155" s="32" t="s">
        <v>5212</v>
      </c>
      <c r="C2155" s="35">
        <v>-15.86916733</v>
      </c>
      <c r="D2155" s="35">
        <v>-47.92083359</v>
      </c>
      <c r="E2155" s="32" t="s">
        <v>288</v>
      </c>
      <c r="F2155" s="32" t="s">
        <v>5213</v>
      </c>
      <c r="G2155" s="36" t="e">
        <v>#N/A</v>
      </c>
      <c r="H2155" s="33"/>
      <c r="I2155" s="33"/>
      <c r="J2155" s="33"/>
      <c r="K2155" s="33"/>
      <c r="L2155" s="33"/>
      <c r="M2155" s="33"/>
    </row>
    <row r="2156">
      <c r="A2156" s="32" t="s">
        <v>5214</v>
      </c>
      <c r="B2156" s="32" t="s">
        <v>5215</v>
      </c>
      <c r="C2156" s="35">
        <v>6.20292</v>
      </c>
      <c r="D2156" s="35">
        <v>-77.3947</v>
      </c>
      <c r="E2156" s="32" t="s">
        <v>292</v>
      </c>
      <c r="F2156" s="32" t="s">
        <v>5216</v>
      </c>
      <c r="G2156" s="36" t="e">
        <v>#N/A</v>
      </c>
      <c r="H2156" s="33"/>
      <c r="I2156" s="33"/>
      <c r="J2156" s="33"/>
      <c r="K2156" s="33"/>
      <c r="L2156" s="33"/>
      <c r="M2156" s="33"/>
    </row>
    <row r="2157">
      <c r="A2157" s="32" t="s">
        <v>5217</v>
      </c>
      <c r="B2157" s="32" t="s">
        <v>5218</v>
      </c>
      <c r="C2157" s="35">
        <v>19.76009941</v>
      </c>
      <c r="D2157" s="35">
        <v>-155.5540009</v>
      </c>
      <c r="E2157" s="32" t="s">
        <v>180</v>
      </c>
      <c r="F2157" s="32" t="s">
        <v>5219</v>
      </c>
      <c r="G2157" s="39" t="s">
        <v>181</v>
      </c>
      <c r="H2157" s="33"/>
      <c r="I2157" s="33"/>
      <c r="J2157" s="33"/>
      <c r="K2157" s="33"/>
      <c r="L2157" s="33"/>
      <c r="M2157" s="33"/>
    </row>
    <row r="2158">
      <c r="A2158" s="32" t="s">
        <v>5220</v>
      </c>
      <c r="B2158" s="32" t="s">
        <v>5221</v>
      </c>
      <c r="C2158" s="35">
        <v>1.905470014</v>
      </c>
      <c r="D2158" s="35">
        <v>9.805680275</v>
      </c>
      <c r="E2158" s="32" t="s">
        <v>5222</v>
      </c>
      <c r="F2158" s="32" t="s">
        <v>5223</v>
      </c>
      <c r="G2158" s="36" t="e">
        <v>#N/A</v>
      </c>
      <c r="H2158" s="33"/>
      <c r="I2158" s="33"/>
      <c r="J2158" s="33"/>
      <c r="K2158" s="33"/>
      <c r="L2158" s="33"/>
      <c r="M2158" s="33"/>
    </row>
    <row r="2159">
      <c r="A2159" s="32" t="s">
        <v>5224</v>
      </c>
      <c r="B2159" s="32" t="s">
        <v>5225</v>
      </c>
      <c r="C2159" s="35">
        <v>-37.88750076</v>
      </c>
      <c r="D2159" s="35">
        <v>147.5679932</v>
      </c>
      <c r="E2159" s="32" t="s">
        <v>1968</v>
      </c>
      <c r="F2159" s="32" t="s">
        <v>5226</v>
      </c>
      <c r="G2159" s="36" t="e">
        <v>#N/A</v>
      </c>
      <c r="H2159" s="33"/>
      <c r="I2159" s="33"/>
      <c r="J2159" s="33"/>
      <c r="K2159" s="33"/>
      <c r="L2159" s="33"/>
      <c r="M2159" s="33"/>
    </row>
    <row r="2160">
      <c r="A2160" s="32" t="s">
        <v>5227</v>
      </c>
      <c r="B2160" s="32" t="s">
        <v>5228</v>
      </c>
      <c r="C2160" s="35">
        <v>34.79330063</v>
      </c>
      <c r="D2160" s="35">
        <v>5.738230228</v>
      </c>
      <c r="E2160" s="32" t="s">
        <v>20</v>
      </c>
      <c r="F2160" s="32" t="s">
        <v>5229</v>
      </c>
      <c r="G2160" s="36" t="e">
        <v>#N/A</v>
      </c>
      <c r="H2160" s="33"/>
      <c r="I2160" s="33"/>
      <c r="J2160" s="33"/>
      <c r="K2160" s="33"/>
      <c r="L2160" s="33"/>
      <c r="M2160" s="33"/>
    </row>
    <row r="2161">
      <c r="A2161" s="32" t="s">
        <v>5230</v>
      </c>
      <c r="B2161" s="32" t="s">
        <v>5231</v>
      </c>
      <c r="C2161" s="35">
        <v>47.59</v>
      </c>
      <c r="D2161" s="35">
        <v>7.5291667</v>
      </c>
      <c r="E2161" s="32" t="s">
        <v>96</v>
      </c>
      <c r="F2161" s="32" t="s">
        <v>5232</v>
      </c>
      <c r="G2161" s="39" t="s">
        <v>97</v>
      </c>
      <c r="H2161" s="33"/>
      <c r="I2161" s="33"/>
      <c r="J2161" s="33"/>
      <c r="K2161" s="33"/>
      <c r="L2161" s="33"/>
      <c r="M2161" s="33"/>
    </row>
    <row r="2162">
      <c r="A2162" s="32" t="s">
        <v>5233</v>
      </c>
      <c r="B2162" s="32" t="s">
        <v>5234</v>
      </c>
      <c r="C2162" s="35">
        <v>20.45129967</v>
      </c>
      <c r="D2162" s="35">
        <v>121.9800034</v>
      </c>
      <c r="E2162" s="32" t="s">
        <v>270</v>
      </c>
      <c r="F2162" s="32" t="s">
        <v>5235</v>
      </c>
      <c r="G2162" s="36" t="e">
        <v>#N/A</v>
      </c>
      <c r="H2162" s="33"/>
      <c r="I2162" s="33"/>
      <c r="J2162" s="33"/>
      <c r="K2162" s="33"/>
      <c r="L2162" s="33"/>
      <c r="M2162" s="33"/>
    </row>
    <row r="2163">
      <c r="A2163" s="32" t="s">
        <v>5236</v>
      </c>
      <c r="B2163" s="32" t="s">
        <v>5237</v>
      </c>
      <c r="C2163" s="35">
        <v>30.54910088</v>
      </c>
      <c r="D2163" s="35">
        <v>47.66210175</v>
      </c>
      <c r="E2163" s="32" t="s">
        <v>259</v>
      </c>
      <c r="F2163" s="32" t="s">
        <v>5238</v>
      </c>
      <c r="G2163" s="36" t="e">
        <v>#N/A</v>
      </c>
      <c r="H2163" s="33"/>
      <c r="I2163" s="33"/>
      <c r="J2163" s="33"/>
      <c r="K2163" s="33"/>
      <c r="L2163" s="33"/>
      <c r="M2163" s="33"/>
    </row>
    <row r="2164">
      <c r="A2164" s="32" t="s">
        <v>5239</v>
      </c>
      <c r="B2164" s="32" t="s">
        <v>5240</v>
      </c>
      <c r="C2164" s="35">
        <v>31.55970001</v>
      </c>
      <c r="D2164" s="35">
        <v>64.36499786</v>
      </c>
      <c r="E2164" s="32" t="s">
        <v>1350</v>
      </c>
      <c r="F2164" s="32" t="s">
        <v>5241</v>
      </c>
      <c r="G2164" s="36" t="e">
        <v>#N/A</v>
      </c>
      <c r="H2164" s="33"/>
      <c r="I2164" s="33"/>
      <c r="J2164" s="33"/>
      <c r="K2164" s="33"/>
      <c r="L2164" s="33"/>
      <c r="M2164" s="33"/>
    </row>
    <row r="2165">
      <c r="A2165" s="32" t="s">
        <v>5242</v>
      </c>
      <c r="B2165" s="32" t="s">
        <v>5243</v>
      </c>
      <c r="C2165" s="35">
        <v>1.224720001</v>
      </c>
      <c r="D2165" s="35">
        <v>19.78890038</v>
      </c>
      <c r="E2165" s="32" t="s">
        <v>800</v>
      </c>
      <c r="F2165" s="32" t="s">
        <v>5244</v>
      </c>
      <c r="G2165" s="36" t="e">
        <v>#N/A</v>
      </c>
      <c r="H2165" s="33"/>
      <c r="I2165" s="33"/>
      <c r="J2165" s="33"/>
      <c r="K2165" s="33"/>
      <c r="L2165" s="33"/>
      <c r="M2165" s="33"/>
    </row>
    <row r="2166">
      <c r="A2166" s="32" t="s">
        <v>5245</v>
      </c>
      <c r="B2166" s="32" t="s">
        <v>5246</v>
      </c>
      <c r="C2166" s="35">
        <v>16.81520081</v>
      </c>
      <c r="D2166" s="35">
        <v>94.7798996</v>
      </c>
      <c r="E2166" s="32" t="s">
        <v>1918</v>
      </c>
      <c r="F2166" s="32" t="s">
        <v>5247</v>
      </c>
      <c r="G2166" s="36" t="e">
        <v>#N/A</v>
      </c>
      <c r="H2166" s="33"/>
      <c r="I2166" s="33"/>
      <c r="J2166" s="33"/>
      <c r="K2166" s="33"/>
      <c r="L2166" s="33"/>
      <c r="M2166" s="33"/>
    </row>
    <row r="2167">
      <c r="A2167" s="32" t="s">
        <v>5248</v>
      </c>
      <c r="B2167" s="32" t="s">
        <v>5249</v>
      </c>
      <c r="C2167" s="35">
        <v>7.532420158</v>
      </c>
      <c r="D2167" s="35">
        <v>-12.51889992</v>
      </c>
      <c r="E2167" s="32" t="s">
        <v>5250</v>
      </c>
      <c r="F2167" s="32" t="s">
        <v>5251</v>
      </c>
      <c r="G2167" s="36" t="e">
        <v>#N/A</v>
      </c>
      <c r="H2167" s="33"/>
      <c r="I2167" s="33"/>
      <c r="J2167" s="33"/>
      <c r="K2167" s="33"/>
      <c r="L2167" s="33"/>
      <c r="M2167" s="33"/>
    </row>
    <row r="2168">
      <c r="A2168" s="32" t="s">
        <v>5252</v>
      </c>
      <c r="B2168" s="32" t="s">
        <v>5253</v>
      </c>
      <c r="C2168" s="35">
        <v>1.121029973</v>
      </c>
      <c r="D2168" s="35">
        <v>104.1190033</v>
      </c>
      <c r="E2168" s="32" t="s">
        <v>280</v>
      </c>
      <c r="F2168" s="32" t="s">
        <v>5254</v>
      </c>
      <c r="G2168" s="36" t="e">
        <v>#N/A</v>
      </c>
      <c r="H2168" s="33"/>
      <c r="I2168" s="33"/>
      <c r="J2168" s="33"/>
      <c r="K2168" s="33"/>
      <c r="L2168" s="33"/>
      <c r="M2168" s="33"/>
    </row>
    <row r="2169">
      <c r="A2169" s="32" t="s">
        <v>5255</v>
      </c>
      <c r="B2169" s="32" t="s">
        <v>5256</v>
      </c>
      <c r="C2169" s="35">
        <v>70.13400269</v>
      </c>
      <c r="D2169" s="35">
        <v>-143.5820007</v>
      </c>
      <c r="E2169" s="32" t="s">
        <v>180</v>
      </c>
      <c r="F2169" s="32" t="s">
        <v>5257</v>
      </c>
      <c r="G2169" s="39" t="s">
        <v>181</v>
      </c>
      <c r="H2169" s="33"/>
      <c r="I2169" s="33"/>
      <c r="J2169" s="33"/>
      <c r="K2169" s="33"/>
      <c r="L2169" s="33"/>
      <c r="M2169" s="33"/>
    </row>
    <row r="2170">
      <c r="A2170" s="32" t="s">
        <v>5258</v>
      </c>
      <c r="B2170" s="32" t="s">
        <v>5259</v>
      </c>
      <c r="C2170" s="35">
        <v>5.522872024</v>
      </c>
      <c r="D2170" s="35">
        <v>95.42063713</v>
      </c>
      <c r="E2170" s="32" t="s">
        <v>280</v>
      </c>
      <c r="F2170" s="32" t="s">
        <v>5260</v>
      </c>
      <c r="G2170" s="36" t="e">
        <v>#N/A</v>
      </c>
      <c r="H2170" s="33"/>
      <c r="I2170" s="33"/>
      <c r="J2170" s="33"/>
      <c r="K2170" s="33"/>
      <c r="L2170" s="33"/>
      <c r="M2170" s="33"/>
    </row>
    <row r="2171">
      <c r="A2171" s="32" t="s">
        <v>5261</v>
      </c>
      <c r="B2171" s="32" t="s">
        <v>5262</v>
      </c>
      <c r="C2171" s="35">
        <v>56.37060165</v>
      </c>
      <c r="D2171" s="35">
        <v>101.697998</v>
      </c>
      <c r="E2171" s="32" t="s">
        <v>2040</v>
      </c>
      <c r="F2171" s="32" t="s">
        <v>5263</v>
      </c>
      <c r="G2171" s="36" t="e">
        <v>#N/A</v>
      </c>
      <c r="H2171" s="33"/>
      <c r="I2171" s="33"/>
      <c r="J2171" s="33"/>
      <c r="K2171" s="33"/>
      <c r="L2171" s="33"/>
      <c r="M2171" s="33"/>
    </row>
    <row r="2172">
      <c r="A2172" s="32" t="s">
        <v>5264</v>
      </c>
      <c r="B2172" s="32" t="s">
        <v>5265</v>
      </c>
      <c r="C2172" s="35">
        <v>42.30730057</v>
      </c>
      <c r="D2172" s="35">
        <v>-85.25150299</v>
      </c>
      <c r="E2172" s="32" t="s">
        <v>180</v>
      </c>
      <c r="F2172" s="32" t="s">
        <v>5266</v>
      </c>
      <c r="G2172" s="39" t="s">
        <v>181</v>
      </c>
      <c r="H2172" s="33"/>
      <c r="I2172" s="33"/>
      <c r="J2172" s="33"/>
      <c r="K2172" s="33"/>
      <c r="L2172" s="33"/>
      <c r="M2172" s="33"/>
    </row>
    <row r="2173">
      <c r="A2173" s="32" t="s">
        <v>5267</v>
      </c>
      <c r="B2173" s="32" t="s">
        <v>5268</v>
      </c>
      <c r="C2173" s="35">
        <v>45.95479965</v>
      </c>
      <c r="D2173" s="35">
        <v>-112.4970016</v>
      </c>
      <c r="E2173" s="32" t="s">
        <v>180</v>
      </c>
      <c r="F2173" s="32" t="s">
        <v>5269</v>
      </c>
      <c r="G2173" s="39" t="s">
        <v>181</v>
      </c>
      <c r="H2173" s="33"/>
      <c r="I2173" s="33"/>
      <c r="J2173" s="33"/>
      <c r="K2173" s="33"/>
      <c r="L2173" s="33"/>
      <c r="M2173" s="33"/>
    </row>
    <row r="2174">
      <c r="A2174" s="32" t="s">
        <v>5270</v>
      </c>
      <c r="B2174" s="32" t="s">
        <v>5271</v>
      </c>
      <c r="C2174" s="35">
        <v>30.53319931</v>
      </c>
      <c r="D2174" s="35">
        <v>-91.14959717</v>
      </c>
      <c r="E2174" s="32" t="s">
        <v>180</v>
      </c>
      <c r="F2174" s="32" t="s">
        <v>5272</v>
      </c>
      <c r="G2174" s="39" t="s">
        <v>181</v>
      </c>
      <c r="H2174" s="33"/>
      <c r="I2174" s="33"/>
      <c r="J2174" s="33"/>
      <c r="K2174" s="33"/>
      <c r="L2174" s="33"/>
      <c r="M2174" s="33"/>
    </row>
    <row r="2175">
      <c r="A2175" s="32" t="s">
        <v>5273</v>
      </c>
      <c r="B2175" s="32" t="s">
        <v>5274</v>
      </c>
      <c r="C2175" s="35">
        <v>48.17020035</v>
      </c>
      <c r="D2175" s="35">
        <v>17.21269989</v>
      </c>
      <c r="E2175" s="32" t="s">
        <v>1229</v>
      </c>
      <c r="F2175" s="32" t="s">
        <v>5275</v>
      </c>
      <c r="G2175" s="36" t="e">
        <v>#N/A</v>
      </c>
      <c r="H2175" s="33"/>
      <c r="I2175" s="33"/>
      <c r="J2175" s="33"/>
      <c r="K2175" s="33"/>
      <c r="L2175" s="33"/>
      <c r="M2175" s="33"/>
    </row>
    <row r="2176">
      <c r="A2176" s="32" t="s">
        <v>5276</v>
      </c>
      <c r="B2176" s="32" t="s">
        <v>5277</v>
      </c>
      <c r="C2176" s="35">
        <v>66.91390228</v>
      </c>
      <c r="D2176" s="35">
        <v>-151.529007</v>
      </c>
      <c r="E2176" s="32" t="s">
        <v>180</v>
      </c>
      <c r="F2176" s="32" t="s">
        <v>5278</v>
      </c>
      <c r="G2176" s="39" t="s">
        <v>181</v>
      </c>
      <c r="H2176" s="33"/>
      <c r="I2176" s="33"/>
      <c r="J2176" s="33"/>
      <c r="K2176" s="33"/>
      <c r="L2176" s="33"/>
      <c r="M2176" s="33"/>
    </row>
    <row r="2177">
      <c r="A2177" s="32" t="s">
        <v>5279</v>
      </c>
      <c r="B2177" s="32" t="s">
        <v>5280</v>
      </c>
      <c r="C2177" s="35">
        <v>3.123850107</v>
      </c>
      <c r="D2177" s="35">
        <v>113.0199966</v>
      </c>
      <c r="E2177" s="32" t="s">
        <v>284</v>
      </c>
      <c r="F2177" s="32" t="s">
        <v>5281</v>
      </c>
      <c r="G2177" s="36" t="e">
        <v>#N/A</v>
      </c>
      <c r="H2177" s="33"/>
      <c r="I2177" s="33"/>
      <c r="J2177" s="33"/>
      <c r="K2177" s="33"/>
      <c r="L2177" s="33"/>
      <c r="M2177" s="33"/>
    </row>
    <row r="2178">
      <c r="A2178" s="32" t="s">
        <v>5282</v>
      </c>
      <c r="B2178" s="32" t="s">
        <v>5283</v>
      </c>
      <c r="C2178" s="35">
        <v>44.47190094</v>
      </c>
      <c r="D2178" s="35">
        <v>-73.15329742</v>
      </c>
      <c r="E2178" s="32" t="s">
        <v>180</v>
      </c>
      <c r="F2178" s="32" t="s">
        <v>2320</v>
      </c>
      <c r="G2178" s="39" t="s">
        <v>181</v>
      </c>
      <c r="H2178" s="33"/>
      <c r="I2178" s="33"/>
      <c r="J2178" s="33"/>
      <c r="K2178" s="33"/>
      <c r="L2178" s="33"/>
      <c r="M2178" s="33"/>
    </row>
    <row r="2179">
      <c r="A2179" s="32" t="s">
        <v>5284</v>
      </c>
      <c r="B2179" s="32" t="s">
        <v>5285</v>
      </c>
      <c r="C2179" s="35">
        <v>40.23329926</v>
      </c>
      <c r="D2179" s="35">
        <v>29.00919914</v>
      </c>
      <c r="E2179" s="32" t="s">
        <v>133</v>
      </c>
      <c r="F2179" s="32" t="s">
        <v>5286</v>
      </c>
      <c r="G2179" s="39" t="s">
        <v>134</v>
      </c>
      <c r="H2179" s="33"/>
      <c r="I2179" s="33"/>
      <c r="J2179" s="33"/>
      <c r="K2179" s="33"/>
      <c r="L2179" s="33"/>
      <c r="M2179" s="33"/>
    </row>
    <row r="2180">
      <c r="A2180" s="32" t="s">
        <v>5287</v>
      </c>
      <c r="B2180" s="32" t="s">
        <v>5288</v>
      </c>
      <c r="C2180" s="35">
        <v>-5.422319889</v>
      </c>
      <c r="D2180" s="35">
        <v>154.6730042</v>
      </c>
      <c r="E2180" s="32" t="s">
        <v>5289</v>
      </c>
      <c r="F2180" s="32" t="s">
        <v>5290</v>
      </c>
      <c r="G2180" s="36" t="e">
        <v>#N/A</v>
      </c>
      <c r="H2180" s="33"/>
      <c r="I2180" s="33"/>
      <c r="J2180" s="33"/>
      <c r="K2180" s="33"/>
      <c r="L2180" s="33"/>
      <c r="M2180" s="33"/>
    </row>
    <row r="2181">
      <c r="A2181" s="32" t="s">
        <v>5291</v>
      </c>
      <c r="B2181" s="32" t="s">
        <v>5292</v>
      </c>
      <c r="C2181" s="35">
        <v>-17.74860001</v>
      </c>
      <c r="D2181" s="35">
        <v>139.5339966</v>
      </c>
      <c r="E2181" s="32" t="s">
        <v>1968</v>
      </c>
      <c r="F2181" s="32" t="s">
        <v>5293</v>
      </c>
      <c r="G2181" s="36" t="e">
        <v>#N/A</v>
      </c>
      <c r="H2181" s="33"/>
      <c r="I2181" s="33"/>
      <c r="J2181" s="33"/>
      <c r="K2181" s="33"/>
      <c r="L2181" s="33"/>
      <c r="M2181" s="33"/>
    </row>
    <row r="2182">
      <c r="A2182" s="32" t="s">
        <v>5294</v>
      </c>
      <c r="B2182" s="32" t="s">
        <v>5295</v>
      </c>
      <c r="C2182" s="35">
        <v>47.43690109</v>
      </c>
      <c r="D2182" s="35">
        <v>19.25559998</v>
      </c>
      <c r="E2182" s="32" t="s">
        <v>1056</v>
      </c>
      <c r="F2182" s="32" t="s">
        <v>3076</v>
      </c>
      <c r="G2182" s="36" t="e">
        <v>#N/A</v>
      </c>
      <c r="H2182" s="33"/>
      <c r="I2182" s="33"/>
      <c r="J2182" s="33"/>
      <c r="K2182" s="33"/>
      <c r="L2182" s="33"/>
      <c r="M2182" s="33"/>
    </row>
    <row r="2183">
      <c r="A2183" s="32" t="s">
        <v>5296</v>
      </c>
      <c r="B2183" s="32" t="s">
        <v>5297</v>
      </c>
      <c r="C2183" s="35">
        <v>42.94049835</v>
      </c>
      <c r="D2183" s="35">
        <v>-78.73220062</v>
      </c>
      <c r="E2183" s="32" t="s">
        <v>180</v>
      </c>
      <c r="F2183" s="32" t="s">
        <v>5298</v>
      </c>
      <c r="G2183" s="39" t="s">
        <v>181</v>
      </c>
      <c r="H2183" s="33"/>
      <c r="I2183" s="33"/>
      <c r="J2183" s="33"/>
      <c r="K2183" s="33"/>
      <c r="L2183" s="33"/>
      <c r="M2183" s="33"/>
    </row>
    <row r="2184">
      <c r="A2184" s="32" t="s">
        <v>5299</v>
      </c>
      <c r="B2184" s="32" t="s">
        <v>5300</v>
      </c>
      <c r="C2184" s="35">
        <v>-12.60900021</v>
      </c>
      <c r="D2184" s="35">
        <v>13.40369987</v>
      </c>
      <c r="E2184" s="32" t="s">
        <v>764</v>
      </c>
      <c r="F2184" s="32" t="s">
        <v>5301</v>
      </c>
      <c r="G2184" s="36" t="e">
        <v>#N/A</v>
      </c>
      <c r="H2184" s="33"/>
      <c r="I2184" s="33"/>
      <c r="J2184" s="33"/>
      <c r="K2184" s="33"/>
      <c r="L2184" s="33"/>
      <c r="M2184" s="33"/>
    </row>
    <row r="2185">
      <c r="A2185" s="32" t="s">
        <v>5302</v>
      </c>
      <c r="B2185" s="32" t="s">
        <v>5303</v>
      </c>
      <c r="C2185" s="35">
        <v>-3.6822</v>
      </c>
      <c r="D2185" s="35">
        <v>138.6755</v>
      </c>
      <c r="E2185" s="32" t="s">
        <v>280</v>
      </c>
      <c r="F2185" s="32" t="s">
        <v>5304</v>
      </c>
      <c r="G2185" s="36" t="e">
        <v>#N/A</v>
      </c>
      <c r="H2185" s="33"/>
      <c r="I2185" s="33"/>
      <c r="J2185" s="33"/>
      <c r="K2185" s="33"/>
      <c r="L2185" s="33"/>
      <c r="M2185" s="33"/>
    </row>
    <row r="2186">
      <c r="A2186" s="32" t="s">
        <v>5305</v>
      </c>
      <c r="B2186" s="32" t="s">
        <v>5306</v>
      </c>
      <c r="C2186" s="35">
        <v>3.81963</v>
      </c>
      <c r="D2186" s="35">
        <v>-76.9898</v>
      </c>
      <c r="E2186" s="32" t="s">
        <v>292</v>
      </c>
      <c r="F2186" s="32" t="s">
        <v>5307</v>
      </c>
      <c r="G2186" s="36" t="e">
        <v>#N/A</v>
      </c>
      <c r="H2186" s="33"/>
      <c r="I2186" s="33"/>
      <c r="J2186" s="33"/>
      <c r="K2186" s="33"/>
      <c r="L2186" s="33"/>
      <c r="M2186" s="33"/>
    </row>
    <row r="2187">
      <c r="A2187" s="32" t="s">
        <v>5308</v>
      </c>
      <c r="B2187" s="32" t="s">
        <v>5309</v>
      </c>
      <c r="C2187" s="35">
        <v>9.5275</v>
      </c>
      <c r="D2187" s="35">
        <v>45.5549</v>
      </c>
      <c r="E2187" s="32" t="s">
        <v>3906</v>
      </c>
      <c r="F2187" s="32" t="s">
        <v>5310</v>
      </c>
      <c r="G2187" s="36" t="e">
        <v>#N/A</v>
      </c>
      <c r="H2187" s="33"/>
      <c r="I2187" s="33"/>
      <c r="J2187" s="33"/>
      <c r="K2187" s="33"/>
      <c r="L2187" s="33"/>
      <c r="M2187" s="33"/>
    </row>
    <row r="2188">
      <c r="A2188" s="32" t="s">
        <v>5311</v>
      </c>
      <c r="B2188" s="32" t="s">
        <v>5312</v>
      </c>
      <c r="C2188" s="35">
        <v>-20.01740074</v>
      </c>
      <c r="D2188" s="35">
        <v>28.61790085</v>
      </c>
      <c r="E2188" s="32" t="s">
        <v>785</v>
      </c>
      <c r="F2188" s="32" t="s">
        <v>5313</v>
      </c>
      <c r="G2188" s="36" t="e">
        <v>#N/A</v>
      </c>
      <c r="H2188" s="33"/>
      <c r="I2188" s="33"/>
      <c r="J2188" s="33"/>
      <c r="K2188" s="33"/>
      <c r="L2188" s="33"/>
      <c r="M2188" s="33"/>
    </row>
    <row r="2189">
      <c r="A2189" s="32" t="s">
        <v>5314</v>
      </c>
      <c r="B2189" s="32" t="s">
        <v>5315</v>
      </c>
      <c r="C2189" s="35">
        <v>34.20069885</v>
      </c>
      <c r="D2189" s="35">
        <v>-118.3590012</v>
      </c>
      <c r="E2189" s="32" t="s">
        <v>180</v>
      </c>
      <c r="F2189" s="32" t="s">
        <v>5316</v>
      </c>
      <c r="G2189" s="39" t="s">
        <v>181</v>
      </c>
      <c r="H2189" s="33"/>
      <c r="I2189" s="33"/>
      <c r="J2189" s="33"/>
      <c r="K2189" s="33"/>
      <c r="L2189" s="33"/>
      <c r="M2189" s="33"/>
    </row>
    <row r="2190">
      <c r="A2190" s="32" t="s">
        <v>5317</v>
      </c>
      <c r="B2190" s="32" t="s">
        <v>5318</v>
      </c>
      <c r="C2190" s="35">
        <v>41.61029816</v>
      </c>
      <c r="D2190" s="35">
        <v>41.59970093</v>
      </c>
      <c r="E2190" s="32" t="s">
        <v>3041</v>
      </c>
      <c r="F2190" s="32" t="s">
        <v>5319</v>
      </c>
      <c r="G2190" s="36" t="e">
        <v>#N/A</v>
      </c>
      <c r="H2190" s="33"/>
      <c r="I2190" s="33"/>
      <c r="J2190" s="33"/>
      <c r="K2190" s="33"/>
      <c r="L2190" s="33"/>
      <c r="M2190" s="33"/>
    </row>
    <row r="2191">
      <c r="A2191" s="32" t="s">
        <v>5320</v>
      </c>
      <c r="B2191" s="32" t="s">
        <v>5321</v>
      </c>
      <c r="C2191" s="35">
        <v>27.5622</v>
      </c>
      <c r="D2191" s="35">
        <v>90.7471</v>
      </c>
      <c r="E2191" s="32" t="s">
        <v>5322</v>
      </c>
      <c r="F2191" s="32" t="s">
        <v>5323</v>
      </c>
      <c r="G2191" s="36" t="e">
        <v>#N/A</v>
      </c>
      <c r="H2191" s="33"/>
      <c r="I2191" s="33"/>
      <c r="J2191" s="33"/>
      <c r="K2191" s="33"/>
      <c r="L2191" s="33"/>
      <c r="M2191" s="33"/>
    </row>
    <row r="2192">
      <c r="A2192" s="32" t="s">
        <v>5324</v>
      </c>
      <c r="B2192" s="32" t="s">
        <v>5325</v>
      </c>
      <c r="C2192" s="35">
        <v>42.69070053</v>
      </c>
      <c r="D2192" s="35">
        <v>-88.30460358</v>
      </c>
      <c r="E2192" s="32" t="s">
        <v>180</v>
      </c>
      <c r="F2192" s="32" t="s">
        <v>2320</v>
      </c>
      <c r="G2192" s="39" t="s">
        <v>181</v>
      </c>
      <c r="H2192" s="33"/>
      <c r="I2192" s="33"/>
      <c r="J2192" s="33"/>
      <c r="K2192" s="33"/>
      <c r="L2192" s="33"/>
      <c r="M2192" s="33"/>
    </row>
    <row r="2193">
      <c r="A2193" s="32" t="s">
        <v>5326</v>
      </c>
      <c r="B2193" s="32" t="s">
        <v>5327</v>
      </c>
      <c r="C2193" s="35">
        <v>-5.486879826</v>
      </c>
      <c r="D2193" s="35">
        <v>122.5690002</v>
      </c>
      <c r="E2193" s="32" t="s">
        <v>280</v>
      </c>
      <c r="F2193" s="32" t="s">
        <v>5328</v>
      </c>
      <c r="G2193" s="36" t="e">
        <v>#N/A</v>
      </c>
      <c r="H2193" s="33"/>
      <c r="I2193" s="33"/>
      <c r="J2193" s="33"/>
      <c r="K2193" s="33"/>
      <c r="L2193" s="33"/>
      <c r="M2193" s="33"/>
    </row>
    <row r="2194">
      <c r="A2194" s="32" t="s">
        <v>5329</v>
      </c>
      <c r="B2194" s="32" t="s">
        <v>5330</v>
      </c>
      <c r="C2194" s="35">
        <v>1.565719962</v>
      </c>
      <c r="D2194" s="35">
        <v>30.2208004</v>
      </c>
      <c r="E2194" s="32" t="s">
        <v>800</v>
      </c>
      <c r="F2194" s="32" t="s">
        <v>5331</v>
      </c>
      <c r="G2194" s="36" t="e">
        <v>#N/A</v>
      </c>
      <c r="H2194" s="33"/>
      <c r="I2194" s="33"/>
      <c r="J2194" s="33"/>
      <c r="K2194" s="33"/>
      <c r="L2194" s="33"/>
      <c r="M2194" s="33"/>
    </row>
    <row r="2195">
      <c r="A2195" s="32" t="s">
        <v>5332</v>
      </c>
      <c r="B2195" s="32" t="s">
        <v>5333</v>
      </c>
      <c r="C2195" s="35">
        <v>-33.37829971</v>
      </c>
      <c r="D2195" s="35">
        <v>115.677002</v>
      </c>
      <c r="E2195" s="32" t="s">
        <v>1968</v>
      </c>
      <c r="F2195" s="32" t="s">
        <v>5334</v>
      </c>
      <c r="G2195" s="36" t="e">
        <v>#N/A</v>
      </c>
      <c r="H2195" s="33"/>
      <c r="I2195" s="33"/>
      <c r="J2195" s="33"/>
      <c r="K2195" s="33"/>
      <c r="L2195" s="33"/>
      <c r="M2195" s="33"/>
    </row>
    <row r="2196">
      <c r="A2196" s="32" t="s">
        <v>5335</v>
      </c>
      <c r="B2196" s="32" t="s">
        <v>5336</v>
      </c>
      <c r="C2196" s="35">
        <v>28.94479942</v>
      </c>
      <c r="D2196" s="35">
        <v>50.83459854</v>
      </c>
      <c r="E2196" s="32" t="s">
        <v>1378</v>
      </c>
      <c r="F2196" s="32" t="s">
        <v>5337</v>
      </c>
      <c r="G2196" s="36" t="e">
        <v>#N/A</v>
      </c>
      <c r="H2196" s="33"/>
      <c r="I2196" s="33"/>
      <c r="J2196" s="33"/>
      <c r="K2196" s="33"/>
      <c r="L2196" s="33"/>
      <c r="M2196" s="33"/>
    </row>
    <row r="2197">
      <c r="A2197" s="32" t="s">
        <v>5338</v>
      </c>
      <c r="B2197" s="32" t="s">
        <v>5339</v>
      </c>
      <c r="C2197" s="35">
        <v>49.45439911</v>
      </c>
      <c r="D2197" s="35">
        <v>2.112780094</v>
      </c>
      <c r="E2197" s="32" t="s">
        <v>96</v>
      </c>
      <c r="F2197" s="32" t="s">
        <v>5340</v>
      </c>
      <c r="G2197" s="39" t="s">
        <v>97</v>
      </c>
      <c r="H2197" s="33"/>
      <c r="I2197" s="33"/>
      <c r="J2197" s="33"/>
      <c r="K2197" s="33"/>
      <c r="L2197" s="33"/>
      <c r="M2197" s="33"/>
    </row>
    <row r="2198">
      <c r="A2198" s="32" t="s">
        <v>5341</v>
      </c>
      <c r="B2198" s="32" t="s">
        <v>5342</v>
      </c>
      <c r="C2198" s="35">
        <v>2.841388941</v>
      </c>
      <c r="D2198" s="35">
        <v>-60.6922226</v>
      </c>
      <c r="E2198" s="32" t="s">
        <v>288</v>
      </c>
      <c r="F2198" s="32" t="s">
        <v>5343</v>
      </c>
      <c r="G2198" s="36" t="e">
        <v>#N/A</v>
      </c>
      <c r="H2198" s="33"/>
      <c r="I2198" s="33"/>
      <c r="J2198" s="33"/>
      <c r="K2198" s="33"/>
      <c r="L2198" s="33"/>
      <c r="M2198" s="33"/>
    </row>
    <row r="2199">
      <c r="A2199" s="32" t="s">
        <v>5344</v>
      </c>
      <c r="B2199" s="32" t="s">
        <v>5345</v>
      </c>
      <c r="C2199" s="35">
        <v>16.1364994</v>
      </c>
      <c r="D2199" s="35">
        <v>-22.88890076</v>
      </c>
      <c r="E2199" s="32" t="s">
        <v>5346</v>
      </c>
      <c r="F2199" s="32" t="s">
        <v>5343</v>
      </c>
      <c r="G2199" s="36" t="e">
        <v>#N/A</v>
      </c>
      <c r="H2199" s="33"/>
      <c r="I2199" s="33"/>
      <c r="J2199" s="33"/>
      <c r="K2199" s="33"/>
      <c r="L2199" s="33"/>
      <c r="M2199" s="33"/>
    </row>
    <row r="2200">
      <c r="A2200" s="32" t="s">
        <v>5347</v>
      </c>
      <c r="B2200" s="32" t="s">
        <v>5348</v>
      </c>
      <c r="C2200" s="35">
        <v>48.780001</v>
      </c>
      <c r="D2200" s="35">
        <v>5.980003</v>
      </c>
      <c r="E2200" s="32" t="s">
        <v>96</v>
      </c>
      <c r="F2200" s="32" t="s">
        <v>5349</v>
      </c>
      <c r="G2200" s="39" t="s">
        <v>97</v>
      </c>
      <c r="H2200" s="33"/>
      <c r="I2200" s="33"/>
      <c r="J2200" s="33"/>
      <c r="K2200" s="33"/>
      <c r="L2200" s="33"/>
      <c r="M2200" s="33"/>
    </row>
    <row r="2201">
      <c r="A2201" s="32" t="s">
        <v>5350</v>
      </c>
      <c r="B2201" s="32" t="s">
        <v>5351</v>
      </c>
      <c r="C2201" s="35">
        <v>70.87139893</v>
      </c>
      <c r="D2201" s="35">
        <v>29.03420067</v>
      </c>
      <c r="E2201" s="32" t="s">
        <v>343</v>
      </c>
      <c r="F2201" s="32" t="s">
        <v>5352</v>
      </c>
      <c r="G2201" s="36" t="e">
        <v>#N/A</v>
      </c>
      <c r="H2201" s="33"/>
      <c r="I2201" s="33"/>
      <c r="J2201" s="33"/>
      <c r="K2201" s="33"/>
      <c r="L2201" s="33"/>
      <c r="M2201" s="33"/>
    </row>
    <row r="2202">
      <c r="A2202" s="32" t="s">
        <v>5353</v>
      </c>
      <c r="B2202" s="32" t="s">
        <v>5354</v>
      </c>
      <c r="C2202" s="35">
        <v>-12.69439983</v>
      </c>
      <c r="D2202" s="35">
        <v>-60.09830093</v>
      </c>
      <c r="E2202" s="32" t="s">
        <v>288</v>
      </c>
      <c r="F2202" s="32" t="s">
        <v>5355</v>
      </c>
      <c r="G2202" s="36" t="e">
        <v>#N/A</v>
      </c>
      <c r="H2202" s="33"/>
      <c r="I2202" s="33"/>
      <c r="J2202" s="33"/>
      <c r="K2202" s="33"/>
      <c r="L2202" s="33"/>
      <c r="M2202" s="33"/>
    </row>
    <row r="2203">
      <c r="A2203" s="32" t="s">
        <v>5356</v>
      </c>
      <c r="B2203" s="32" t="s">
        <v>5357</v>
      </c>
      <c r="C2203" s="35">
        <v>-25.89749908</v>
      </c>
      <c r="D2203" s="35">
        <v>139.3480072</v>
      </c>
      <c r="E2203" s="32" t="s">
        <v>1968</v>
      </c>
      <c r="F2203" s="32" t="s">
        <v>5358</v>
      </c>
      <c r="G2203" s="36" t="e">
        <v>#N/A</v>
      </c>
      <c r="H2203" s="33"/>
      <c r="I2203" s="33"/>
      <c r="J2203" s="33"/>
      <c r="K2203" s="33"/>
      <c r="L2203" s="33"/>
      <c r="M2203" s="33"/>
    </row>
    <row r="2204">
      <c r="A2204" s="32" t="s">
        <v>5359</v>
      </c>
      <c r="B2204" s="32" t="s">
        <v>5360</v>
      </c>
      <c r="C2204" s="35">
        <v>-1.636530042</v>
      </c>
      <c r="D2204" s="35">
        <v>-50.4435997</v>
      </c>
      <c r="E2204" s="32" t="s">
        <v>288</v>
      </c>
      <c r="F2204" s="32" t="s">
        <v>5361</v>
      </c>
      <c r="G2204" s="36" t="e">
        <v>#N/A</v>
      </c>
      <c r="H2204" s="33"/>
      <c r="I2204" s="33"/>
      <c r="J2204" s="33"/>
      <c r="K2204" s="33"/>
      <c r="L2204" s="33"/>
      <c r="M2204" s="33"/>
    </row>
    <row r="2205">
      <c r="A2205" s="32" t="s">
        <v>5362</v>
      </c>
      <c r="B2205" s="32" t="s">
        <v>5363</v>
      </c>
      <c r="C2205" s="35">
        <v>42.58420181</v>
      </c>
      <c r="D2205" s="35">
        <v>-70.91649628</v>
      </c>
      <c r="E2205" s="32" t="s">
        <v>180</v>
      </c>
      <c r="F2205" s="32" t="s">
        <v>5364</v>
      </c>
      <c r="G2205" s="39" t="s">
        <v>181</v>
      </c>
      <c r="H2205" s="33"/>
      <c r="I2205" s="33"/>
      <c r="J2205" s="33"/>
      <c r="K2205" s="33"/>
      <c r="L2205" s="33"/>
      <c r="M2205" s="33"/>
    </row>
    <row r="2206">
      <c r="A2206" s="32" t="s">
        <v>5365</v>
      </c>
      <c r="B2206" s="32" t="s">
        <v>5366</v>
      </c>
      <c r="C2206" s="35">
        <v>27.505685</v>
      </c>
      <c r="D2206" s="35">
        <v>83.416293</v>
      </c>
      <c r="E2206" s="32" t="s">
        <v>1877</v>
      </c>
      <c r="F2206" s="32" t="s">
        <v>5367</v>
      </c>
      <c r="G2206" s="36" t="e">
        <v>#N/A</v>
      </c>
      <c r="H2206" s="33"/>
      <c r="I2206" s="33"/>
      <c r="J2206" s="33"/>
      <c r="K2206" s="33"/>
      <c r="L2206" s="33"/>
      <c r="M2206" s="33"/>
    </row>
    <row r="2207">
      <c r="A2207" s="32" t="s">
        <v>5368</v>
      </c>
      <c r="B2207" s="32" t="s">
        <v>5369</v>
      </c>
      <c r="C2207" s="35">
        <v>-20.86440086</v>
      </c>
      <c r="D2207" s="35">
        <v>115.4059982</v>
      </c>
      <c r="E2207" s="32" t="s">
        <v>1968</v>
      </c>
      <c r="F2207" s="32" t="s">
        <v>5370</v>
      </c>
      <c r="G2207" s="36" t="e">
        <v>#N/A</v>
      </c>
      <c r="H2207" s="33"/>
      <c r="I2207" s="33"/>
      <c r="J2207" s="33"/>
      <c r="K2207" s="33"/>
      <c r="L2207" s="33"/>
      <c r="M2207" s="33"/>
    </row>
    <row r="2208">
      <c r="A2208" s="32" t="s">
        <v>5371</v>
      </c>
      <c r="B2208" s="32" t="s">
        <v>5372</v>
      </c>
      <c r="C2208" s="35">
        <v>52.319199</v>
      </c>
      <c r="D2208" s="35">
        <v>10.5561</v>
      </c>
      <c r="E2208" s="32" t="s">
        <v>109</v>
      </c>
      <c r="F2208" s="32" t="s">
        <v>5373</v>
      </c>
      <c r="G2208" s="39" t="s">
        <v>110</v>
      </c>
      <c r="H2208" s="33"/>
      <c r="I2208" s="33"/>
      <c r="J2208" s="33"/>
      <c r="K2208" s="33"/>
      <c r="L2208" s="33"/>
      <c r="M2208" s="33"/>
    </row>
    <row r="2209">
      <c r="A2209" s="32" t="s">
        <v>5374</v>
      </c>
      <c r="B2209" s="32" t="s">
        <v>5375</v>
      </c>
      <c r="C2209" s="35">
        <v>54.1286111</v>
      </c>
      <c r="D2209" s="35">
        <v>-3.2675</v>
      </c>
      <c r="E2209" s="32" t="s">
        <v>90</v>
      </c>
      <c r="F2209" s="32" t="s">
        <v>5370</v>
      </c>
      <c r="G2209" s="39" t="s">
        <v>91</v>
      </c>
      <c r="H2209" s="33"/>
      <c r="I2209" s="33"/>
      <c r="J2209" s="33"/>
      <c r="K2209" s="33"/>
      <c r="L2209" s="33"/>
      <c r="M2209" s="33"/>
    </row>
    <row r="2210">
      <c r="A2210" s="32" t="s">
        <v>5376</v>
      </c>
      <c r="B2210" s="32" t="s">
        <v>5377</v>
      </c>
      <c r="C2210" s="35">
        <v>36.96450043</v>
      </c>
      <c r="D2210" s="35">
        <v>-86.41970062</v>
      </c>
      <c r="E2210" s="32" t="s">
        <v>180</v>
      </c>
      <c r="F2210" s="32" t="s">
        <v>5378</v>
      </c>
      <c r="G2210" s="39" t="s">
        <v>181</v>
      </c>
      <c r="H2210" s="33"/>
      <c r="I2210" s="33"/>
      <c r="J2210" s="33"/>
      <c r="K2210" s="33"/>
      <c r="L2210" s="33"/>
      <c r="M2210" s="33"/>
    </row>
    <row r="2211">
      <c r="A2211" s="32" t="s">
        <v>5379</v>
      </c>
      <c r="B2211" s="32" t="s">
        <v>5380</v>
      </c>
      <c r="C2211" s="35">
        <v>39.17539978</v>
      </c>
      <c r="D2211" s="35">
        <v>-76.66829681</v>
      </c>
      <c r="E2211" s="32" t="s">
        <v>180</v>
      </c>
      <c r="F2211" s="32" t="s">
        <v>5381</v>
      </c>
      <c r="G2211" s="39" t="s">
        <v>181</v>
      </c>
      <c r="H2211" s="33"/>
      <c r="I2211" s="33"/>
      <c r="J2211" s="33"/>
      <c r="K2211" s="33"/>
      <c r="L2211" s="33"/>
      <c r="M2211" s="33"/>
    </row>
    <row r="2212">
      <c r="A2212" s="32" t="s">
        <v>5382</v>
      </c>
      <c r="B2212" s="32" t="s">
        <v>5383</v>
      </c>
      <c r="C2212" s="35">
        <v>43.28570175</v>
      </c>
      <c r="D2212" s="35">
        <v>16.67970085</v>
      </c>
      <c r="E2212" s="32" t="s">
        <v>211</v>
      </c>
      <c r="F2212" s="32" t="s">
        <v>5384</v>
      </c>
      <c r="G2212" s="39" t="s">
        <v>212</v>
      </c>
      <c r="H2212" s="33"/>
      <c r="I2212" s="33"/>
      <c r="J2212" s="33"/>
      <c r="K2212" s="33"/>
      <c r="L2212" s="33"/>
      <c r="M2212" s="33"/>
    </row>
    <row r="2213">
      <c r="A2213" s="32" t="s">
        <v>5385</v>
      </c>
      <c r="B2213" s="32" t="s">
        <v>5386</v>
      </c>
      <c r="C2213" s="35">
        <v>4.944200039</v>
      </c>
      <c r="D2213" s="35">
        <v>114.9280014</v>
      </c>
      <c r="E2213" s="32" t="s">
        <v>2064</v>
      </c>
      <c r="F2213" s="32" t="s">
        <v>5387</v>
      </c>
      <c r="G2213" s="36" t="e">
        <v>#N/A</v>
      </c>
      <c r="H2213" s="33"/>
      <c r="I2213" s="33"/>
      <c r="J2213" s="33"/>
      <c r="K2213" s="33"/>
      <c r="L2213" s="33"/>
      <c r="M2213" s="33"/>
    </row>
    <row r="2214">
      <c r="A2214" s="32" t="s">
        <v>5388</v>
      </c>
      <c r="B2214" s="32" t="s">
        <v>5389</v>
      </c>
      <c r="C2214" s="35">
        <v>51.85829926</v>
      </c>
      <c r="D2214" s="35">
        <v>47.74560165</v>
      </c>
      <c r="E2214" s="32" t="s">
        <v>2040</v>
      </c>
      <c r="F2214" s="32" t="s">
        <v>5390</v>
      </c>
      <c r="G2214" s="36" t="e">
        <v>#N/A</v>
      </c>
      <c r="H2214" s="33"/>
      <c r="I2214" s="33"/>
      <c r="J2214" s="33"/>
      <c r="K2214" s="33"/>
      <c r="L2214" s="33"/>
      <c r="M2214" s="33"/>
    </row>
    <row r="2215">
      <c r="A2215" s="32" t="s">
        <v>5391</v>
      </c>
      <c r="B2215" s="32" t="s">
        <v>5392</v>
      </c>
      <c r="C2215" s="35">
        <v>-29.97389984</v>
      </c>
      <c r="D2215" s="35">
        <v>146.8170013</v>
      </c>
      <c r="E2215" s="32" t="s">
        <v>1968</v>
      </c>
      <c r="F2215" s="33"/>
      <c r="G2215" s="36" t="e">
        <v>#N/A</v>
      </c>
      <c r="H2215" s="33"/>
      <c r="I2215" s="33"/>
      <c r="J2215" s="33"/>
      <c r="K2215" s="33"/>
      <c r="L2215" s="33"/>
      <c r="M2215" s="33"/>
    </row>
    <row r="2216">
      <c r="A2216" s="32" t="s">
        <v>5393</v>
      </c>
      <c r="B2216" s="32" t="s">
        <v>5394</v>
      </c>
      <c r="C2216" s="35">
        <v>-40.99890137</v>
      </c>
      <c r="D2216" s="35">
        <v>145.7310028</v>
      </c>
      <c r="E2216" s="32" t="s">
        <v>1968</v>
      </c>
      <c r="F2216" s="32" t="s">
        <v>5395</v>
      </c>
      <c r="G2216" s="36" t="e">
        <v>#N/A</v>
      </c>
      <c r="H2216" s="33"/>
      <c r="I2216" s="33"/>
      <c r="J2216" s="33"/>
      <c r="K2216" s="33"/>
      <c r="L2216" s="33"/>
      <c r="M2216" s="33"/>
    </row>
    <row r="2217">
      <c r="A2217" s="32" t="s">
        <v>5396</v>
      </c>
      <c r="B2217" s="32" t="s">
        <v>5397</v>
      </c>
      <c r="C2217" s="35">
        <v>-33.92440033</v>
      </c>
      <c r="D2217" s="35">
        <v>150.9880066</v>
      </c>
      <c r="E2217" s="32" t="s">
        <v>1968</v>
      </c>
      <c r="F2217" s="32" t="s">
        <v>5398</v>
      </c>
      <c r="G2217" s="36" t="e">
        <v>#N/A</v>
      </c>
      <c r="H2217" s="33"/>
      <c r="I2217" s="33"/>
      <c r="J2217" s="33"/>
      <c r="K2217" s="33"/>
      <c r="L2217" s="33"/>
      <c r="M2217" s="33"/>
    </row>
    <row r="2218">
      <c r="A2218" s="32" t="s">
        <v>5399</v>
      </c>
      <c r="B2218" s="32" t="s">
        <v>5400</v>
      </c>
      <c r="C2218" s="35">
        <v>22.62129974</v>
      </c>
      <c r="D2218" s="35">
        <v>-79.14720154</v>
      </c>
      <c r="E2218" s="32" t="s">
        <v>1294</v>
      </c>
      <c r="F2218" s="32" t="s">
        <v>5401</v>
      </c>
      <c r="G2218" s="36" t="e">
        <v>#N/A</v>
      </c>
      <c r="H2218" s="33"/>
      <c r="I2218" s="33"/>
      <c r="J2218" s="33"/>
      <c r="K2218" s="33"/>
      <c r="L2218" s="33"/>
      <c r="M2218" s="33"/>
    </row>
    <row r="2219">
      <c r="A2219" s="32" t="s">
        <v>5402</v>
      </c>
      <c r="B2219" s="32" t="s">
        <v>5403</v>
      </c>
      <c r="C2219" s="35">
        <v>-2.532239914</v>
      </c>
      <c r="D2219" s="35">
        <v>133.4389954</v>
      </c>
      <c r="E2219" s="32" t="s">
        <v>280</v>
      </c>
      <c r="F2219" s="32" t="s">
        <v>5404</v>
      </c>
      <c r="G2219" s="36" t="e">
        <v>#N/A</v>
      </c>
      <c r="H2219" s="33"/>
      <c r="I2219" s="33"/>
      <c r="J2219" s="33"/>
      <c r="K2219" s="33"/>
      <c r="L2219" s="33"/>
      <c r="M2219" s="33"/>
    </row>
    <row r="2220">
      <c r="A2220" s="32" t="s">
        <v>5405</v>
      </c>
      <c r="B2220" s="32" t="s">
        <v>5406</v>
      </c>
      <c r="C2220" s="35">
        <v>14.84729958</v>
      </c>
      <c r="D2220" s="35">
        <v>-12.46829987</v>
      </c>
      <c r="E2220" s="32" t="s">
        <v>5407</v>
      </c>
      <c r="F2220" s="32" t="s">
        <v>5408</v>
      </c>
      <c r="G2220" s="36" t="e">
        <v>#N/A</v>
      </c>
      <c r="H2220" s="33"/>
      <c r="I2220" s="33"/>
      <c r="J2220" s="33"/>
      <c r="K2220" s="33"/>
      <c r="L2220" s="33"/>
      <c r="M2220" s="33"/>
    </row>
    <row r="2221">
      <c r="A2221" s="32" t="s">
        <v>5409</v>
      </c>
      <c r="B2221" s="32" t="s">
        <v>5410</v>
      </c>
      <c r="C2221" s="35">
        <v>46.8932991</v>
      </c>
      <c r="D2221" s="35">
        <v>75.00499725</v>
      </c>
      <c r="E2221" s="32" t="s">
        <v>2817</v>
      </c>
      <c r="F2221" s="32" t="s">
        <v>5411</v>
      </c>
      <c r="G2221" s="36" t="e">
        <v>#N/A</v>
      </c>
      <c r="H2221" s="33"/>
      <c r="I2221" s="33"/>
      <c r="J2221" s="33"/>
      <c r="K2221" s="33"/>
      <c r="L2221" s="33"/>
      <c r="M2221" s="33"/>
    </row>
    <row r="2222">
      <c r="A2222" s="32" t="s">
        <v>5412</v>
      </c>
      <c r="B2222" s="32" t="s">
        <v>5413</v>
      </c>
      <c r="C2222" s="35">
        <v>33.42039871</v>
      </c>
      <c r="D2222" s="35">
        <v>-112.685997</v>
      </c>
      <c r="E2222" s="32" t="s">
        <v>180</v>
      </c>
      <c r="F2222" s="32" t="s">
        <v>5414</v>
      </c>
      <c r="G2222" s="39" t="s">
        <v>181</v>
      </c>
      <c r="H2222" s="33"/>
      <c r="I2222" s="33"/>
      <c r="J2222" s="33"/>
      <c r="K2222" s="33"/>
      <c r="L2222" s="33"/>
      <c r="M2222" s="33"/>
    </row>
    <row r="2223">
      <c r="A2223" s="32" t="s">
        <v>5415</v>
      </c>
      <c r="B2223" s="32" t="s">
        <v>5416</v>
      </c>
      <c r="C2223" s="35">
        <v>37.14009857</v>
      </c>
      <c r="D2223" s="35">
        <v>27.66970062</v>
      </c>
      <c r="E2223" s="32" t="s">
        <v>133</v>
      </c>
      <c r="F2223" s="32" t="s">
        <v>4848</v>
      </c>
      <c r="G2223" s="39" t="s">
        <v>134</v>
      </c>
      <c r="H2223" s="33"/>
      <c r="I2223" s="33"/>
      <c r="J2223" s="33"/>
      <c r="K2223" s="33"/>
      <c r="L2223" s="33"/>
      <c r="M2223" s="33"/>
    </row>
    <row r="2224">
      <c r="A2224" s="32" t="s">
        <v>5417</v>
      </c>
      <c r="B2224" s="32" t="s">
        <v>5418</v>
      </c>
      <c r="C2224" s="35">
        <v>46.974444</v>
      </c>
      <c r="D2224" s="35">
        <v>8.396944</v>
      </c>
      <c r="E2224" s="32" t="s">
        <v>1180</v>
      </c>
      <c r="F2224" s="32" t="s">
        <v>5419</v>
      </c>
      <c r="G2224" s="36" t="e">
        <v>#N/A</v>
      </c>
      <c r="H2224" s="33"/>
      <c r="I2224" s="33"/>
      <c r="J2224" s="33"/>
      <c r="K2224" s="33"/>
      <c r="L2224" s="33"/>
      <c r="M2224" s="33"/>
    </row>
    <row r="2225">
      <c r="A2225" s="32" t="s">
        <v>5420</v>
      </c>
      <c r="B2225" s="32" t="s">
        <v>5421</v>
      </c>
      <c r="C2225" s="35">
        <v>52.00078</v>
      </c>
      <c r="D2225" s="35">
        <v>23.1325278</v>
      </c>
      <c r="E2225" s="32" t="s">
        <v>192</v>
      </c>
      <c r="F2225" s="32" t="s">
        <v>5422</v>
      </c>
      <c r="G2225" s="39" t="s">
        <v>193</v>
      </c>
      <c r="H2225" s="33"/>
      <c r="I2225" s="33"/>
      <c r="J2225" s="33"/>
      <c r="K2225" s="33"/>
      <c r="L2225" s="33"/>
      <c r="M2225" s="33"/>
    </row>
    <row r="2226">
      <c r="A2226" s="32" t="s">
        <v>5423</v>
      </c>
      <c r="B2226" s="32" t="s">
        <v>5424</v>
      </c>
      <c r="C2226" s="35">
        <v>29.08419991</v>
      </c>
      <c r="D2226" s="35">
        <v>58.45000076</v>
      </c>
      <c r="E2226" s="32" t="s">
        <v>1378</v>
      </c>
      <c r="F2226" s="32" t="s">
        <v>5425</v>
      </c>
      <c r="G2226" s="36" t="e">
        <v>#N/A</v>
      </c>
      <c r="H2226" s="33"/>
      <c r="I2226" s="33"/>
      <c r="J2226" s="33"/>
      <c r="K2226" s="33"/>
      <c r="L2226" s="33"/>
      <c r="M2226" s="33"/>
    </row>
    <row r="2227">
      <c r="A2227" s="32" t="s">
        <v>5426</v>
      </c>
      <c r="B2227" s="32" t="s">
        <v>5427</v>
      </c>
      <c r="C2227" s="35">
        <v>8.9515</v>
      </c>
      <c r="D2227" s="35">
        <v>125.4788</v>
      </c>
      <c r="E2227" s="32" t="s">
        <v>270</v>
      </c>
      <c r="F2227" s="32" t="s">
        <v>5428</v>
      </c>
      <c r="G2227" s="36" t="e">
        <v>#N/A</v>
      </c>
      <c r="H2227" s="33"/>
      <c r="I2227" s="33"/>
      <c r="J2227" s="33"/>
      <c r="K2227" s="33"/>
      <c r="L2227" s="33"/>
      <c r="M2227" s="33"/>
    </row>
    <row r="2228">
      <c r="A2228" s="32" t="s">
        <v>5429</v>
      </c>
      <c r="B2228" s="32" t="s">
        <v>5430</v>
      </c>
      <c r="C2228" s="35">
        <v>-21.96089935</v>
      </c>
      <c r="D2228" s="35">
        <v>-63.65169907</v>
      </c>
      <c r="E2228" s="32" t="s">
        <v>323</v>
      </c>
      <c r="F2228" s="32" t="s">
        <v>5431</v>
      </c>
      <c r="G2228" s="36" t="e">
        <v>#N/A</v>
      </c>
      <c r="H2228" s="33"/>
      <c r="I2228" s="33"/>
      <c r="J2228" s="33"/>
      <c r="K2228" s="33"/>
      <c r="L2228" s="33"/>
      <c r="M2228" s="33"/>
    </row>
    <row r="2229">
      <c r="A2229" s="32" t="s">
        <v>5432</v>
      </c>
      <c r="B2229" s="32" t="s">
        <v>5433</v>
      </c>
      <c r="C2229" s="35">
        <v>35.96429825</v>
      </c>
      <c r="D2229" s="35">
        <v>-89.94400024</v>
      </c>
      <c r="E2229" s="32" t="s">
        <v>180</v>
      </c>
      <c r="F2229" s="32" t="s">
        <v>5434</v>
      </c>
      <c r="G2229" s="39" t="s">
        <v>181</v>
      </c>
      <c r="H2229" s="33"/>
      <c r="I2229" s="33"/>
      <c r="J2229" s="33"/>
      <c r="K2229" s="33"/>
      <c r="L2229" s="33"/>
      <c r="M2229" s="33"/>
    </row>
    <row r="2230">
      <c r="A2230" s="32" t="s">
        <v>5435</v>
      </c>
      <c r="B2230" s="32" t="s">
        <v>5436</v>
      </c>
      <c r="C2230" s="35">
        <v>42.54259872</v>
      </c>
      <c r="D2230" s="35">
        <v>-113.7720032</v>
      </c>
      <c r="E2230" s="32" t="s">
        <v>180</v>
      </c>
      <c r="F2230" s="32" t="s">
        <v>5437</v>
      </c>
      <c r="G2230" s="39" t="s">
        <v>181</v>
      </c>
      <c r="H2230" s="33"/>
      <c r="I2230" s="33"/>
      <c r="J2230" s="33"/>
      <c r="K2230" s="33"/>
      <c r="L2230" s="33"/>
      <c r="M2230" s="33"/>
    </row>
    <row r="2231">
      <c r="A2231" s="32" t="s">
        <v>5438</v>
      </c>
      <c r="B2231" s="32" t="s">
        <v>5439</v>
      </c>
      <c r="C2231" s="35">
        <v>7.738800049</v>
      </c>
      <c r="D2231" s="35">
        <v>-5.07366991</v>
      </c>
      <c r="E2231" s="32" t="s">
        <v>3494</v>
      </c>
      <c r="F2231" s="32" t="s">
        <v>5440</v>
      </c>
      <c r="G2231" s="36" t="e">
        <v>#N/A</v>
      </c>
      <c r="H2231" s="33"/>
      <c r="I2231" s="33"/>
      <c r="J2231" s="33"/>
      <c r="K2231" s="33"/>
      <c r="L2231" s="33"/>
      <c r="M2231" s="33"/>
    </row>
    <row r="2232">
      <c r="A2232" s="32" t="s">
        <v>5441</v>
      </c>
      <c r="B2232" s="32" t="s">
        <v>5442</v>
      </c>
      <c r="C2232" s="35">
        <v>20.39640045</v>
      </c>
      <c r="D2232" s="35">
        <v>-76.62139893</v>
      </c>
      <c r="E2232" s="32" t="s">
        <v>1294</v>
      </c>
      <c r="F2232" s="32" t="s">
        <v>5443</v>
      </c>
      <c r="G2232" s="36" t="e">
        <v>#N/A</v>
      </c>
      <c r="H2232" s="33"/>
      <c r="I2232" s="33"/>
      <c r="J2232" s="33"/>
      <c r="K2232" s="33"/>
      <c r="L2232" s="33"/>
      <c r="M2232" s="33"/>
    </row>
    <row r="2233">
      <c r="A2233" s="32" t="s">
        <v>5444</v>
      </c>
      <c r="B2233" s="32" t="s">
        <v>5445</v>
      </c>
      <c r="C2233" s="35">
        <v>46.16329956</v>
      </c>
      <c r="D2233" s="35">
        <v>100.7040024</v>
      </c>
      <c r="E2233" s="32" t="s">
        <v>2274</v>
      </c>
      <c r="F2233" s="32" t="s">
        <v>5446</v>
      </c>
      <c r="G2233" s="36" t="e">
        <v>#N/A</v>
      </c>
      <c r="H2233" s="33"/>
      <c r="I2233" s="33"/>
      <c r="J2233" s="33"/>
      <c r="K2233" s="33"/>
      <c r="L2233" s="33"/>
      <c r="M2233" s="33"/>
    </row>
    <row r="2234">
      <c r="A2234" s="32" t="s">
        <v>5447</v>
      </c>
      <c r="B2234" s="32" t="s">
        <v>5448</v>
      </c>
      <c r="C2234" s="35">
        <v>-21.247299</v>
      </c>
      <c r="D2234" s="35">
        <v>-56.452499</v>
      </c>
      <c r="E2234" s="32" t="s">
        <v>288</v>
      </c>
      <c r="F2234" s="32" t="s">
        <v>5449</v>
      </c>
      <c r="G2234" s="36" t="e">
        <v>#N/A</v>
      </c>
      <c r="H2234" s="33"/>
      <c r="I2234" s="33"/>
      <c r="J2234" s="33"/>
      <c r="K2234" s="33"/>
      <c r="L2234" s="33"/>
      <c r="M2234" s="33"/>
    </row>
    <row r="2235">
      <c r="A2235" s="32" t="s">
        <v>5450</v>
      </c>
      <c r="B2235" s="32" t="s">
        <v>5451</v>
      </c>
      <c r="C2235" s="35">
        <v>35.2804985</v>
      </c>
      <c r="D2235" s="35">
        <v>-116.6299973</v>
      </c>
      <c r="E2235" s="32" t="s">
        <v>180</v>
      </c>
      <c r="F2235" s="32" t="s">
        <v>5452</v>
      </c>
      <c r="G2235" s="39" t="s">
        <v>181</v>
      </c>
      <c r="H2235" s="33"/>
      <c r="I2235" s="33"/>
      <c r="J2235" s="33"/>
      <c r="K2235" s="33"/>
      <c r="L2235" s="33"/>
      <c r="M2235" s="33"/>
    </row>
    <row r="2236">
      <c r="A2236" s="32" t="s">
        <v>5453</v>
      </c>
      <c r="B2236" s="32" t="s">
        <v>5454</v>
      </c>
      <c r="C2236" s="35">
        <v>51.66859818</v>
      </c>
      <c r="D2236" s="35">
        <v>-9.48416996</v>
      </c>
      <c r="E2236" s="32" t="s">
        <v>199</v>
      </c>
      <c r="F2236" s="32" t="s">
        <v>5455</v>
      </c>
      <c r="G2236" s="39" t="s">
        <v>200</v>
      </c>
      <c r="H2236" s="33"/>
      <c r="I2236" s="33"/>
      <c r="J2236" s="33"/>
      <c r="K2236" s="33"/>
      <c r="L2236" s="33"/>
      <c r="M2236" s="33"/>
    </row>
    <row r="2237">
      <c r="A2237" s="32" t="s">
        <v>5456</v>
      </c>
      <c r="B2237" s="32" t="s">
        <v>5457</v>
      </c>
      <c r="C2237" s="35">
        <v>49.98500061</v>
      </c>
      <c r="D2237" s="35">
        <v>11.64000034</v>
      </c>
      <c r="E2237" s="32" t="s">
        <v>109</v>
      </c>
      <c r="F2237" s="32" t="s">
        <v>5458</v>
      </c>
      <c r="G2237" s="39" t="s">
        <v>110</v>
      </c>
      <c r="H2237" s="33"/>
      <c r="I2237" s="33"/>
      <c r="J2237" s="33"/>
      <c r="K2237" s="33"/>
      <c r="L2237" s="33"/>
      <c r="M2237" s="33"/>
    </row>
    <row r="2238">
      <c r="A2238" s="32" t="s">
        <v>5459</v>
      </c>
      <c r="B2238" s="32" t="s">
        <v>5460</v>
      </c>
      <c r="C2238" s="35">
        <v>28.97330093</v>
      </c>
      <c r="D2238" s="35">
        <v>-95.8635025</v>
      </c>
      <c r="E2238" s="32" t="s">
        <v>180</v>
      </c>
      <c r="F2238" s="32" t="s">
        <v>5461</v>
      </c>
      <c r="G2238" s="39" t="s">
        <v>181</v>
      </c>
      <c r="H2238" s="33"/>
      <c r="I2238" s="33"/>
      <c r="J2238" s="33"/>
      <c r="K2238" s="33"/>
      <c r="L2238" s="33"/>
      <c r="M2238" s="33"/>
    </row>
    <row r="2239">
      <c r="A2239" s="32" t="s">
        <v>5462</v>
      </c>
      <c r="B2239" s="32" t="s">
        <v>5463</v>
      </c>
      <c r="C2239" s="35">
        <v>13.94999981</v>
      </c>
      <c r="D2239" s="35">
        <v>-84.59999847</v>
      </c>
      <c r="E2239" s="32" t="s">
        <v>1260</v>
      </c>
      <c r="F2239" s="32" t="s">
        <v>5464</v>
      </c>
      <c r="G2239" s="36" t="e">
        <v>#N/A</v>
      </c>
      <c r="H2239" s="33"/>
      <c r="I2239" s="33"/>
      <c r="J2239" s="33"/>
      <c r="K2239" s="33"/>
      <c r="L2239" s="33"/>
      <c r="M2239" s="33"/>
    </row>
    <row r="2240">
      <c r="A2240" s="32" t="s">
        <v>5465</v>
      </c>
      <c r="B2240" s="32" t="s">
        <v>5466</v>
      </c>
      <c r="C2240" s="35">
        <v>-22.77099991</v>
      </c>
      <c r="D2240" s="35">
        <v>-41.96289825</v>
      </c>
      <c r="E2240" s="32" t="s">
        <v>288</v>
      </c>
      <c r="F2240" s="32" t="s">
        <v>5467</v>
      </c>
      <c r="G2240" s="36" t="e">
        <v>#N/A</v>
      </c>
      <c r="H2240" s="33"/>
      <c r="I2240" s="33"/>
      <c r="J2240" s="33"/>
      <c r="K2240" s="33"/>
      <c r="L2240" s="33"/>
      <c r="M2240" s="33"/>
    </row>
    <row r="2241">
      <c r="A2241" s="32" t="s">
        <v>5468</v>
      </c>
      <c r="B2241" s="32" t="s">
        <v>5469</v>
      </c>
      <c r="C2241" s="35">
        <v>-34.62360001</v>
      </c>
      <c r="D2241" s="35">
        <v>143.5780029</v>
      </c>
      <c r="E2241" s="32" t="s">
        <v>1968</v>
      </c>
      <c r="F2241" s="33"/>
      <c r="G2241" s="36" t="e">
        <v>#N/A</v>
      </c>
      <c r="H2241" s="33"/>
      <c r="I2241" s="33"/>
      <c r="J2241" s="33"/>
      <c r="K2241" s="33"/>
      <c r="L2241" s="33"/>
      <c r="M2241" s="33"/>
    </row>
    <row r="2242">
      <c r="A2242" s="32" t="s">
        <v>5470</v>
      </c>
      <c r="B2242" s="32" t="s">
        <v>5471</v>
      </c>
      <c r="C2242" s="35">
        <v>17.53910065</v>
      </c>
      <c r="D2242" s="35">
        <v>-88.30819702</v>
      </c>
      <c r="E2242" s="32" t="s">
        <v>4514</v>
      </c>
      <c r="F2242" s="32" t="s">
        <v>5472</v>
      </c>
      <c r="G2242" s="36" t="e">
        <v>#N/A</v>
      </c>
      <c r="H2242" s="33"/>
      <c r="I2242" s="33"/>
      <c r="J2242" s="33"/>
      <c r="K2242" s="33"/>
      <c r="L2242" s="33"/>
      <c r="M2242" s="33"/>
    </row>
    <row r="2243">
      <c r="A2243" s="32" t="s">
        <v>5473</v>
      </c>
      <c r="B2243" s="32" t="s">
        <v>5474</v>
      </c>
      <c r="C2243" s="35">
        <v>53.09680176</v>
      </c>
      <c r="D2243" s="35">
        <v>17.97769928</v>
      </c>
      <c r="E2243" s="32" t="s">
        <v>192</v>
      </c>
      <c r="F2243" s="32" t="s">
        <v>5475</v>
      </c>
      <c r="G2243" s="39" t="s">
        <v>193</v>
      </c>
      <c r="H2243" s="33"/>
      <c r="I2243" s="33"/>
      <c r="J2243" s="33"/>
      <c r="K2243" s="33"/>
      <c r="L2243" s="33"/>
      <c r="M2243" s="33"/>
    </row>
    <row r="2244">
      <c r="A2244" s="32" t="s">
        <v>5476</v>
      </c>
      <c r="B2244" s="32" t="s">
        <v>5477</v>
      </c>
      <c r="C2244" s="35">
        <v>39.61930084</v>
      </c>
      <c r="D2244" s="35">
        <v>27.9260006</v>
      </c>
      <c r="E2244" s="32" t="s">
        <v>133</v>
      </c>
      <c r="F2244" s="32" t="s">
        <v>5478</v>
      </c>
      <c r="G2244" s="39" t="s">
        <v>134</v>
      </c>
      <c r="H2244" s="33"/>
      <c r="I2244" s="33"/>
      <c r="J2244" s="33"/>
      <c r="K2244" s="33"/>
      <c r="L2244" s="33"/>
      <c r="M2244" s="33"/>
    </row>
    <row r="2245">
      <c r="A2245" s="32" t="s">
        <v>5479</v>
      </c>
      <c r="B2245" s="32" t="s">
        <v>5480</v>
      </c>
      <c r="C2245" s="35">
        <v>53.21419907</v>
      </c>
      <c r="D2245" s="35">
        <v>34.17639923</v>
      </c>
      <c r="E2245" s="32" t="s">
        <v>2040</v>
      </c>
      <c r="F2245" s="32" t="s">
        <v>5481</v>
      </c>
      <c r="G2245" s="36" t="e">
        <v>#N/A</v>
      </c>
      <c r="H2245" s="33"/>
      <c r="I2245" s="33"/>
      <c r="J2245" s="33"/>
      <c r="K2245" s="33"/>
      <c r="L2245" s="33"/>
      <c r="M2245" s="33"/>
    </row>
    <row r="2246">
      <c r="A2246" s="32" t="s">
        <v>5482</v>
      </c>
      <c r="B2246" s="32" t="s">
        <v>5483</v>
      </c>
      <c r="C2246" s="35">
        <v>22.8010006</v>
      </c>
      <c r="D2246" s="35">
        <v>90.30120087</v>
      </c>
      <c r="E2246" s="32" t="s">
        <v>1853</v>
      </c>
      <c r="F2246" s="32" t="s">
        <v>5484</v>
      </c>
      <c r="G2246" s="36" t="e">
        <v>#N/A</v>
      </c>
      <c r="H2246" s="33"/>
      <c r="I2246" s="33"/>
      <c r="J2246" s="33"/>
      <c r="K2246" s="33"/>
      <c r="L2246" s="33"/>
      <c r="M2246" s="33"/>
    </row>
    <row r="2247">
      <c r="A2247" s="32" t="s">
        <v>5485</v>
      </c>
      <c r="B2247" s="32" t="s">
        <v>5486</v>
      </c>
      <c r="C2247" s="35">
        <v>45.77750015</v>
      </c>
      <c r="D2247" s="35">
        <v>-111.1529999</v>
      </c>
      <c r="E2247" s="32" t="s">
        <v>180</v>
      </c>
      <c r="F2247" s="32" t="s">
        <v>5487</v>
      </c>
      <c r="G2247" s="39" t="s">
        <v>181</v>
      </c>
      <c r="H2247" s="33"/>
      <c r="I2247" s="33"/>
      <c r="J2247" s="33"/>
      <c r="K2247" s="33"/>
      <c r="L2247" s="33"/>
      <c r="M2247" s="33"/>
    </row>
    <row r="2248">
      <c r="A2248" s="32" t="s">
        <v>5488</v>
      </c>
      <c r="B2248" s="32" t="s">
        <v>5489</v>
      </c>
      <c r="C2248" s="35">
        <v>46.460201</v>
      </c>
      <c r="D2248" s="35">
        <v>11.3264</v>
      </c>
      <c r="E2248" s="32" t="s">
        <v>103</v>
      </c>
      <c r="F2248" s="32" t="s">
        <v>5490</v>
      </c>
      <c r="G2248" s="39" t="s">
        <v>104</v>
      </c>
      <c r="H2248" s="33"/>
      <c r="I2248" s="33"/>
      <c r="J2248" s="33"/>
      <c r="K2248" s="33"/>
      <c r="L2248" s="33"/>
      <c r="M2248" s="33"/>
    </row>
    <row r="2249">
      <c r="A2249" s="32" t="s">
        <v>5491</v>
      </c>
      <c r="B2249" s="32" t="s">
        <v>5492</v>
      </c>
      <c r="C2249" s="35">
        <v>43.32350159</v>
      </c>
      <c r="D2249" s="35">
        <v>3.353899956</v>
      </c>
      <c r="E2249" s="32" t="s">
        <v>96</v>
      </c>
      <c r="F2249" s="32" t="s">
        <v>5493</v>
      </c>
      <c r="G2249" s="39" t="s">
        <v>97</v>
      </c>
      <c r="H2249" s="33"/>
      <c r="I2249" s="33"/>
      <c r="J2249" s="33"/>
      <c r="K2249" s="33"/>
      <c r="L2249" s="33"/>
      <c r="M2249" s="33"/>
    </row>
    <row r="2250">
      <c r="A2250" s="32" t="s">
        <v>5494</v>
      </c>
      <c r="B2250" s="32" t="s">
        <v>5495</v>
      </c>
      <c r="C2250" s="35">
        <v>-4.251699924</v>
      </c>
      <c r="D2250" s="35">
        <v>15.25300026</v>
      </c>
      <c r="E2250" s="32" t="s">
        <v>5496</v>
      </c>
      <c r="F2250" s="32" t="s">
        <v>5497</v>
      </c>
      <c r="G2250" s="36" t="e">
        <v>#N/A</v>
      </c>
      <c r="H2250" s="33"/>
      <c r="I2250" s="33"/>
      <c r="J2250" s="33"/>
      <c r="K2250" s="33"/>
      <c r="L2250" s="33"/>
      <c r="M2250" s="33"/>
    </row>
    <row r="2251">
      <c r="A2251" s="32" t="s">
        <v>5498</v>
      </c>
      <c r="B2251" s="32" t="s">
        <v>5499</v>
      </c>
      <c r="C2251" s="35">
        <v>47.83810043</v>
      </c>
      <c r="D2251" s="35">
        <v>27.78149986</v>
      </c>
      <c r="E2251" s="32" t="s">
        <v>3238</v>
      </c>
      <c r="F2251" s="32" t="s">
        <v>5500</v>
      </c>
      <c r="G2251" s="36" t="e">
        <v>#N/A</v>
      </c>
      <c r="H2251" s="33"/>
      <c r="I2251" s="33"/>
      <c r="J2251" s="33"/>
      <c r="K2251" s="33"/>
      <c r="L2251" s="33"/>
      <c r="M2251" s="33"/>
    </row>
    <row r="2252">
      <c r="A2252" s="32" t="s">
        <v>5501</v>
      </c>
      <c r="B2252" s="32" t="s">
        <v>5502</v>
      </c>
      <c r="C2252" s="35">
        <v>51.75</v>
      </c>
      <c r="D2252" s="35">
        <v>-1.58362</v>
      </c>
      <c r="E2252" s="32" t="s">
        <v>90</v>
      </c>
      <c r="F2252" s="32" t="s">
        <v>5503</v>
      </c>
      <c r="G2252" s="39" t="s">
        <v>91</v>
      </c>
      <c r="H2252" s="33"/>
      <c r="I2252" s="33"/>
      <c r="J2252" s="33"/>
      <c r="K2252" s="33"/>
      <c r="L2252" s="33"/>
      <c r="M2252" s="33"/>
    </row>
    <row r="2253">
      <c r="A2253" s="32" t="s">
        <v>5504</v>
      </c>
      <c r="B2253" s="32" t="s">
        <v>5505</v>
      </c>
      <c r="C2253" s="35">
        <v>41.44620132</v>
      </c>
      <c r="D2253" s="35">
        <v>-85.93479919</v>
      </c>
      <c r="E2253" s="32" t="s">
        <v>180</v>
      </c>
      <c r="F2253" s="32" t="s">
        <v>5506</v>
      </c>
      <c r="G2253" s="39" t="s">
        <v>181</v>
      </c>
      <c r="H2253" s="33"/>
      <c r="I2253" s="33"/>
      <c r="J2253" s="33"/>
      <c r="K2253" s="33"/>
      <c r="L2253" s="33"/>
      <c r="M2253" s="33"/>
    </row>
    <row r="2254">
      <c r="A2254" s="32" t="s">
        <v>5507</v>
      </c>
      <c r="B2254" s="32" t="s">
        <v>5508</v>
      </c>
      <c r="C2254" s="35">
        <v>-5.596990108</v>
      </c>
      <c r="D2254" s="35">
        <v>12.18840027</v>
      </c>
      <c r="E2254" s="32" t="s">
        <v>764</v>
      </c>
      <c r="F2254" s="32" t="s">
        <v>5509</v>
      </c>
      <c r="G2254" s="36" t="e">
        <v>#N/A</v>
      </c>
      <c r="H2254" s="33"/>
      <c r="I2254" s="33"/>
      <c r="J2254" s="33"/>
      <c r="K2254" s="33"/>
      <c r="L2254" s="33"/>
      <c r="M2254" s="33"/>
    </row>
    <row r="2255">
      <c r="A2255" s="32" t="s">
        <v>5510</v>
      </c>
      <c r="B2255" s="32" t="s">
        <v>5511</v>
      </c>
      <c r="C2255" s="35">
        <v>-25.00029945</v>
      </c>
      <c r="D2255" s="35">
        <v>-53.50080109</v>
      </c>
      <c r="E2255" s="32" t="s">
        <v>288</v>
      </c>
      <c r="F2255" s="32" t="s">
        <v>5512</v>
      </c>
      <c r="G2255" s="36" t="e">
        <v>#N/A</v>
      </c>
      <c r="H2255" s="33"/>
      <c r="I2255" s="33"/>
      <c r="J2255" s="33"/>
      <c r="K2255" s="33"/>
      <c r="L2255" s="33"/>
      <c r="M2255" s="33"/>
    </row>
    <row r="2256">
      <c r="A2256" s="32" t="s">
        <v>5513</v>
      </c>
      <c r="B2256" s="32" t="s">
        <v>5514</v>
      </c>
      <c r="C2256" s="35">
        <v>33.93880081</v>
      </c>
      <c r="D2256" s="35">
        <v>-81.11949921</v>
      </c>
      <c r="E2256" s="32" t="s">
        <v>180</v>
      </c>
      <c r="F2256" s="32" t="s">
        <v>5515</v>
      </c>
      <c r="G2256" s="39" t="s">
        <v>181</v>
      </c>
      <c r="H2256" s="33"/>
      <c r="I2256" s="33"/>
      <c r="J2256" s="33"/>
      <c r="K2256" s="33"/>
      <c r="L2256" s="33"/>
      <c r="M2256" s="33"/>
    </row>
    <row r="2257">
      <c r="A2257" s="32" t="s">
        <v>5516</v>
      </c>
      <c r="B2257" s="32" t="s">
        <v>5517</v>
      </c>
      <c r="C2257" s="35">
        <v>-4.871520042</v>
      </c>
      <c r="D2257" s="35">
        <v>-66.89749908</v>
      </c>
      <c r="E2257" s="32" t="s">
        <v>288</v>
      </c>
      <c r="F2257" s="32" t="s">
        <v>5518</v>
      </c>
      <c r="G2257" s="36" t="e">
        <v>#N/A</v>
      </c>
      <c r="H2257" s="33"/>
      <c r="I2257" s="33"/>
      <c r="J2257" s="33"/>
      <c r="K2257" s="33"/>
      <c r="L2257" s="33"/>
      <c r="M2257" s="33"/>
    </row>
    <row r="2258">
      <c r="A2258" s="32" t="s">
        <v>5519</v>
      </c>
      <c r="B2258" s="32" t="s">
        <v>5520</v>
      </c>
      <c r="C2258" s="35">
        <v>39.251499</v>
      </c>
      <c r="D2258" s="35">
        <v>9.05428</v>
      </c>
      <c r="E2258" s="32" t="s">
        <v>103</v>
      </c>
      <c r="F2258" s="32" t="s">
        <v>5521</v>
      </c>
      <c r="G2258" s="39" t="s">
        <v>104</v>
      </c>
      <c r="H2258" s="33"/>
      <c r="I2258" s="33"/>
      <c r="J2258" s="33"/>
      <c r="K2258" s="33"/>
      <c r="L2258" s="33"/>
      <c r="M2258" s="33"/>
    </row>
    <row r="2259">
      <c r="A2259" s="32" t="s">
        <v>5522</v>
      </c>
      <c r="B2259" s="32" t="s">
        <v>5523</v>
      </c>
      <c r="C2259" s="35">
        <v>9.177667</v>
      </c>
      <c r="D2259" s="35">
        <v>105.177778</v>
      </c>
      <c r="E2259" s="32" t="s">
        <v>1913</v>
      </c>
      <c r="F2259" s="32" t="s">
        <v>5524</v>
      </c>
      <c r="G2259" s="36" t="e">
        <v>#N/A</v>
      </c>
      <c r="H2259" s="33"/>
      <c r="I2259" s="33"/>
      <c r="J2259" s="33"/>
      <c r="K2259" s="33"/>
      <c r="L2259" s="33"/>
      <c r="M2259" s="33"/>
    </row>
    <row r="2260">
      <c r="A2260" s="32" t="s">
        <v>38</v>
      </c>
      <c r="B2260" s="32" t="s">
        <v>5525</v>
      </c>
      <c r="C2260" s="35">
        <v>30.12190056</v>
      </c>
      <c r="D2260" s="35">
        <v>31.40559959</v>
      </c>
      <c r="E2260" s="32" t="s">
        <v>15</v>
      </c>
      <c r="F2260" s="32" t="s">
        <v>821</v>
      </c>
      <c r="G2260" s="36" t="e">
        <v>#N/A</v>
      </c>
      <c r="H2260" s="33"/>
      <c r="I2260" s="33"/>
      <c r="J2260" s="33"/>
      <c r="K2260" s="33"/>
      <c r="L2260" s="33"/>
      <c r="M2260" s="33"/>
    </row>
    <row r="2261">
      <c r="A2261" s="32" t="s">
        <v>5526</v>
      </c>
      <c r="B2261" s="32" t="s">
        <v>5527</v>
      </c>
      <c r="C2261" s="35">
        <v>6.231988907</v>
      </c>
      <c r="D2261" s="35">
        <v>-62.85443115</v>
      </c>
      <c r="E2261" s="32" t="s">
        <v>315</v>
      </c>
      <c r="F2261" s="32" t="s">
        <v>5528</v>
      </c>
      <c r="G2261" s="36" t="e">
        <v>#N/A</v>
      </c>
      <c r="H2261" s="33"/>
      <c r="I2261" s="33"/>
      <c r="J2261" s="33"/>
      <c r="K2261" s="33"/>
      <c r="L2261" s="33"/>
      <c r="M2261" s="33"/>
    </row>
    <row r="2262">
      <c r="A2262" s="32" t="s">
        <v>5529</v>
      </c>
      <c r="B2262" s="32" t="s">
        <v>5530</v>
      </c>
      <c r="C2262" s="35">
        <v>40.91609955</v>
      </c>
      <c r="D2262" s="35">
        <v>-81.44219971</v>
      </c>
      <c r="E2262" s="32" t="s">
        <v>180</v>
      </c>
      <c r="F2262" s="32" t="s">
        <v>3813</v>
      </c>
      <c r="G2262" s="39" t="s">
        <v>181</v>
      </c>
      <c r="H2262" s="33"/>
      <c r="I2262" s="33"/>
      <c r="J2262" s="33"/>
      <c r="K2262" s="33"/>
      <c r="L2262" s="33"/>
      <c r="M2262" s="33"/>
    </row>
    <row r="2263">
      <c r="A2263" s="32" t="s">
        <v>5531</v>
      </c>
      <c r="B2263" s="32" t="s">
        <v>5532</v>
      </c>
      <c r="C2263" s="35">
        <v>55.43719864</v>
      </c>
      <c r="D2263" s="35">
        <v>-5.686389923</v>
      </c>
      <c r="E2263" s="32" t="s">
        <v>90</v>
      </c>
      <c r="F2263" s="32" t="s">
        <v>5533</v>
      </c>
      <c r="G2263" s="39" t="s">
        <v>91</v>
      </c>
      <c r="H2263" s="33"/>
      <c r="I2263" s="33"/>
      <c r="J2263" s="33"/>
      <c r="K2263" s="33"/>
      <c r="L2263" s="33"/>
      <c r="M2263" s="33"/>
    </row>
    <row r="2264">
      <c r="A2264" s="32" t="s">
        <v>5534</v>
      </c>
      <c r="B2264" s="32" t="s">
        <v>5535</v>
      </c>
      <c r="C2264" s="35">
        <v>23.39240074</v>
      </c>
      <c r="D2264" s="35">
        <v>113.2990036</v>
      </c>
      <c r="E2264" s="32" t="s">
        <v>205</v>
      </c>
      <c r="F2264" s="32" t="s">
        <v>5536</v>
      </c>
      <c r="G2264" s="39" t="s">
        <v>206</v>
      </c>
      <c r="H2264" s="33"/>
      <c r="I2264" s="33"/>
      <c r="J2264" s="33"/>
      <c r="K2264" s="33"/>
      <c r="L2264" s="33"/>
      <c r="M2264" s="33"/>
    </row>
    <row r="2265">
      <c r="A2265" s="32" t="s">
        <v>5537</v>
      </c>
      <c r="B2265" s="32" t="s">
        <v>5538</v>
      </c>
      <c r="C2265" s="35">
        <v>19.7329998</v>
      </c>
      <c r="D2265" s="35">
        <v>-72.19470215</v>
      </c>
      <c r="E2265" s="32" t="s">
        <v>1289</v>
      </c>
      <c r="F2265" s="32" t="s">
        <v>5539</v>
      </c>
      <c r="G2265" s="36" t="e">
        <v>#N/A</v>
      </c>
      <c r="H2265" s="33"/>
      <c r="I2265" s="33"/>
      <c r="J2265" s="33"/>
      <c r="K2265" s="33"/>
      <c r="L2265" s="33"/>
      <c r="M2265" s="33"/>
    </row>
    <row r="2266">
      <c r="A2266" s="32" t="s">
        <v>5540</v>
      </c>
      <c r="B2266" s="32" t="s">
        <v>5541</v>
      </c>
      <c r="C2266" s="35">
        <v>7.96847</v>
      </c>
      <c r="D2266" s="35">
        <v>-75.1985</v>
      </c>
      <c r="E2266" s="32" t="s">
        <v>292</v>
      </c>
      <c r="F2266" s="32" t="s">
        <v>5542</v>
      </c>
      <c r="G2266" s="36" t="e">
        <v>#N/A</v>
      </c>
      <c r="H2266" s="33"/>
      <c r="I2266" s="33"/>
      <c r="J2266" s="33"/>
      <c r="K2266" s="33"/>
      <c r="L2266" s="33"/>
      <c r="M2266" s="33"/>
    </row>
    <row r="2267">
      <c r="A2267" s="32" t="s">
        <v>5543</v>
      </c>
      <c r="B2267" s="32" t="s">
        <v>5544</v>
      </c>
      <c r="C2267" s="35">
        <v>46.87149811</v>
      </c>
      <c r="D2267" s="35">
        <v>-68.01789856</v>
      </c>
      <c r="E2267" s="32" t="s">
        <v>180</v>
      </c>
      <c r="F2267" s="32" t="s">
        <v>5545</v>
      </c>
      <c r="G2267" s="39" t="s">
        <v>181</v>
      </c>
      <c r="H2267" s="33"/>
      <c r="I2267" s="33"/>
      <c r="J2267" s="33"/>
      <c r="K2267" s="33"/>
      <c r="L2267" s="33"/>
      <c r="M2267" s="33"/>
    </row>
    <row r="2268">
      <c r="A2268" s="32" t="s">
        <v>5546</v>
      </c>
      <c r="B2268" s="32" t="s">
        <v>5547</v>
      </c>
      <c r="C2268" s="35">
        <v>24.31529999</v>
      </c>
      <c r="D2268" s="35">
        <v>-75.45230103</v>
      </c>
      <c r="E2268" s="32" t="s">
        <v>319</v>
      </c>
      <c r="F2268" s="32" t="s">
        <v>5548</v>
      </c>
      <c r="G2268" s="36" t="e">
        <v>#N/A</v>
      </c>
      <c r="H2268" s="33"/>
      <c r="I2268" s="33"/>
      <c r="J2268" s="33"/>
      <c r="K2268" s="33"/>
      <c r="L2268" s="33"/>
      <c r="M2268" s="33"/>
    </row>
    <row r="2269">
      <c r="A2269" s="32" t="s">
        <v>5549</v>
      </c>
      <c r="B2269" s="32" t="s">
        <v>5550</v>
      </c>
      <c r="C2269" s="35">
        <v>-8.282389641</v>
      </c>
      <c r="D2269" s="35">
        <v>-36.01350021</v>
      </c>
      <c r="E2269" s="32" t="s">
        <v>288</v>
      </c>
      <c r="F2269" s="32" t="s">
        <v>5551</v>
      </c>
      <c r="G2269" s="36" t="e">
        <v>#N/A</v>
      </c>
      <c r="H2269" s="33"/>
      <c r="I2269" s="33"/>
      <c r="J2269" s="33"/>
      <c r="K2269" s="33"/>
      <c r="L2269" s="33"/>
      <c r="M2269" s="33"/>
    </row>
    <row r="2270">
      <c r="A2270" s="32" t="s">
        <v>5552</v>
      </c>
      <c r="B2270" s="32" t="s">
        <v>5553</v>
      </c>
      <c r="C2270" s="35">
        <v>-21.69829941</v>
      </c>
      <c r="D2270" s="35">
        <v>-41.30170059</v>
      </c>
      <c r="E2270" s="32" t="s">
        <v>288</v>
      </c>
      <c r="F2270" s="32" t="s">
        <v>5554</v>
      </c>
      <c r="G2270" s="36" t="e">
        <v>#N/A</v>
      </c>
      <c r="H2270" s="33"/>
      <c r="I2270" s="33"/>
      <c r="J2270" s="33"/>
      <c r="K2270" s="33"/>
      <c r="L2270" s="33"/>
      <c r="M2270" s="33"/>
    </row>
    <row r="2271">
      <c r="A2271" s="32" t="s">
        <v>5555</v>
      </c>
      <c r="B2271" s="32" t="s">
        <v>5556</v>
      </c>
      <c r="C2271" s="35">
        <v>54.9375</v>
      </c>
      <c r="D2271" s="35">
        <v>-2.809170008</v>
      </c>
      <c r="E2271" s="32" t="s">
        <v>90</v>
      </c>
      <c r="F2271" s="32" t="s">
        <v>5557</v>
      </c>
      <c r="G2271" s="39" t="s">
        <v>91</v>
      </c>
      <c r="H2271" s="33"/>
      <c r="I2271" s="33"/>
      <c r="J2271" s="33"/>
      <c r="K2271" s="33"/>
      <c r="L2271" s="33"/>
      <c r="M2271" s="33"/>
    </row>
    <row r="2272">
      <c r="A2272" s="32" t="s">
        <v>5558</v>
      </c>
      <c r="B2272" s="32" t="s">
        <v>5559</v>
      </c>
      <c r="C2272" s="35">
        <v>4.819809914</v>
      </c>
      <c r="D2272" s="35">
        <v>-52.36040115</v>
      </c>
      <c r="E2272" s="32" t="s">
        <v>1754</v>
      </c>
      <c r="F2272" s="32" t="s">
        <v>5560</v>
      </c>
      <c r="G2272" s="36" t="e">
        <v>#N/A</v>
      </c>
      <c r="H2272" s="33"/>
      <c r="I2272" s="33"/>
      <c r="J2272" s="33"/>
      <c r="K2272" s="33"/>
      <c r="L2272" s="33"/>
      <c r="M2272" s="33"/>
    </row>
    <row r="2273">
      <c r="A2273" s="32" t="s">
        <v>5561</v>
      </c>
      <c r="B2273" s="32" t="s">
        <v>5562</v>
      </c>
      <c r="C2273" s="35">
        <v>-31.53829956</v>
      </c>
      <c r="D2273" s="35">
        <v>145.7940063</v>
      </c>
      <c r="E2273" s="32" t="s">
        <v>1968</v>
      </c>
      <c r="F2273" s="32" t="s">
        <v>5563</v>
      </c>
      <c r="G2273" s="36" t="e">
        <v>#N/A</v>
      </c>
      <c r="H2273" s="33"/>
      <c r="I2273" s="33"/>
      <c r="J2273" s="33"/>
      <c r="K2273" s="33"/>
      <c r="L2273" s="33"/>
      <c r="M2273" s="33"/>
    </row>
    <row r="2274">
      <c r="A2274" s="32" t="s">
        <v>5564</v>
      </c>
      <c r="B2274" s="32" t="s">
        <v>5565</v>
      </c>
      <c r="C2274" s="35">
        <v>-17.42110062</v>
      </c>
      <c r="D2274" s="35">
        <v>-66.17710114</v>
      </c>
      <c r="E2274" s="32" t="s">
        <v>323</v>
      </c>
      <c r="F2274" s="32" t="s">
        <v>5566</v>
      </c>
      <c r="G2274" s="36" t="e">
        <v>#N/A</v>
      </c>
      <c r="H2274" s="33"/>
      <c r="I2274" s="33"/>
      <c r="J2274" s="33"/>
      <c r="K2274" s="33"/>
      <c r="L2274" s="33"/>
      <c r="M2274" s="33"/>
    </row>
    <row r="2275">
      <c r="A2275" s="32" t="s">
        <v>5567</v>
      </c>
      <c r="B2275" s="32" t="s">
        <v>5568</v>
      </c>
      <c r="C2275" s="35">
        <v>39.61539841</v>
      </c>
      <c r="D2275" s="35">
        <v>-78.7609024</v>
      </c>
      <c r="E2275" s="32" t="s">
        <v>180</v>
      </c>
      <c r="F2275" s="32" t="s">
        <v>5569</v>
      </c>
      <c r="G2275" s="39" t="s">
        <v>181</v>
      </c>
      <c r="H2275" s="33"/>
      <c r="I2275" s="33"/>
      <c r="J2275" s="33"/>
      <c r="K2275" s="33"/>
      <c r="L2275" s="33"/>
      <c r="M2275" s="33"/>
    </row>
    <row r="2276">
      <c r="A2276" s="32" t="s">
        <v>5570</v>
      </c>
      <c r="B2276" s="32" t="s">
        <v>5571</v>
      </c>
      <c r="C2276" s="35">
        <v>41.25920105</v>
      </c>
      <c r="D2276" s="35">
        <v>-95.76059723</v>
      </c>
      <c r="E2276" s="32" t="s">
        <v>180</v>
      </c>
      <c r="F2276" s="32" t="s">
        <v>5572</v>
      </c>
      <c r="G2276" s="39" t="s">
        <v>181</v>
      </c>
      <c r="H2276" s="33"/>
      <c r="I2276" s="33"/>
      <c r="J2276" s="33"/>
      <c r="K2276" s="33"/>
      <c r="L2276" s="33"/>
      <c r="M2276" s="33"/>
    </row>
    <row r="2277">
      <c r="A2277" s="32" t="s">
        <v>5573</v>
      </c>
      <c r="B2277" s="32" t="s">
        <v>5574</v>
      </c>
      <c r="C2277" s="35">
        <v>52.20500183</v>
      </c>
      <c r="D2277" s="35">
        <v>0.174999997</v>
      </c>
      <c r="E2277" s="32" t="s">
        <v>90</v>
      </c>
      <c r="F2277" s="32" t="s">
        <v>5575</v>
      </c>
      <c r="G2277" s="39" t="s">
        <v>91</v>
      </c>
      <c r="H2277" s="33"/>
      <c r="I2277" s="33"/>
      <c r="J2277" s="33"/>
      <c r="K2277" s="33"/>
      <c r="L2277" s="33"/>
      <c r="M2277" s="33"/>
    </row>
    <row r="2278">
      <c r="A2278" s="32" t="s">
        <v>5576</v>
      </c>
      <c r="B2278" s="32" t="s">
        <v>5577</v>
      </c>
      <c r="C2278" s="35">
        <v>31.64570045</v>
      </c>
      <c r="D2278" s="35">
        <v>-2.269860029</v>
      </c>
      <c r="E2278" s="32" t="s">
        <v>20</v>
      </c>
      <c r="F2278" s="32" t="s">
        <v>5578</v>
      </c>
      <c r="G2278" s="36" t="e">
        <v>#N/A</v>
      </c>
      <c r="H2278" s="33"/>
      <c r="I2278" s="33"/>
      <c r="J2278" s="33"/>
      <c r="K2278" s="33"/>
      <c r="L2278" s="33"/>
      <c r="M2278" s="33"/>
    </row>
    <row r="2279">
      <c r="A2279" s="32" t="s">
        <v>5579</v>
      </c>
      <c r="B2279" s="32" t="s">
        <v>5580</v>
      </c>
      <c r="C2279" s="35">
        <v>8.122160912</v>
      </c>
      <c r="D2279" s="35">
        <v>-63.53695679</v>
      </c>
      <c r="E2279" s="32" t="s">
        <v>315</v>
      </c>
      <c r="F2279" s="32" t="s">
        <v>5581</v>
      </c>
      <c r="G2279" s="36" t="e">
        <v>#N/A</v>
      </c>
      <c r="H2279" s="33"/>
      <c r="I2279" s="33"/>
      <c r="J2279" s="33"/>
      <c r="K2279" s="33"/>
      <c r="L2279" s="33"/>
      <c r="M2279" s="33"/>
    </row>
    <row r="2280">
      <c r="A2280" s="32" t="s">
        <v>5582</v>
      </c>
      <c r="B2280" s="32" t="s">
        <v>5583</v>
      </c>
      <c r="C2280" s="35">
        <v>33.64379883</v>
      </c>
      <c r="D2280" s="35">
        <v>-88.44380188</v>
      </c>
      <c r="E2280" s="32" t="s">
        <v>180</v>
      </c>
      <c r="F2280" s="32" t="s">
        <v>5584</v>
      </c>
      <c r="G2280" s="39" t="s">
        <v>181</v>
      </c>
      <c r="H2280" s="33"/>
      <c r="I2280" s="33"/>
      <c r="J2280" s="33"/>
      <c r="K2280" s="33"/>
      <c r="L2280" s="33"/>
      <c r="M2280" s="33"/>
    </row>
    <row r="2281">
      <c r="A2281" s="32" t="s">
        <v>5585</v>
      </c>
      <c r="B2281" s="32" t="s">
        <v>5586</v>
      </c>
      <c r="C2281" s="35">
        <v>-6.756140232</v>
      </c>
      <c r="D2281" s="35">
        <v>108.5400009</v>
      </c>
      <c r="E2281" s="32" t="s">
        <v>280</v>
      </c>
      <c r="F2281" s="32" t="s">
        <v>5587</v>
      </c>
      <c r="G2281" s="36" t="e">
        <v>#N/A</v>
      </c>
      <c r="H2281" s="33"/>
      <c r="I2281" s="33"/>
      <c r="J2281" s="33"/>
      <c r="K2281" s="33"/>
      <c r="L2281" s="33"/>
      <c r="M2281" s="33"/>
    </row>
    <row r="2282">
      <c r="A2282" s="32" t="s">
        <v>5588</v>
      </c>
      <c r="B2282" s="32" t="s">
        <v>5589</v>
      </c>
      <c r="C2282" s="35">
        <v>7.165239811</v>
      </c>
      <c r="D2282" s="35">
        <v>124.2099991</v>
      </c>
      <c r="E2282" s="32" t="s">
        <v>270</v>
      </c>
      <c r="F2282" s="32" t="s">
        <v>5590</v>
      </c>
      <c r="G2282" s="36" t="e">
        <v>#N/A</v>
      </c>
      <c r="H2282" s="33"/>
      <c r="I2282" s="33"/>
      <c r="J2282" s="33"/>
      <c r="K2282" s="33"/>
      <c r="L2282" s="33"/>
      <c r="M2282" s="33"/>
    </row>
    <row r="2283">
      <c r="A2283" s="32" t="s">
        <v>5591</v>
      </c>
      <c r="B2283" s="32" t="s">
        <v>5592</v>
      </c>
      <c r="C2283" s="35">
        <v>4.976019859</v>
      </c>
      <c r="D2283" s="35">
        <v>8.347200394</v>
      </c>
      <c r="E2283" s="32" t="s">
        <v>19</v>
      </c>
      <c r="F2283" s="32" t="s">
        <v>5593</v>
      </c>
      <c r="G2283" s="36" t="e">
        <v>#N/A</v>
      </c>
      <c r="H2283" s="33"/>
      <c r="I2283" s="33"/>
      <c r="J2283" s="33"/>
      <c r="K2283" s="33"/>
      <c r="L2283" s="33"/>
      <c r="M2283" s="33"/>
    </row>
    <row r="2284">
      <c r="A2284" s="32" t="s">
        <v>5594</v>
      </c>
      <c r="B2284" s="32" t="s">
        <v>5595</v>
      </c>
      <c r="C2284" s="35">
        <v>-35.30690002</v>
      </c>
      <c r="D2284" s="35">
        <v>149.1950073</v>
      </c>
      <c r="E2284" s="32" t="s">
        <v>1968</v>
      </c>
      <c r="F2284" s="32" t="s">
        <v>5596</v>
      </c>
      <c r="G2284" s="36" t="e">
        <v>#N/A</v>
      </c>
      <c r="H2284" s="33"/>
      <c r="I2284" s="33"/>
      <c r="J2284" s="33"/>
      <c r="K2284" s="33"/>
      <c r="L2284" s="33"/>
      <c r="M2284" s="33"/>
    </row>
    <row r="2285">
      <c r="A2285" s="32" t="s">
        <v>5597</v>
      </c>
      <c r="B2285" s="32" t="s">
        <v>5598</v>
      </c>
      <c r="C2285" s="35">
        <v>-12.4792</v>
      </c>
      <c r="D2285" s="35">
        <v>13.4869</v>
      </c>
      <c r="E2285" s="32" t="s">
        <v>764</v>
      </c>
      <c r="F2285" s="32" t="s">
        <v>5599</v>
      </c>
      <c r="G2285" s="36" t="e">
        <v>#N/A</v>
      </c>
      <c r="H2285" s="33"/>
      <c r="I2285" s="33"/>
      <c r="J2285" s="33"/>
      <c r="K2285" s="33"/>
      <c r="L2285" s="33"/>
      <c r="M2285" s="33"/>
    </row>
    <row r="2286">
      <c r="A2286" s="32" t="s">
        <v>5600</v>
      </c>
      <c r="B2286" s="32" t="s">
        <v>5601</v>
      </c>
      <c r="C2286" s="35">
        <v>15.46899986</v>
      </c>
      <c r="D2286" s="35">
        <v>-90.40670013</v>
      </c>
      <c r="E2286" s="32" t="s">
        <v>1238</v>
      </c>
      <c r="F2286" s="32" t="s">
        <v>5602</v>
      </c>
      <c r="G2286" s="36" t="e">
        <v>#N/A</v>
      </c>
      <c r="H2286" s="33"/>
      <c r="I2286" s="33"/>
      <c r="J2286" s="33"/>
      <c r="K2286" s="33"/>
      <c r="L2286" s="33"/>
      <c r="M2286" s="33"/>
    </row>
    <row r="2287">
      <c r="A2287" s="32" t="s">
        <v>5603</v>
      </c>
      <c r="B2287" s="32" t="s">
        <v>5604</v>
      </c>
      <c r="C2287" s="35">
        <v>34.11159897</v>
      </c>
      <c r="D2287" s="35">
        <v>-117.6880035</v>
      </c>
      <c r="E2287" s="32" t="s">
        <v>180</v>
      </c>
      <c r="F2287" s="32" t="s">
        <v>5605</v>
      </c>
      <c r="G2287" s="39" t="s">
        <v>181</v>
      </c>
      <c r="H2287" s="33"/>
      <c r="I2287" s="33"/>
      <c r="J2287" s="33"/>
      <c r="K2287" s="33"/>
      <c r="L2287" s="33"/>
      <c r="M2287" s="33"/>
    </row>
    <row r="2288">
      <c r="A2288" s="32" t="s">
        <v>5606</v>
      </c>
      <c r="B2288" s="32" t="s">
        <v>5607</v>
      </c>
      <c r="C2288" s="35">
        <v>22.46100044</v>
      </c>
      <c r="D2288" s="35">
        <v>-78.32839966</v>
      </c>
      <c r="E2288" s="32" t="s">
        <v>1294</v>
      </c>
      <c r="F2288" s="32" t="s">
        <v>5608</v>
      </c>
      <c r="G2288" s="36" t="e">
        <v>#N/A</v>
      </c>
      <c r="H2288" s="33"/>
      <c r="I2288" s="33"/>
      <c r="J2288" s="33"/>
      <c r="K2288" s="33"/>
      <c r="L2288" s="33"/>
      <c r="M2288" s="33"/>
    </row>
    <row r="2289">
      <c r="A2289" s="32" t="s">
        <v>5609</v>
      </c>
      <c r="B2289" s="32" t="s">
        <v>5610</v>
      </c>
      <c r="C2289" s="35">
        <v>43.2159996</v>
      </c>
      <c r="D2289" s="35">
        <v>2.306319952</v>
      </c>
      <c r="E2289" s="32" t="s">
        <v>96</v>
      </c>
      <c r="F2289" s="32" t="s">
        <v>5611</v>
      </c>
      <c r="G2289" s="39" t="s">
        <v>97</v>
      </c>
      <c r="H2289" s="33"/>
      <c r="I2289" s="33"/>
      <c r="J2289" s="33"/>
      <c r="K2289" s="33"/>
      <c r="L2289" s="33"/>
      <c r="M2289" s="33"/>
    </row>
    <row r="2290">
      <c r="A2290" s="32" t="s">
        <v>5612</v>
      </c>
      <c r="B2290" s="32" t="s">
        <v>5613</v>
      </c>
      <c r="C2290" s="35">
        <v>-46.58330154</v>
      </c>
      <c r="D2290" s="35">
        <v>-71.68740082</v>
      </c>
      <c r="E2290" s="32" t="s">
        <v>300</v>
      </c>
      <c r="F2290" s="32" t="s">
        <v>5614</v>
      </c>
      <c r="G2290" s="36" t="e">
        <v>#N/A</v>
      </c>
      <c r="H2290" s="33"/>
      <c r="I2290" s="33"/>
      <c r="J2290" s="33"/>
      <c r="K2290" s="33"/>
      <c r="L2290" s="33"/>
      <c r="M2290" s="33"/>
    </row>
    <row r="2291">
      <c r="A2291" s="32" t="s">
        <v>5615</v>
      </c>
      <c r="B2291" s="32" t="s">
        <v>5616</v>
      </c>
      <c r="C2291" s="35">
        <v>-27.18059921</v>
      </c>
      <c r="D2291" s="35">
        <v>-52.05270004</v>
      </c>
      <c r="E2291" s="32" t="s">
        <v>288</v>
      </c>
      <c r="F2291" s="32" t="s">
        <v>5617</v>
      </c>
      <c r="G2291" s="36" t="e">
        <v>#N/A</v>
      </c>
      <c r="H2291" s="33"/>
      <c r="I2291" s="33"/>
      <c r="J2291" s="33"/>
      <c r="K2291" s="33"/>
      <c r="L2291" s="33"/>
      <c r="M2291" s="33"/>
    </row>
    <row r="2292">
      <c r="A2292" s="32" t="s">
        <v>5618</v>
      </c>
      <c r="B2292" s="32" t="s">
        <v>5619</v>
      </c>
      <c r="C2292" s="35">
        <v>11.13679981</v>
      </c>
      <c r="D2292" s="35">
        <v>75.95529938</v>
      </c>
      <c r="E2292" s="32" t="s">
        <v>217</v>
      </c>
      <c r="F2292" s="32" t="s">
        <v>5620</v>
      </c>
      <c r="G2292" s="39" t="s">
        <v>218</v>
      </c>
      <c r="H2292" s="33"/>
      <c r="I2292" s="33"/>
      <c r="J2292" s="33"/>
      <c r="K2292" s="33"/>
      <c r="L2292" s="33"/>
      <c r="M2292" s="33"/>
    </row>
    <row r="2293">
      <c r="A2293" s="32" t="s">
        <v>5621</v>
      </c>
      <c r="B2293" s="32" t="s">
        <v>5622</v>
      </c>
      <c r="C2293" s="35">
        <v>-12.18830013</v>
      </c>
      <c r="D2293" s="35">
        <v>96.83390045</v>
      </c>
      <c r="E2293" s="32" t="s">
        <v>5623</v>
      </c>
      <c r="F2293" s="32" t="s">
        <v>5624</v>
      </c>
      <c r="G2293" s="36" t="e">
        <v>#N/A</v>
      </c>
      <c r="H2293" s="33"/>
      <c r="I2293" s="33"/>
      <c r="J2293" s="33"/>
      <c r="K2293" s="33"/>
      <c r="L2293" s="33"/>
      <c r="M2293" s="33"/>
    </row>
    <row r="2294">
      <c r="A2294" s="32" t="s">
        <v>5625</v>
      </c>
      <c r="B2294" s="32" t="s">
        <v>5626</v>
      </c>
      <c r="C2294" s="35">
        <v>-26.77499962</v>
      </c>
      <c r="D2294" s="35">
        <v>150.6170044</v>
      </c>
      <c r="E2294" s="32" t="s">
        <v>1968</v>
      </c>
      <c r="F2294" s="32" t="s">
        <v>5627</v>
      </c>
      <c r="G2294" s="36" t="e">
        <v>#N/A</v>
      </c>
      <c r="H2294" s="33"/>
      <c r="I2294" s="33"/>
      <c r="J2294" s="33"/>
      <c r="K2294" s="33"/>
      <c r="L2294" s="33"/>
      <c r="M2294" s="33"/>
    </row>
    <row r="2295">
      <c r="A2295" s="32" t="s">
        <v>5628</v>
      </c>
      <c r="B2295" s="32" t="s">
        <v>5629</v>
      </c>
      <c r="C2295" s="35">
        <v>-28.72444344</v>
      </c>
      <c r="D2295" s="35">
        <v>-49.42139053</v>
      </c>
      <c r="E2295" s="32" t="s">
        <v>288</v>
      </c>
      <c r="F2295" s="32" t="s">
        <v>5630</v>
      </c>
      <c r="G2295" s="36" t="e">
        <v>#N/A</v>
      </c>
      <c r="H2295" s="33"/>
      <c r="I2295" s="33"/>
      <c r="J2295" s="33"/>
      <c r="K2295" s="33"/>
      <c r="L2295" s="33"/>
      <c r="M2295" s="33"/>
    </row>
    <row r="2296">
      <c r="A2296" s="32" t="s">
        <v>5631</v>
      </c>
      <c r="B2296" s="32" t="s">
        <v>5632</v>
      </c>
      <c r="C2296" s="35">
        <v>34.53300095</v>
      </c>
      <c r="D2296" s="35">
        <v>65.26699829</v>
      </c>
      <c r="E2296" s="32" t="s">
        <v>1350</v>
      </c>
      <c r="F2296" s="32" t="s">
        <v>5633</v>
      </c>
      <c r="G2296" s="36" t="e">
        <v>#N/A</v>
      </c>
      <c r="H2296" s="33"/>
      <c r="I2296" s="33"/>
      <c r="J2296" s="33"/>
      <c r="K2296" s="33"/>
      <c r="L2296" s="33"/>
      <c r="M2296" s="33"/>
    </row>
    <row r="2297">
      <c r="A2297" s="32" t="s">
        <v>5634</v>
      </c>
      <c r="B2297" s="32" t="s">
        <v>5635</v>
      </c>
      <c r="C2297" s="35">
        <v>33.31159973</v>
      </c>
      <c r="D2297" s="35">
        <v>-84.76979828</v>
      </c>
      <c r="E2297" s="32" t="s">
        <v>180</v>
      </c>
      <c r="F2297" s="32" t="s">
        <v>5636</v>
      </c>
      <c r="G2297" s="39" t="s">
        <v>181</v>
      </c>
      <c r="H2297" s="33"/>
      <c r="I2297" s="33"/>
      <c r="J2297" s="33"/>
      <c r="K2297" s="33"/>
      <c r="L2297" s="33"/>
      <c r="M2297" s="33"/>
    </row>
    <row r="2298">
      <c r="A2298" s="32" t="s">
        <v>5637</v>
      </c>
      <c r="B2298" s="32" t="s">
        <v>5638</v>
      </c>
      <c r="C2298" s="35">
        <v>-36.77270126</v>
      </c>
      <c r="D2298" s="35">
        <v>-73.06310272</v>
      </c>
      <c r="E2298" s="32" t="s">
        <v>300</v>
      </c>
      <c r="F2298" s="32" t="s">
        <v>5639</v>
      </c>
      <c r="G2298" s="36" t="e">
        <v>#N/A</v>
      </c>
      <c r="H2298" s="33"/>
      <c r="I2298" s="33"/>
      <c r="J2298" s="33"/>
      <c r="K2298" s="33"/>
      <c r="L2298" s="33"/>
      <c r="M2298" s="33"/>
    </row>
    <row r="2299">
      <c r="A2299" s="32" t="s">
        <v>5640</v>
      </c>
      <c r="B2299" s="32" t="s">
        <v>5641</v>
      </c>
      <c r="C2299" s="35">
        <v>37.98970032</v>
      </c>
      <c r="D2299" s="35">
        <v>-122.0569992</v>
      </c>
      <c r="E2299" s="32" t="s">
        <v>180</v>
      </c>
      <c r="F2299" s="32" t="s">
        <v>2069</v>
      </c>
      <c r="G2299" s="39" t="s">
        <v>181</v>
      </c>
      <c r="H2299" s="33"/>
      <c r="I2299" s="33"/>
      <c r="J2299" s="33"/>
      <c r="K2299" s="33"/>
      <c r="L2299" s="33"/>
      <c r="M2299" s="33"/>
    </row>
    <row r="2300">
      <c r="A2300" s="32" t="s">
        <v>5642</v>
      </c>
      <c r="B2300" s="32" t="s">
        <v>5643</v>
      </c>
      <c r="C2300" s="35">
        <v>10.60311699</v>
      </c>
      <c r="D2300" s="35">
        <v>-66.99058533</v>
      </c>
      <c r="E2300" s="32" t="s">
        <v>315</v>
      </c>
      <c r="F2300" s="32" t="s">
        <v>1796</v>
      </c>
      <c r="G2300" s="36" t="e">
        <v>#N/A</v>
      </c>
      <c r="H2300" s="33"/>
      <c r="I2300" s="33"/>
      <c r="J2300" s="33"/>
      <c r="K2300" s="33"/>
      <c r="L2300" s="33"/>
      <c r="M2300" s="33"/>
    </row>
    <row r="2301">
      <c r="A2301" s="32" t="s">
        <v>5644</v>
      </c>
      <c r="B2301" s="32" t="s">
        <v>5645</v>
      </c>
      <c r="C2301" s="35">
        <v>22.65469933</v>
      </c>
      <c r="D2301" s="35">
        <v>88.44670105</v>
      </c>
      <c r="E2301" s="32" t="s">
        <v>217</v>
      </c>
      <c r="F2301" s="32" t="s">
        <v>5646</v>
      </c>
      <c r="G2301" s="39" t="s">
        <v>218</v>
      </c>
      <c r="H2301" s="33"/>
      <c r="I2301" s="33"/>
      <c r="J2301" s="33"/>
      <c r="K2301" s="33"/>
      <c r="L2301" s="33"/>
      <c r="M2301" s="33"/>
    </row>
    <row r="2302">
      <c r="A2302" s="32" t="s">
        <v>5647</v>
      </c>
      <c r="B2302" s="32" t="s">
        <v>5648</v>
      </c>
      <c r="C2302" s="35">
        <v>-16.26499939</v>
      </c>
      <c r="D2302" s="35">
        <v>167.923996</v>
      </c>
      <c r="E2302" s="32" t="s">
        <v>4279</v>
      </c>
      <c r="F2302" s="32" t="s">
        <v>5649</v>
      </c>
      <c r="G2302" s="36" t="e">
        <v>#N/A</v>
      </c>
      <c r="H2302" s="33"/>
      <c r="I2302" s="33"/>
      <c r="J2302" s="33"/>
      <c r="K2302" s="33"/>
      <c r="L2302" s="33"/>
      <c r="M2302" s="33"/>
    </row>
    <row r="2303">
      <c r="A2303" s="32" t="s">
        <v>5650</v>
      </c>
      <c r="B2303" s="32" t="s">
        <v>5651</v>
      </c>
      <c r="C2303" s="35">
        <v>-16.04360008</v>
      </c>
      <c r="D2303" s="35">
        <v>-57.62990189</v>
      </c>
      <c r="E2303" s="32" t="s">
        <v>288</v>
      </c>
      <c r="F2303" s="32" t="s">
        <v>5652</v>
      </c>
      <c r="G2303" s="36" t="e">
        <v>#N/A</v>
      </c>
      <c r="H2303" s="33"/>
      <c r="I2303" s="33"/>
      <c r="J2303" s="33"/>
      <c r="K2303" s="33"/>
      <c r="L2303" s="33"/>
      <c r="M2303" s="33"/>
    </row>
    <row r="2304">
      <c r="A2304" s="32" t="s">
        <v>5653</v>
      </c>
      <c r="B2304" s="32" t="s">
        <v>5654</v>
      </c>
      <c r="C2304" s="35">
        <v>43.07260132</v>
      </c>
      <c r="D2304" s="35">
        <v>-92.6108017</v>
      </c>
      <c r="E2304" s="32" t="s">
        <v>180</v>
      </c>
      <c r="F2304" s="32" t="s">
        <v>5655</v>
      </c>
      <c r="G2304" s="39" t="s">
        <v>181</v>
      </c>
      <c r="H2304" s="33"/>
      <c r="I2304" s="33"/>
      <c r="J2304" s="33"/>
      <c r="K2304" s="33"/>
      <c r="L2304" s="33"/>
      <c r="M2304" s="33"/>
    </row>
    <row r="2305">
      <c r="A2305" s="32" t="s">
        <v>5656</v>
      </c>
      <c r="B2305" s="32" t="s">
        <v>5657</v>
      </c>
      <c r="C2305" s="35">
        <v>25.41710091</v>
      </c>
      <c r="D2305" s="35">
        <v>-77.88089752</v>
      </c>
      <c r="E2305" s="32" t="s">
        <v>319</v>
      </c>
      <c r="F2305" s="32" t="s">
        <v>5658</v>
      </c>
      <c r="G2305" s="36" t="e">
        <v>#N/A</v>
      </c>
      <c r="H2305" s="33"/>
      <c r="I2305" s="33"/>
      <c r="J2305" s="33"/>
      <c r="K2305" s="33"/>
      <c r="L2305" s="33"/>
      <c r="M2305" s="33"/>
    </row>
    <row r="2306">
      <c r="A2306" s="32" t="s">
        <v>5659</v>
      </c>
      <c r="B2306" s="32" t="s">
        <v>5660</v>
      </c>
      <c r="C2306" s="35">
        <v>-12.90330029</v>
      </c>
      <c r="D2306" s="35">
        <v>132.5319977</v>
      </c>
      <c r="E2306" s="32" t="s">
        <v>1968</v>
      </c>
      <c r="F2306" s="32" t="s">
        <v>5661</v>
      </c>
      <c r="G2306" s="36" t="e">
        <v>#N/A</v>
      </c>
      <c r="H2306" s="33"/>
      <c r="I2306" s="33"/>
      <c r="J2306" s="33"/>
      <c r="K2306" s="33"/>
      <c r="L2306" s="33"/>
      <c r="M2306" s="33"/>
    </row>
    <row r="2307">
      <c r="A2307" s="32" t="s">
        <v>5662</v>
      </c>
      <c r="B2307" s="32" t="s">
        <v>5663</v>
      </c>
      <c r="C2307" s="35">
        <v>55.20610046</v>
      </c>
      <c r="D2307" s="35">
        <v>-162.7250061</v>
      </c>
      <c r="E2307" s="32" t="s">
        <v>180</v>
      </c>
      <c r="F2307" s="32" t="s">
        <v>5664</v>
      </c>
      <c r="G2307" s="39" t="s">
        <v>181</v>
      </c>
      <c r="H2307" s="33"/>
      <c r="I2307" s="33"/>
      <c r="J2307" s="33"/>
      <c r="K2307" s="33"/>
      <c r="L2307" s="33"/>
      <c r="M2307" s="33"/>
    </row>
    <row r="2308">
      <c r="A2308" s="32" t="s">
        <v>5665</v>
      </c>
      <c r="B2308" s="32" t="s">
        <v>5666</v>
      </c>
      <c r="C2308" s="35">
        <v>37.70100021</v>
      </c>
      <c r="D2308" s="35">
        <v>-113.098999</v>
      </c>
      <c r="E2308" s="32" t="s">
        <v>180</v>
      </c>
      <c r="F2308" s="32" t="s">
        <v>5667</v>
      </c>
      <c r="G2308" s="39" t="s">
        <v>181</v>
      </c>
      <c r="H2308" s="33"/>
      <c r="I2308" s="33"/>
      <c r="J2308" s="33"/>
      <c r="K2308" s="33"/>
      <c r="L2308" s="33"/>
      <c r="M2308" s="33"/>
    </row>
    <row r="2309">
      <c r="A2309" s="32" t="s">
        <v>5668</v>
      </c>
      <c r="B2309" s="32" t="s">
        <v>5669</v>
      </c>
      <c r="C2309" s="35">
        <v>49.01279831</v>
      </c>
      <c r="D2309" s="35">
        <v>2.549999952</v>
      </c>
      <c r="E2309" s="32" t="s">
        <v>96</v>
      </c>
      <c r="F2309" s="32" t="s">
        <v>5670</v>
      </c>
      <c r="G2309" s="39" t="s">
        <v>97</v>
      </c>
      <c r="H2309" s="33"/>
      <c r="I2309" s="33"/>
      <c r="J2309" s="33"/>
      <c r="K2309" s="33"/>
      <c r="L2309" s="33"/>
      <c r="M2309" s="33"/>
    </row>
    <row r="2310">
      <c r="A2310" s="32" t="s">
        <v>5671</v>
      </c>
      <c r="B2310" s="32" t="s">
        <v>5672</v>
      </c>
      <c r="C2310" s="35">
        <v>-8.348349571</v>
      </c>
      <c r="D2310" s="35">
        <v>-49.30149841</v>
      </c>
      <c r="E2310" s="32" t="s">
        <v>288</v>
      </c>
      <c r="F2310" s="32" t="s">
        <v>5673</v>
      </c>
      <c r="G2310" s="36" t="e">
        <v>#N/A</v>
      </c>
      <c r="H2310" s="33"/>
      <c r="I2310" s="33"/>
      <c r="J2310" s="33"/>
      <c r="K2310" s="33"/>
      <c r="L2310" s="33"/>
      <c r="M2310" s="33"/>
    </row>
    <row r="2311">
      <c r="A2311" s="32" t="s">
        <v>5674</v>
      </c>
      <c r="B2311" s="32" t="s">
        <v>5675</v>
      </c>
      <c r="C2311" s="35">
        <v>34.28359985</v>
      </c>
      <c r="D2311" s="35">
        <v>-80.56490326</v>
      </c>
      <c r="E2311" s="32" t="s">
        <v>180</v>
      </c>
      <c r="F2311" s="32" t="s">
        <v>5676</v>
      </c>
      <c r="G2311" s="39" t="s">
        <v>181</v>
      </c>
      <c r="H2311" s="33"/>
      <c r="I2311" s="33"/>
      <c r="J2311" s="33"/>
      <c r="K2311" s="33"/>
      <c r="L2311" s="33"/>
      <c r="M2311" s="33"/>
    </row>
    <row r="2312">
      <c r="A2312" s="32" t="s">
        <v>5677</v>
      </c>
      <c r="B2312" s="32" t="s">
        <v>5678</v>
      </c>
      <c r="C2312" s="35">
        <v>14.51000023</v>
      </c>
      <c r="D2312" s="35">
        <v>78.77279663</v>
      </c>
      <c r="E2312" s="32" t="s">
        <v>217</v>
      </c>
      <c r="F2312" s="32" t="s">
        <v>5679</v>
      </c>
      <c r="G2312" s="39" t="s">
        <v>218</v>
      </c>
      <c r="H2312" s="33"/>
      <c r="I2312" s="33"/>
      <c r="J2312" s="33"/>
      <c r="K2312" s="33"/>
      <c r="L2312" s="33"/>
      <c r="M2312" s="33"/>
    </row>
    <row r="2313">
      <c r="A2313" s="32" t="s">
        <v>5680</v>
      </c>
      <c r="B2313" s="32" t="s">
        <v>5681</v>
      </c>
      <c r="C2313" s="35">
        <v>42.83760071</v>
      </c>
      <c r="D2313" s="35">
        <v>-103.0950012</v>
      </c>
      <c r="E2313" s="32" t="s">
        <v>180</v>
      </c>
      <c r="F2313" s="32" t="s">
        <v>5682</v>
      </c>
      <c r="G2313" s="39" t="s">
        <v>181</v>
      </c>
      <c r="H2313" s="33"/>
      <c r="I2313" s="33"/>
      <c r="J2313" s="33"/>
      <c r="K2313" s="33"/>
      <c r="L2313" s="33"/>
      <c r="M2313" s="33"/>
    </row>
    <row r="2314">
      <c r="A2314" s="32" t="s">
        <v>5683</v>
      </c>
      <c r="B2314" s="32" t="s">
        <v>5684</v>
      </c>
      <c r="C2314" s="35">
        <v>34.43379974</v>
      </c>
      <c r="D2314" s="35">
        <v>-100.288002</v>
      </c>
      <c r="E2314" s="32" t="s">
        <v>180</v>
      </c>
      <c r="F2314" s="32" t="s">
        <v>5685</v>
      </c>
      <c r="G2314" s="39" t="s">
        <v>181</v>
      </c>
      <c r="H2314" s="33"/>
      <c r="I2314" s="33"/>
      <c r="J2314" s="33"/>
      <c r="K2314" s="33"/>
      <c r="L2314" s="33"/>
      <c r="M2314" s="33"/>
    </row>
    <row r="2315">
      <c r="A2315" s="32" t="s">
        <v>5686</v>
      </c>
      <c r="B2315" s="32" t="s">
        <v>5687</v>
      </c>
      <c r="C2315" s="35">
        <v>40.213889</v>
      </c>
      <c r="D2315" s="35">
        <v>0.073333</v>
      </c>
      <c r="E2315" s="32" t="s">
        <v>115</v>
      </c>
      <c r="F2315" s="32" t="s">
        <v>5688</v>
      </c>
      <c r="G2315" s="39" t="s">
        <v>116</v>
      </c>
      <c r="H2315" s="33"/>
      <c r="I2315" s="33"/>
      <c r="J2315" s="33"/>
      <c r="K2315" s="33"/>
      <c r="L2315" s="33"/>
      <c r="M2315" s="33"/>
    </row>
    <row r="2316">
      <c r="A2316" s="32" t="s">
        <v>5689</v>
      </c>
      <c r="B2316" s="32" t="s">
        <v>5690</v>
      </c>
      <c r="C2316" s="35">
        <v>-34.04029846</v>
      </c>
      <c r="D2316" s="35">
        <v>150.6869965</v>
      </c>
      <c r="E2316" s="32" t="s">
        <v>1968</v>
      </c>
      <c r="F2316" s="32" t="s">
        <v>5676</v>
      </c>
      <c r="G2316" s="36" t="e">
        <v>#N/A</v>
      </c>
      <c r="H2316" s="33"/>
      <c r="I2316" s="33"/>
      <c r="J2316" s="33"/>
      <c r="K2316" s="33"/>
      <c r="L2316" s="33"/>
      <c r="M2316" s="33"/>
    </row>
    <row r="2317">
      <c r="A2317" s="32" t="s">
        <v>5691</v>
      </c>
      <c r="B2317" s="32" t="s">
        <v>5692</v>
      </c>
      <c r="C2317" s="35">
        <v>60.4917984</v>
      </c>
      <c r="D2317" s="35">
        <v>-145.4779968</v>
      </c>
      <c r="E2317" s="32" t="s">
        <v>180</v>
      </c>
      <c r="F2317" s="32" t="s">
        <v>5693</v>
      </c>
      <c r="G2317" s="39" t="s">
        <v>181</v>
      </c>
      <c r="H2317" s="33"/>
      <c r="I2317" s="33"/>
      <c r="J2317" s="33"/>
      <c r="K2317" s="33"/>
      <c r="L2317" s="33"/>
      <c r="M2317" s="33"/>
    </row>
    <row r="2318">
      <c r="A2318" s="32" t="s">
        <v>5694</v>
      </c>
      <c r="B2318" s="32" t="s">
        <v>5695</v>
      </c>
      <c r="C2318" s="35">
        <v>40.87519836</v>
      </c>
      <c r="D2318" s="35">
        <v>-74.28140259</v>
      </c>
      <c r="E2318" s="32" t="s">
        <v>180</v>
      </c>
      <c r="F2318" s="32" t="s">
        <v>5696</v>
      </c>
      <c r="G2318" s="39" t="s">
        <v>181</v>
      </c>
      <c r="H2318" s="33"/>
      <c r="I2318" s="33"/>
      <c r="J2318" s="33"/>
      <c r="K2318" s="33"/>
      <c r="L2318" s="33"/>
      <c r="M2318" s="33"/>
    </row>
    <row r="2319">
      <c r="A2319" s="32" t="s">
        <v>5697</v>
      </c>
      <c r="B2319" s="32" t="s">
        <v>5698</v>
      </c>
      <c r="C2319" s="35">
        <v>10.30749989</v>
      </c>
      <c r="D2319" s="35">
        <v>123.9789963</v>
      </c>
      <c r="E2319" s="32" t="s">
        <v>270</v>
      </c>
      <c r="F2319" s="32" t="s">
        <v>5699</v>
      </c>
      <c r="G2319" s="36" t="e">
        <v>#N/A</v>
      </c>
      <c r="H2319" s="33"/>
      <c r="I2319" s="33"/>
      <c r="J2319" s="33"/>
      <c r="K2319" s="33"/>
      <c r="L2319" s="33"/>
      <c r="M2319" s="33"/>
    </row>
    <row r="2320">
      <c r="A2320" s="32" t="s">
        <v>5700</v>
      </c>
      <c r="B2320" s="32" t="s">
        <v>5701</v>
      </c>
      <c r="C2320" s="35">
        <v>41.78020096</v>
      </c>
      <c r="D2320" s="35">
        <v>-124.2369995</v>
      </c>
      <c r="E2320" s="32" t="s">
        <v>180</v>
      </c>
      <c r="F2320" s="32" t="s">
        <v>5702</v>
      </c>
      <c r="G2320" s="39" t="s">
        <v>181</v>
      </c>
      <c r="H2320" s="33"/>
      <c r="I2320" s="33"/>
      <c r="J2320" s="33"/>
      <c r="K2320" s="33"/>
      <c r="L2320" s="33"/>
      <c r="M2320" s="33"/>
    </row>
    <row r="2321">
      <c r="A2321" s="32" t="s">
        <v>5703</v>
      </c>
      <c r="B2321" s="32" t="s">
        <v>5704</v>
      </c>
      <c r="C2321" s="35">
        <v>-32.13059998</v>
      </c>
      <c r="D2321" s="35">
        <v>133.7100067</v>
      </c>
      <c r="E2321" s="32" t="s">
        <v>1968</v>
      </c>
      <c r="F2321" s="32" t="s">
        <v>5705</v>
      </c>
      <c r="G2321" s="36" t="e">
        <v>#N/A</v>
      </c>
      <c r="H2321" s="33"/>
      <c r="I2321" s="33"/>
      <c r="J2321" s="33"/>
      <c r="K2321" s="33"/>
      <c r="L2321" s="33"/>
      <c r="M2321" s="33"/>
    </row>
    <row r="2322">
      <c r="A2322" s="32" t="s">
        <v>5706</v>
      </c>
      <c r="B2322" s="32" t="s">
        <v>5707</v>
      </c>
      <c r="C2322" s="35">
        <v>59.27360153</v>
      </c>
      <c r="D2322" s="35">
        <v>38.01580048</v>
      </c>
      <c r="E2322" s="32" t="s">
        <v>2040</v>
      </c>
      <c r="F2322" s="32" t="s">
        <v>5708</v>
      </c>
      <c r="G2322" s="36" t="e">
        <v>#N/A</v>
      </c>
      <c r="H2322" s="33"/>
      <c r="I2322" s="33"/>
      <c r="J2322" s="33"/>
      <c r="K2322" s="33"/>
      <c r="L2322" s="33"/>
      <c r="M2322" s="33"/>
    </row>
    <row r="2323">
      <c r="A2323" s="32" t="s">
        <v>5709</v>
      </c>
      <c r="B2323" s="32" t="s">
        <v>5710</v>
      </c>
      <c r="C2323" s="35">
        <v>42.19400024</v>
      </c>
      <c r="D2323" s="35">
        <v>-72.53479767</v>
      </c>
      <c r="E2323" s="32" t="s">
        <v>180</v>
      </c>
      <c r="F2323" s="32" t="s">
        <v>5711</v>
      </c>
      <c r="G2323" s="39" t="s">
        <v>181</v>
      </c>
      <c r="H2323" s="33"/>
      <c r="I2323" s="33"/>
      <c r="J2323" s="33"/>
      <c r="K2323" s="33"/>
      <c r="L2323" s="33"/>
      <c r="M2323" s="33"/>
    </row>
    <row r="2324">
      <c r="A2324" s="32" t="s">
        <v>5712</v>
      </c>
      <c r="B2324" s="32" t="s">
        <v>5713</v>
      </c>
      <c r="C2324" s="35">
        <v>53.17810059</v>
      </c>
      <c r="D2324" s="35">
        <v>-2.977780104</v>
      </c>
      <c r="E2324" s="32" t="s">
        <v>90</v>
      </c>
      <c r="F2324" s="32" t="s">
        <v>5714</v>
      </c>
      <c r="G2324" s="39" t="s">
        <v>91</v>
      </c>
      <c r="H2324" s="33"/>
      <c r="I2324" s="33"/>
      <c r="J2324" s="33"/>
      <c r="K2324" s="33"/>
      <c r="L2324" s="33"/>
      <c r="M2324" s="33"/>
    </row>
    <row r="2325">
      <c r="A2325" s="32" t="s">
        <v>5715</v>
      </c>
      <c r="B2325" s="32" t="s">
        <v>5716</v>
      </c>
      <c r="C2325" s="35">
        <v>19.95229912</v>
      </c>
      <c r="D2325" s="35">
        <v>99.88289642</v>
      </c>
      <c r="E2325" s="32" t="s">
        <v>175</v>
      </c>
      <c r="F2325" s="32" t="s">
        <v>5717</v>
      </c>
      <c r="G2325" s="39" t="s">
        <v>176</v>
      </c>
      <c r="H2325" s="33"/>
      <c r="I2325" s="33"/>
      <c r="J2325" s="33"/>
      <c r="K2325" s="33"/>
      <c r="L2325" s="33"/>
      <c r="M2325" s="33"/>
    </row>
    <row r="2326">
      <c r="A2326" s="32" t="s">
        <v>5718</v>
      </c>
      <c r="B2326" s="32" t="s">
        <v>5719</v>
      </c>
      <c r="C2326" s="35">
        <v>51.40219879</v>
      </c>
      <c r="D2326" s="35">
        <v>31.1583004</v>
      </c>
      <c r="E2326" s="32" t="s">
        <v>3293</v>
      </c>
      <c r="F2326" s="32" t="s">
        <v>5720</v>
      </c>
      <c r="G2326" s="36" t="e">
        <v>#N/A</v>
      </c>
      <c r="H2326" s="33"/>
      <c r="I2326" s="33"/>
      <c r="J2326" s="33"/>
      <c r="K2326" s="33"/>
      <c r="L2326" s="33"/>
      <c r="M2326" s="33"/>
    </row>
    <row r="2327">
      <c r="A2327" s="32" t="s">
        <v>5721</v>
      </c>
      <c r="B2327" s="32" t="s">
        <v>5722</v>
      </c>
      <c r="C2327" s="35">
        <v>55.305801</v>
      </c>
      <c r="D2327" s="35">
        <v>61.5033</v>
      </c>
      <c r="E2327" s="32" t="s">
        <v>2040</v>
      </c>
      <c r="F2327" s="32" t="s">
        <v>5723</v>
      </c>
      <c r="G2327" s="36" t="e">
        <v>#N/A</v>
      </c>
      <c r="H2327" s="33"/>
      <c r="I2327" s="33"/>
      <c r="J2327" s="33"/>
      <c r="K2327" s="33"/>
      <c r="L2327" s="33"/>
      <c r="M2327" s="33"/>
    </row>
    <row r="2328">
      <c r="A2328" s="32" t="s">
        <v>5724</v>
      </c>
      <c r="B2328" s="32" t="s">
        <v>5725</v>
      </c>
      <c r="C2328" s="35">
        <v>65.57379913</v>
      </c>
      <c r="D2328" s="35">
        <v>-144.7830048</v>
      </c>
      <c r="E2328" s="32" t="s">
        <v>180</v>
      </c>
      <c r="F2328" s="32" t="s">
        <v>5726</v>
      </c>
      <c r="G2328" s="39" t="s">
        <v>181</v>
      </c>
      <c r="H2328" s="33"/>
      <c r="I2328" s="33"/>
      <c r="J2328" s="33"/>
      <c r="K2328" s="33"/>
      <c r="L2328" s="33"/>
      <c r="M2328" s="33"/>
    </row>
    <row r="2329">
      <c r="A2329" s="32" t="s">
        <v>5727</v>
      </c>
      <c r="B2329" s="32" t="s">
        <v>5728</v>
      </c>
      <c r="C2329" s="35">
        <v>27.39259911</v>
      </c>
      <c r="D2329" s="35">
        <v>-109.8330002</v>
      </c>
      <c r="E2329" s="32" t="s">
        <v>186</v>
      </c>
      <c r="F2329" s="32" t="s">
        <v>5729</v>
      </c>
      <c r="G2329" s="39" t="s">
        <v>187</v>
      </c>
      <c r="H2329" s="33"/>
      <c r="I2329" s="33"/>
      <c r="J2329" s="33"/>
      <c r="K2329" s="33"/>
      <c r="L2329" s="33"/>
      <c r="M2329" s="33"/>
    </row>
    <row r="2330">
      <c r="A2330" s="32" t="s">
        <v>5730</v>
      </c>
      <c r="B2330" s="32" t="s">
        <v>5731</v>
      </c>
      <c r="C2330" s="35">
        <v>43.54199982</v>
      </c>
      <c r="D2330" s="35">
        <v>6.953479767</v>
      </c>
      <c r="E2330" s="32" t="s">
        <v>96</v>
      </c>
      <c r="F2330" s="32" t="s">
        <v>5732</v>
      </c>
      <c r="G2330" s="39" t="s">
        <v>97</v>
      </c>
      <c r="H2330" s="33"/>
      <c r="I2330" s="33"/>
      <c r="J2330" s="33"/>
      <c r="K2330" s="33"/>
      <c r="L2330" s="33"/>
      <c r="M2330" s="33"/>
    </row>
    <row r="2331">
      <c r="A2331" s="32" t="s">
        <v>5733</v>
      </c>
      <c r="B2331" s="32" t="s">
        <v>5734</v>
      </c>
      <c r="C2331" s="35">
        <v>49.65010071</v>
      </c>
      <c r="D2331" s="35">
        <v>-1.470280051</v>
      </c>
      <c r="E2331" s="32" t="s">
        <v>96</v>
      </c>
      <c r="F2331" s="32" t="s">
        <v>5735</v>
      </c>
      <c r="G2331" s="39" t="s">
        <v>97</v>
      </c>
      <c r="H2331" s="33"/>
      <c r="I2331" s="33"/>
      <c r="J2331" s="33"/>
      <c r="K2331" s="33"/>
      <c r="L2331" s="33"/>
      <c r="M2331" s="33"/>
    </row>
    <row r="2332">
      <c r="A2332" s="32" t="s">
        <v>5736</v>
      </c>
      <c r="B2332" s="32" t="s">
        <v>5737</v>
      </c>
      <c r="C2332" s="35">
        <v>-32.787498</v>
      </c>
      <c r="D2332" s="35">
        <v>151.341995</v>
      </c>
      <c r="E2332" s="32" t="s">
        <v>1968</v>
      </c>
      <c r="F2332" s="32" t="s">
        <v>5738</v>
      </c>
      <c r="G2332" s="36" t="e">
        <v>#N/A</v>
      </c>
      <c r="H2332" s="33"/>
      <c r="I2332" s="33"/>
      <c r="J2332" s="33"/>
      <c r="K2332" s="33"/>
      <c r="L2332" s="33"/>
      <c r="M2332" s="33"/>
    </row>
    <row r="2333">
      <c r="A2333" s="32" t="s">
        <v>5739</v>
      </c>
      <c r="B2333" s="32" t="s">
        <v>5740</v>
      </c>
      <c r="C2333" s="35">
        <v>47.08209991</v>
      </c>
      <c r="D2333" s="35">
        <v>-0.87706399</v>
      </c>
      <c r="E2333" s="32" t="s">
        <v>96</v>
      </c>
      <c r="F2333" s="32" t="s">
        <v>5741</v>
      </c>
      <c r="G2333" s="39" t="s">
        <v>97</v>
      </c>
      <c r="H2333" s="33"/>
      <c r="I2333" s="33"/>
      <c r="J2333" s="33"/>
      <c r="K2333" s="33"/>
      <c r="L2333" s="33"/>
      <c r="M2333" s="33"/>
    </row>
    <row r="2334">
      <c r="A2334" s="32" t="s">
        <v>5742</v>
      </c>
      <c r="B2334" s="32" t="s">
        <v>5743</v>
      </c>
      <c r="C2334" s="35">
        <v>34.6719017</v>
      </c>
      <c r="D2334" s="35">
        <v>-82.8864975</v>
      </c>
      <c r="E2334" s="32" t="s">
        <v>180</v>
      </c>
      <c r="F2334" s="32" t="s">
        <v>5744</v>
      </c>
      <c r="G2334" s="39" t="s">
        <v>181</v>
      </c>
      <c r="H2334" s="33"/>
      <c r="I2334" s="33"/>
      <c r="J2334" s="33"/>
      <c r="K2334" s="33"/>
      <c r="L2334" s="33"/>
      <c r="M2334" s="33"/>
    </row>
    <row r="2335">
      <c r="A2335" s="32" t="s">
        <v>5745</v>
      </c>
      <c r="B2335" s="32" t="s">
        <v>5746</v>
      </c>
      <c r="C2335" s="35">
        <v>30.77879906</v>
      </c>
      <c r="D2335" s="35">
        <v>-86.52210236</v>
      </c>
      <c r="E2335" s="32" t="s">
        <v>180</v>
      </c>
      <c r="F2335" s="32" t="s">
        <v>5747</v>
      </c>
      <c r="G2335" s="39" t="s">
        <v>181</v>
      </c>
      <c r="H2335" s="33"/>
      <c r="I2335" s="33"/>
      <c r="J2335" s="33"/>
      <c r="K2335" s="33"/>
      <c r="L2335" s="33"/>
      <c r="M2335" s="33"/>
    </row>
    <row r="2336">
      <c r="A2336" s="32" t="s">
        <v>5748</v>
      </c>
      <c r="B2336" s="32" t="s">
        <v>5749</v>
      </c>
      <c r="C2336" s="35">
        <v>37.3030014</v>
      </c>
      <c r="D2336" s="35">
        <v>-108.6279984</v>
      </c>
      <c r="E2336" s="32" t="s">
        <v>180</v>
      </c>
      <c r="F2336" s="32" t="s">
        <v>5750</v>
      </c>
      <c r="G2336" s="39" t="s">
        <v>181</v>
      </c>
      <c r="H2336" s="33"/>
      <c r="I2336" s="33"/>
      <c r="J2336" s="33"/>
      <c r="K2336" s="33"/>
      <c r="L2336" s="33"/>
      <c r="M2336" s="33"/>
    </row>
    <row r="2337">
      <c r="A2337" s="32" t="s">
        <v>5751</v>
      </c>
      <c r="B2337" s="32" t="s">
        <v>5752</v>
      </c>
      <c r="C2337" s="35">
        <v>-22.92169952</v>
      </c>
      <c r="D2337" s="35">
        <v>-42.07429886</v>
      </c>
      <c r="E2337" s="32" t="s">
        <v>288</v>
      </c>
      <c r="F2337" s="32" t="s">
        <v>5753</v>
      </c>
      <c r="G2337" s="36" t="e">
        <v>#N/A</v>
      </c>
      <c r="H2337" s="33"/>
      <c r="I2337" s="33"/>
      <c r="J2337" s="33"/>
      <c r="K2337" s="33"/>
      <c r="L2337" s="33"/>
      <c r="M2337" s="33"/>
    </row>
    <row r="2338">
      <c r="A2338" s="32" t="s">
        <v>5754</v>
      </c>
      <c r="B2338" s="32" t="s">
        <v>5755</v>
      </c>
      <c r="C2338" s="35">
        <v>-26.78840065</v>
      </c>
      <c r="D2338" s="35">
        <v>-50.93980026</v>
      </c>
      <c r="E2338" s="32" t="s">
        <v>288</v>
      </c>
      <c r="F2338" s="32" t="s">
        <v>5756</v>
      </c>
      <c r="G2338" s="36" t="e">
        <v>#N/A</v>
      </c>
      <c r="H2338" s="33"/>
      <c r="I2338" s="33"/>
      <c r="J2338" s="33"/>
      <c r="K2338" s="33"/>
      <c r="L2338" s="33"/>
      <c r="M2338" s="33"/>
    </row>
    <row r="2339">
      <c r="A2339" s="32" t="s">
        <v>5757</v>
      </c>
      <c r="B2339" s="32" t="s">
        <v>5758</v>
      </c>
      <c r="C2339" s="35">
        <v>30.71570015</v>
      </c>
      <c r="D2339" s="35">
        <v>-96.33139801</v>
      </c>
      <c r="E2339" s="32" t="s">
        <v>180</v>
      </c>
      <c r="F2339" s="32" t="s">
        <v>5759</v>
      </c>
      <c r="G2339" s="39" t="s">
        <v>181</v>
      </c>
      <c r="H2339" s="33"/>
      <c r="I2339" s="33"/>
      <c r="J2339" s="33"/>
      <c r="K2339" s="33"/>
      <c r="L2339" s="33"/>
      <c r="M2339" s="33"/>
    </row>
    <row r="2340">
      <c r="A2340" s="32" t="s">
        <v>5760</v>
      </c>
      <c r="B2340" s="32" t="s">
        <v>5761</v>
      </c>
      <c r="C2340" s="35">
        <v>45.7867012</v>
      </c>
      <c r="D2340" s="35">
        <v>3.169169903</v>
      </c>
      <c r="E2340" s="32" t="s">
        <v>96</v>
      </c>
      <c r="F2340" s="32" t="s">
        <v>5762</v>
      </c>
      <c r="G2340" s="39" t="s">
        <v>97</v>
      </c>
      <c r="H2340" s="33"/>
      <c r="I2340" s="33"/>
      <c r="J2340" s="33"/>
      <c r="K2340" s="33"/>
      <c r="L2340" s="33"/>
      <c r="M2340" s="33"/>
    </row>
    <row r="2341">
      <c r="A2341" s="32" t="s">
        <v>5763</v>
      </c>
      <c r="B2341" s="32" t="s">
        <v>5764</v>
      </c>
      <c r="C2341" s="35">
        <v>22.14999962</v>
      </c>
      <c r="D2341" s="35">
        <v>-80.41419983</v>
      </c>
      <c r="E2341" s="32" t="s">
        <v>1294</v>
      </c>
      <c r="F2341" s="32" t="s">
        <v>5765</v>
      </c>
      <c r="G2341" s="36" t="e">
        <v>#N/A</v>
      </c>
      <c r="H2341" s="33"/>
      <c r="I2341" s="33"/>
      <c r="J2341" s="33"/>
      <c r="K2341" s="33"/>
      <c r="L2341" s="33"/>
      <c r="M2341" s="33"/>
    </row>
    <row r="2342">
      <c r="A2342" s="32" t="s">
        <v>5766</v>
      </c>
      <c r="B2342" s="32" t="s">
        <v>5767</v>
      </c>
      <c r="C2342" s="35">
        <v>55.0442009</v>
      </c>
      <c r="D2342" s="35">
        <v>-8.340999603</v>
      </c>
      <c r="E2342" s="32" t="s">
        <v>199</v>
      </c>
      <c r="F2342" s="32" t="s">
        <v>5768</v>
      </c>
      <c r="G2342" s="39" t="s">
        <v>200</v>
      </c>
      <c r="H2342" s="33"/>
      <c r="I2342" s="33"/>
      <c r="J2342" s="33"/>
      <c r="K2342" s="33"/>
      <c r="L2342" s="33"/>
      <c r="M2342" s="33"/>
    </row>
    <row r="2343">
      <c r="A2343" s="32" t="s">
        <v>5769</v>
      </c>
      <c r="B2343" s="32" t="s">
        <v>5770</v>
      </c>
      <c r="C2343" s="35">
        <v>-10.63440037</v>
      </c>
      <c r="D2343" s="35">
        <v>-51.56359863</v>
      </c>
      <c r="E2343" s="32" t="s">
        <v>288</v>
      </c>
      <c r="F2343" s="32" t="s">
        <v>5771</v>
      </c>
      <c r="G2343" s="36" t="e">
        <v>#N/A</v>
      </c>
      <c r="H2343" s="33"/>
      <c r="I2343" s="33"/>
      <c r="J2343" s="33"/>
      <c r="K2343" s="33"/>
      <c r="L2343" s="33"/>
      <c r="M2343" s="33"/>
    </row>
    <row r="2344">
      <c r="A2344" s="32" t="s">
        <v>5772</v>
      </c>
      <c r="B2344" s="32" t="s">
        <v>5773</v>
      </c>
      <c r="C2344" s="35">
        <v>49.1733017</v>
      </c>
      <c r="D2344" s="35">
        <v>-0.449999988</v>
      </c>
      <c r="E2344" s="32" t="s">
        <v>96</v>
      </c>
      <c r="F2344" s="32" t="s">
        <v>5774</v>
      </c>
      <c r="G2344" s="39" t="s">
        <v>97</v>
      </c>
      <c r="H2344" s="33"/>
      <c r="I2344" s="33"/>
      <c r="J2344" s="33"/>
      <c r="K2344" s="33"/>
      <c r="L2344" s="33"/>
      <c r="M2344" s="33"/>
    </row>
    <row r="2345">
      <c r="A2345" s="32" t="s">
        <v>5775</v>
      </c>
      <c r="B2345" s="32" t="s">
        <v>5776</v>
      </c>
      <c r="C2345" s="35">
        <v>-30.32060051</v>
      </c>
      <c r="D2345" s="35">
        <v>153.1159973</v>
      </c>
      <c r="E2345" s="32" t="s">
        <v>1968</v>
      </c>
      <c r="F2345" s="32" t="s">
        <v>5777</v>
      </c>
      <c r="G2345" s="36" t="e">
        <v>#N/A</v>
      </c>
      <c r="H2345" s="33"/>
      <c r="I2345" s="33"/>
      <c r="J2345" s="33"/>
      <c r="K2345" s="33"/>
      <c r="L2345" s="33"/>
      <c r="M2345" s="33"/>
    </row>
    <row r="2346">
      <c r="A2346" s="32" t="s">
        <v>5778</v>
      </c>
      <c r="B2346" s="32" t="s">
        <v>5779</v>
      </c>
      <c r="C2346" s="35">
        <v>39.60189819</v>
      </c>
      <c r="D2346" s="35">
        <v>19.9116993</v>
      </c>
      <c r="E2346" s="32" t="s">
        <v>339</v>
      </c>
      <c r="F2346" s="32" t="s">
        <v>5780</v>
      </c>
      <c r="G2346" s="36" t="e">
        <v>#N/A</v>
      </c>
      <c r="H2346" s="33"/>
      <c r="I2346" s="33"/>
      <c r="J2346" s="33"/>
      <c r="K2346" s="33"/>
      <c r="L2346" s="33"/>
      <c r="M2346" s="33"/>
    </row>
    <row r="2347">
      <c r="A2347" s="32" t="s">
        <v>5781</v>
      </c>
      <c r="B2347" s="32" t="s">
        <v>5782</v>
      </c>
      <c r="C2347" s="35">
        <v>37.09400177</v>
      </c>
      <c r="D2347" s="35">
        <v>-95.57189941</v>
      </c>
      <c r="E2347" s="32" t="s">
        <v>180</v>
      </c>
      <c r="F2347" s="32" t="s">
        <v>5783</v>
      </c>
      <c r="G2347" s="39" t="s">
        <v>181</v>
      </c>
      <c r="H2347" s="33"/>
      <c r="I2347" s="33"/>
      <c r="J2347" s="33"/>
      <c r="K2347" s="33"/>
      <c r="L2347" s="33"/>
      <c r="M2347" s="33"/>
    </row>
    <row r="2348">
      <c r="A2348" s="32" t="s">
        <v>5784</v>
      </c>
      <c r="B2348" s="32" t="s">
        <v>5785</v>
      </c>
      <c r="C2348" s="35">
        <v>-15.65289974</v>
      </c>
      <c r="D2348" s="35">
        <v>-56.11669922</v>
      </c>
      <c r="E2348" s="32" t="s">
        <v>288</v>
      </c>
      <c r="F2348" s="32" t="s">
        <v>5786</v>
      </c>
      <c r="G2348" s="36" t="e">
        <v>#N/A</v>
      </c>
      <c r="H2348" s="33"/>
      <c r="I2348" s="33"/>
      <c r="J2348" s="33"/>
      <c r="K2348" s="33"/>
      <c r="L2348" s="33"/>
      <c r="M2348" s="33"/>
    </row>
    <row r="2349">
      <c r="A2349" s="32" t="s">
        <v>5787</v>
      </c>
      <c r="B2349" s="32" t="s">
        <v>5788</v>
      </c>
      <c r="C2349" s="35">
        <v>28.86730003</v>
      </c>
      <c r="D2349" s="35">
        <v>-82.57129669</v>
      </c>
      <c r="E2349" s="32" t="s">
        <v>180</v>
      </c>
      <c r="F2349" s="32" t="s">
        <v>5789</v>
      </c>
      <c r="G2349" s="39" t="s">
        <v>181</v>
      </c>
      <c r="H2349" s="33"/>
      <c r="I2349" s="33"/>
      <c r="J2349" s="33"/>
      <c r="K2349" s="33"/>
      <c r="L2349" s="33"/>
      <c r="M2349" s="33"/>
    </row>
    <row r="2350">
      <c r="A2350" s="32" t="s">
        <v>5790</v>
      </c>
      <c r="B2350" s="32" t="s">
        <v>5791</v>
      </c>
      <c r="C2350" s="35">
        <v>28.91889954</v>
      </c>
      <c r="D2350" s="35">
        <v>111.6399994</v>
      </c>
      <c r="E2350" s="32" t="s">
        <v>205</v>
      </c>
      <c r="F2350" s="32" t="s">
        <v>5792</v>
      </c>
      <c r="G2350" s="39" t="s">
        <v>206</v>
      </c>
      <c r="H2350" s="33"/>
      <c r="I2350" s="33"/>
      <c r="J2350" s="33"/>
      <c r="K2350" s="33"/>
      <c r="L2350" s="33"/>
      <c r="M2350" s="33"/>
    </row>
    <row r="2351">
      <c r="A2351" s="32" t="s">
        <v>5793</v>
      </c>
      <c r="B2351" s="32" t="s">
        <v>5794</v>
      </c>
      <c r="C2351" s="35">
        <v>41.56510162</v>
      </c>
      <c r="D2351" s="35">
        <v>-81.48639679</v>
      </c>
      <c r="E2351" s="32" t="s">
        <v>180</v>
      </c>
      <c r="F2351" s="32" t="s">
        <v>5795</v>
      </c>
      <c r="G2351" s="39" t="s">
        <v>181</v>
      </c>
      <c r="H2351" s="33"/>
      <c r="I2351" s="33"/>
      <c r="J2351" s="33"/>
      <c r="K2351" s="33"/>
      <c r="L2351" s="33"/>
      <c r="M2351" s="33"/>
    </row>
    <row r="2352">
      <c r="A2352" s="32" t="s">
        <v>5796</v>
      </c>
      <c r="B2352" s="32" t="s">
        <v>5797</v>
      </c>
      <c r="C2352" s="35">
        <v>-23.62611008</v>
      </c>
      <c r="D2352" s="35">
        <v>-46.65638733</v>
      </c>
      <c r="E2352" s="32" t="s">
        <v>288</v>
      </c>
      <c r="F2352" s="32" t="s">
        <v>1669</v>
      </c>
      <c r="G2352" s="36" t="e">
        <v>#N/A</v>
      </c>
      <c r="H2352" s="33"/>
      <c r="I2352" s="33"/>
      <c r="J2352" s="33"/>
      <c r="K2352" s="33"/>
      <c r="L2352" s="33"/>
      <c r="M2352" s="33"/>
    </row>
    <row r="2353">
      <c r="A2353" s="32" t="s">
        <v>5798</v>
      </c>
      <c r="B2353" s="32" t="s">
        <v>5799</v>
      </c>
      <c r="C2353" s="35">
        <v>37.22529984</v>
      </c>
      <c r="D2353" s="35">
        <v>-89.57080078</v>
      </c>
      <c r="E2353" s="32" t="s">
        <v>180</v>
      </c>
      <c r="F2353" s="32" t="s">
        <v>5800</v>
      </c>
      <c r="G2353" s="39" t="s">
        <v>181</v>
      </c>
      <c r="H2353" s="33"/>
      <c r="I2353" s="33"/>
      <c r="J2353" s="33"/>
      <c r="K2353" s="33"/>
      <c r="L2353" s="33"/>
      <c r="M2353" s="33"/>
    </row>
    <row r="2354">
      <c r="A2354" s="32" t="s">
        <v>5801</v>
      </c>
      <c r="B2354" s="32" t="s">
        <v>5802</v>
      </c>
      <c r="C2354" s="35">
        <v>-6.12556982</v>
      </c>
      <c r="D2354" s="35">
        <v>106.6559982</v>
      </c>
      <c r="E2354" s="32" t="s">
        <v>280</v>
      </c>
      <c r="F2354" s="32" t="s">
        <v>5803</v>
      </c>
      <c r="G2354" s="36" t="e">
        <v>#N/A</v>
      </c>
      <c r="H2354" s="33"/>
      <c r="I2354" s="33"/>
      <c r="J2354" s="33"/>
      <c r="K2354" s="33"/>
      <c r="L2354" s="33"/>
      <c r="M2354" s="33"/>
    </row>
    <row r="2355">
      <c r="A2355" s="32" t="s">
        <v>5804</v>
      </c>
      <c r="B2355" s="32" t="s">
        <v>5805</v>
      </c>
      <c r="C2355" s="35">
        <v>9.253520012</v>
      </c>
      <c r="D2355" s="35">
        <v>124.7070007</v>
      </c>
      <c r="E2355" s="32" t="s">
        <v>270</v>
      </c>
      <c r="F2355" s="32" t="s">
        <v>5806</v>
      </c>
      <c r="G2355" s="36" t="e">
        <v>#N/A</v>
      </c>
      <c r="H2355" s="33"/>
      <c r="I2355" s="33"/>
      <c r="J2355" s="33"/>
      <c r="K2355" s="33"/>
      <c r="L2355" s="33"/>
      <c r="M2355" s="33"/>
    </row>
    <row r="2356">
      <c r="A2356" s="32" t="s">
        <v>5807</v>
      </c>
      <c r="B2356" s="32" t="s">
        <v>5808</v>
      </c>
      <c r="C2356" s="35">
        <v>50.86589813</v>
      </c>
      <c r="D2356" s="35">
        <v>7.142739773</v>
      </c>
      <c r="E2356" s="32" t="s">
        <v>109</v>
      </c>
      <c r="F2356" s="32" t="s">
        <v>5809</v>
      </c>
      <c r="G2356" s="39" t="s">
        <v>110</v>
      </c>
      <c r="H2356" s="33"/>
      <c r="I2356" s="33"/>
      <c r="J2356" s="33"/>
      <c r="K2356" s="33"/>
      <c r="L2356" s="33"/>
      <c r="M2356" s="33"/>
    </row>
    <row r="2357">
      <c r="A2357" s="32" t="s">
        <v>5810</v>
      </c>
      <c r="B2357" s="32" t="s">
        <v>5811</v>
      </c>
      <c r="C2357" s="35">
        <v>34.5196991</v>
      </c>
      <c r="D2357" s="35">
        <v>113.8410034</v>
      </c>
      <c r="E2357" s="32" t="s">
        <v>205</v>
      </c>
      <c r="F2357" s="32" t="s">
        <v>5812</v>
      </c>
      <c r="G2357" s="39" t="s">
        <v>206</v>
      </c>
      <c r="H2357" s="33"/>
      <c r="I2357" s="33"/>
      <c r="J2357" s="33"/>
      <c r="K2357" s="33"/>
      <c r="L2357" s="33"/>
      <c r="M2357" s="33"/>
    </row>
    <row r="2358">
      <c r="A2358" s="32" t="s">
        <v>5813</v>
      </c>
      <c r="B2358" s="32" t="s">
        <v>5814</v>
      </c>
      <c r="C2358" s="35">
        <v>22.24959946</v>
      </c>
      <c r="D2358" s="35">
        <v>91.81330109</v>
      </c>
      <c r="E2358" s="32" t="s">
        <v>1853</v>
      </c>
      <c r="F2358" s="32" t="s">
        <v>5815</v>
      </c>
      <c r="G2358" s="36" t="e">
        <v>#N/A</v>
      </c>
      <c r="H2358" s="33"/>
      <c r="I2358" s="33"/>
      <c r="J2358" s="33"/>
      <c r="K2358" s="33"/>
      <c r="L2358" s="33"/>
      <c r="M2358" s="33"/>
    </row>
    <row r="2359">
      <c r="A2359" s="32" t="s">
        <v>5816</v>
      </c>
      <c r="B2359" s="32" t="s">
        <v>5817</v>
      </c>
      <c r="C2359" s="35">
        <v>43.99620056</v>
      </c>
      <c r="D2359" s="35">
        <v>125.6849976</v>
      </c>
      <c r="E2359" s="32" t="s">
        <v>205</v>
      </c>
      <c r="F2359" s="32" t="s">
        <v>5818</v>
      </c>
      <c r="G2359" s="39" t="s">
        <v>206</v>
      </c>
      <c r="H2359" s="33"/>
      <c r="I2359" s="33"/>
      <c r="J2359" s="33"/>
      <c r="K2359" s="33"/>
      <c r="L2359" s="33"/>
      <c r="M2359" s="33"/>
    </row>
    <row r="2360">
      <c r="A2360" s="32" t="s">
        <v>5819</v>
      </c>
      <c r="B2360" s="32" t="s">
        <v>5820</v>
      </c>
      <c r="C2360" s="35">
        <v>-20.46870041</v>
      </c>
      <c r="D2360" s="35">
        <v>-54.67250061</v>
      </c>
      <c r="E2360" s="32" t="s">
        <v>288</v>
      </c>
      <c r="F2360" s="32" t="s">
        <v>5821</v>
      </c>
      <c r="G2360" s="36" t="e">
        <v>#N/A</v>
      </c>
      <c r="H2360" s="33"/>
      <c r="I2360" s="33"/>
      <c r="J2360" s="33"/>
      <c r="K2360" s="33"/>
      <c r="L2360" s="33"/>
      <c r="M2360" s="33"/>
    </row>
    <row r="2361">
      <c r="A2361" s="32" t="s">
        <v>5822</v>
      </c>
      <c r="B2361" s="32" t="s">
        <v>5823</v>
      </c>
      <c r="C2361" s="35">
        <v>41.85879898</v>
      </c>
      <c r="D2361" s="35">
        <v>-87.60790253</v>
      </c>
      <c r="E2361" s="32" t="s">
        <v>180</v>
      </c>
      <c r="F2361" s="32" t="s">
        <v>5824</v>
      </c>
      <c r="G2361" s="39" t="s">
        <v>181</v>
      </c>
      <c r="H2361" s="33"/>
      <c r="I2361" s="33"/>
      <c r="J2361" s="33"/>
      <c r="K2361" s="33"/>
      <c r="L2361" s="33"/>
      <c r="M2361" s="33"/>
    </row>
    <row r="2362">
      <c r="A2362" s="32" t="s">
        <v>5825</v>
      </c>
      <c r="B2362" s="32" t="s">
        <v>5826</v>
      </c>
      <c r="C2362" s="35">
        <v>8.41562</v>
      </c>
      <c r="D2362" s="35">
        <v>124.611</v>
      </c>
      <c r="E2362" s="32" t="s">
        <v>270</v>
      </c>
      <c r="F2362" s="32" t="s">
        <v>5827</v>
      </c>
      <c r="G2362" s="36" t="e">
        <v>#N/A</v>
      </c>
      <c r="H2362" s="33"/>
      <c r="I2362" s="33"/>
      <c r="J2362" s="33"/>
      <c r="K2362" s="33"/>
      <c r="L2362" s="33"/>
      <c r="M2362" s="33"/>
    </row>
    <row r="2363">
      <c r="A2363" s="32" t="s">
        <v>5828</v>
      </c>
      <c r="B2363" s="32" t="s">
        <v>5829</v>
      </c>
      <c r="C2363" s="35">
        <v>32.954899</v>
      </c>
      <c r="D2363" s="35">
        <v>-111.766998</v>
      </c>
      <c r="E2363" s="32" t="s">
        <v>180</v>
      </c>
      <c r="F2363" s="32" t="s">
        <v>5830</v>
      </c>
      <c r="G2363" s="39" t="s">
        <v>181</v>
      </c>
      <c r="H2363" s="33"/>
      <c r="I2363" s="33"/>
      <c r="J2363" s="33"/>
      <c r="K2363" s="33"/>
      <c r="L2363" s="33"/>
      <c r="M2363" s="33"/>
    </row>
    <row r="2364">
      <c r="A2364" s="32" t="s">
        <v>5831</v>
      </c>
      <c r="B2364" s="32" t="s">
        <v>5832</v>
      </c>
      <c r="C2364" s="35">
        <v>35.03530121</v>
      </c>
      <c r="D2364" s="35">
        <v>-85.20379639</v>
      </c>
      <c r="E2364" s="32" t="s">
        <v>180</v>
      </c>
      <c r="F2364" s="32" t="s">
        <v>5833</v>
      </c>
      <c r="G2364" s="39" t="s">
        <v>181</v>
      </c>
      <c r="H2364" s="33"/>
      <c r="I2364" s="33"/>
      <c r="J2364" s="33"/>
      <c r="K2364" s="33"/>
      <c r="L2364" s="33"/>
      <c r="M2364" s="33"/>
    </row>
    <row r="2365">
      <c r="A2365" s="32" t="s">
        <v>5834</v>
      </c>
      <c r="B2365" s="32" t="s">
        <v>5835</v>
      </c>
      <c r="C2365" s="35">
        <v>-43.48939896</v>
      </c>
      <c r="D2365" s="35">
        <v>172.5319977</v>
      </c>
      <c r="E2365" s="32" t="s">
        <v>1328</v>
      </c>
      <c r="F2365" s="32" t="s">
        <v>5836</v>
      </c>
      <c r="G2365" s="36" t="e">
        <v>#N/A</v>
      </c>
      <c r="H2365" s="33"/>
      <c r="I2365" s="33"/>
      <c r="J2365" s="33"/>
      <c r="K2365" s="33"/>
      <c r="L2365" s="33"/>
      <c r="M2365" s="33"/>
    </row>
    <row r="2366">
      <c r="A2366" s="32" t="s">
        <v>5837</v>
      </c>
      <c r="B2366" s="32" t="s">
        <v>5838</v>
      </c>
      <c r="C2366" s="35">
        <v>41.538101</v>
      </c>
      <c r="D2366" s="35">
        <v>120.434998</v>
      </c>
      <c r="E2366" s="32" t="s">
        <v>205</v>
      </c>
      <c r="F2366" s="32" t="s">
        <v>5839</v>
      </c>
      <c r="G2366" s="39" t="s">
        <v>206</v>
      </c>
      <c r="H2366" s="33"/>
      <c r="I2366" s="33"/>
      <c r="J2366" s="33"/>
      <c r="K2366" s="33"/>
      <c r="L2366" s="33"/>
      <c r="M2366" s="33"/>
    </row>
    <row r="2367">
      <c r="A2367" s="32" t="s">
        <v>5840</v>
      </c>
      <c r="B2367" s="32" t="s">
        <v>5841</v>
      </c>
      <c r="C2367" s="35">
        <v>-6.201809883</v>
      </c>
      <c r="D2367" s="35">
        <v>-77.85610199</v>
      </c>
      <c r="E2367" s="32" t="s">
        <v>307</v>
      </c>
      <c r="F2367" s="32" t="s">
        <v>5842</v>
      </c>
      <c r="G2367" s="36" t="e">
        <v>#N/A</v>
      </c>
      <c r="H2367" s="33"/>
      <c r="I2367" s="33"/>
      <c r="J2367" s="33"/>
      <c r="K2367" s="33"/>
      <c r="L2367" s="33"/>
      <c r="M2367" s="33"/>
    </row>
    <row r="2368">
      <c r="A2368" s="32" t="s">
        <v>5843</v>
      </c>
      <c r="B2368" s="32" t="s">
        <v>5844</v>
      </c>
      <c r="C2368" s="35">
        <v>-9.149609566</v>
      </c>
      <c r="D2368" s="35">
        <v>-78.52380371</v>
      </c>
      <c r="E2368" s="32" t="s">
        <v>307</v>
      </c>
      <c r="F2368" s="32" t="s">
        <v>5845</v>
      </c>
      <c r="G2368" s="36" t="e">
        <v>#N/A</v>
      </c>
      <c r="H2368" s="33"/>
      <c r="I2368" s="33"/>
      <c r="J2368" s="33"/>
      <c r="K2368" s="33"/>
      <c r="L2368" s="33"/>
      <c r="M2368" s="33"/>
    </row>
    <row r="2369">
      <c r="A2369" s="32" t="s">
        <v>5846</v>
      </c>
      <c r="B2369" s="32" t="s">
        <v>5847</v>
      </c>
      <c r="C2369" s="35">
        <v>35.8783989</v>
      </c>
      <c r="D2369" s="35">
        <v>127.1200027</v>
      </c>
      <c r="E2369" s="32" t="s">
        <v>151</v>
      </c>
      <c r="F2369" s="32" t="s">
        <v>5848</v>
      </c>
      <c r="G2369" s="39" t="s">
        <v>152</v>
      </c>
      <c r="H2369" s="33"/>
      <c r="I2369" s="33"/>
      <c r="J2369" s="33"/>
      <c r="K2369" s="33"/>
      <c r="L2369" s="33"/>
      <c r="M2369" s="33"/>
    </row>
    <row r="2370">
      <c r="A2370" s="32" t="s">
        <v>5849</v>
      </c>
      <c r="B2370" s="32" t="s">
        <v>5850</v>
      </c>
      <c r="C2370" s="35">
        <v>38.1385994</v>
      </c>
      <c r="D2370" s="35">
        <v>-78.45290375</v>
      </c>
      <c r="E2370" s="32" t="s">
        <v>180</v>
      </c>
      <c r="F2370" s="32" t="s">
        <v>5851</v>
      </c>
      <c r="G2370" s="39" t="s">
        <v>181</v>
      </c>
      <c r="H2370" s="33"/>
      <c r="I2370" s="33"/>
      <c r="J2370" s="33"/>
      <c r="K2370" s="33"/>
      <c r="L2370" s="33"/>
      <c r="M2370" s="33"/>
    </row>
    <row r="2371">
      <c r="A2371" s="32" t="s">
        <v>5852</v>
      </c>
      <c r="B2371" s="32" t="s">
        <v>5853</v>
      </c>
      <c r="C2371" s="35">
        <v>35.53170013</v>
      </c>
      <c r="D2371" s="35">
        <v>24.14970016</v>
      </c>
      <c r="E2371" s="32" t="s">
        <v>339</v>
      </c>
      <c r="F2371" s="32" t="s">
        <v>5854</v>
      </c>
      <c r="G2371" s="36" t="e">
        <v>#N/A</v>
      </c>
      <c r="H2371" s="33"/>
      <c r="I2371" s="33"/>
      <c r="J2371" s="33"/>
      <c r="K2371" s="33"/>
      <c r="L2371" s="33"/>
      <c r="M2371" s="33"/>
    </row>
    <row r="2372">
      <c r="A2372" s="32" t="s">
        <v>5855</v>
      </c>
      <c r="B2372" s="32" t="s">
        <v>5856</v>
      </c>
      <c r="C2372" s="35">
        <v>46.86027778</v>
      </c>
      <c r="D2372" s="35">
        <v>1.7211111</v>
      </c>
      <c r="E2372" s="32" t="s">
        <v>96</v>
      </c>
      <c r="F2372" s="32" t="s">
        <v>5857</v>
      </c>
      <c r="G2372" s="39" t="s">
        <v>97</v>
      </c>
      <c r="H2372" s="33"/>
      <c r="I2372" s="33"/>
      <c r="J2372" s="33"/>
      <c r="K2372" s="33"/>
      <c r="L2372" s="33"/>
      <c r="M2372" s="33"/>
    </row>
    <row r="2373">
      <c r="A2373" s="32" t="s">
        <v>5858</v>
      </c>
      <c r="B2373" s="32" t="s">
        <v>5859</v>
      </c>
      <c r="C2373" s="35">
        <v>32.89860153</v>
      </c>
      <c r="D2373" s="35">
        <v>-80.04049683</v>
      </c>
      <c r="E2373" s="32" t="s">
        <v>180</v>
      </c>
      <c r="F2373" s="32" t="s">
        <v>5860</v>
      </c>
      <c r="G2373" s="39" t="s">
        <v>181</v>
      </c>
      <c r="H2373" s="33"/>
      <c r="I2373" s="33"/>
      <c r="J2373" s="33"/>
      <c r="K2373" s="33"/>
      <c r="L2373" s="33"/>
      <c r="M2373" s="33"/>
    </row>
    <row r="2374">
      <c r="A2374" s="32" t="s">
        <v>5861</v>
      </c>
      <c r="B2374" s="32" t="s">
        <v>5862</v>
      </c>
      <c r="C2374" s="35">
        <v>-43.81000137</v>
      </c>
      <c r="D2374" s="35">
        <v>-176.4570007</v>
      </c>
      <c r="E2374" s="32" t="s">
        <v>1328</v>
      </c>
      <c r="F2374" s="32" t="s">
        <v>5863</v>
      </c>
      <c r="G2374" s="36" t="e">
        <v>#N/A</v>
      </c>
      <c r="H2374" s="33"/>
      <c r="I2374" s="33"/>
      <c r="J2374" s="33"/>
      <c r="K2374" s="33"/>
      <c r="L2374" s="33"/>
      <c r="M2374" s="33"/>
    </row>
    <row r="2375">
      <c r="A2375" s="32" t="s">
        <v>5864</v>
      </c>
      <c r="B2375" s="32" t="s">
        <v>5865</v>
      </c>
      <c r="C2375" s="35">
        <v>9.458640099</v>
      </c>
      <c r="D2375" s="35">
        <v>-82.51679993</v>
      </c>
      <c r="E2375" s="32" t="s">
        <v>327</v>
      </c>
      <c r="F2375" s="32" t="s">
        <v>5866</v>
      </c>
      <c r="G2375" s="36" t="e">
        <v>#N/A</v>
      </c>
      <c r="H2375" s="33"/>
      <c r="I2375" s="33"/>
      <c r="J2375" s="33"/>
      <c r="K2375" s="33"/>
      <c r="L2375" s="33"/>
      <c r="M2375" s="33"/>
    </row>
    <row r="2376">
      <c r="A2376" s="32" t="s">
        <v>5867</v>
      </c>
      <c r="B2376" s="32" t="s">
        <v>5868</v>
      </c>
      <c r="C2376" s="35">
        <v>-6.711944</v>
      </c>
      <c r="D2376" s="35">
        <v>156.396111</v>
      </c>
      <c r="E2376" s="32" t="s">
        <v>3666</v>
      </c>
      <c r="F2376" s="32" t="s">
        <v>5869</v>
      </c>
      <c r="G2376" s="36" t="e">
        <v>#N/A</v>
      </c>
      <c r="H2376" s="33"/>
      <c r="I2376" s="33"/>
      <c r="J2376" s="33"/>
      <c r="K2376" s="33"/>
      <c r="L2376" s="33"/>
      <c r="M2376" s="33"/>
    </row>
    <row r="2377">
      <c r="A2377" s="32" t="s">
        <v>5870</v>
      </c>
      <c r="B2377" s="32" t="s">
        <v>5871</v>
      </c>
      <c r="C2377" s="35">
        <v>41.7994</v>
      </c>
      <c r="D2377" s="35">
        <v>12.5949</v>
      </c>
      <c r="E2377" s="32" t="s">
        <v>103</v>
      </c>
      <c r="F2377" s="32" t="s">
        <v>1095</v>
      </c>
      <c r="G2377" s="39" t="s">
        <v>104</v>
      </c>
      <c r="H2377" s="33"/>
      <c r="I2377" s="33"/>
      <c r="J2377" s="33"/>
      <c r="K2377" s="33"/>
      <c r="L2377" s="33"/>
      <c r="M2377" s="33"/>
    </row>
    <row r="2378">
      <c r="A2378" s="32" t="s">
        <v>5872</v>
      </c>
      <c r="B2378" s="32" t="s">
        <v>5873</v>
      </c>
      <c r="C2378" s="35">
        <v>39.79539871</v>
      </c>
      <c r="D2378" s="35">
        <v>-121.8580017</v>
      </c>
      <c r="E2378" s="32" t="s">
        <v>180</v>
      </c>
      <c r="F2378" s="32" t="s">
        <v>5874</v>
      </c>
      <c r="G2378" s="39" t="s">
        <v>181</v>
      </c>
      <c r="H2378" s="33"/>
      <c r="I2378" s="33"/>
      <c r="J2378" s="33"/>
      <c r="K2378" s="33"/>
      <c r="L2378" s="33"/>
      <c r="M2378" s="33"/>
    </row>
    <row r="2379">
      <c r="A2379" s="32" t="s">
        <v>5875</v>
      </c>
      <c r="B2379" s="32" t="s">
        <v>5876</v>
      </c>
      <c r="C2379" s="35">
        <v>41.88470078</v>
      </c>
      <c r="D2379" s="35">
        <v>-91.71080017</v>
      </c>
      <c r="E2379" s="32" t="s">
        <v>180</v>
      </c>
      <c r="F2379" s="32" t="s">
        <v>5877</v>
      </c>
      <c r="G2379" s="39" t="s">
        <v>181</v>
      </c>
      <c r="H2379" s="33"/>
      <c r="I2379" s="33"/>
      <c r="J2379" s="33"/>
      <c r="K2379" s="33"/>
      <c r="L2379" s="33"/>
      <c r="M2379" s="33"/>
    </row>
    <row r="2380">
      <c r="A2380" s="32" t="s">
        <v>5878</v>
      </c>
      <c r="B2380" s="32" t="s">
        <v>5879</v>
      </c>
      <c r="C2380" s="35">
        <v>42.23500061</v>
      </c>
      <c r="D2380" s="35">
        <v>118.9079971</v>
      </c>
      <c r="E2380" s="32" t="s">
        <v>205</v>
      </c>
      <c r="F2380" s="32" t="s">
        <v>5880</v>
      </c>
      <c r="G2380" s="39" t="s">
        <v>206</v>
      </c>
      <c r="H2380" s="33"/>
      <c r="I2380" s="33"/>
      <c r="J2380" s="33"/>
      <c r="K2380" s="33"/>
      <c r="L2380" s="33"/>
      <c r="M2380" s="33"/>
    </row>
    <row r="2381">
      <c r="A2381" s="32" t="s">
        <v>5881</v>
      </c>
      <c r="B2381" s="32" t="s">
        <v>5882</v>
      </c>
      <c r="C2381" s="35">
        <v>36.247501</v>
      </c>
      <c r="D2381" s="35">
        <v>113.125999</v>
      </c>
      <c r="E2381" s="32" t="s">
        <v>205</v>
      </c>
      <c r="F2381" s="32" t="s">
        <v>5883</v>
      </c>
      <c r="G2381" s="39" t="s">
        <v>206</v>
      </c>
      <c r="H2381" s="33"/>
      <c r="I2381" s="33"/>
      <c r="J2381" s="33"/>
      <c r="K2381" s="33"/>
      <c r="L2381" s="33"/>
      <c r="M2381" s="33"/>
    </row>
    <row r="2382">
      <c r="A2382" s="32" t="s">
        <v>5884</v>
      </c>
      <c r="B2382" s="32" t="s">
        <v>5885</v>
      </c>
      <c r="C2382" s="35">
        <v>-11.04039955</v>
      </c>
      <c r="D2382" s="35">
        <v>-68.78299713</v>
      </c>
      <c r="E2382" s="32" t="s">
        <v>323</v>
      </c>
      <c r="F2382" s="32" t="s">
        <v>5886</v>
      </c>
      <c r="G2382" s="36" t="e">
        <v>#N/A</v>
      </c>
      <c r="H2382" s="33"/>
      <c r="I2382" s="33"/>
      <c r="J2382" s="33"/>
      <c r="K2382" s="33"/>
      <c r="L2382" s="33"/>
      <c r="M2382" s="33"/>
    </row>
    <row r="2383">
      <c r="A2383" s="32" t="s">
        <v>5887</v>
      </c>
      <c r="B2383" s="32" t="s">
        <v>5888</v>
      </c>
      <c r="C2383" s="35">
        <v>66.64499664</v>
      </c>
      <c r="D2383" s="35">
        <v>-143.7400055</v>
      </c>
      <c r="E2383" s="32" t="s">
        <v>180</v>
      </c>
      <c r="F2383" s="32" t="s">
        <v>5889</v>
      </c>
      <c r="G2383" s="39" t="s">
        <v>181</v>
      </c>
      <c r="H2383" s="33"/>
      <c r="I2383" s="33"/>
      <c r="J2383" s="33"/>
      <c r="K2383" s="33"/>
      <c r="L2383" s="33"/>
      <c r="M2383" s="33"/>
    </row>
    <row r="2384">
      <c r="A2384" s="32" t="s">
        <v>5890</v>
      </c>
      <c r="B2384" s="32" t="s">
        <v>5891</v>
      </c>
      <c r="C2384" s="35">
        <v>-23.442363</v>
      </c>
      <c r="D2384" s="35">
        <v>-57.427253</v>
      </c>
      <c r="E2384" s="32" t="s">
        <v>1723</v>
      </c>
      <c r="F2384" s="32" t="s">
        <v>5892</v>
      </c>
      <c r="G2384" s="36" t="e">
        <v>#N/A</v>
      </c>
      <c r="H2384" s="33"/>
      <c r="I2384" s="33"/>
      <c r="J2384" s="33"/>
      <c r="K2384" s="33"/>
      <c r="L2384" s="33"/>
      <c r="M2384" s="33"/>
    </row>
    <row r="2385">
      <c r="A2385" s="32" t="s">
        <v>5893</v>
      </c>
      <c r="B2385" s="32" t="s">
        <v>5894</v>
      </c>
      <c r="C2385" s="35">
        <v>-13.55830002</v>
      </c>
      <c r="D2385" s="35">
        <v>32.58720016</v>
      </c>
      <c r="E2385" s="32" t="s">
        <v>759</v>
      </c>
      <c r="F2385" s="32" t="s">
        <v>5895</v>
      </c>
      <c r="G2385" s="36" t="e">
        <v>#N/A</v>
      </c>
      <c r="H2385" s="33"/>
      <c r="I2385" s="33"/>
      <c r="J2385" s="33"/>
      <c r="K2385" s="33"/>
      <c r="L2385" s="33"/>
      <c r="M2385" s="33"/>
    </row>
    <row r="2386">
      <c r="A2386" s="32" t="s">
        <v>5896</v>
      </c>
      <c r="B2386" s="32" t="s">
        <v>5897</v>
      </c>
      <c r="C2386" s="35">
        <v>-2.76812005</v>
      </c>
      <c r="D2386" s="35">
        <v>-171.7100067</v>
      </c>
      <c r="E2386" s="32" t="s">
        <v>3439</v>
      </c>
      <c r="F2386" s="32" t="s">
        <v>5898</v>
      </c>
      <c r="G2386" s="36" t="e">
        <v>#N/A</v>
      </c>
      <c r="H2386" s="33"/>
      <c r="I2386" s="33"/>
      <c r="J2386" s="33"/>
      <c r="K2386" s="33"/>
      <c r="L2386" s="33"/>
      <c r="M2386" s="33"/>
    </row>
    <row r="2387">
      <c r="A2387" s="32" t="s">
        <v>5899</v>
      </c>
      <c r="B2387" s="32" t="s">
        <v>5900</v>
      </c>
      <c r="C2387" s="35">
        <v>42.36420059</v>
      </c>
      <c r="D2387" s="35">
        <v>69.47889709</v>
      </c>
      <c r="E2387" s="32" t="s">
        <v>2817</v>
      </c>
      <c r="F2387" s="32" t="s">
        <v>5901</v>
      </c>
      <c r="G2387" s="36" t="e">
        <v>#N/A</v>
      </c>
      <c r="H2387" s="33"/>
      <c r="I2387" s="33"/>
      <c r="J2387" s="33"/>
      <c r="K2387" s="33"/>
      <c r="L2387" s="33"/>
      <c r="M2387" s="33"/>
    </row>
    <row r="2388">
      <c r="A2388" s="32" t="s">
        <v>5902</v>
      </c>
      <c r="B2388" s="32" t="s">
        <v>5903</v>
      </c>
      <c r="C2388" s="35">
        <v>46.25080109</v>
      </c>
      <c r="D2388" s="35">
        <v>-84.47239685</v>
      </c>
      <c r="E2388" s="32" t="s">
        <v>180</v>
      </c>
      <c r="F2388" s="32" t="s">
        <v>5904</v>
      </c>
      <c r="G2388" s="39" t="s">
        <v>181</v>
      </c>
      <c r="H2388" s="33"/>
      <c r="I2388" s="33"/>
      <c r="J2388" s="33"/>
      <c r="K2388" s="33"/>
      <c r="L2388" s="33"/>
      <c r="M2388" s="33"/>
    </row>
    <row r="2389">
      <c r="A2389" s="32" t="s">
        <v>5905</v>
      </c>
      <c r="B2389" s="32" t="s">
        <v>5906</v>
      </c>
      <c r="C2389" s="35">
        <v>12.69900036</v>
      </c>
      <c r="D2389" s="35">
        <v>-61.3423996</v>
      </c>
      <c r="E2389" s="32" t="s">
        <v>5153</v>
      </c>
      <c r="F2389" s="32" t="s">
        <v>5907</v>
      </c>
      <c r="G2389" s="36" t="e">
        <v>#N/A</v>
      </c>
      <c r="H2389" s="33"/>
      <c r="I2389" s="33"/>
      <c r="J2389" s="33"/>
      <c r="K2389" s="33"/>
      <c r="L2389" s="33"/>
      <c r="M2389" s="33"/>
    </row>
    <row r="2390">
      <c r="A2390" s="32" t="s">
        <v>5908</v>
      </c>
      <c r="B2390" s="32" t="s">
        <v>5909</v>
      </c>
      <c r="C2390" s="35">
        <v>-6.787479877</v>
      </c>
      <c r="D2390" s="35">
        <v>-79.82810211</v>
      </c>
      <c r="E2390" s="32" t="s">
        <v>307</v>
      </c>
      <c r="F2390" s="32" t="s">
        <v>5910</v>
      </c>
      <c r="G2390" s="36" t="e">
        <v>#N/A</v>
      </c>
      <c r="H2390" s="33"/>
      <c r="I2390" s="33"/>
      <c r="J2390" s="33"/>
      <c r="K2390" s="33"/>
      <c r="L2390" s="33"/>
      <c r="M2390" s="33"/>
    </row>
    <row r="2391">
      <c r="A2391" s="32" t="s">
        <v>5911</v>
      </c>
      <c r="B2391" s="32" t="s">
        <v>5912</v>
      </c>
      <c r="C2391" s="35">
        <v>36.994601</v>
      </c>
      <c r="D2391" s="35">
        <v>14.607182</v>
      </c>
      <c r="E2391" s="32" t="s">
        <v>103</v>
      </c>
      <c r="F2391" s="32" t="s">
        <v>5913</v>
      </c>
      <c r="G2391" s="39" t="s">
        <v>104</v>
      </c>
      <c r="H2391" s="33"/>
      <c r="I2391" s="33"/>
      <c r="J2391" s="33"/>
      <c r="K2391" s="33"/>
      <c r="L2391" s="33"/>
      <c r="M2391" s="33"/>
    </row>
    <row r="2392">
      <c r="A2392" s="32" t="s">
        <v>5914</v>
      </c>
      <c r="B2392" s="32" t="s">
        <v>5915</v>
      </c>
      <c r="C2392" s="35">
        <v>-4.134059906</v>
      </c>
      <c r="D2392" s="35">
        <v>-63.13259888</v>
      </c>
      <c r="E2392" s="32" t="s">
        <v>288</v>
      </c>
      <c r="F2392" s="32" t="s">
        <v>5916</v>
      </c>
      <c r="G2392" s="36" t="e">
        <v>#N/A</v>
      </c>
      <c r="H2392" s="33"/>
      <c r="I2392" s="33"/>
      <c r="J2392" s="33"/>
      <c r="K2392" s="33"/>
      <c r="L2392" s="33"/>
      <c r="M2392" s="33"/>
    </row>
    <row r="2393">
      <c r="A2393" s="32" t="s">
        <v>5917</v>
      </c>
      <c r="B2393" s="32" t="s">
        <v>5918</v>
      </c>
      <c r="C2393" s="35">
        <v>-7.139180183</v>
      </c>
      <c r="D2393" s="35">
        <v>-78.48940277</v>
      </c>
      <c r="E2393" s="32" t="s">
        <v>307</v>
      </c>
      <c r="F2393" s="32" t="s">
        <v>5919</v>
      </c>
      <c r="G2393" s="36" t="e">
        <v>#N/A</v>
      </c>
      <c r="H2393" s="33"/>
      <c r="I2393" s="33"/>
      <c r="J2393" s="33"/>
      <c r="K2393" s="33"/>
      <c r="L2393" s="33"/>
      <c r="M2393" s="33"/>
    </row>
    <row r="2394">
      <c r="A2394" s="32" t="s">
        <v>5920</v>
      </c>
      <c r="B2394" s="32" t="s">
        <v>5921</v>
      </c>
      <c r="C2394" s="35">
        <v>11.02999973</v>
      </c>
      <c r="D2394" s="35">
        <v>77.04340363</v>
      </c>
      <c r="E2394" s="32" t="s">
        <v>217</v>
      </c>
      <c r="F2394" s="32" t="s">
        <v>5922</v>
      </c>
      <c r="G2394" s="39" t="s">
        <v>218</v>
      </c>
      <c r="H2394" s="33"/>
      <c r="I2394" s="33"/>
      <c r="J2394" s="33"/>
      <c r="K2394" s="33"/>
      <c r="L2394" s="33"/>
      <c r="M2394" s="33"/>
    </row>
    <row r="2395">
      <c r="A2395" s="32" t="s">
        <v>5923</v>
      </c>
      <c r="B2395" s="32" t="s">
        <v>5924</v>
      </c>
      <c r="C2395" s="35">
        <v>-22.49819946</v>
      </c>
      <c r="D2395" s="35">
        <v>-68.9036026</v>
      </c>
      <c r="E2395" s="32" t="s">
        <v>300</v>
      </c>
      <c r="F2395" s="32" t="s">
        <v>5925</v>
      </c>
      <c r="G2395" s="36" t="e">
        <v>#N/A</v>
      </c>
      <c r="H2395" s="33"/>
      <c r="I2395" s="33"/>
      <c r="J2395" s="33"/>
      <c r="K2395" s="33"/>
      <c r="L2395" s="33"/>
      <c r="M2395" s="33"/>
    </row>
    <row r="2396">
      <c r="A2396" s="32" t="s">
        <v>5926</v>
      </c>
      <c r="B2396" s="32" t="s">
        <v>5927</v>
      </c>
      <c r="C2396" s="35">
        <v>-22.9666996</v>
      </c>
      <c r="D2396" s="35">
        <v>118.8130035</v>
      </c>
      <c r="E2396" s="32" t="s">
        <v>1968</v>
      </c>
      <c r="F2396" s="32" t="s">
        <v>5928</v>
      </c>
      <c r="G2396" s="36" t="e">
        <v>#N/A</v>
      </c>
      <c r="H2396" s="33"/>
      <c r="I2396" s="33"/>
      <c r="J2396" s="33"/>
      <c r="K2396" s="33"/>
      <c r="L2396" s="33"/>
      <c r="M2396" s="33"/>
    </row>
    <row r="2397">
      <c r="A2397" s="32" t="s">
        <v>5929</v>
      </c>
      <c r="B2397" s="32" t="s">
        <v>5930</v>
      </c>
      <c r="C2397" s="35">
        <v>36.71659851</v>
      </c>
      <c r="D2397" s="35">
        <v>127.4990005</v>
      </c>
      <c r="E2397" s="32" t="s">
        <v>151</v>
      </c>
      <c r="F2397" s="32" t="s">
        <v>5931</v>
      </c>
      <c r="G2397" s="39" t="s">
        <v>152</v>
      </c>
      <c r="H2397" s="33"/>
      <c r="I2397" s="33"/>
      <c r="J2397" s="33"/>
      <c r="K2397" s="33"/>
      <c r="L2397" s="33"/>
      <c r="M2397" s="33"/>
    </row>
    <row r="2398">
      <c r="A2398" s="32" t="s">
        <v>5932</v>
      </c>
      <c r="B2398" s="32" t="s">
        <v>5933</v>
      </c>
      <c r="C2398" s="35">
        <v>35.88660049</v>
      </c>
      <c r="D2398" s="35">
        <v>71.80059814</v>
      </c>
      <c r="E2398" s="32" t="s">
        <v>1470</v>
      </c>
      <c r="F2398" s="32" t="s">
        <v>5934</v>
      </c>
      <c r="G2398" s="36" t="e">
        <v>#N/A</v>
      </c>
      <c r="H2398" s="33"/>
      <c r="I2398" s="33"/>
      <c r="J2398" s="33"/>
      <c r="K2398" s="33"/>
      <c r="L2398" s="33"/>
      <c r="M2398" s="33"/>
    </row>
    <row r="2399">
      <c r="A2399" s="32" t="s">
        <v>5935</v>
      </c>
      <c r="B2399" s="32" t="s">
        <v>5936</v>
      </c>
      <c r="C2399" s="35">
        <v>10.71119976</v>
      </c>
      <c r="D2399" s="35">
        <v>99.36170197</v>
      </c>
      <c r="E2399" s="32" t="s">
        <v>175</v>
      </c>
      <c r="F2399" s="32" t="s">
        <v>5937</v>
      </c>
      <c r="G2399" s="39" t="s">
        <v>176</v>
      </c>
      <c r="H2399" s="33"/>
      <c r="I2399" s="33"/>
      <c r="J2399" s="33"/>
      <c r="K2399" s="33"/>
      <c r="L2399" s="33"/>
      <c r="M2399" s="33"/>
    </row>
    <row r="2400">
      <c r="A2400" s="32" t="s">
        <v>5938</v>
      </c>
      <c r="B2400" s="32" t="s">
        <v>5939</v>
      </c>
      <c r="C2400" s="35">
        <v>31.63610077</v>
      </c>
      <c r="D2400" s="35">
        <v>-106.4290009</v>
      </c>
      <c r="E2400" s="32" t="s">
        <v>186</v>
      </c>
      <c r="F2400" s="32" t="s">
        <v>5940</v>
      </c>
      <c r="G2400" s="39" t="s">
        <v>187</v>
      </c>
      <c r="H2400" s="33"/>
      <c r="I2400" s="33"/>
      <c r="J2400" s="33"/>
      <c r="K2400" s="33"/>
      <c r="L2400" s="33"/>
      <c r="M2400" s="33"/>
    </row>
    <row r="2401">
      <c r="A2401" s="32" t="s">
        <v>5941</v>
      </c>
      <c r="B2401" s="32" t="s">
        <v>5942</v>
      </c>
      <c r="C2401" s="35">
        <v>33.51129913</v>
      </c>
      <c r="D2401" s="35">
        <v>126.4929962</v>
      </c>
      <c r="E2401" s="32" t="s">
        <v>151</v>
      </c>
      <c r="F2401" s="32" t="s">
        <v>5943</v>
      </c>
      <c r="G2401" s="39" t="s">
        <v>152</v>
      </c>
      <c r="H2401" s="33"/>
      <c r="I2401" s="33"/>
      <c r="J2401" s="33"/>
      <c r="K2401" s="33"/>
      <c r="L2401" s="33"/>
      <c r="M2401" s="33"/>
    </row>
    <row r="2402">
      <c r="A2402" s="32" t="s">
        <v>5944</v>
      </c>
      <c r="B2402" s="32" t="s">
        <v>5945</v>
      </c>
      <c r="C2402" s="35">
        <v>39.29660034</v>
      </c>
      <c r="D2402" s="35">
        <v>-80.22810364</v>
      </c>
      <c r="E2402" s="32" t="s">
        <v>180</v>
      </c>
      <c r="F2402" s="32" t="s">
        <v>5946</v>
      </c>
      <c r="G2402" s="39" t="s">
        <v>181</v>
      </c>
      <c r="H2402" s="33"/>
      <c r="I2402" s="33"/>
      <c r="J2402" s="33"/>
      <c r="K2402" s="33"/>
      <c r="L2402" s="33"/>
      <c r="M2402" s="33"/>
    </row>
    <row r="2403">
      <c r="A2403" s="32" t="s">
        <v>5947</v>
      </c>
      <c r="B2403" s="32" t="s">
        <v>5948</v>
      </c>
      <c r="C2403" s="35">
        <v>49.41559982</v>
      </c>
      <c r="D2403" s="35">
        <v>31.99530029</v>
      </c>
      <c r="E2403" s="32" t="s">
        <v>3293</v>
      </c>
      <c r="F2403" s="32" t="s">
        <v>5949</v>
      </c>
      <c r="G2403" s="36" t="e">
        <v>#N/A</v>
      </c>
      <c r="H2403" s="33"/>
      <c r="I2403" s="33"/>
      <c r="J2403" s="33"/>
      <c r="K2403" s="33"/>
      <c r="L2403" s="33"/>
      <c r="M2403" s="33"/>
    </row>
    <row r="2404">
      <c r="A2404" s="32" t="s">
        <v>5950</v>
      </c>
      <c r="B2404" s="32" t="s">
        <v>5951</v>
      </c>
      <c r="C2404" s="35">
        <v>31.98880005</v>
      </c>
      <c r="D2404" s="35">
        <v>-83.77390289</v>
      </c>
      <c r="E2404" s="32" t="s">
        <v>180</v>
      </c>
      <c r="F2404" s="32" t="s">
        <v>5952</v>
      </c>
      <c r="G2404" s="39" t="s">
        <v>181</v>
      </c>
      <c r="H2404" s="33"/>
      <c r="I2404" s="33"/>
      <c r="J2404" s="33"/>
      <c r="K2404" s="33"/>
      <c r="L2404" s="33"/>
      <c r="M2404" s="33"/>
    </row>
    <row r="2405">
      <c r="A2405" s="32" t="s">
        <v>5953</v>
      </c>
      <c r="B2405" s="32" t="s">
        <v>5954</v>
      </c>
      <c r="C2405" s="35">
        <v>29.71920013</v>
      </c>
      <c r="D2405" s="35">
        <v>106.6419983</v>
      </c>
      <c r="E2405" s="32" t="s">
        <v>205</v>
      </c>
      <c r="F2405" s="32" t="s">
        <v>5955</v>
      </c>
      <c r="G2405" s="39" t="s">
        <v>206</v>
      </c>
      <c r="H2405" s="33"/>
      <c r="I2405" s="33"/>
      <c r="J2405" s="33"/>
      <c r="K2405" s="33"/>
      <c r="L2405" s="33"/>
      <c r="M2405" s="33"/>
    </row>
    <row r="2406">
      <c r="A2406" s="32" t="s">
        <v>5956</v>
      </c>
      <c r="B2406" s="32" t="s">
        <v>5957</v>
      </c>
      <c r="C2406" s="35">
        <v>70.62310028</v>
      </c>
      <c r="D2406" s="35">
        <v>147.9019928</v>
      </c>
      <c r="E2406" s="32" t="s">
        <v>2040</v>
      </c>
      <c r="F2406" s="32" t="s">
        <v>5958</v>
      </c>
      <c r="G2406" s="36" t="e">
        <v>#N/A</v>
      </c>
      <c r="H2406" s="33"/>
      <c r="I2406" s="33"/>
      <c r="J2406" s="33"/>
      <c r="K2406" s="33"/>
      <c r="L2406" s="33"/>
      <c r="M2406" s="33"/>
    </row>
    <row r="2407">
      <c r="A2407" s="32" t="s">
        <v>5959</v>
      </c>
      <c r="B2407" s="32" t="s">
        <v>5960</v>
      </c>
      <c r="C2407" s="35">
        <v>55.87829971</v>
      </c>
      <c r="D2407" s="35">
        <v>38.06169891</v>
      </c>
      <c r="E2407" s="32" t="s">
        <v>2040</v>
      </c>
      <c r="F2407" s="32" t="s">
        <v>5961</v>
      </c>
      <c r="G2407" s="36" t="e">
        <v>#N/A</v>
      </c>
      <c r="H2407" s="33"/>
      <c r="I2407" s="33"/>
      <c r="J2407" s="33"/>
      <c r="K2407" s="33"/>
      <c r="L2407" s="33"/>
      <c r="M2407" s="33"/>
    </row>
    <row r="2408">
      <c r="A2408" s="32" t="s">
        <v>5962</v>
      </c>
      <c r="B2408" s="32" t="s">
        <v>5963</v>
      </c>
      <c r="C2408" s="35">
        <v>-6.115277767</v>
      </c>
      <c r="D2408" s="35">
        <v>-50.00138855</v>
      </c>
      <c r="E2408" s="32" t="s">
        <v>288</v>
      </c>
      <c r="F2408" s="32" t="s">
        <v>5964</v>
      </c>
      <c r="G2408" s="36" t="e">
        <v>#N/A</v>
      </c>
      <c r="H2408" s="33"/>
      <c r="I2408" s="33"/>
      <c r="J2408" s="33"/>
      <c r="K2408" s="33"/>
      <c r="L2408" s="33"/>
      <c r="M2408" s="33"/>
    </row>
    <row r="2409">
      <c r="A2409" s="32" t="s">
        <v>5965</v>
      </c>
      <c r="B2409" s="32" t="s">
        <v>5966</v>
      </c>
      <c r="C2409" s="35">
        <v>36.62189865</v>
      </c>
      <c r="D2409" s="35">
        <v>-87.41500092</v>
      </c>
      <c r="E2409" s="32" t="s">
        <v>180</v>
      </c>
      <c r="F2409" s="32" t="s">
        <v>5967</v>
      </c>
      <c r="G2409" s="39" t="s">
        <v>181</v>
      </c>
      <c r="H2409" s="33"/>
      <c r="I2409" s="33"/>
      <c r="J2409" s="33"/>
      <c r="K2409" s="33"/>
      <c r="L2409" s="33"/>
      <c r="M2409" s="33"/>
    </row>
    <row r="2410">
      <c r="A2410" s="32" t="s">
        <v>5968</v>
      </c>
      <c r="B2410" s="32" t="s">
        <v>5969</v>
      </c>
      <c r="C2410" s="35">
        <v>9.57689</v>
      </c>
      <c r="D2410" s="35">
        <v>-13.612</v>
      </c>
      <c r="E2410" s="32" t="s">
        <v>2970</v>
      </c>
      <c r="F2410" s="32" t="s">
        <v>5970</v>
      </c>
      <c r="G2410" s="36" t="e">
        <v>#N/A</v>
      </c>
      <c r="H2410" s="33"/>
      <c r="I2410" s="33"/>
      <c r="J2410" s="33"/>
      <c r="K2410" s="33"/>
      <c r="L2410" s="33"/>
      <c r="M2410" s="33"/>
    </row>
    <row r="2411">
      <c r="A2411" s="32" t="s">
        <v>5971</v>
      </c>
      <c r="B2411" s="32" t="s">
        <v>5972</v>
      </c>
      <c r="C2411" s="35">
        <v>40.13769913</v>
      </c>
      <c r="D2411" s="35">
        <v>26.42679977</v>
      </c>
      <c r="E2411" s="32" t="s">
        <v>133</v>
      </c>
      <c r="F2411" s="32" t="s">
        <v>5973</v>
      </c>
      <c r="G2411" s="39" t="s">
        <v>134</v>
      </c>
      <c r="H2411" s="33"/>
      <c r="I2411" s="33"/>
      <c r="J2411" s="33"/>
      <c r="K2411" s="33"/>
      <c r="L2411" s="33"/>
      <c r="M2411" s="33"/>
    </row>
    <row r="2412">
      <c r="A2412" s="32" t="s">
        <v>5974</v>
      </c>
      <c r="B2412" s="32" t="s">
        <v>5975</v>
      </c>
      <c r="C2412" s="35">
        <v>33.12829971</v>
      </c>
      <c r="D2412" s="35">
        <v>-117.2799988</v>
      </c>
      <c r="E2412" s="32" t="s">
        <v>180</v>
      </c>
      <c r="F2412" s="32" t="s">
        <v>5976</v>
      </c>
      <c r="G2412" s="39" t="s">
        <v>181</v>
      </c>
      <c r="H2412" s="33"/>
      <c r="I2412" s="33"/>
      <c r="J2412" s="33"/>
      <c r="K2412" s="33"/>
      <c r="L2412" s="33"/>
      <c r="M2412" s="33"/>
    </row>
    <row r="2413">
      <c r="A2413" s="32" t="s">
        <v>5977</v>
      </c>
      <c r="B2413" s="32" t="s">
        <v>5978</v>
      </c>
      <c r="C2413" s="35">
        <v>41.4117012</v>
      </c>
      <c r="D2413" s="35">
        <v>-81.84980011</v>
      </c>
      <c r="E2413" s="32" t="s">
        <v>180</v>
      </c>
      <c r="F2413" s="32" t="s">
        <v>4883</v>
      </c>
      <c r="G2413" s="39" t="s">
        <v>181</v>
      </c>
      <c r="H2413" s="33"/>
      <c r="I2413" s="33"/>
      <c r="J2413" s="33"/>
      <c r="K2413" s="33"/>
      <c r="L2413" s="33"/>
      <c r="M2413" s="33"/>
    </row>
    <row r="2414">
      <c r="A2414" s="32" t="s">
        <v>5979</v>
      </c>
      <c r="B2414" s="32" t="s">
        <v>5980</v>
      </c>
      <c r="C2414" s="35">
        <v>46.78519821</v>
      </c>
      <c r="D2414" s="35">
        <v>23.68619919</v>
      </c>
      <c r="E2414" s="32" t="s">
        <v>2874</v>
      </c>
      <c r="F2414" s="32" t="s">
        <v>5981</v>
      </c>
      <c r="G2414" s="36" t="e">
        <v>#N/A</v>
      </c>
      <c r="H2414" s="33"/>
      <c r="I2414" s="33"/>
      <c r="J2414" s="33"/>
      <c r="K2414" s="33"/>
      <c r="L2414" s="33"/>
      <c r="M2414" s="33"/>
    </row>
    <row r="2415">
      <c r="A2415" s="32" t="s">
        <v>5982</v>
      </c>
      <c r="B2415" s="32" t="s">
        <v>5983</v>
      </c>
      <c r="C2415" s="35">
        <v>30.58860016</v>
      </c>
      <c r="D2415" s="35">
        <v>-96.36380005</v>
      </c>
      <c r="E2415" s="32" t="s">
        <v>180</v>
      </c>
      <c r="F2415" s="32" t="s">
        <v>5984</v>
      </c>
      <c r="G2415" s="39" t="s">
        <v>181</v>
      </c>
      <c r="H2415" s="33"/>
      <c r="I2415" s="33"/>
      <c r="J2415" s="33"/>
      <c r="K2415" s="33"/>
      <c r="L2415" s="33"/>
      <c r="M2415" s="33"/>
    </row>
    <row r="2416">
      <c r="A2416" s="32" t="s">
        <v>5985</v>
      </c>
      <c r="B2416" s="32" t="s">
        <v>5986</v>
      </c>
      <c r="C2416" s="35">
        <v>48.120201109999996</v>
      </c>
      <c r="D2416" s="35">
        <v>-123.5</v>
      </c>
      <c r="E2416" s="32" t="s">
        <v>180</v>
      </c>
      <c r="F2416" s="32" t="s">
        <v>5987</v>
      </c>
      <c r="G2416" s="39" t="s">
        <v>181</v>
      </c>
      <c r="H2416" s="33"/>
      <c r="I2416" s="33"/>
      <c r="J2416" s="33"/>
      <c r="K2416" s="33"/>
      <c r="L2416" s="33"/>
      <c r="M2416" s="33"/>
    </row>
    <row r="2417">
      <c r="A2417" s="32" t="s">
        <v>5988</v>
      </c>
      <c r="B2417" s="32" t="s">
        <v>5989</v>
      </c>
      <c r="C2417" s="35">
        <v>-7.320439816</v>
      </c>
      <c r="D2417" s="35">
        <v>-47.45869827</v>
      </c>
      <c r="E2417" s="32" t="s">
        <v>288</v>
      </c>
      <c r="F2417" s="32" t="s">
        <v>5990</v>
      </c>
      <c r="G2417" s="36" t="e">
        <v>#N/A</v>
      </c>
      <c r="H2417" s="33"/>
      <c r="I2417" s="33"/>
      <c r="J2417" s="33"/>
      <c r="K2417" s="33"/>
      <c r="L2417" s="33"/>
      <c r="M2417" s="33"/>
    </row>
    <row r="2418">
      <c r="A2418" s="32" t="s">
        <v>5991</v>
      </c>
      <c r="B2418" s="32" t="s">
        <v>5992</v>
      </c>
      <c r="C2418" s="35">
        <v>3.54322</v>
      </c>
      <c r="D2418" s="35">
        <v>-76.3816</v>
      </c>
      <c r="E2418" s="32" t="s">
        <v>292</v>
      </c>
      <c r="F2418" s="32" t="s">
        <v>5993</v>
      </c>
      <c r="G2418" s="36" t="e">
        <v>#N/A</v>
      </c>
      <c r="H2418" s="33"/>
      <c r="I2418" s="33"/>
      <c r="J2418" s="33"/>
      <c r="K2418" s="33"/>
      <c r="L2418" s="33"/>
      <c r="M2418" s="33"/>
    </row>
    <row r="2419">
      <c r="A2419" s="32" t="s">
        <v>5994</v>
      </c>
      <c r="B2419" s="32" t="s">
        <v>5995</v>
      </c>
      <c r="C2419" s="35">
        <v>19.27700043</v>
      </c>
      <c r="D2419" s="35">
        <v>-103.5770035</v>
      </c>
      <c r="E2419" s="32" t="s">
        <v>186</v>
      </c>
      <c r="F2419" s="32" t="s">
        <v>5996</v>
      </c>
      <c r="G2419" s="39" t="s">
        <v>187</v>
      </c>
      <c r="H2419" s="33"/>
      <c r="I2419" s="33"/>
      <c r="J2419" s="33"/>
      <c r="K2419" s="33"/>
      <c r="L2419" s="33"/>
      <c r="M2419" s="33"/>
    </row>
    <row r="2420">
      <c r="A2420" s="32" t="s">
        <v>5997</v>
      </c>
      <c r="B2420" s="32" t="s">
        <v>5998</v>
      </c>
      <c r="C2420" s="35">
        <v>46.67699814</v>
      </c>
      <c r="D2420" s="35">
        <v>-122.9830017</v>
      </c>
      <c r="E2420" s="32" t="s">
        <v>180</v>
      </c>
      <c r="F2420" s="32" t="s">
        <v>5999</v>
      </c>
      <c r="G2420" s="39" t="s">
        <v>181</v>
      </c>
      <c r="H2420" s="33"/>
      <c r="I2420" s="33"/>
      <c r="J2420" s="33"/>
      <c r="K2420" s="33"/>
      <c r="L2420" s="33"/>
      <c r="M2420" s="33"/>
    </row>
    <row r="2421">
      <c r="A2421" s="32" t="s">
        <v>6000</v>
      </c>
      <c r="B2421" s="32" t="s">
        <v>6001</v>
      </c>
      <c r="C2421" s="35">
        <v>35.2140007</v>
      </c>
      <c r="D2421" s="35">
        <v>-80.94309998</v>
      </c>
      <c r="E2421" s="32" t="s">
        <v>180</v>
      </c>
      <c r="F2421" s="32" t="s">
        <v>6002</v>
      </c>
      <c r="G2421" s="39" t="s">
        <v>181</v>
      </c>
      <c r="H2421" s="33"/>
      <c r="I2421" s="33"/>
      <c r="J2421" s="33"/>
      <c r="K2421" s="33"/>
      <c r="L2421" s="33"/>
      <c r="M2421" s="33"/>
    </row>
    <row r="2422">
      <c r="A2422" s="32" t="s">
        <v>6003</v>
      </c>
      <c r="B2422" s="32" t="s">
        <v>6004</v>
      </c>
      <c r="C2422" s="35">
        <v>39.26190186</v>
      </c>
      <c r="D2422" s="35">
        <v>-85.89630127</v>
      </c>
      <c r="E2422" s="32" t="s">
        <v>180</v>
      </c>
      <c r="F2422" s="32" t="s">
        <v>6005</v>
      </c>
      <c r="G2422" s="39" t="s">
        <v>181</v>
      </c>
      <c r="H2422" s="33"/>
      <c r="I2422" s="33"/>
      <c r="J2422" s="33"/>
      <c r="K2422" s="33"/>
      <c r="L2422" s="33"/>
      <c r="M2422" s="33"/>
    </row>
    <row r="2423">
      <c r="A2423" s="32" t="s">
        <v>6006</v>
      </c>
      <c r="B2423" s="32" t="s">
        <v>6007</v>
      </c>
      <c r="C2423" s="35">
        <v>-17.72529984</v>
      </c>
      <c r="D2423" s="35">
        <v>-48.60749817</v>
      </c>
      <c r="E2423" s="32" t="s">
        <v>288</v>
      </c>
      <c r="F2423" s="32" t="s">
        <v>6008</v>
      </c>
      <c r="G2423" s="36" t="e">
        <v>#N/A</v>
      </c>
      <c r="H2423" s="33"/>
      <c r="I2423" s="33"/>
      <c r="J2423" s="33"/>
      <c r="K2423" s="33"/>
      <c r="L2423" s="33"/>
      <c r="M2423" s="33"/>
    </row>
    <row r="2424">
      <c r="A2424" s="32" t="s">
        <v>6009</v>
      </c>
      <c r="B2424" s="32" t="s">
        <v>6010</v>
      </c>
      <c r="C2424" s="35">
        <v>27.97669983</v>
      </c>
      <c r="D2424" s="35">
        <v>-82.75869751</v>
      </c>
      <c r="E2424" s="32" t="s">
        <v>180</v>
      </c>
      <c r="F2424" s="32" t="s">
        <v>6011</v>
      </c>
      <c r="G2424" s="39" t="s">
        <v>181</v>
      </c>
      <c r="H2424" s="33"/>
      <c r="I2424" s="33"/>
      <c r="J2424" s="33"/>
      <c r="K2424" s="33"/>
      <c r="L2424" s="33"/>
      <c r="M2424" s="33"/>
    </row>
    <row r="2425">
      <c r="A2425" s="32" t="s">
        <v>6012</v>
      </c>
      <c r="B2425" s="32" t="s">
        <v>6013</v>
      </c>
      <c r="C2425" s="35">
        <v>42.5244444</v>
      </c>
      <c r="D2425" s="35">
        <v>8.7930556</v>
      </c>
      <c r="E2425" s="32" t="s">
        <v>96</v>
      </c>
      <c r="F2425" s="32" t="s">
        <v>6014</v>
      </c>
      <c r="G2425" s="39" t="s">
        <v>97</v>
      </c>
      <c r="H2425" s="33"/>
      <c r="I2425" s="33"/>
      <c r="J2425" s="33"/>
      <c r="K2425" s="33"/>
      <c r="L2425" s="33"/>
      <c r="M2425" s="33"/>
    </row>
    <row r="2426">
      <c r="A2426" s="32" t="s">
        <v>6015</v>
      </c>
      <c r="B2426" s="32" t="s">
        <v>6016</v>
      </c>
      <c r="C2426" s="35">
        <v>-28.03000069</v>
      </c>
      <c r="D2426" s="35">
        <v>145.621994</v>
      </c>
      <c r="E2426" s="32" t="s">
        <v>1968</v>
      </c>
      <c r="F2426" s="32" t="s">
        <v>6017</v>
      </c>
      <c r="G2426" s="36" t="e">
        <v>#N/A</v>
      </c>
      <c r="H2426" s="33"/>
      <c r="I2426" s="33"/>
      <c r="J2426" s="33"/>
      <c r="K2426" s="33"/>
      <c r="L2426" s="33"/>
      <c r="M2426" s="33"/>
    </row>
    <row r="2427">
      <c r="A2427" s="32" t="s">
        <v>6018</v>
      </c>
      <c r="B2427" s="32" t="s">
        <v>6019</v>
      </c>
      <c r="C2427" s="35">
        <v>7.180759907</v>
      </c>
      <c r="D2427" s="35">
        <v>79.88410187</v>
      </c>
      <c r="E2427" s="32" t="s">
        <v>1829</v>
      </c>
      <c r="F2427" s="32" t="s">
        <v>6020</v>
      </c>
      <c r="G2427" s="36" t="e">
        <v>#N/A</v>
      </c>
      <c r="H2427" s="33"/>
      <c r="I2427" s="33"/>
      <c r="J2427" s="33"/>
      <c r="K2427" s="33"/>
      <c r="L2427" s="33"/>
      <c r="M2427" s="33"/>
    </row>
    <row r="2428">
      <c r="A2428" s="32" t="s">
        <v>6021</v>
      </c>
      <c r="B2428" s="32" t="s">
        <v>6022</v>
      </c>
      <c r="C2428" s="35">
        <v>-34.62390137</v>
      </c>
      <c r="D2428" s="35">
        <v>148.0279999</v>
      </c>
      <c r="E2428" s="32" t="s">
        <v>1968</v>
      </c>
      <c r="F2428" s="33"/>
      <c r="G2428" s="36" t="e">
        <v>#N/A</v>
      </c>
      <c r="H2428" s="33"/>
      <c r="I2428" s="33"/>
      <c r="J2428" s="33"/>
      <c r="K2428" s="33"/>
      <c r="L2428" s="33"/>
      <c r="M2428" s="33"/>
    </row>
    <row r="2429">
      <c r="A2429" s="32" t="s">
        <v>6023</v>
      </c>
      <c r="B2429" s="32" t="s">
        <v>6024</v>
      </c>
      <c r="C2429" s="35">
        <v>18.65369987</v>
      </c>
      <c r="D2429" s="35">
        <v>-91.7990036</v>
      </c>
      <c r="E2429" s="32" t="s">
        <v>186</v>
      </c>
      <c r="F2429" s="32" t="s">
        <v>6025</v>
      </c>
      <c r="G2429" s="39" t="s">
        <v>187</v>
      </c>
      <c r="H2429" s="33"/>
      <c r="I2429" s="33"/>
      <c r="J2429" s="33"/>
      <c r="K2429" s="33"/>
      <c r="L2429" s="33"/>
      <c r="M2429" s="33"/>
    </row>
    <row r="2430">
      <c r="A2430" s="32" t="s">
        <v>6026</v>
      </c>
      <c r="B2430" s="32" t="s">
        <v>6027</v>
      </c>
      <c r="C2430" s="35">
        <v>45.63809967</v>
      </c>
      <c r="D2430" s="35">
        <v>5.88022995</v>
      </c>
      <c r="E2430" s="32" t="s">
        <v>96</v>
      </c>
      <c r="F2430" s="32" t="s">
        <v>949</v>
      </c>
      <c r="G2430" s="39" t="s">
        <v>97</v>
      </c>
      <c r="H2430" s="33"/>
      <c r="I2430" s="33"/>
      <c r="J2430" s="33"/>
      <c r="K2430" s="33"/>
      <c r="L2430" s="33"/>
      <c r="M2430" s="33"/>
    </row>
    <row r="2431">
      <c r="A2431" s="32" t="s">
        <v>6028</v>
      </c>
      <c r="B2431" s="32" t="s">
        <v>6029</v>
      </c>
      <c r="C2431" s="35">
        <v>-19.01194382</v>
      </c>
      <c r="D2431" s="35">
        <v>-57.67139053</v>
      </c>
      <c r="E2431" s="32" t="s">
        <v>288</v>
      </c>
      <c r="F2431" s="32" t="s">
        <v>6030</v>
      </c>
      <c r="G2431" s="36" t="e">
        <v>#N/A</v>
      </c>
      <c r="H2431" s="33"/>
      <c r="I2431" s="33"/>
      <c r="J2431" s="33"/>
      <c r="K2431" s="33"/>
      <c r="L2431" s="33"/>
      <c r="M2431" s="33"/>
    </row>
    <row r="2432">
      <c r="A2432" s="32" t="s">
        <v>6031</v>
      </c>
      <c r="B2432" s="32" t="s">
        <v>6032</v>
      </c>
      <c r="C2432" s="35">
        <v>39.9980011</v>
      </c>
      <c r="D2432" s="35">
        <v>-82.89189911</v>
      </c>
      <c r="E2432" s="32" t="s">
        <v>180</v>
      </c>
      <c r="F2432" s="32" t="s">
        <v>6005</v>
      </c>
      <c r="G2432" s="39" t="s">
        <v>181</v>
      </c>
      <c r="H2432" s="33"/>
      <c r="I2432" s="33"/>
      <c r="J2432" s="33"/>
      <c r="K2432" s="33"/>
      <c r="L2432" s="33"/>
      <c r="M2432" s="33"/>
    </row>
    <row r="2433">
      <c r="A2433" s="32" t="s">
        <v>6033</v>
      </c>
      <c r="B2433" s="32" t="s">
        <v>6034</v>
      </c>
      <c r="C2433" s="35">
        <v>40.03919983</v>
      </c>
      <c r="D2433" s="35">
        <v>-88.27809906</v>
      </c>
      <c r="E2433" s="32" t="s">
        <v>180</v>
      </c>
      <c r="F2433" s="32" t="s">
        <v>6035</v>
      </c>
      <c r="G2433" s="39" t="s">
        <v>181</v>
      </c>
      <c r="H2433" s="33"/>
      <c r="I2433" s="33"/>
      <c r="J2433" s="33"/>
      <c r="K2433" s="33"/>
      <c r="L2433" s="33"/>
      <c r="M2433" s="33"/>
    </row>
    <row r="2434">
      <c r="A2434" s="32" t="s">
        <v>6036</v>
      </c>
      <c r="B2434" s="32" t="s">
        <v>6037</v>
      </c>
      <c r="C2434" s="35">
        <v>-14.30690002</v>
      </c>
      <c r="D2434" s="35">
        <v>35.13249969</v>
      </c>
      <c r="E2434" s="32" t="s">
        <v>794</v>
      </c>
      <c r="F2434" s="32" t="s">
        <v>6038</v>
      </c>
      <c r="G2434" s="36" t="e">
        <v>#N/A</v>
      </c>
      <c r="H2434" s="33"/>
      <c r="I2434" s="33"/>
      <c r="J2434" s="33"/>
      <c r="K2434" s="33"/>
      <c r="L2434" s="33"/>
      <c r="M2434" s="33"/>
    </row>
    <row r="2435">
      <c r="A2435" s="32" t="s">
        <v>44</v>
      </c>
      <c r="B2435" s="32" t="s">
        <v>6039</v>
      </c>
      <c r="C2435" s="35">
        <v>33.36750031</v>
      </c>
      <c r="D2435" s="35">
        <v>-7.589970112</v>
      </c>
      <c r="E2435" s="32" t="s">
        <v>17</v>
      </c>
      <c r="F2435" s="32" t="s">
        <v>45</v>
      </c>
      <c r="G2435" s="36" t="e">
        <v>#N/A</v>
      </c>
      <c r="H2435" s="33"/>
      <c r="I2435" s="33"/>
      <c r="J2435" s="33"/>
      <c r="K2435" s="33"/>
      <c r="L2435" s="33"/>
      <c r="M2435" s="33"/>
    </row>
    <row r="2436">
      <c r="A2436" s="32" t="s">
        <v>6040</v>
      </c>
      <c r="B2436" s="32" t="s">
        <v>6041</v>
      </c>
      <c r="C2436" s="35">
        <v>-9.319970131</v>
      </c>
      <c r="D2436" s="35">
        <v>-50.32849884</v>
      </c>
      <c r="E2436" s="32" t="s">
        <v>288</v>
      </c>
      <c r="F2436" s="32" t="s">
        <v>6042</v>
      </c>
      <c r="G2436" s="36" t="e">
        <v>#N/A</v>
      </c>
      <c r="H2436" s="33"/>
      <c r="I2436" s="33"/>
      <c r="J2436" s="33"/>
      <c r="K2436" s="33"/>
      <c r="L2436" s="33"/>
      <c r="M2436" s="33"/>
    </row>
    <row r="2437">
      <c r="A2437" s="32" t="s">
        <v>6043</v>
      </c>
      <c r="B2437" s="32" t="s">
        <v>6044</v>
      </c>
      <c r="C2437" s="35">
        <v>-22.7730999</v>
      </c>
      <c r="D2437" s="35">
        <v>147.6210022</v>
      </c>
      <c r="E2437" s="32" t="s">
        <v>1968</v>
      </c>
      <c r="F2437" s="32" t="s">
        <v>6045</v>
      </c>
      <c r="G2437" s="36" t="e">
        <v>#N/A</v>
      </c>
      <c r="H2437" s="33"/>
      <c r="I2437" s="33"/>
      <c r="J2437" s="33"/>
      <c r="K2437" s="33"/>
      <c r="L2437" s="33"/>
      <c r="M2437" s="33"/>
    </row>
    <row r="2438">
      <c r="A2438" s="32" t="s">
        <v>6046</v>
      </c>
      <c r="B2438" s="32" t="s">
        <v>6047</v>
      </c>
      <c r="C2438" s="35">
        <v>48.10990143</v>
      </c>
      <c r="D2438" s="35">
        <v>7.35901022</v>
      </c>
      <c r="E2438" s="32" t="s">
        <v>96</v>
      </c>
      <c r="F2438" s="32" t="s">
        <v>1014</v>
      </c>
      <c r="G2438" s="39" t="s">
        <v>97</v>
      </c>
      <c r="H2438" s="33"/>
      <c r="I2438" s="33"/>
      <c r="J2438" s="33"/>
      <c r="K2438" s="33"/>
      <c r="L2438" s="33"/>
      <c r="M2438" s="33"/>
    </row>
    <row r="2439">
      <c r="A2439" s="32" t="s">
        <v>6048</v>
      </c>
      <c r="B2439" s="32" t="s">
        <v>6049</v>
      </c>
      <c r="C2439" s="35">
        <v>-6.024290085</v>
      </c>
      <c r="D2439" s="35">
        <v>144.970993</v>
      </c>
      <c r="E2439" s="32" t="s">
        <v>5289</v>
      </c>
      <c r="F2439" s="32" t="s">
        <v>6050</v>
      </c>
      <c r="G2439" s="36" t="e">
        <v>#N/A</v>
      </c>
      <c r="H2439" s="33"/>
      <c r="I2439" s="33"/>
      <c r="J2439" s="33"/>
      <c r="K2439" s="33"/>
      <c r="L2439" s="33"/>
      <c r="M2439" s="33"/>
    </row>
    <row r="2440">
      <c r="A2440" s="32" t="s">
        <v>6051</v>
      </c>
      <c r="B2440" s="32" t="s">
        <v>6052</v>
      </c>
      <c r="C2440" s="35">
        <v>21.42029953</v>
      </c>
      <c r="D2440" s="35">
        <v>-77.84750366</v>
      </c>
      <c r="E2440" s="32" t="s">
        <v>1294</v>
      </c>
      <c r="F2440" s="32" t="s">
        <v>6053</v>
      </c>
      <c r="G2440" s="36" t="e">
        <v>#N/A</v>
      </c>
      <c r="H2440" s="33"/>
      <c r="I2440" s="33"/>
      <c r="J2440" s="33"/>
      <c r="K2440" s="33"/>
      <c r="L2440" s="33"/>
      <c r="M2440" s="33"/>
    </row>
    <row r="2441">
      <c r="A2441" s="32" t="s">
        <v>6054</v>
      </c>
      <c r="B2441" s="32" t="s">
        <v>6055</v>
      </c>
      <c r="C2441" s="35">
        <v>47.16839981</v>
      </c>
      <c r="D2441" s="35">
        <v>-88.4890976</v>
      </c>
      <c r="E2441" s="32" t="s">
        <v>180</v>
      </c>
      <c r="F2441" s="32" t="s">
        <v>6056</v>
      </c>
      <c r="G2441" s="39" t="s">
        <v>181</v>
      </c>
      <c r="H2441" s="33"/>
      <c r="I2441" s="33"/>
      <c r="J2441" s="33"/>
      <c r="K2441" s="33"/>
      <c r="L2441" s="33"/>
      <c r="M2441" s="33"/>
    </row>
    <row r="2442">
      <c r="A2442" s="32" t="s">
        <v>6057</v>
      </c>
      <c r="B2442" s="32" t="s">
        <v>6058</v>
      </c>
      <c r="C2442" s="35">
        <v>-30.98329926</v>
      </c>
      <c r="D2442" s="35">
        <v>148.3760071</v>
      </c>
      <c r="E2442" s="32" t="s">
        <v>1968</v>
      </c>
      <c r="F2442" s="32" t="s">
        <v>6059</v>
      </c>
      <c r="G2442" s="36" t="e">
        <v>#N/A</v>
      </c>
      <c r="H2442" s="33"/>
      <c r="I2442" s="33"/>
      <c r="J2442" s="33"/>
      <c r="K2442" s="33"/>
      <c r="L2442" s="33"/>
      <c r="M2442" s="33"/>
    </row>
    <row r="2443">
      <c r="A2443" s="32" t="s">
        <v>6060</v>
      </c>
      <c r="B2443" s="32" t="s">
        <v>6061</v>
      </c>
      <c r="C2443" s="35">
        <v>-10.05000019</v>
      </c>
      <c r="D2443" s="35">
        <v>143.0700073</v>
      </c>
      <c r="E2443" s="32" t="s">
        <v>1968</v>
      </c>
      <c r="F2443" s="32" t="s">
        <v>6062</v>
      </c>
      <c r="G2443" s="36" t="e">
        <v>#N/A</v>
      </c>
      <c r="H2443" s="33"/>
      <c r="I2443" s="33"/>
      <c r="J2443" s="33"/>
      <c r="K2443" s="33"/>
      <c r="L2443" s="33"/>
      <c r="M2443" s="33"/>
    </row>
    <row r="2444">
      <c r="A2444" s="32" t="s">
        <v>6063</v>
      </c>
      <c r="B2444" s="32" t="s">
        <v>6064</v>
      </c>
      <c r="C2444" s="35">
        <v>44.36220169</v>
      </c>
      <c r="D2444" s="35">
        <v>28.48830032</v>
      </c>
      <c r="E2444" s="32" t="s">
        <v>2874</v>
      </c>
      <c r="F2444" s="32" t="s">
        <v>6065</v>
      </c>
      <c r="G2444" s="36" t="e">
        <v>#N/A</v>
      </c>
      <c r="H2444" s="33"/>
      <c r="I2444" s="33"/>
      <c r="J2444" s="33"/>
      <c r="K2444" s="33"/>
      <c r="L2444" s="33"/>
      <c r="M2444" s="33"/>
    </row>
    <row r="2445">
      <c r="A2445" s="32" t="s">
        <v>6066</v>
      </c>
      <c r="B2445" s="32" t="s">
        <v>6067</v>
      </c>
      <c r="C2445" s="35">
        <v>-19.62444305</v>
      </c>
      <c r="D2445" s="35">
        <v>-43.9719429</v>
      </c>
      <c r="E2445" s="32" t="s">
        <v>288</v>
      </c>
      <c r="F2445" s="32" t="s">
        <v>6068</v>
      </c>
      <c r="G2445" s="36" t="e">
        <v>#N/A</v>
      </c>
      <c r="H2445" s="33"/>
      <c r="I2445" s="33"/>
      <c r="J2445" s="33"/>
      <c r="K2445" s="33"/>
      <c r="L2445" s="33"/>
      <c r="M2445" s="33"/>
    </row>
    <row r="2446">
      <c r="A2446" s="32" t="s">
        <v>6069</v>
      </c>
      <c r="B2446" s="32" t="s">
        <v>6070</v>
      </c>
      <c r="C2446" s="35">
        <v>45.65829849</v>
      </c>
      <c r="D2446" s="35">
        <v>-0.317499995</v>
      </c>
      <c r="E2446" s="32" t="s">
        <v>96</v>
      </c>
      <c r="F2446" s="32" t="s">
        <v>6071</v>
      </c>
      <c r="G2446" s="39" t="s">
        <v>97</v>
      </c>
      <c r="H2446" s="33"/>
      <c r="I2446" s="33"/>
      <c r="J2446" s="33"/>
      <c r="K2446" s="33"/>
      <c r="L2446" s="33"/>
      <c r="M2446" s="33"/>
    </row>
    <row r="2447">
      <c r="A2447" s="32" t="s">
        <v>6072</v>
      </c>
      <c r="B2447" s="32" t="s">
        <v>6073</v>
      </c>
      <c r="C2447" s="35">
        <v>39.26666667</v>
      </c>
      <c r="D2447" s="35">
        <v>122.6669444</v>
      </c>
      <c r="E2447" s="32" t="s">
        <v>205</v>
      </c>
      <c r="F2447" s="32" t="s">
        <v>6074</v>
      </c>
      <c r="G2447" s="39" t="s">
        <v>206</v>
      </c>
      <c r="H2447" s="33"/>
      <c r="I2447" s="33"/>
      <c r="J2447" s="33"/>
      <c r="K2447" s="33"/>
      <c r="L2447" s="33"/>
      <c r="M2447" s="33"/>
    </row>
    <row r="2448">
      <c r="A2448" s="32" t="s">
        <v>6075</v>
      </c>
      <c r="B2448" s="32" t="s">
        <v>6076</v>
      </c>
      <c r="C2448" s="35">
        <v>-20.66860008</v>
      </c>
      <c r="D2448" s="35">
        <v>140.5039978</v>
      </c>
      <c r="E2448" s="32" t="s">
        <v>1968</v>
      </c>
      <c r="F2448" s="32" t="s">
        <v>6077</v>
      </c>
      <c r="G2448" s="36" t="e">
        <v>#N/A</v>
      </c>
      <c r="H2448" s="33"/>
      <c r="I2448" s="33"/>
      <c r="J2448" s="33"/>
      <c r="K2448" s="33"/>
      <c r="L2448" s="33"/>
      <c r="M2448" s="33"/>
    </row>
    <row r="2449">
      <c r="A2449" s="32" t="s">
        <v>6078</v>
      </c>
      <c r="B2449" s="32" t="s">
        <v>6079</v>
      </c>
      <c r="C2449" s="35">
        <v>57.50350189</v>
      </c>
      <c r="D2449" s="35">
        <v>10.22939968</v>
      </c>
      <c r="E2449" s="32" t="s">
        <v>533</v>
      </c>
      <c r="F2449" s="32" t="s">
        <v>6080</v>
      </c>
      <c r="G2449" s="36" t="e">
        <v>#N/A</v>
      </c>
      <c r="H2449" s="33"/>
      <c r="I2449" s="33"/>
      <c r="J2449" s="33"/>
      <c r="K2449" s="33"/>
      <c r="L2449" s="33"/>
      <c r="M2449" s="33"/>
    </row>
    <row r="2450">
      <c r="A2450" s="32" t="s">
        <v>6081</v>
      </c>
      <c r="B2450" s="32" t="s">
        <v>6082</v>
      </c>
      <c r="C2450" s="35">
        <v>32.33750153</v>
      </c>
      <c r="D2450" s="35">
        <v>-104.2630005</v>
      </c>
      <c r="E2450" s="32" t="s">
        <v>180</v>
      </c>
      <c r="F2450" s="32" t="s">
        <v>5976</v>
      </c>
      <c r="G2450" s="39" t="s">
        <v>181</v>
      </c>
      <c r="H2450" s="33"/>
      <c r="I2450" s="33"/>
      <c r="J2450" s="33"/>
      <c r="K2450" s="33"/>
      <c r="L2450" s="33"/>
      <c r="M2450" s="33"/>
    </row>
    <row r="2451">
      <c r="A2451" s="32" t="s">
        <v>6083</v>
      </c>
      <c r="B2451" s="32" t="s">
        <v>6084</v>
      </c>
      <c r="C2451" s="35">
        <v>56.91389847</v>
      </c>
      <c r="D2451" s="35">
        <v>124.9140015</v>
      </c>
      <c r="E2451" s="32" t="s">
        <v>2040</v>
      </c>
      <c r="F2451" s="32" t="s">
        <v>6085</v>
      </c>
      <c r="G2451" s="36" t="e">
        <v>#N/A</v>
      </c>
      <c r="H2451" s="33"/>
      <c r="I2451" s="33"/>
      <c r="J2451" s="33"/>
      <c r="K2451" s="33"/>
      <c r="L2451" s="33"/>
      <c r="M2451" s="33"/>
    </row>
    <row r="2452">
      <c r="A2452" s="32" t="s">
        <v>6086</v>
      </c>
      <c r="B2452" s="32" t="s">
        <v>6087</v>
      </c>
      <c r="C2452" s="35">
        <v>33.97470093</v>
      </c>
      <c r="D2452" s="35">
        <v>-117.637001</v>
      </c>
      <c r="E2452" s="32" t="s">
        <v>180</v>
      </c>
      <c r="F2452" s="32" t="s">
        <v>6088</v>
      </c>
      <c r="G2452" s="39" t="s">
        <v>181</v>
      </c>
      <c r="H2452" s="33"/>
      <c r="I2452" s="33"/>
      <c r="J2452" s="33"/>
      <c r="K2452" s="33"/>
      <c r="L2452" s="33"/>
      <c r="M2452" s="33"/>
    </row>
    <row r="2453">
      <c r="A2453" s="32" t="s">
        <v>6089</v>
      </c>
      <c r="B2453" s="32" t="s">
        <v>6090</v>
      </c>
      <c r="C2453" s="35">
        <v>70.74310303</v>
      </c>
      <c r="D2453" s="35">
        <v>-22.65049934</v>
      </c>
      <c r="E2453" s="32" t="s">
        <v>3703</v>
      </c>
      <c r="F2453" s="32" t="s">
        <v>6091</v>
      </c>
      <c r="G2453" s="36" t="e">
        <v>#N/A</v>
      </c>
      <c r="H2453" s="33"/>
      <c r="I2453" s="33"/>
      <c r="J2453" s="33"/>
      <c r="K2453" s="33"/>
      <c r="L2453" s="33"/>
      <c r="M2453" s="33"/>
    </row>
    <row r="2454">
      <c r="A2454" s="32" t="s">
        <v>6092</v>
      </c>
      <c r="B2454" s="32" t="s">
        <v>6093</v>
      </c>
      <c r="C2454" s="35">
        <v>-27.4455</v>
      </c>
      <c r="D2454" s="35">
        <v>-58.7619</v>
      </c>
      <c r="E2454" s="32" t="s">
        <v>296</v>
      </c>
      <c r="F2454" s="32" t="s">
        <v>6094</v>
      </c>
      <c r="G2454" s="36" t="e">
        <v>#N/A</v>
      </c>
      <c r="H2454" s="33"/>
      <c r="I2454" s="33"/>
      <c r="J2454" s="33"/>
      <c r="K2454" s="33"/>
      <c r="L2454" s="33"/>
      <c r="M2454" s="33"/>
    </row>
    <row r="2455">
      <c r="A2455" s="32" t="s">
        <v>6095</v>
      </c>
      <c r="B2455" s="32" t="s">
        <v>6096</v>
      </c>
      <c r="C2455" s="35">
        <v>-26.33250046</v>
      </c>
      <c r="D2455" s="35">
        <v>-70.6072998</v>
      </c>
      <c r="E2455" s="32" t="s">
        <v>300</v>
      </c>
      <c r="F2455" s="32" t="s">
        <v>6097</v>
      </c>
      <c r="G2455" s="36" t="e">
        <v>#N/A</v>
      </c>
      <c r="H2455" s="33"/>
      <c r="I2455" s="33"/>
      <c r="J2455" s="33"/>
      <c r="K2455" s="33"/>
      <c r="L2455" s="33"/>
      <c r="M2455" s="33"/>
    </row>
    <row r="2456">
      <c r="A2456" s="32" t="s">
        <v>6098</v>
      </c>
      <c r="B2456" s="32" t="s">
        <v>6099</v>
      </c>
      <c r="C2456" s="35">
        <v>-16.88579941</v>
      </c>
      <c r="D2456" s="35">
        <v>145.7550049</v>
      </c>
      <c r="E2456" s="32" t="s">
        <v>1968</v>
      </c>
      <c r="F2456" s="32" t="s">
        <v>6100</v>
      </c>
      <c r="G2456" s="36" t="e">
        <v>#N/A</v>
      </c>
      <c r="H2456" s="33"/>
      <c r="I2456" s="33"/>
      <c r="J2456" s="33"/>
      <c r="K2456" s="33"/>
      <c r="L2456" s="33"/>
      <c r="M2456" s="33"/>
    </row>
    <row r="2457">
      <c r="A2457" s="32" t="s">
        <v>6101</v>
      </c>
      <c r="B2457" s="32" t="s">
        <v>6102</v>
      </c>
      <c r="C2457" s="35">
        <v>37.66880035</v>
      </c>
      <c r="D2457" s="35">
        <v>-95.48509979</v>
      </c>
      <c r="E2457" s="32" t="s">
        <v>180</v>
      </c>
      <c r="F2457" s="32" t="s">
        <v>6103</v>
      </c>
      <c r="G2457" s="39" t="s">
        <v>181</v>
      </c>
      <c r="H2457" s="33"/>
      <c r="I2457" s="33"/>
      <c r="J2457" s="33"/>
      <c r="K2457" s="33"/>
      <c r="L2457" s="33"/>
      <c r="M2457" s="33"/>
    </row>
    <row r="2458">
      <c r="A2458" s="32" t="s">
        <v>6104</v>
      </c>
      <c r="B2458" s="32" t="s">
        <v>6105</v>
      </c>
      <c r="C2458" s="35">
        <v>31.63780022</v>
      </c>
      <c r="D2458" s="35">
        <v>-97.07409668</v>
      </c>
      <c r="E2458" s="32" t="s">
        <v>180</v>
      </c>
      <c r="F2458" s="32" t="s">
        <v>3566</v>
      </c>
      <c r="G2458" s="39" t="s">
        <v>181</v>
      </c>
      <c r="H2458" s="33"/>
      <c r="I2458" s="33"/>
      <c r="J2458" s="33"/>
      <c r="K2458" s="33"/>
      <c r="L2458" s="33"/>
      <c r="M2458" s="33"/>
    </row>
    <row r="2459">
      <c r="A2459" s="32" t="s">
        <v>6106</v>
      </c>
      <c r="B2459" s="32" t="s">
        <v>6107</v>
      </c>
      <c r="C2459" s="35">
        <v>18.76679993</v>
      </c>
      <c r="D2459" s="35">
        <v>98.96260071</v>
      </c>
      <c r="E2459" s="32" t="s">
        <v>175</v>
      </c>
      <c r="F2459" s="32" t="s">
        <v>6108</v>
      </c>
      <c r="G2459" s="39" t="s">
        <v>176</v>
      </c>
      <c r="H2459" s="33"/>
      <c r="I2459" s="33"/>
      <c r="J2459" s="33"/>
      <c r="K2459" s="33"/>
      <c r="L2459" s="33"/>
      <c r="M2459" s="33"/>
    </row>
    <row r="2460">
      <c r="A2460" s="32" t="s">
        <v>6109</v>
      </c>
      <c r="B2460" s="32" t="s">
        <v>6110</v>
      </c>
      <c r="C2460" s="35">
        <v>38.75500107</v>
      </c>
      <c r="D2460" s="35">
        <v>-109.7549973</v>
      </c>
      <c r="E2460" s="32" t="s">
        <v>180</v>
      </c>
      <c r="F2460" s="32" t="s">
        <v>6111</v>
      </c>
      <c r="G2460" s="39" t="s">
        <v>181</v>
      </c>
      <c r="H2460" s="33"/>
      <c r="I2460" s="33"/>
      <c r="J2460" s="33"/>
      <c r="K2460" s="33"/>
      <c r="L2460" s="33"/>
      <c r="M2460" s="33"/>
    </row>
    <row r="2461">
      <c r="A2461" s="32" t="s">
        <v>6112</v>
      </c>
      <c r="B2461" s="32" t="s">
        <v>6113</v>
      </c>
      <c r="C2461" s="35">
        <v>-31.2969</v>
      </c>
      <c r="D2461" s="35">
        <v>-57.9966</v>
      </c>
      <c r="E2461" s="32" t="s">
        <v>296</v>
      </c>
      <c r="F2461" s="32" t="s">
        <v>5617</v>
      </c>
      <c r="G2461" s="36" t="e">
        <v>#N/A</v>
      </c>
      <c r="H2461" s="33"/>
      <c r="I2461" s="33"/>
      <c r="J2461" s="33"/>
      <c r="K2461" s="33"/>
      <c r="L2461" s="33"/>
      <c r="M2461" s="33"/>
    </row>
    <row r="2462">
      <c r="A2462" s="32" t="s">
        <v>6114</v>
      </c>
      <c r="B2462" s="32" t="s">
        <v>6115</v>
      </c>
      <c r="C2462" s="35">
        <v>44.52019882</v>
      </c>
      <c r="D2462" s="35">
        <v>-109.0240021</v>
      </c>
      <c r="E2462" s="32" t="s">
        <v>180</v>
      </c>
      <c r="F2462" s="32" t="s">
        <v>6116</v>
      </c>
      <c r="G2462" s="39" t="s">
        <v>181</v>
      </c>
      <c r="H2462" s="33"/>
      <c r="I2462" s="33"/>
      <c r="J2462" s="33"/>
      <c r="K2462" s="33"/>
      <c r="L2462" s="33"/>
      <c r="M2462" s="33"/>
    </row>
    <row r="2463">
      <c r="A2463" s="32" t="s">
        <v>6117</v>
      </c>
      <c r="B2463" s="32" t="s">
        <v>6118</v>
      </c>
      <c r="C2463" s="35">
        <v>47.77429962</v>
      </c>
      <c r="D2463" s="35">
        <v>-116.8199997</v>
      </c>
      <c r="E2463" s="32" t="s">
        <v>180</v>
      </c>
      <c r="F2463" s="32" t="s">
        <v>6119</v>
      </c>
      <c r="G2463" s="39" t="s">
        <v>181</v>
      </c>
      <c r="H2463" s="33"/>
      <c r="I2463" s="33"/>
      <c r="J2463" s="33"/>
      <c r="K2463" s="33"/>
      <c r="L2463" s="33"/>
      <c r="M2463" s="33"/>
    </row>
    <row r="2464">
      <c r="A2464" s="32" t="s">
        <v>6120</v>
      </c>
      <c r="B2464" s="32" t="s">
        <v>6121</v>
      </c>
      <c r="C2464" s="35">
        <v>28.23489952</v>
      </c>
      <c r="D2464" s="35">
        <v>-80.61009979</v>
      </c>
      <c r="E2464" s="32" t="s">
        <v>180</v>
      </c>
      <c r="F2464" s="32" t="s">
        <v>6122</v>
      </c>
      <c r="G2464" s="39" t="s">
        <v>181</v>
      </c>
      <c r="H2464" s="33"/>
      <c r="I2464" s="33"/>
      <c r="J2464" s="33"/>
      <c r="K2464" s="33"/>
      <c r="L2464" s="33"/>
      <c r="M2464" s="33"/>
    </row>
    <row r="2465">
      <c r="A2465" s="32" t="s">
        <v>6123</v>
      </c>
      <c r="B2465" s="32" t="s">
        <v>6124</v>
      </c>
      <c r="C2465" s="35">
        <v>5.08333</v>
      </c>
      <c r="D2465" s="35">
        <v>-76.7</v>
      </c>
      <c r="E2465" s="32" t="s">
        <v>292</v>
      </c>
      <c r="F2465" s="32" t="s">
        <v>6125</v>
      </c>
      <c r="G2465" s="36" t="e">
        <v>#N/A</v>
      </c>
      <c r="H2465" s="33"/>
      <c r="I2465" s="33"/>
      <c r="J2465" s="33"/>
      <c r="K2465" s="33"/>
      <c r="L2465" s="33"/>
      <c r="M2465" s="33"/>
    </row>
    <row r="2466">
      <c r="A2466" s="32" t="s">
        <v>6126</v>
      </c>
      <c r="B2466" s="32" t="s">
        <v>6127</v>
      </c>
      <c r="C2466" s="35">
        <v>26.33049965</v>
      </c>
      <c r="D2466" s="35">
        <v>89.46720123</v>
      </c>
      <c r="E2466" s="32" t="s">
        <v>217</v>
      </c>
      <c r="F2466" s="32" t="s">
        <v>6128</v>
      </c>
      <c r="G2466" s="39" t="s">
        <v>218</v>
      </c>
      <c r="H2466" s="33"/>
      <c r="I2466" s="33"/>
      <c r="J2466" s="33"/>
      <c r="K2466" s="33"/>
      <c r="L2466" s="33"/>
      <c r="M2466" s="33"/>
    </row>
    <row r="2467">
      <c r="A2467" s="32" t="s">
        <v>6129</v>
      </c>
      <c r="B2467" s="32" t="s">
        <v>6130</v>
      </c>
      <c r="C2467" s="35">
        <v>-31.33250046</v>
      </c>
      <c r="D2467" s="35">
        <v>149.2669983</v>
      </c>
      <c r="E2467" s="32" t="s">
        <v>1968</v>
      </c>
      <c r="F2467" s="32" t="s">
        <v>6131</v>
      </c>
      <c r="G2467" s="36" t="e">
        <v>#N/A</v>
      </c>
      <c r="H2467" s="33"/>
      <c r="I2467" s="33"/>
      <c r="J2467" s="33"/>
      <c r="K2467" s="33"/>
      <c r="L2467" s="33"/>
      <c r="M2467" s="33"/>
    </row>
    <row r="2468">
      <c r="A2468" s="32" t="s">
        <v>6132</v>
      </c>
      <c r="B2468" s="32" t="s">
        <v>6133</v>
      </c>
      <c r="C2468" s="35">
        <v>10.15200043</v>
      </c>
      <c r="D2468" s="35">
        <v>76.40190125</v>
      </c>
      <c r="E2468" s="32" t="s">
        <v>217</v>
      </c>
      <c r="F2468" s="32" t="s">
        <v>6134</v>
      </c>
      <c r="G2468" s="39" t="s">
        <v>218</v>
      </c>
      <c r="H2468" s="33"/>
      <c r="I2468" s="33"/>
      <c r="J2468" s="33"/>
      <c r="K2468" s="33"/>
      <c r="L2468" s="33"/>
      <c r="M2468" s="33"/>
    </row>
    <row r="2469">
      <c r="A2469" s="32" t="s">
        <v>6135</v>
      </c>
      <c r="B2469" s="32" t="s">
        <v>6136</v>
      </c>
      <c r="C2469" s="35">
        <v>43.20270157</v>
      </c>
      <c r="D2469" s="35">
        <v>-71.50229645</v>
      </c>
      <c r="E2469" s="32" t="s">
        <v>180</v>
      </c>
      <c r="F2469" s="32" t="s">
        <v>6137</v>
      </c>
      <c r="G2469" s="39" t="s">
        <v>181</v>
      </c>
      <c r="H2469" s="33"/>
      <c r="I2469" s="33"/>
      <c r="J2469" s="33"/>
      <c r="K2469" s="33"/>
      <c r="L2469" s="33"/>
      <c r="M2469" s="33"/>
    </row>
    <row r="2470">
      <c r="A2470" s="32" t="s">
        <v>6138</v>
      </c>
      <c r="B2470" s="32" t="s">
        <v>6139</v>
      </c>
      <c r="C2470" s="35">
        <v>6.357230186</v>
      </c>
      <c r="D2470" s="35">
        <v>2.384350061</v>
      </c>
      <c r="E2470" s="32" t="s">
        <v>5022</v>
      </c>
      <c r="F2470" s="32" t="s">
        <v>6140</v>
      </c>
      <c r="G2470" s="36" t="e">
        <v>#N/A</v>
      </c>
      <c r="H2470" s="33"/>
      <c r="I2470" s="33"/>
      <c r="J2470" s="33"/>
      <c r="K2470" s="33"/>
      <c r="L2470" s="33"/>
      <c r="M2470" s="33"/>
    </row>
    <row r="2471">
      <c r="A2471" s="32" t="s">
        <v>6141</v>
      </c>
      <c r="B2471" s="32" t="s">
        <v>6142</v>
      </c>
      <c r="C2471" s="35">
        <v>48.13570023</v>
      </c>
      <c r="D2471" s="35">
        <v>114.6460037</v>
      </c>
      <c r="E2471" s="32" t="s">
        <v>2274</v>
      </c>
      <c r="F2471" s="32" t="s">
        <v>6143</v>
      </c>
      <c r="G2471" s="36" t="e">
        <v>#N/A</v>
      </c>
      <c r="H2471" s="33"/>
      <c r="I2471" s="33"/>
      <c r="J2471" s="33"/>
      <c r="K2471" s="33"/>
      <c r="L2471" s="33"/>
      <c r="M2471" s="33"/>
    </row>
    <row r="2472">
      <c r="A2472" s="32" t="s">
        <v>6144</v>
      </c>
      <c r="B2472" s="32" t="s">
        <v>6145</v>
      </c>
      <c r="C2472" s="35">
        <v>-31.32360077</v>
      </c>
      <c r="D2472" s="35">
        <v>-64.20800018</v>
      </c>
      <c r="E2472" s="32" t="s">
        <v>296</v>
      </c>
      <c r="F2472" s="32" t="s">
        <v>6146</v>
      </c>
      <c r="G2472" s="36" t="e">
        <v>#N/A</v>
      </c>
      <c r="H2472" s="33"/>
      <c r="I2472" s="33"/>
      <c r="J2472" s="33"/>
      <c r="K2472" s="33"/>
      <c r="L2472" s="33"/>
      <c r="M2472" s="33"/>
    </row>
    <row r="2473">
      <c r="A2473" s="32" t="s">
        <v>6147</v>
      </c>
      <c r="B2473" s="32" t="s">
        <v>6148</v>
      </c>
      <c r="C2473" s="35">
        <v>38.80580139</v>
      </c>
      <c r="D2473" s="35">
        <v>-104.7009964</v>
      </c>
      <c r="E2473" s="32" t="s">
        <v>180</v>
      </c>
      <c r="F2473" s="32" t="s">
        <v>6149</v>
      </c>
      <c r="G2473" s="39" t="s">
        <v>181</v>
      </c>
      <c r="H2473" s="33"/>
      <c r="I2473" s="33"/>
      <c r="J2473" s="33"/>
      <c r="K2473" s="33"/>
      <c r="L2473" s="33"/>
      <c r="M2473" s="33"/>
    </row>
    <row r="2474">
      <c r="A2474" s="32" t="s">
        <v>6150</v>
      </c>
      <c r="B2474" s="32" t="s">
        <v>6151</v>
      </c>
      <c r="C2474" s="35">
        <v>28.45669937</v>
      </c>
      <c r="D2474" s="35">
        <v>-99.22029877</v>
      </c>
      <c r="E2474" s="32" t="s">
        <v>180</v>
      </c>
      <c r="F2474" s="32" t="s">
        <v>6152</v>
      </c>
      <c r="G2474" s="39" t="s">
        <v>181</v>
      </c>
      <c r="H2474" s="33"/>
      <c r="I2474" s="33"/>
      <c r="J2474" s="33"/>
      <c r="K2474" s="33"/>
      <c r="L2474" s="33"/>
      <c r="M2474" s="33"/>
    </row>
    <row r="2475">
      <c r="A2475" s="32" t="s">
        <v>6153</v>
      </c>
      <c r="B2475" s="32" t="s">
        <v>6154</v>
      </c>
      <c r="C2475" s="35">
        <v>38.81809998</v>
      </c>
      <c r="D2475" s="35">
        <v>-92.21959686</v>
      </c>
      <c r="E2475" s="32" t="s">
        <v>180</v>
      </c>
      <c r="F2475" s="32" t="s">
        <v>5515</v>
      </c>
      <c r="G2475" s="39" t="s">
        <v>181</v>
      </c>
      <c r="H2475" s="33"/>
      <c r="I2475" s="33"/>
      <c r="J2475" s="33"/>
      <c r="K2475" s="33"/>
      <c r="L2475" s="33"/>
      <c r="M2475" s="33"/>
    </row>
    <row r="2476">
      <c r="A2476" s="32" t="s">
        <v>6155</v>
      </c>
      <c r="B2476" s="32" t="s">
        <v>6156</v>
      </c>
      <c r="C2476" s="35">
        <v>24.15870094</v>
      </c>
      <c r="D2476" s="35">
        <v>-77.58979797</v>
      </c>
      <c r="E2476" s="32" t="s">
        <v>319</v>
      </c>
      <c r="F2476" s="32" t="s">
        <v>6157</v>
      </c>
      <c r="G2476" s="36" t="e">
        <v>#N/A</v>
      </c>
      <c r="H2476" s="33"/>
      <c r="I2476" s="33"/>
      <c r="J2476" s="33"/>
      <c r="K2476" s="33"/>
      <c r="L2476" s="33"/>
      <c r="M2476" s="33"/>
    </row>
    <row r="2477">
      <c r="A2477" s="32" t="s">
        <v>6158</v>
      </c>
      <c r="B2477" s="32" t="s">
        <v>6159</v>
      </c>
      <c r="C2477" s="35">
        <v>18.90749931</v>
      </c>
      <c r="D2477" s="35">
        <v>-70.72190094</v>
      </c>
      <c r="E2477" s="32" t="s">
        <v>335</v>
      </c>
      <c r="F2477" s="32" t="s">
        <v>6160</v>
      </c>
      <c r="G2477" s="36" t="e">
        <v>#N/A</v>
      </c>
      <c r="H2477" s="33"/>
      <c r="I2477" s="33"/>
      <c r="J2477" s="33"/>
      <c r="K2477" s="33"/>
      <c r="L2477" s="33"/>
      <c r="M2477" s="33"/>
    </row>
    <row r="2478">
      <c r="A2478" s="32" t="s">
        <v>6161</v>
      </c>
      <c r="B2478" s="32" t="s">
        <v>6162</v>
      </c>
      <c r="C2478" s="35">
        <v>4.379020214</v>
      </c>
      <c r="D2478" s="35">
        <v>-7.696949959</v>
      </c>
      <c r="E2478" s="32" t="s">
        <v>6163</v>
      </c>
      <c r="F2478" s="32" t="s">
        <v>6164</v>
      </c>
      <c r="G2478" s="36" t="e">
        <v>#N/A</v>
      </c>
      <c r="H2478" s="33"/>
      <c r="I2478" s="33"/>
      <c r="J2478" s="33"/>
      <c r="K2478" s="33"/>
      <c r="L2478" s="33"/>
      <c r="M2478" s="33"/>
    </row>
    <row r="2479">
      <c r="A2479" s="32" t="s">
        <v>6165</v>
      </c>
      <c r="B2479" s="32" t="s">
        <v>6166</v>
      </c>
      <c r="C2479" s="35">
        <v>8.63333</v>
      </c>
      <c r="D2479" s="35">
        <v>-77.35</v>
      </c>
      <c r="E2479" s="32" t="s">
        <v>292</v>
      </c>
      <c r="F2479" s="32" t="s">
        <v>6167</v>
      </c>
      <c r="G2479" s="36" t="e">
        <v>#N/A</v>
      </c>
      <c r="H2479" s="33"/>
      <c r="I2479" s="33"/>
      <c r="J2479" s="33"/>
      <c r="K2479" s="33"/>
      <c r="L2479" s="33"/>
      <c r="M2479" s="33"/>
    </row>
    <row r="2480">
      <c r="A2480" s="32" t="s">
        <v>6168</v>
      </c>
      <c r="B2480" s="32" t="s">
        <v>6169</v>
      </c>
      <c r="C2480" s="35">
        <v>-40.07540131</v>
      </c>
      <c r="D2480" s="35">
        <v>-71.13729858</v>
      </c>
      <c r="E2480" s="32" t="s">
        <v>296</v>
      </c>
      <c r="F2480" s="32" t="s">
        <v>6170</v>
      </c>
      <c r="G2480" s="36" t="e">
        <v>#N/A</v>
      </c>
      <c r="H2480" s="33"/>
      <c r="I2480" s="33"/>
      <c r="J2480" s="33"/>
      <c r="K2480" s="33"/>
      <c r="L2480" s="33"/>
      <c r="M2480" s="33"/>
    </row>
    <row r="2481">
      <c r="A2481" s="32" t="s">
        <v>6171</v>
      </c>
      <c r="B2481" s="32" t="s">
        <v>6172</v>
      </c>
      <c r="C2481" s="35">
        <v>-29.04000092</v>
      </c>
      <c r="D2481" s="35">
        <v>134.720993</v>
      </c>
      <c r="E2481" s="32" t="s">
        <v>1968</v>
      </c>
      <c r="F2481" s="32" t="s">
        <v>6173</v>
      </c>
      <c r="G2481" s="36" t="e">
        <v>#N/A</v>
      </c>
      <c r="H2481" s="33"/>
      <c r="I2481" s="33"/>
      <c r="J2481" s="33"/>
      <c r="K2481" s="33"/>
      <c r="L2481" s="33"/>
      <c r="M2481" s="33"/>
    </row>
    <row r="2482">
      <c r="A2482" s="32" t="s">
        <v>6174</v>
      </c>
      <c r="B2482" s="32" t="s">
        <v>6175</v>
      </c>
      <c r="C2482" s="35">
        <v>19.81679916</v>
      </c>
      <c r="D2482" s="35">
        <v>-90.50029755</v>
      </c>
      <c r="E2482" s="32" t="s">
        <v>186</v>
      </c>
      <c r="F2482" s="32" t="s">
        <v>6176</v>
      </c>
      <c r="G2482" s="39" t="s">
        <v>187</v>
      </c>
      <c r="H2482" s="33"/>
      <c r="I2482" s="33"/>
      <c r="J2482" s="33"/>
      <c r="K2482" s="33"/>
      <c r="L2482" s="33"/>
      <c r="M2482" s="33"/>
    </row>
    <row r="2483">
      <c r="A2483" s="32" t="s">
        <v>6177</v>
      </c>
      <c r="B2483" s="32" t="s">
        <v>6178</v>
      </c>
      <c r="C2483" s="35">
        <v>55.61790085</v>
      </c>
      <c r="D2483" s="35">
        <v>12.65600014</v>
      </c>
      <c r="E2483" s="32" t="s">
        <v>533</v>
      </c>
      <c r="F2483" s="32" t="s">
        <v>6179</v>
      </c>
      <c r="G2483" s="36" t="e">
        <v>#N/A</v>
      </c>
      <c r="H2483" s="33"/>
      <c r="I2483" s="33"/>
      <c r="J2483" s="33"/>
      <c r="K2483" s="33"/>
      <c r="L2483" s="33"/>
      <c r="M2483" s="33"/>
    </row>
    <row r="2484">
      <c r="A2484" s="32" t="s">
        <v>6180</v>
      </c>
      <c r="B2484" s="32" t="s">
        <v>6181</v>
      </c>
      <c r="C2484" s="35">
        <v>-27.2968998</v>
      </c>
      <c r="D2484" s="35">
        <v>-70.4131012</v>
      </c>
      <c r="E2484" s="32" t="s">
        <v>300</v>
      </c>
      <c r="F2484" s="32" t="s">
        <v>6182</v>
      </c>
      <c r="G2484" s="36" t="e">
        <v>#N/A</v>
      </c>
      <c r="H2484" s="33"/>
      <c r="I2484" s="33"/>
      <c r="J2484" s="33"/>
      <c r="K2484" s="33"/>
      <c r="L2484" s="33"/>
      <c r="M2484" s="33"/>
    </row>
    <row r="2485">
      <c r="A2485" s="32" t="s">
        <v>6183</v>
      </c>
      <c r="B2485" s="32" t="s">
        <v>6184</v>
      </c>
      <c r="C2485" s="35">
        <v>-22.85919952</v>
      </c>
      <c r="D2485" s="35">
        <v>-47.10820007</v>
      </c>
      <c r="E2485" s="32" t="s">
        <v>288</v>
      </c>
      <c r="F2485" s="32" t="s">
        <v>6185</v>
      </c>
      <c r="G2485" s="36" t="e">
        <v>#N/A</v>
      </c>
      <c r="H2485" s="33"/>
      <c r="I2485" s="33"/>
      <c r="J2485" s="33"/>
      <c r="K2485" s="33"/>
      <c r="L2485" s="33"/>
      <c r="M2485" s="33"/>
    </row>
    <row r="2486">
      <c r="A2486" s="32" t="s">
        <v>6186</v>
      </c>
      <c r="B2486" s="32" t="s">
        <v>6187</v>
      </c>
      <c r="C2486" s="35">
        <v>42.90800095</v>
      </c>
      <c r="D2486" s="35">
        <v>-106.4639969</v>
      </c>
      <c r="E2486" s="32" t="s">
        <v>180</v>
      </c>
      <c r="F2486" s="32" t="s">
        <v>6188</v>
      </c>
      <c r="G2486" s="39" t="s">
        <v>181</v>
      </c>
      <c r="H2486" s="33"/>
      <c r="I2486" s="33"/>
      <c r="J2486" s="33"/>
      <c r="K2486" s="33"/>
      <c r="L2486" s="33"/>
      <c r="M2486" s="33"/>
    </row>
    <row r="2487">
      <c r="A2487" s="32" t="s">
        <v>46</v>
      </c>
      <c r="B2487" s="32" t="s">
        <v>6189</v>
      </c>
      <c r="C2487" s="35">
        <v>-33.96480179</v>
      </c>
      <c r="D2487" s="35">
        <v>18.60169983</v>
      </c>
      <c r="E2487" s="32" t="s">
        <v>16</v>
      </c>
      <c r="F2487" s="32" t="s">
        <v>47</v>
      </c>
      <c r="G2487" s="36" t="e">
        <v>#N/A</v>
      </c>
      <c r="H2487" s="33"/>
      <c r="I2487" s="33"/>
      <c r="J2487" s="33"/>
      <c r="K2487" s="33"/>
      <c r="L2487" s="33"/>
      <c r="M2487" s="33"/>
    </row>
    <row r="2488">
      <c r="A2488" s="32" t="s">
        <v>6190</v>
      </c>
      <c r="B2488" s="32" t="s">
        <v>6191</v>
      </c>
      <c r="C2488" s="35">
        <v>-7.269919872</v>
      </c>
      <c r="D2488" s="35">
        <v>-35.89640045</v>
      </c>
      <c r="E2488" s="32" t="s">
        <v>288</v>
      </c>
      <c r="F2488" s="32" t="s">
        <v>6192</v>
      </c>
      <c r="G2488" s="36" t="e">
        <v>#N/A</v>
      </c>
      <c r="H2488" s="33"/>
      <c r="I2488" s="33"/>
      <c r="J2488" s="33"/>
      <c r="K2488" s="33"/>
      <c r="L2488" s="33"/>
      <c r="M2488" s="33"/>
    </row>
    <row r="2489">
      <c r="A2489" s="32" t="s">
        <v>6193</v>
      </c>
      <c r="B2489" s="32" t="s">
        <v>6194</v>
      </c>
      <c r="C2489" s="35">
        <v>18.313289</v>
      </c>
      <c r="D2489" s="35">
        <v>-65.304324</v>
      </c>
      <c r="E2489" s="32" t="s">
        <v>331</v>
      </c>
      <c r="F2489" s="32" t="s">
        <v>6195</v>
      </c>
      <c r="G2489" s="36" t="e">
        <v>#N/A</v>
      </c>
      <c r="H2489" s="33"/>
      <c r="I2489" s="33"/>
      <c r="J2489" s="33"/>
      <c r="K2489" s="33"/>
      <c r="L2489" s="33"/>
      <c r="M2489" s="33"/>
    </row>
    <row r="2490">
      <c r="A2490" s="32" t="s">
        <v>6196</v>
      </c>
      <c r="B2490" s="32" t="s">
        <v>6197</v>
      </c>
      <c r="C2490" s="35">
        <v>32.29719925</v>
      </c>
      <c r="D2490" s="35">
        <v>50.84220123</v>
      </c>
      <c r="E2490" s="32" t="s">
        <v>1378</v>
      </c>
      <c r="F2490" s="32" t="s">
        <v>6198</v>
      </c>
      <c r="G2490" s="36" t="e">
        <v>#N/A</v>
      </c>
      <c r="H2490" s="33"/>
      <c r="I2490" s="33"/>
      <c r="J2490" s="33"/>
      <c r="K2490" s="33"/>
      <c r="L2490" s="33"/>
      <c r="M2490" s="33"/>
    </row>
    <row r="2491">
      <c r="A2491" s="32" t="s">
        <v>6199</v>
      </c>
      <c r="B2491" s="32" t="s">
        <v>6200</v>
      </c>
      <c r="C2491" s="35">
        <v>50.96210098</v>
      </c>
      <c r="D2491" s="35">
        <v>1.954759955</v>
      </c>
      <c r="E2491" s="32" t="s">
        <v>96</v>
      </c>
      <c r="F2491" s="32" t="s">
        <v>6201</v>
      </c>
      <c r="G2491" s="39" t="s">
        <v>97</v>
      </c>
      <c r="H2491" s="33"/>
      <c r="I2491" s="33"/>
      <c r="J2491" s="33"/>
      <c r="K2491" s="33"/>
      <c r="L2491" s="33"/>
      <c r="M2491" s="33"/>
    </row>
    <row r="2492">
      <c r="A2492" s="32" t="s">
        <v>6202</v>
      </c>
      <c r="B2492" s="32" t="s">
        <v>6203</v>
      </c>
      <c r="C2492" s="35">
        <v>38.85638889</v>
      </c>
      <c r="D2492" s="35">
        <v>-3.97</v>
      </c>
      <c r="E2492" s="32" t="s">
        <v>115</v>
      </c>
      <c r="F2492" s="32" t="s">
        <v>6204</v>
      </c>
      <c r="G2492" s="39" t="s">
        <v>116</v>
      </c>
      <c r="H2492" s="33"/>
      <c r="I2492" s="33"/>
      <c r="J2492" s="33"/>
      <c r="K2492" s="33"/>
      <c r="L2492" s="33"/>
      <c r="M2492" s="33"/>
    </row>
    <row r="2493">
      <c r="A2493" s="32" t="s">
        <v>6205</v>
      </c>
      <c r="B2493" s="32" t="s">
        <v>6206</v>
      </c>
      <c r="C2493" s="35">
        <v>34.71289825</v>
      </c>
      <c r="D2493" s="35">
        <v>-79.95700073</v>
      </c>
      <c r="E2493" s="32" t="s">
        <v>180</v>
      </c>
      <c r="F2493" s="32" t="s">
        <v>6207</v>
      </c>
      <c r="G2493" s="39" t="s">
        <v>181</v>
      </c>
      <c r="H2493" s="33"/>
      <c r="I2493" s="33"/>
      <c r="J2493" s="33"/>
      <c r="K2493" s="33"/>
      <c r="L2493" s="33"/>
      <c r="M2493" s="33"/>
    </row>
    <row r="2494">
      <c r="A2494" s="32" t="s">
        <v>6208</v>
      </c>
      <c r="B2494" s="32" t="s">
        <v>6209</v>
      </c>
      <c r="C2494" s="35">
        <v>44.31809998</v>
      </c>
      <c r="D2494" s="35">
        <v>23.8885994</v>
      </c>
      <c r="E2494" s="32" t="s">
        <v>2874</v>
      </c>
      <c r="F2494" s="32" t="s">
        <v>6210</v>
      </c>
      <c r="G2494" s="36" t="e">
        <v>#N/A</v>
      </c>
      <c r="H2494" s="33"/>
      <c r="I2494" s="33"/>
      <c r="J2494" s="33"/>
      <c r="K2494" s="33"/>
      <c r="L2494" s="33"/>
      <c r="M2494" s="33"/>
    </row>
    <row r="2495">
      <c r="A2495" s="32" t="s">
        <v>6211</v>
      </c>
      <c r="B2495" s="32" t="s">
        <v>6212</v>
      </c>
      <c r="C2495" s="35">
        <v>4.75818</v>
      </c>
      <c r="D2495" s="35">
        <v>-75.9557</v>
      </c>
      <c r="E2495" s="32" t="s">
        <v>292</v>
      </c>
      <c r="F2495" s="32" t="s">
        <v>6213</v>
      </c>
      <c r="G2495" s="36" t="e">
        <v>#N/A</v>
      </c>
      <c r="H2495" s="33"/>
      <c r="I2495" s="33"/>
      <c r="J2495" s="33"/>
      <c r="K2495" s="33"/>
      <c r="L2495" s="33"/>
      <c r="M2495" s="33"/>
    </row>
    <row r="2496">
      <c r="A2496" s="32" t="s">
        <v>6214</v>
      </c>
      <c r="B2496" s="32" t="s">
        <v>6215</v>
      </c>
      <c r="C2496" s="35">
        <v>-45.7853</v>
      </c>
      <c r="D2496" s="35">
        <v>-67.4655</v>
      </c>
      <c r="E2496" s="32" t="s">
        <v>296</v>
      </c>
      <c r="F2496" s="32" t="s">
        <v>6216</v>
      </c>
      <c r="G2496" s="36" t="e">
        <v>#N/A</v>
      </c>
      <c r="H2496" s="33"/>
      <c r="I2496" s="33"/>
      <c r="J2496" s="33"/>
      <c r="K2496" s="33"/>
      <c r="L2496" s="33"/>
      <c r="M2496" s="33"/>
    </row>
    <row r="2497">
      <c r="A2497" s="32" t="s">
        <v>6217</v>
      </c>
      <c r="B2497" s="32" t="s">
        <v>6218</v>
      </c>
      <c r="C2497" s="35">
        <v>33.81169891</v>
      </c>
      <c r="D2497" s="35">
        <v>-78.72389984</v>
      </c>
      <c r="E2497" s="32" t="s">
        <v>180</v>
      </c>
      <c r="F2497" s="32" t="s">
        <v>6219</v>
      </c>
      <c r="G2497" s="39" t="s">
        <v>181</v>
      </c>
      <c r="H2497" s="33"/>
      <c r="I2497" s="33"/>
      <c r="J2497" s="33"/>
      <c r="K2497" s="33"/>
      <c r="L2497" s="33"/>
      <c r="M2497" s="33"/>
    </row>
    <row r="2498">
      <c r="A2498" s="32" t="s">
        <v>6220</v>
      </c>
      <c r="B2498" s="32" t="s">
        <v>6221</v>
      </c>
      <c r="C2498" s="35">
        <v>30.3362999</v>
      </c>
      <c r="D2498" s="35">
        <v>-81.51439667</v>
      </c>
      <c r="E2498" s="32" t="s">
        <v>180</v>
      </c>
      <c r="F2498" s="32" t="s">
        <v>1994</v>
      </c>
      <c r="G2498" s="39" t="s">
        <v>181</v>
      </c>
      <c r="H2498" s="33"/>
      <c r="I2498" s="33"/>
      <c r="J2498" s="33"/>
      <c r="K2498" s="33"/>
      <c r="L2498" s="33"/>
      <c r="M2498" s="33"/>
    </row>
    <row r="2499">
      <c r="A2499" s="32" t="s">
        <v>6222</v>
      </c>
      <c r="B2499" s="32" t="s">
        <v>6223</v>
      </c>
      <c r="C2499" s="35">
        <v>22.74559975</v>
      </c>
      <c r="D2499" s="35">
        <v>-74.18240356</v>
      </c>
      <c r="E2499" s="32" t="s">
        <v>319</v>
      </c>
      <c r="F2499" s="32" t="s">
        <v>6224</v>
      </c>
      <c r="G2499" s="36" t="e">
        <v>#N/A</v>
      </c>
      <c r="H2499" s="33"/>
      <c r="I2499" s="33"/>
      <c r="J2499" s="33"/>
      <c r="K2499" s="33"/>
      <c r="L2499" s="33"/>
      <c r="M2499" s="33"/>
    </row>
    <row r="2500">
      <c r="A2500" s="32" t="s">
        <v>6225</v>
      </c>
      <c r="B2500" s="32" t="s">
        <v>6226</v>
      </c>
      <c r="C2500" s="35">
        <v>15.18599987</v>
      </c>
      <c r="D2500" s="35">
        <v>120.5599976</v>
      </c>
      <c r="E2500" s="32" t="s">
        <v>270</v>
      </c>
      <c r="F2500" s="32" t="s">
        <v>6227</v>
      </c>
      <c r="G2500" s="36" t="e">
        <v>#N/A</v>
      </c>
      <c r="H2500" s="33"/>
      <c r="I2500" s="33"/>
      <c r="J2500" s="33"/>
      <c r="K2500" s="33"/>
      <c r="L2500" s="33"/>
      <c r="M2500" s="33"/>
    </row>
    <row r="2501">
      <c r="A2501" s="32" t="s">
        <v>6228</v>
      </c>
      <c r="B2501" s="32" t="s">
        <v>6229</v>
      </c>
      <c r="C2501" s="35">
        <v>50.45920181</v>
      </c>
      <c r="D2501" s="35">
        <v>4.453820229</v>
      </c>
      <c r="E2501" s="32" t="s">
        <v>197</v>
      </c>
      <c r="F2501" s="32" t="s">
        <v>6230</v>
      </c>
      <c r="G2501" s="36" t="e">
        <v>#N/A</v>
      </c>
      <c r="H2501" s="33"/>
      <c r="I2501" s="33"/>
      <c r="J2501" s="33"/>
      <c r="K2501" s="33"/>
      <c r="L2501" s="33"/>
      <c r="M2501" s="33"/>
    </row>
    <row r="2502">
      <c r="A2502" s="32" t="s">
        <v>6231</v>
      </c>
      <c r="B2502" s="32" t="s">
        <v>6232</v>
      </c>
      <c r="C2502" s="35">
        <v>12.5024004</v>
      </c>
      <c r="D2502" s="35">
        <v>124.6360016</v>
      </c>
      <c r="E2502" s="32" t="s">
        <v>270</v>
      </c>
      <c r="F2502" s="32" t="s">
        <v>6233</v>
      </c>
      <c r="G2502" s="36" t="e">
        <v>#N/A</v>
      </c>
      <c r="H2502" s="33"/>
      <c r="I2502" s="33"/>
      <c r="J2502" s="33"/>
      <c r="K2502" s="33"/>
      <c r="L2502" s="33"/>
      <c r="M2502" s="33"/>
    </row>
    <row r="2503">
      <c r="A2503" s="32" t="s">
        <v>6234</v>
      </c>
      <c r="B2503" s="32" t="s">
        <v>6235</v>
      </c>
      <c r="C2503" s="35">
        <v>27.77039909</v>
      </c>
      <c r="D2503" s="35">
        <v>-97.50119781</v>
      </c>
      <c r="E2503" s="32" t="s">
        <v>180</v>
      </c>
      <c r="F2503" s="32" t="s">
        <v>6236</v>
      </c>
      <c r="G2503" s="39" t="s">
        <v>181</v>
      </c>
      <c r="H2503" s="33"/>
      <c r="I2503" s="33"/>
      <c r="J2503" s="33"/>
      <c r="K2503" s="33"/>
      <c r="L2503" s="33"/>
      <c r="M2503" s="33"/>
    </row>
    <row r="2504">
      <c r="A2504" s="32" t="s">
        <v>6237</v>
      </c>
      <c r="B2504" s="32" t="s">
        <v>6238</v>
      </c>
      <c r="C2504" s="35">
        <v>-17.65229988</v>
      </c>
      <c r="D2504" s="35">
        <v>-39.25310135</v>
      </c>
      <c r="E2504" s="32" t="s">
        <v>288</v>
      </c>
      <c r="F2504" s="32" t="s">
        <v>6239</v>
      </c>
      <c r="G2504" s="36" t="e">
        <v>#N/A</v>
      </c>
      <c r="H2504" s="33"/>
      <c r="I2504" s="33"/>
      <c r="J2504" s="33"/>
      <c r="K2504" s="33"/>
      <c r="L2504" s="33"/>
      <c r="M2504" s="33"/>
    </row>
    <row r="2505">
      <c r="A2505" s="32" t="s">
        <v>6240</v>
      </c>
      <c r="B2505" s="32" t="s">
        <v>6241</v>
      </c>
      <c r="C2505" s="35">
        <v>38.9972</v>
      </c>
      <c r="D2505" s="35">
        <v>17.0802</v>
      </c>
      <c r="E2505" s="32" t="s">
        <v>103</v>
      </c>
      <c r="F2505" s="32" t="s">
        <v>6242</v>
      </c>
      <c r="G2505" s="39" t="s">
        <v>104</v>
      </c>
      <c r="H2505" s="33"/>
      <c r="I2505" s="33"/>
      <c r="J2505" s="33"/>
      <c r="K2505" s="33"/>
      <c r="L2505" s="33"/>
      <c r="M2505" s="33"/>
    </row>
    <row r="2506">
      <c r="A2506" s="32" t="s">
        <v>6243</v>
      </c>
      <c r="B2506" s="32" t="s">
        <v>6244</v>
      </c>
      <c r="C2506" s="35">
        <v>38.37310028</v>
      </c>
      <c r="D2506" s="35">
        <v>-81.59320068</v>
      </c>
      <c r="E2506" s="32" t="s">
        <v>180</v>
      </c>
      <c r="F2506" s="32" t="s">
        <v>5860</v>
      </c>
      <c r="G2506" s="39" t="s">
        <v>181</v>
      </c>
      <c r="H2506" s="33"/>
      <c r="I2506" s="33"/>
      <c r="J2506" s="33"/>
      <c r="K2506" s="33"/>
      <c r="L2506" s="33"/>
      <c r="M2506" s="33"/>
    </row>
    <row r="2507">
      <c r="A2507" s="32" t="s">
        <v>6245</v>
      </c>
      <c r="B2507" s="32" t="s">
        <v>6246</v>
      </c>
      <c r="C2507" s="35">
        <v>39.08330154</v>
      </c>
      <c r="D2507" s="35">
        <v>63.61330032</v>
      </c>
      <c r="E2507" s="32" t="s">
        <v>4140</v>
      </c>
      <c r="F2507" s="32" t="s">
        <v>6247</v>
      </c>
      <c r="G2507" s="36" t="e">
        <v>#N/A</v>
      </c>
      <c r="H2507" s="33"/>
      <c r="I2507" s="33"/>
      <c r="J2507" s="33"/>
      <c r="K2507" s="33"/>
      <c r="L2507" s="33"/>
      <c r="M2507" s="33"/>
    </row>
    <row r="2508">
      <c r="A2508" s="32" t="s">
        <v>6248</v>
      </c>
      <c r="B2508" s="32" t="s">
        <v>6249</v>
      </c>
      <c r="C2508" s="35">
        <v>56.05749893</v>
      </c>
      <c r="D2508" s="35">
        <v>-6.243060112</v>
      </c>
      <c r="E2508" s="32" t="s">
        <v>90</v>
      </c>
      <c r="F2508" s="32" t="s">
        <v>6250</v>
      </c>
      <c r="G2508" s="39" t="s">
        <v>91</v>
      </c>
      <c r="H2508" s="33"/>
      <c r="I2508" s="33"/>
      <c r="J2508" s="33"/>
      <c r="K2508" s="33"/>
      <c r="L2508" s="33"/>
      <c r="M2508" s="33"/>
    </row>
    <row r="2509">
      <c r="A2509" s="32" t="s">
        <v>6251</v>
      </c>
      <c r="B2509" s="32" t="s">
        <v>6252</v>
      </c>
      <c r="C2509" s="35">
        <v>45.41999817</v>
      </c>
      <c r="D2509" s="35">
        <v>22.25329971</v>
      </c>
      <c r="E2509" s="32" t="s">
        <v>2874</v>
      </c>
      <c r="F2509" s="32" t="s">
        <v>6253</v>
      </c>
      <c r="G2509" s="36" t="e">
        <v>#N/A</v>
      </c>
      <c r="H2509" s="33"/>
      <c r="I2509" s="33"/>
      <c r="J2509" s="33"/>
      <c r="K2509" s="33"/>
      <c r="L2509" s="33"/>
      <c r="M2509" s="33"/>
    </row>
    <row r="2510">
      <c r="A2510" s="32" t="s">
        <v>6254</v>
      </c>
      <c r="B2510" s="32" t="s">
        <v>6255</v>
      </c>
      <c r="C2510" s="35">
        <v>10.41399956</v>
      </c>
      <c r="D2510" s="35">
        <v>-85.09169769</v>
      </c>
      <c r="E2510" s="32" t="s">
        <v>1267</v>
      </c>
      <c r="F2510" s="32" t="s">
        <v>1276</v>
      </c>
      <c r="G2510" s="36" t="e">
        <v>#N/A</v>
      </c>
      <c r="H2510" s="33"/>
      <c r="I2510" s="33"/>
      <c r="J2510" s="33"/>
      <c r="K2510" s="33"/>
      <c r="L2510" s="33"/>
      <c r="M2510" s="33"/>
    </row>
    <row r="2511">
      <c r="A2511" s="32" t="s">
        <v>6256</v>
      </c>
      <c r="B2511" s="32" t="s">
        <v>6257</v>
      </c>
      <c r="C2511" s="35">
        <v>49.25350189</v>
      </c>
      <c r="D2511" s="35">
        <v>2.519140005</v>
      </c>
      <c r="E2511" s="32" t="s">
        <v>96</v>
      </c>
      <c r="F2511" s="32" t="s">
        <v>6258</v>
      </c>
      <c r="G2511" s="39" t="s">
        <v>97</v>
      </c>
      <c r="H2511" s="33"/>
      <c r="I2511" s="33"/>
      <c r="J2511" s="33"/>
      <c r="K2511" s="33"/>
      <c r="L2511" s="33"/>
      <c r="M2511" s="33"/>
    </row>
    <row r="2512">
      <c r="A2512" s="32" t="s">
        <v>6259</v>
      </c>
      <c r="B2512" s="32" t="s">
        <v>6260</v>
      </c>
      <c r="C2512" s="35">
        <v>32.5163002</v>
      </c>
      <c r="D2512" s="35">
        <v>-84.93890381</v>
      </c>
      <c r="E2512" s="32" t="s">
        <v>180</v>
      </c>
      <c r="F2512" s="32" t="s">
        <v>6005</v>
      </c>
      <c r="G2512" s="39" t="s">
        <v>181</v>
      </c>
      <c r="H2512" s="33"/>
      <c r="I2512" s="33"/>
      <c r="J2512" s="33"/>
      <c r="K2512" s="33"/>
      <c r="L2512" s="33"/>
      <c r="M2512" s="33"/>
    </row>
    <row r="2513">
      <c r="A2513" s="32" t="s">
        <v>6261</v>
      </c>
      <c r="B2513" s="32" t="s">
        <v>6262</v>
      </c>
      <c r="C2513" s="35">
        <v>65.02999878</v>
      </c>
      <c r="D2513" s="35">
        <v>35.73333359</v>
      </c>
      <c r="E2513" s="32" t="s">
        <v>2040</v>
      </c>
      <c r="F2513" s="32" t="s">
        <v>6263</v>
      </c>
      <c r="G2513" s="36" t="e">
        <v>#N/A</v>
      </c>
      <c r="H2513" s="33"/>
      <c r="I2513" s="33"/>
      <c r="J2513" s="33"/>
      <c r="K2513" s="33"/>
      <c r="L2513" s="33"/>
      <c r="M2513" s="33"/>
    </row>
    <row r="2514">
      <c r="A2514" s="32" t="s">
        <v>6264</v>
      </c>
      <c r="B2514" s="32" t="s">
        <v>6265</v>
      </c>
      <c r="C2514" s="35">
        <v>12.41020012</v>
      </c>
      <c r="D2514" s="35">
        <v>-16.74609947</v>
      </c>
      <c r="E2514" s="32" t="s">
        <v>5407</v>
      </c>
      <c r="F2514" s="32" t="s">
        <v>6266</v>
      </c>
      <c r="G2514" s="36" t="e">
        <v>#N/A</v>
      </c>
      <c r="H2514" s="33"/>
      <c r="I2514" s="33"/>
      <c r="J2514" s="33"/>
      <c r="K2514" s="33"/>
      <c r="L2514" s="33"/>
      <c r="M2514" s="33"/>
    </row>
    <row r="2515">
      <c r="A2515" s="32" t="s">
        <v>6267</v>
      </c>
      <c r="B2515" s="32" t="s">
        <v>6268</v>
      </c>
      <c r="C2515" s="35">
        <v>51.85639954</v>
      </c>
      <c r="D2515" s="35">
        <v>11.42029953</v>
      </c>
      <c r="E2515" s="32" t="s">
        <v>109</v>
      </c>
      <c r="F2515" s="32" t="s">
        <v>6269</v>
      </c>
      <c r="G2515" s="39" t="s">
        <v>110</v>
      </c>
      <c r="H2515" s="33"/>
      <c r="I2515" s="33"/>
      <c r="J2515" s="33"/>
      <c r="K2515" s="33"/>
      <c r="L2515" s="33"/>
      <c r="M2515" s="33"/>
    </row>
    <row r="2516">
      <c r="A2516" s="32" t="s">
        <v>6270</v>
      </c>
      <c r="B2516" s="32" t="s">
        <v>6271</v>
      </c>
      <c r="C2516" s="35">
        <v>35.95130157</v>
      </c>
      <c r="D2516" s="35">
        <v>-85.08499908</v>
      </c>
      <c r="E2516" s="32" t="s">
        <v>180</v>
      </c>
      <c r="F2516" s="32" t="s">
        <v>6272</v>
      </c>
      <c r="G2516" s="39" t="s">
        <v>181</v>
      </c>
      <c r="H2516" s="33"/>
      <c r="I2516" s="33"/>
      <c r="J2516" s="33"/>
      <c r="K2516" s="33"/>
      <c r="L2516" s="33"/>
      <c r="M2516" s="33"/>
    </row>
    <row r="2517">
      <c r="A2517" s="32" t="s">
        <v>6273</v>
      </c>
      <c r="B2517" s="32" t="s">
        <v>6274</v>
      </c>
      <c r="C2517" s="35">
        <v>28.18919945</v>
      </c>
      <c r="D2517" s="35">
        <v>113.2200012</v>
      </c>
      <c r="E2517" s="32" t="s">
        <v>205</v>
      </c>
      <c r="F2517" s="32" t="s">
        <v>6275</v>
      </c>
      <c r="G2517" s="39" t="s">
        <v>206</v>
      </c>
      <c r="H2517" s="33"/>
      <c r="I2517" s="33"/>
      <c r="J2517" s="33"/>
      <c r="K2517" s="33"/>
      <c r="L2517" s="33"/>
      <c r="M2517" s="33"/>
    </row>
    <row r="2518">
      <c r="A2518" s="32" t="s">
        <v>6276</v>
      </c>
      <c r="B2518" s="32" t="s">
        <v>6277</v>
      </c>
      <c r="C2518" s="35">
        <v>56.09030151</v>
      </c>
      <c r="D2518" s="35">
        <v>47.34730148</v>
      </c>
      <c r="E2518" s="32" t="s">
        <v>2040</v>
      </c>
      <c r="F2518" s="32" t="s">
        <v>6278</v>
      </c>
      <c r="G2518" s="36" t="e">
        <v>#N/A</v>
      </c>
      <c r="H2518" s="33"/>
      <c r="I2518" s="33"/>
      <c r="J2518" s="33"/>
      <c r="K2518" s="33"/>
      <c r="L2518" s="33"/>
      <c r="M2518" s="33"/>
    </row>
    <row r="2519">
      <c r="A2519" s="32" t="s">
        <v>6279</v>
      </c>
      <c r="B2519" s="32" t="s">
        <v>6280</v>
      </c>
      <c r="C2519" s="35">
        <v>37.466801</v>
      </c>
      <c r="D2519" s="35">
        <v>15.0664</v>
      </c>
      <c r="E2519" s="32" t="s">
        <v>103</v>
      </c>
      <c r="F2519" s="32" t="s">
        <v>6281</v>
      </c>
      <c r="G2519" s="39" t="s">
        <v>104</v>
      </c>
      <c r="H2519" s="33"/>
      <c r="I2519" s="33"/>
      <c r="J2519" s="33"/>
      <c r="K2519" s="33"/>
      <c r="L2519" s="33"/>
      <c r="M2519" s="33"/>
    </row>
    <row r="2520">
      <c r="A2520" s="32" t="s">
        <v>6282</v>
      </c>
      <c r="B2520" s="32" t="s">
        <v>6283</v>
      </c>
      <c r="C2520" s="35">
        <v>48.60839844</v>
      </c>
      <c r="D2520" s="35">
        <v>-112.3759995</v>
      </c>
      <c r="E2520" s="32" t="s">
        <v>180</v>
      </c>
      <c r="F2520" s="32" t="s">
        <v>6284</v>
      </c>
      <c r="G2520" s="39" t="s">
        <v>181</v>
      </c>
      <c r="H2520" s="33"/>
      <c r="I2520" s="33"/>
      <c r="J2520" s="33"/>
      <c r="K2520" s="33"/>
      <c r="L2520" s="33"/>
      <c r="M2520" s="33"/>
    </row>
    <row r="2521">
      <c r="A2521" s="32" t="s">
        <v>6285</v>
      </c>
      <c r="B2521" s="32" t="s">
        <v>6286</v>
      </c>
      <c r="C2521" s="35">
        <v>-28.59560013</v>
      </c>
      <c r="D2521" s="35">
        <v>-65.75170136</v>
      </c>
      <c r="E2521" s="32" t="s">
        <v>296</v>
      </c>
      <c r="F2521" s="32" t="s">
        <v>6287</v>
      </c>
      <c r="G2521" s="36" t="e">
        <v>#N/A</v>
      </c>
      <c r="H2521" s="33"/>
      <c r="I2521" s="33"/>
      <c r="J2521" s="33"/>
      <c r="K2521" s="33"/>
      <c r="L2521" s="33"/>
      <c r="M2521" s="33"/>
    </row>
    <row r="2522">
      <c r="A2522" s="32" t="s">
        <v>6288</v>
      </c>
      <c r="B2522" s="32" t="s">
        <v>6289</v>
      </c>
      <c r="C2522" s="35">
        <v>7.987840176</v>
      </c>
      <c r="D2522" s="35">
        <v>-80.40969849</v>
      </c>
      <c r="E2522" s="32" t="s">
        <v>327</v>
      </c>
      <c r="F2522" s="32" t="s">
        <v>6290</v>
      </c>
      <c r="G2522" s="36" t="e">
        <v>#N/A</v>
      </c>
      <c r="H2522" s="33"/>
      <c r="I2522" s="33"/>
      <c r="J2522" s="33"/>
      <c r="K2522" s="33"/>
      <c r="L2522" s="33"/>
      <c r="M2522" s="33"/>
    </row>
    <row r="2523">
      <c r="A2523" s="32" t="s">
        <v>6291</v>
      </c>
      <c r="B2523" s="32" t="s">
        <v>6292</v>
      </c>
      <c r="C2523" s="35">
        <v>10.4424</v>
      </c>
      <c r="D2523" s="35">
        <v>-75.513</v>
      </c>
      <c r="E2523" s="32" t="s">
        <v>292</v>
      </c>
      <c r="F2523" s="32" t="s">
        <v>6293</v>
      </c>
      <c r="G2523" s="36" t="e">
        <v>#N/A</v>
      </c>
      <c r="H2523" s="33"/>
      <c r="I2523" s="33"/>
      <c r="J2523" s="33"/>
      <c r="K2523" s="33"/>
      <c r="L2523" s="33"/>
      <c r="M2523" s="33"/>
    </row>
    <row r="2524">
      <c r="A2524" s="32" t="s">
        <v>6294</v>
      </c>
      <c r="B2524" s="32" t="s">
        <v>6295</v>
      </c>
      <c r="C2524" s="35">
        <v>39.97900009</v>
      </c>
      <c r="D2524" s="35">
        <v>-75.8655014</v>
      </c>
      <c r="E2524" s="32" t="s">
        <v>180</v>
      </c>
      <c r="F2524" s="32" t="s">
        <v>6296</v>
      </c>
      <c r="G2524" s="39" t="s">
        <v>181</v>
      </c>
      <c r="H2524" s="33"/>
      <c r="I2524" s="33"/>
      <c r="J2524" s="33"/>
      <c r="K2524" s="33"/>
      <c r="L2524" s="33"/>
      <c r="M2524" s="33"/>
    </row>
    <row r="2525">
      <c r="A2525" s="32" t="s">
        <v>6297</v>
      </c>
      <c r="B2525" s="32" t="s">
        <v>6298</v>
      </c>
      <c r="C2525" s="35">
        <v>33.63100052</v>
      </c>
      <c r="D2525" s="35">
        <v>-85.15200043</v>
      </c>
      <c r="E2525" s="32" t="s">
        <v>180</v>
      </c>
      <c r="F2525" s="32" t="s">
        <v>6299</v>
      </c>
      <c r="G2525" s="39" t="s">
        <v>181</v>
      </c>
      <c r="H2525" s="33"/>
      <c r="I2525" s="33"/>
      <c r="J2525" s="33"/>
      <c r="K2525" s="33"/>
      <c r="L2525" s="33"/>
      <c r="M2525" s="33"/>
    </row>
    <row r="2526">
      <c r="A2526" s="32" t="s">
        <v>6300</v>
      </c>
      <c r="B2526" s="32" t="s">
        <v>6301</v>
      </c>
      <c r="C2526" s="35">
        <v>-26.41329956</v>
      </c>
      <c r="D2526" s="35">
        <v>146.2619934</v>
      </c>
      <c r="E2526" s="32" t="s">
        <v>1968</v>
      </c>
      <c r="F2526" s="32" t="s">
        <v>6302</v>
      </c>
      <c r="G2526" s="36" t="e">
        <v>#N/A</v>
      </c>
      <c r="H2526" s="33"/>
      <c r="I2526" s="33"/>
      <c r="J2526" s="33"/>
      <c r="K2526" s="33"/>
      <c r="L2526" s="33"/>
      <c r="M2526" s="33"/>
    </row>
    <row r="2527">
      <c r="A2527" s="32" t="s">
        <v>6303</v>
      </c>
      <c r="B2527" s="32" t="s">
        <v>6304</v>
      </c>
      <c r="C2527" s="35">
        <v>18.50469971</v>
      </c>
      <c r="D2527" s="35">
        <v>-88.32679749</v>
      </c>
      <c r="E2527" s="32" t="s">
        <v>186</v>
      </c>
      <c r="F2527" s="32" t="s">
        <v>6305</v>
      </c>
      <c r="G2527" s="39" t="s">
        <v>187</v>
      </c>
      <c r="H2527" s="33"/>
      <c r="I2527" s="33"/>
      <c r="J2527" s="33"/>
      <c r="K2527" s="33"/>
      <c r="L2527" s="33"/>
      <c r="M2527" s="33"/>
    </row>
    <row r="2528">
      <c r="A2528" s="32" t="s">
        <v>6306</v>
      </c>
      <c r="B2528" s="32" t="s">
        <v>6307</v>
      </c>
      <c r="C2528" s="35">
        <v>-15.44470024</v>
      </c>
      <c r="D2528" s="35">
        <v>145.1840057</v>
      </c>
      <c r="E2528" s="32" t="s">
        <v>1968</v>
      </c>
      <c r="F2528" s="32" t="s">
        <v>6308</v>
      </c>
      <c r="G2528" s="36" t="e">
        <v>#N/A</v>
      </c>
      <c r="H2528" s="33"/>
      <c r="I2528" s="33"/>
      <c r="J2528" s="33"/>
      <c r="K2528" s="33"/>
      <c r="L2528" s="33"/>
      <c r="M2528" s="33"/>
    </row>
    <row r="2529">
      <c r="A2529" s="32" t="s">
        <v>6309</v>
      </c>
      <c r="B2529" s="32" t="s">
        <v>6310</v>
      </c>
      <c r="C2529" s="35">
        <v>42.77519989</v>
      </c>
      <c r="D2529" s="35">
        <v>141.6920013</v>
      </c>
      <c r="E2529" s="32" t="s">
        <v>170</v>
      </c>
      <c r="F2529" s="32" t="s">
        <v>6311</v>
      </c>
      <c r="G2529" s="39" t="s">
        <v>171</v>
      </c>
      <c r="H2529" s="33"/>
      <c r="I2529" s="33"/>
      <c r="J2529" s="33"/>
      <c r="K2529" s="33"/>
      <c r="L2529" s="33"/>
      <c r="M2529" s="33"/>
    </row>
    <row r="2530">
      <c r="A2530" s="32" t="s">
        <v>6312</v>
      </c>
      <c r="B2530" s="32" t="s">
        <v>6313</v>
      </c>
      <c r="C2530" s="35">
        <v>43.25249863</v>
      </c>
      <c r="D2530" s="35">
        <v>5.785190105</v>
      </c>
      <c r="E2530" s="32" t="s">
        <v>96</v>
      </c>
      <c r="F2530" s="32" t="s">
        <v>6314</v>
      </c>
      <c r="G2530" s="39" t="s">
        <v>97</v>
      </c>
      <c r="H2530" s="33"/>
      <c r="I2530" s="33"/>
      <c r="J2530" s="33"/>
      <c r="K2530" s="33"/>
      <c r="L2530" s="33"/>
      <c r="M2530" s="33"/>
    </row>
    <row r="2531">
      <c r="A2531" s="32" t="s">
        <v>6315</v>
      </c>
      <c r="B2531" s="32" t="s">
        <v>6316</v>
      </c>
      <c r="C2531" s="35">
        <v>30.57850075</v>
      </c>
      <c r="D2531" s="35">
        <v>103.9469986</v>
      </c>
      <c r="E2531" s="32" t="s">
        <v>205</v>
      </c>
      <c r="F2531" s="32" t="s">
        <v>6317</v>
      </c>
      <c r="G2531" s="39" t="s">
        <v>206</v>
      </c>
      <c r="H2531" s="33"/>
      <c r="I2531" s="33"/>
      <c r="J2531" s="33"/>
      <c r="K2531" s="33"/>
      <c r="L2531" s="33"/>
      <c r="M2531" s="33"/>
    </row>
    <row r="2532">
      <c r="A2532" s="32" t="s">
        <v>6318</v>
      </c>
      <c r="B2532" s="32" t="s">
        <v>6319</v>
      </c>
      <c r="C2532" s="35">
        <v>29.63549995</v>
      </c>
      <c r="D2532" s="35">
        <v>-83.10479736</v>
      </c>
      <c r="E2532" s="32" t="s">
        <v>180</v>
      </c>
      <c r="F2532" s="32" t="s">
        <v>6320</v>
      </c>
      <c r="G2532" s="39" t="s">
        <v>181</v>
      </c>
      <c r="H2532" s="33"/>
      <c r="I2532" s="33"/>
      <c r="J2532" s="33"/>
      <c r="K2532" s="33"/>
      <c r="L2532" s="33"/>
      <c r="M2532" s="33"/>
    </row>
    <row r="2533">
      <c r="A2533" s="32" t="s">
        <v>6321</v>
      </c>
      <c r="B2533" s="32" t="s">
        <v>6322</v>
      </c>
      <c r="C2533" s="35">
        <v>25.05380058</v>
      </c>
      <c r="D2533" s="35">
        <v>-111.6149979</v>
      </c>
      <c r="E2533" s="32" t="s">
        <v>186</v>
      </c>
      <c r="F2533" s="32" t="s">
        <v>6323</v>
      </c>
      <c r="G2533" s="39" t="s">
        <v>187</v>
      </c>
      <c r="H2533" s="33"/>
      <c r="I2533" s="33"/>
      <c r="J2533" s="33"/>
      <c r="K2533" s="33"/>
      <c r="L2533" s="33"/>
      <c r="M2533" s="33"/>
    </row>
    <row r="2534">
      <c r="A2534" s="32" t="s">
        <v>6324</v>
      </c>
      <c r="B2534" s="32" t="s">
        <v>6325</v>
      </c>
      <c r="C2534" s="35">
        <v>33.97050095</v>
      </c>
      <c r="D2534" s="35">
        <v>-80.99520111</v>
      </c>
      <c r="E2534" s="32" t="s">
        <v>180</v>
      </c>
      <c r="F2534" s="32" t="s">
        <v>5515</v>
      </c>
      <c r="G2534" s="39" t="s">
        <v>181</v>
      </c>
      <c r="H2534" s="33"/>
      <c r="I2534" s="33"/>
      <c r="J2534" s="33"/>
      <c r="K2534" s="33"/>
      <c r="L2534" s="33"/>
      <c r="M2534" s="33"/>
    </row>
    <row r="2535">
      <c r="A2535" s="32" t="s">
        <v>6326</v>
      </c>
      <c r="B2535" s="32" t="s">
        <v>6327</v>
      </c>
      <c r="C2535" s="35">
        <v>7.92757</v>
      </c>
      <c r="D2535" s="35">
        <v>-72.5115</v>
      </c>
      <c r="E2535" s="32" t="s">
        <v>292</v>
      </c>
      <c r="F2535" s="32" t="s">
        <v>6328</v>
      </c>
      <c r="G2535" s="36" t="e">
        <v>#N/A</v>
      </c>
      <c r="H2535" s="33"/>
      <c r="I2535" s="33"/>
      <c r="J2535" s="33"/>
      <c r="K2535" s="33"/>
      <c r="L2535" s="33"/>
      <c r="M2535" s="33"/>
    </row>
    <row r="2536">
      <c r="A2536" s="32" t="s">
        <v>6329</v>
      </c>
      <c r="B2536" s="32" t="s">
        <v>6330</v>
      </c>
      <c r="C2536" s="35">
        <v>-2.8894701</v>
      </c>
      <c r="D2536" s="35">
        <v>-78.98439789</v>
      </c>
      <c r="E2536" s="32" t="s">
        <v>311</v>
      </c>
      <c r="F2536" s="32" t="s">
        <v>6331</v>
      </c>
      <c r="G2536" s="36" t="e">
        <v>#N/A</v>
      </c>
      <c r="H2536" s="33"/>
      <c r="I2536" s="33"/>
      <c r="J2536" s="33"/>
      <c r="K2536" s="33"/>
      <c r="L2536" s="33"/>
      <c r="M2536" s="33"/>
    </row>
    <row r="2537">
      <c r="A2537" s="32" t="s">
        <v>6332</v>
      </c>
      <c r="B2537" s="32" t="s">
        <v>6333</v>
      </c>
      <c r="C2537" s="35">
        <v>44.547001</v>
      </c>
      <c r="D2537" s="35">
        <v>7.62322</v>
      </c>
      <c r="E2537" s="32" t="s">
        <v>103</v>
      </c>
      <c r="F2537" s="32" t="s">
        <v>6334</v>
      </c>
      <c r="G2537" s="39" t="s">
        <v>104</v>
      </c>
      <c r="H2537" s="33"/>
      <c r="I2537" s="33"/>
      <c r="J2537" s="33"/>
      <c r="K2537" s="33"/>
      <c r="L2537" s="33"/>
      <c r="M2537" s="33"/>
    </row>
    <row r="2538">
      <c r="A2538" s="32" t="s">
        <v>6335</v>
      </c>
      <c r="B2538" s="32" t="s">
        <v>6336</v>
      </c>
      <c r="C2538" s="35">
        <v>24.76449966</v>
      </c>
      <c r="D2538" s="35">
        <v>-107.4749985</v>
      </c>
      <c r="E2538" s="32" t="s">
        <v>186</v>
      </c>
      <c r="F2538" s="32" t="s">
        <v>6337</v>
      </c>
      <c r="G2538" s="39" t="s">
        <v>187</v>
      </c>
      <c r="H2538" s="33"/>
      <c r="I2538" s="33"/>
      <c r="J2538" s="33"/>
      <c r="K2538" s="33"/>
      <c r="L2538" s="33"/>
      <c r="M2538" s="33"/>
    </row>
    <row r="2539">
      <c r="A2539" s="32" t="s">
        <v>6338</v>
      </c>
      <c r="B2539" s="32" t="s">
        <v>6339</v>
      </c>
      <c r="C2539" s="35">
        <v>10.45033264</v>
      </c>
      <c r="D2539" s="35">
        <v>-64.13047028</v>
      </c>
      <c r="E2539" s="32" t="s">
        <v>315</v>
      </c>
      <c r="F2539" s="32" t="s">
        <v>6340</v>
      </c>
      <c r="G2539" s="36" t="e">
        <v>#N/A</v>
      </c>
      <c r="H2539" s="33"/>
      <c r="I2539" s="33"/>
      <c r="J2539" s="33"/>
      <c r="K2539" s="33"/>
      <c r="L2539" s="33"/>
      <c r="M2539" s="33"/>
    </row>
    <row r="2540">
      <c r="A2540" s="32" t="s">
        <v>6341</v>
      </c>
      <c r="B2540" s="32" t="s">
        <v>6342</v>
      </c>
      <c r="C2540" s="35">
        <v>21.03650093</v>
      </c>
      <c r="D2540" s="35">
        <v>-86.87709808</v>
      </c>
      <c r="E2540" s="32" t="s">
        <v>186</v>
      </c>
      <c r="F2540" s="32" t="s">
        <v>6343</v>
      </c>
      <c r="G2540" s="39" t="s">
        <v>187</v>
      </c>
      <c r="H2540" s="33"/>
      <c r="I2540" s="33"/>
      <c r="J2540" s="33"/>
      <c r="K2540" s="33"/>
      <c r="L2540" s="33"/>
      <c r="M2540" s="33"/>
    </row>
    <row r="2541">
      <c r="A2541" s="32" t="s">
        <v>6344</v>
      </c>
      <c r="B2541" s="32" t="s">
        <v>6345</v>
      </c>
      <c r="C2541" s="35">
        <v>10.66001415</v>
      </c>
      <c r="D2541" s="35">
        <v>-63.2616806</v>
      </c>
      <c r="E2541" s="32" t="s">
        <v>315</v>
      </c>
      <c r="F2541" s="32" t="s">
        <v>6346</v>
      </c>
      <c r="G2541" s="36" t="e">
        <v>#N/A</v>
      </c>
      <c r="H2541" s="33"/>
      <c r="I2541" s="33"/>
      <c r="J2541" s="33"/>
      <c r="K2541" s="33"/>
      <c r="L2541" s="33"/>
      <c r="M2541" s="33"/>
    </row>
    <row r="2542">
      <c r="A2542" s="32" t="s">
        <v>6347</v>
      </c>
      <c r="B2542" s="32" t="s">
        <v>6348</v>
      </c>
      <c r="C2542" s="35">
        <v>-13.761133</v>
      </c>
      <c r="D2542" s="35">
        <v>143.113311</v>
      </c>
      <c r="E2542" s="32" t="s">
        <v>1968</v>
      </c>
      <c r="F2542" s="32" t="s">
        <v>6349</v>
      </c>
      <c r="G2542" s="36" t="e">
        <v>#N/A</v>
      </c>
      <c r="H2542" s="33"/>
      <c r="I2542" s="33"/>
      <c r="J2542" s="33"/>
      <c r="K2542" s="33"/>
      <c r="L2542" s="33"/>
      <c r="M2542" s="33"/>
    </row>
    <row r="2543">
      <c r="A2543" s="32" t="s">
        <v>6350</v>
      </c>
      <c r="B2543" s="32" t="s">
        <v>6351</v>
      </c>
      <c r="C2543" s="35">
        <v>12.1889</v>
      </c>
      <c r="D2543" s="35">
        <v>-68.959801</v>
      </c>
      <c r="E2543" s="32" t="s">
        <v>5070</v>
      </c>
      <c r="F2543" s="32" t="s">
        <v>6352</v>
      </c>
      <c r="G2543" s="36" t="e">
        <v>#N/A</v>
      </c>
      <c r="H2543" s="33"/>
      <c r="I2543" s="33"/>
      <c r="J2543" s="33"/>
      <c r="K2543" s="33"/>
      <c r="L2543" s="33"/>
      <c r="M2543" s="33"/>
    </row>
    <row r="2544">
      <c r="A2544" s="32" t="s">
        <v>6353</v>
      </c>
      <c r="B2544" s="32" t="s">
        <v>6354</v>
      </c>
      <c r="C2544" s="35">
        <v>28.70289993</v>
      </c>
      <c r="D2544" s="35">
        <v>-105.9649963</v>
      </c>
      <c r="E2544" s="32" t="s">
        <v>186</v>
      </c>
      <c r="F2544" s="32" t="s">
        <v>6355</v>
      </c>
      <c r="G2544" s="39" t="s">
        <v>187</v>
      </c>
      <c r="H2544" s="33"/>
      <c r="I2544" s="33"/>
      <c r="J2544" s="33"/>
      <c r="K2544" s="33"/>
      <c r="L2544" s="33"/>
      <c r="M2544" s="33"/>
    </row>
    <row r="2545">
      <c r="A2545" s="32" t="s">
        <v>6356</v>
      </c>
      <c r="B2545" s="32" t="s">
        <v>6357</v>
      </c>
      <c r="C2545" s="35">
        <v>-13.53569984</v>
      </c>
      <c r="D2545" s="35">
        <v>-71.938797</v>
      </c>
      <c r="E2545" s="32" t="s">
        <v>307</v>
      </c>
      <c r="F2545" s="32" t="s">
        <v>6358</v>
      </c>
      <c r="G2545" s="36" t="e">
        <v>#N/A</v>
      </c>
      <c r="H2545" s="33"/>
      <c r="I2545" s="33"/>
      <c r="J2545" s="33"/>
      <c r="K2545" s="33"/>
      <c r="L2545" s="33"/>
      <c r="M2545" s="33"/>
    </row>
    <row r="2546">
      <c r="A2546" s="32" t="s">
        <v>6359</v>
      </c>
      <c r="B2546" s="32" t="s">
        <v>6360</v>
      </c>
      <c r="C2546" s="35">
        <v>-33.70970154</v>
      </c>
      <c r="D2546" s="35">
        <v>136.5050049</v>
      </c>
      <c r="E2546" s="32" t="s">
        <v>1968</v>
      </c>
      <c r="F2546" s="33"/>
      <c r="G2546" s="36" t="e">
        <v>#N/A</v>
      </c>
      <c r="H2546" s="33"/>
      <c r="I2546" s="33"/>
      <c r="J2546" s="33"/>
      <c r="K2546" s="33"/>
      <c r="L2546" s="33"/>
      <c r="M2546" s="33"/>
    </row>
    <row r="2547">
      <c r="A2547" s="32" t="s">
        <v>6361</v>
      </c>
      <c r="B2547" s="32" t="s">
        <v>6362</v>
      </c>
      <c r="C2547" s="35">
        <v>9.40092</v>
      </c>
      <c r="D2547" s="35">
        <v>-75.6913</v>
      </c>
      <c r="E2547" s="32" t="s">
        <v>292</v>
      </c>
      <c r="F2547" s="32" t="s">
        <v>6363</v>
      </c>
      <c r="G2547" s="36" t="e">
        <v>#N/A</v>
      </c>
      <c r="H2547" s="33"/>
      <c r="I2547" s="33"/>
      <c r="J2547" s="33"/>
      <c r="K2547" s="33"/>
      <c r="L2547" s="33"/>
      <c r="M2547" s="33"/>
    </row>
    <row r="2548">
      <c r="A2548" s="32" t="s">
        <v>6364</v>
      </c>
      <c r="B2548" s="32" t="s">
        <v>6365</v>
      </c>
      <c r="C2548" s="35">
        <v>45.39670181</v>
      </c>
      <c r="D2548" s="35">
        <v>6.634719849</v>
      </c>
      <c r="E2548" s="32" t="s">
        <v>96</v>
      </c>
      <c r="F2548" s="32" t="s">
        <v>6366</v>
      </c>
      <c r="G2548" s="39" t="s">
        <v>97</v>
      </c>
      <c r="H2548" s="33"/>
      <c r="I2548" s="33"/>
      <c r="J2548" s="33"/>
      <c r="K2548" s="33"/>
      <c r="L2548" s="33"/>
      <c r="M2548" s="33"/>
    </row>
    <row r="2549">
      <c r="A2549" s="32" t="s">
        <v>6367</v>
      </c>
      <c r="B2549" s="32" t="s">
        <v>6368</v>
      </c>
      <c r="C2549" s="35">
        <v>39.04880142</v>
      </c>
      <c r="D2549" s="35">
        <v>-84.6678009</v>
      </c>
      <c r="E2549" s="32" t="s">
        <v>180</v>
      </c>
      <c r="F2549" s="32" t="s">
        <v>6369</v>
      </c>
      <c r="G2549" s="39" t="s">
        <v>181</v>
      </c>
      <c r="H2549" s="33"/>
      <c r="I2549" s="33"/>
      <c r="J2549" s="33"/>
      <c r="K2549" s="33"/>
      <c r="L2549" s="33"/>
      <c r="M2549" s="33"/>
    </row>
    <row r="2550">
      <c r="A2550" s="32" t="s">
        <v>6370</v>
      </c>
      <c r="B2550" s="32" t="s">
        <v>6371</v>
      </c>
      <c r="C2550" s="35">
        <v>18.83480072</v>
      </c>
      <c r="D2550" s="35">
        <v>-99.26129913</v>
      </c>
      <c r="E2550" s="32" t="s">
        <v>186</v>
      </c>
      <c r="F2550" s="32" t="s">
        <v>6372</v>
      </c>
      <c r="G2550" s="39" t="s">
        <v>187</v>
      </c>
      <c r="H2550" s="33"/>
      <c r="I2550" s="33"/>
      <c r="J2550" s="33"/>
      <c r="K2550" s="33"/>
      <c r="L2550" s="33"/>
      <c r="M2550" s="33"/>
    </row>
    <row r="2551">
      <c r="A2551" s="32" t="s">
        <v>6373</v>
      </c>
      <c r="B2551" s="32" t="s">
        <v>6374</v>
      </c>
      <c r="C2551" s="35">
        <v>23.70330048</v>
      </c>
      <c r="D2551" s="35">
        <v>-98.95649719</v>
      </c>
      <c r="E2551" s="32" t="s">
        <v>186</v>
      </c>
      <c r="F2551" s="32" t="s">
        <v>6375</v>
      </c>
      <c r="G2551" s="39" t="s">
        <v>187</v>
      </c>
      <c r="H2551" s="33"/>
      <c r="I2551" s="33"/>
      <c r="J2551" s="33"/>
      <c r="K2551" s="33"/>
      <c r="L2551" s="33"/>
      <c r="M2551" s="33"/>
    </row>
    <row r="2552">
      <c r="A2552" s="32" t="s">
        <v>6376</v>
      </c>
      <c r="B2552" s="32" t="s">
        <v>6377</v>
      </c>
      <c r="C2552" s="35">
        <v>34.42509842</v>
      </c>
      <c r="D2552" s="35">
        <v>-103.0790024</v>
      </c>
      <c r="E2552" s="32" t="s">
        <v>180</v>
      </c>
      <c r="F2552" s="32" t="s">
        <v>6378</v>
      </c>
      <c r="G2552" s="39" t="s">
        <v>181</v>
      </c>
      <c r="H2552" s="33"/>
      <c r="I2552" s="33"/>
      <c r="J2552" s="33"/>
      <c r="K2552" s="33"/>
      <c r="L2552" s="33"/>
      <c r="M2552" s="33"/>
    </row>
    <row r="2553">
      <c r="A2553" s="32" t="s">
        <v>6379</v>
      </c>
      <c r="B2553" s="32" t="s">
        <v>6380</v>
      </c>
      <c r="C2553" s="35">
        <v>44.49720001</v>
      </c>
      <c r="D2553" s="35">
        <v>-123.2900009</v>
      </c>
      <c r="E2553" s="32" t="s">
        <v>180</v>
      </c>
      <c r="F2553" s="32" t="s">
        <v>6381</v>
      </c>
      <c r="G2553" s="39" t="s">
        <v>181</v>
      </c>
      <c r="H2553" s="33"/>
      <c r="I2553" s="33"/>
      <c r="J2553" s="33"/>
      <c r="K2553" s="33"/>
      <c r="L2553" s="33"/>
      <c r="M2553" s="33"/>
    </row>
    <row r="2554">
      <c r="A2554" s="32" t="s">
        <v>6382</v>
      </c>
      <c r="B2554" s="32" t="s">
        <v>6383</v>
      </c>
      <c r="C2554" s="35">
        <v>-24.880211</v>
      </c>
      <c r="D2554" s="35">
        <v>113.67174</v>
      </c>
      <c r="E2554" s="32" t="s">
        <v>1968</v>
      </c>
      <c r="F2554" s="32" t="s">
        <v>6384</v>
      </c>
      <c r="G2554" s="36" t="e">
        <v>#N/A</v>
      </c>
      <c r="H2554" s="33"/>
      <c r="I2554" s="33"/>
      <c r="J2554" s="33"/>
      <c r="K2554" s="33"/>
      <c r="L2554" s="33"/>
      <c r="M2554" s="33"/>
    </row>
    <row r="2555">
      <c r="A2555" s="32" t="s">
        <v>6385</v>
      </c>
      <c r="B2555" s="32" t="s">
        <v>6386</v>
      </c>
      <c r="C2555" s="35">
        <v>34.38280106</v>
      </c>
      <c r="D2555" s="35">
        <v>-103.3219986</v>
      </c>
      <c r="E2555" s="32" t="s">
        <v>180</v>
      </c>
      <c r="F2555" s="32" t="s">
        <v>6378</v>
      </c>
      <c r="G2555" s="39" t="s">
        <v>181</v>
      </c>
      <c r="H2555" s="33"/>
      <c r="I2555" s="33"/>
      <c r="J2555" s="33"/>
      <c r="K2555" s="33"/>
      <c r="L2555" s="33"/>
      <c r="M2555" s="33"/>
    </row>
    <row r="2556">
      <c r="A2556" s="32" t="s">
        <v>6387</v>
      </c>
      <c r="B2556" s="32" t="s">
        <v>6388</v>
      </c>
      <c r="C2556" s="35">
        <v>52.36970139</v>
      </c>
      <c r="D2556" s="35">
        <v>-1.479719996</v>
      </c>
      <c r="E2556" s="32" t="s">
        <v>90</v>
      </c>
      <c r="F2556" s="32" t="s">
        <v>6389</v>
      </c>
      <c r="G2556" s="39" t="s">
        <v>91</v>
      </c>
      <c r="H2556" s="33"/>
      <c r="I2556" s="33"/>
      <c r="J2556" s="33"/>
      <c r="K2556" s="33"/>
      <c r="L2556" s="33"/>
      <c r="M2556" s="33"/>
    </row>
    <row r="2557">
      <c r="A2557" s="32" t="s">
        <v>6390</v>
      </c>
      <c r="B2557" s="32" t="s">
        <v>6391</v>
      </c>
      <c r="C2557" s="35">
        <v>39.67150116</v>
      </c>
      <c r="D2557" s="35">
        <v>-31.11359978</v>
      </c>
      <c r="E2557" s="32" t="s">
        <v>121</v>
      </c>
      <c r="F2557" s="32" t="s">
        <v>6392</v>
      </c>
      <c r="G2557" s="39" t="s">
        <v>122</v>
      </c>
      <c r="H2557" s="33"/>
      <c r="I2557" s="33"/>
      <c r="J2557" s="33"/>
      <c r="K2557" s="33"/>
      <c r="L2557" s="33"/>
      <c r="M2557" s="33"/>
    </row>
    <row r="2558">
      <c r="A2558" s="32" t="s">
        <v>6393</v>
      </c>
      <c r="B2558" s="32" t="s">
        <v>6394</v>
      </c>
      <c r="C2558" s="35">
        <v>45.30479813</v>
      </c>
      <c r="D2558" s="35">
        <v>-85.27480316</v>
      </c>
      <c r="E2558" s="32" t="s">
        <v>180</v>
      </c>
      <c r="F2558" s="32" t="s">
        <v>6395</v>
      </c>
      <c r="G2558" s="39" t="s">
        <v>181</v>
      </c>
      <c r="H2558" s="33"/>
      <c r="I2558" s="33"/>
      <c r="J2558" s="33"/>
      <c r="K2558" s="33"/>
      <c r="L2558" s="33"/>
      <c r="M2558" s="33"/>
    </row>
    <row r="2559">
      <c r="A2559" s="32" t="s">
        <v>6396</v>
      </c>
      <c r="B2559" s="32" t="s">
        <v>6397</v>
      </c>
      <c r="C2559" s="35">
        <v>44.77759933</v>
      </c>
      <c r="D2559" s="35">
        <v>-89.66680145</v>
      </c>
      <c r="E2559" s="32" t="s">
        <v>180</v>
      </c>
      <c r="F2559" s="32" t="s">
        <v>6398</v>
      </c>
      <c r="G2559" s="39" t="s">
        <v>181</v>
      </c>
      <c r="H2559" s="33"/>
      <c r="I2559" s="33"/>
      <c r="J2559" s="33"/>
      <c r="K2559" s="33"/>
      <c r="L2559" s="33"/>
      <c r="M2559" s="33"/>
    </row>
    <row r="2560">
      <c r="A2560" s="32" t="s">
        <v>6399</v>
      </c>
      <c r="B2560" s="32" t="s">
        <v>6400</v>
      </c>
      <c r="C2560" s="35">
        <v>-25.5284996</v>
      </c>
      <c r="D2560" s="35">
        <v>-49.17580032</v>
      </c>
      <c r="E2560" s="32" t="s">
        <v>288</v>
      </c>
      <c r="F2560" s="32" t="s">
        <v>4633</v>
      </c>
      <c r="G2560" s="36" t="e">
        <v>#N/A</v>
      </c>
      <c r="H2560" s="33"/>
      <c r="I2560" s="33"/>
      <c r="J2560" s="33"/>
      <c r="K2560" s="33"/>
      <c r="L2560" s="33"/>
      <c r="M2560" s="33"/>
    </row>
    <row r="2561">
      <c r="A2561" s="32" t="s">
        <v>6401</v>
      </c>
      <c r="B2561" s="32" t="s">
        <v>6402</v>
      </c>
      <c r="C2561" s="35">
        <v>48.25930023</v>
      </c>
      <c r="D2561" s="35">
        <v>25.98080063</v>
      </c>
      <c r="E2561" s="32" t="s">
        <v>3293</v>
      </c>
      <c r="F2561" s="32" t="s">
        <v>6403</v>
      </c>
      <c r="G2561" s="36" t="e">
        <v>#N/A</v>
      </c>
      <c r="H2561" s="33"/>
      <c r="I2561" s="33"/>
      <c r="J2561" s="33"/>
      <c r="K2561" s="33"/>
      <c r="L2561" s="33"/>
      <c r="M2561" s="33"/>
    </row>
    <row r="2562">
      <c r="A2562" s="32" t="s">
        <v>6404</v>
      </c>
      <c r="B2562" s="32" t="s">
        <v>6405</v>
      </c>
      <c r="C2562" s="35">
        <v>41.83110046</v>
      </c>
      <c r="D2562" s="35">
        <v>-90.32910156</v>
      </c>
      <c r="E2562" s="32" t="s">
        <v>180</v>
      </c>
      <c r="F2562" s="32" t="s">
        <v>2900</v>
      </c>
      <c r="G2562" s="39" t="s">
        <v>181</v>
      </c>
      <c r="H2562" s="33"/>
      <c r="I2562" s="33"/>
      <c r="J2562" s="33"/>
      <c r="K2562" s="33"/>
      <c r="L2562" s="33"/>
      <c r="M2562" s="33"/>
    </row>
    <row r="2563">
      <c r="A2563" s="32" t="s">
        <v>6406</v>
      </c>
      <c r="B2563" s="32" t="s">
        <v>6407</v>
      </c>
      <c r="C2563" s="35">
        <v>51.39670181</v>
      </c>
      <c r="D2563" s="35">
        <v>-3.343329906</v>
      </c>
      <c r="E2563" s="32" t="s">
        <v>90</v>
      </c>
      <c r="F2563" s="32" t="s">
        <v>6408</v>
      </c>
      <c r="G2563" s="39" t="s">
        <v>91</v>
      </c>
      <c r="H2563" s="33"/>
      <c r="I2563" s="33"/>
      <c r="J2563" s="33"/>
      <c r="K2563" s="33"/>
      <c r="L2563" s="33"/>
      <c r="M2563" s="33"/>
    </row>
    <row r="2564">
      <c r="A2564" s="32" t="s">
        <v>6409</v>
      </c>
      <c r="B2564" s="32" t="s">
        <v>6410</v>
      </c>
      <c r="C2564" s="35">
        <v>-33.84469986</v>
      </c>
      <c r="D2564" s="35">
        <v>148.6490021</v>
      </c>
      <c r="E2564" s="32" t="s">
        <v>180</v>
      </c>
      <c r="F2564" s="32" t="s">
        <v>6411</v>
      </c>
      <c r="G2564" s="39" t="s">
        <v>181</v>
      </c>
      <c r="H2564" s="33"/>
      <c r="I2564" s="33"/>
      <c r="J2564" s="33"/>
      <c r="K2564" s="33"/>
      <c r="L2564" s="33"/>
      <c r="M2564" s="33"/>
    </row>
    <row r="2565">
      <c r="A2565" s="32" t="s">
        <v>6412</v>
      </c>
      <c r="B2565" s="32" t="s">
        <v>6413</v>
      </c>
      <c r="C2565" s="35">
        <v>-35.99470139</v>
      </c>
      <c r="D2565" s="35">
        <v>146.3569946</v>
      </c>
      <c r="E2565" s="32" t="s">
        <v>1968</v>
      </c>
      <c r="F2565" s="33"/>
      <c r="G2565" s="36" t="e">
        <v>#N/A</v>
      </c>
      <c r="H2565" s="33"/>
      <c r="I2565" s="33"/>
      <c r="J2565" s="33"/>
      <c r="K2565" s="33"/>
      <c r="L2565" s="33"/>
      <c r="M2565" s="33"/>
    </row>
    <row r="2566">
      <c r="A2566" s="32" t="s">
        <v>6414</v>
      </c>
      <c r="B2566" s="32" t="s">
        <v>6415</v>
      </c>
      <c r="C2566" s="35">
        <v>21.45219994</v>
      </c>
      <c r="D2566" s="35">
        <v>91.96389771</v>
      </c>
      <c r="E2566" s="32" t="s">
        <v>1853</v>
      </c>
      <c r="F2566" s="32" t="s">
        <v>6416</v>
      </c>
      <c r="G2566" s="36" t="e">
        <v>#N/A</v>
      </c>
      <c r="H2566" s="33"/>
      <c r="I2566" s="33"/>
      <c r="J2566" s="33"/>
      <c r="K2566" s="33"/>
      <c r="L2566" s="33"/>
      <c r="M2566" s="33"/>
    </row>
    <row r="2567">
      <c r="A2567" s="32" t="s">
        <v>6417</v>
      </c>
      <c r="B2567" s="32" t="s">
        <v>6418</v>
      </c>
      <c r="C2567" s="35">
        <v>49.29439926</v>
      </c>
      <c r="D2567" s="35">
        <v>-123.1110001</v>
      </c>
      <c r="E2567" s="32" t="s">
        <v>94</v>
      </c>
      <c r="F2567" s="32" t="s">
        <v>2025</v>
      </c>
      <c r="G2567" s="36" t="e">
        <v>#N/A</v>
      </c>
      <c r="H2567" s="33"/>
      <c r="I2567" s="33"/>
      <c r="J2567" s="33"/>
      <c r="K2567" s="33"/>
      <c r="L2567" s="33"/>
      <c r="M2567" s="33"/>
    </row>
    <row r="2568">
      <c r="A2568" s="32" t="s">
        <v>6419</v>
      </c>
      <c r="B2568" s="32" t="s">
        <v>6420</v>
      </c>
      <c r="C2568" s="35">
        <v>1.98616004</v>
      </c>
      <c r="D2568" s="35">
        <v>-157.3500061</v>
      </c>
      <c r="E2568" s="32" t="s">
        <v>3439</v>
      </c>
      <c r="F2568" s="32" t="s">
        <v>6421</v>
      </c>
      <c r="G2568" s="36" t="e">
        <v>#N/A</v>
      </c>
      <c r="H2568" s="33"/>
      <c r="I2568" s="33"/>
      <c r="J2568" s="33"/>
      <c r="K2568" s="33"/>
      <c r="L2568" s="33"/>
      <c r="M2568" s="33"/>
    </row>
    <row r="2569">
      <c r="A2569" s="32" t="s">
        <v>6422</v>
      </c>
      <c r="B2569" s="32" t="s">
        <v>6423</v>
      </c>
      <c r="C2569" s="35">
        <v>-29.19709969</v>
      </c>
      <c r="D2569" s="35">
        <v>-51.1875</v>
      </c>
      <c r="E2569" s="32" t="s">
        <v>288</v>
      </c>
      <c r="F2569" s="32" t="s">
        <v>6424</v>
      </c>
      <c r="G2569" s="36" t="e">
        <v>#N/A</v>
      </c>
      <c r="H2569" s="33"/>
      <c r="I2569" s="33"/>
      <c r="J2569" s="33"/>
      <c r="K2569" s="33"/>
      <c r="L2569" s="33"/>
      <c r="M2569" s="33"/>
    </row>
    <row r="2570">
      <c r="A2570" s="32" t="s">
        <v>6425</v>
      </c>
      <c r="B2570" s="32" t="s">
        <v>6426</v>
      </c>
      <c r="C2570" s="35">
        <v>32.66949844</v>
      </c>
      <c r="D2570" s="35">
        <v>-115.5130005</v>
      </c>
      <c r="E2570" s="32" t="s">
        <v>180</v>
      </c>
      <c r="F2570" s="32" t="s">
        <v>6427</v>
      </c>
      <c r="G2570" s="39" t="s">
        <v>181</v>
      </c>
      <c r="H2570" s="33"/>
      <c r="I2570" s="33"/>
      <c r="J2570" s="33"/>
      <c r="K2570" s="33"/>
      <c r="L2570" s="33"/>
      <c r="M2570" s="33"/>
    </row>
    <row r="2571">
      <c r="A2571" s="32" t="s">
        <v>6428</v>
      </c>
      <c r="B2571" s="32" t="s">
        <v>6429</v>
      </c>
      <c r="C2571" s="35">
        <v>30.35180092</v>
      </c>
      <c r="D2571" s="35">
        <v>-95.41449738</v>
      </c>
      <c r="E2571" s="32" t="s">
        <v>180</v>
      </c>
      <c r="F2571" s="32" t="s">
        <v>6430</v>
      </c>
      <c r="G2571" s="39" t="s">
        <v>181</v>
      </c>
      <c r="H2571" s="33"/>
      <c r="I2571" s="33"/>
      <c r="J2571" s="33"/>
      <c r="K2571" s="33"/>
      <c r="L2571" s="33"/>
      <c r="M2571" s="33"/>
    </row>
    <row r="2572">
      <c r="A2572" s="32" t="s">
        <v>6431</v>
      </c>
      <c r="B2572" s="32" t="s">
        <v>6432</v>
      </c>
      <c r="C2572" s="35">
        <v>-7.645060062</v>
      </c>
      <c r="D2572" s="35">
        <v>109.0339966</v>
      </c>
      <c r="E2572" s="32" t="s">
        <v>280</v>
      </c>
      <c r="F2572" s="32" t="s">
        <v>6433</v>
      </c>
      <c r="G2572" s="36" t="e">
        <v>#N/A</v>
      </c>
      <c r="H2572" s="33"/>
      <c r="I2572" s="33"/>
      <c r="J2572" s="33"/>
      <c r="K2572" s="33"/>
      <c r="L2572" s="33"/>
      <c r="M2572" s="33"/>
    </row>
    <row r="2573">
      <c r="A2573" s="32" t="s">
        <v>6434</v>
      </c>
      <c r="B2573" s="32" t="s">
        <v>6435</v>
      </c>
      <c r="C2573" s="35">
        <v>11.99820042</v>
      </c>
      <c r="D2573" s="35">
        <v>109.2190018</v>
      </c>
      <c r="E2573" s="32" t="s">
        <v>1913</v>
      </c>
      <c r="F2573" s="32" t="s">
        <v>6436</v>
      </c>
      <c r="G2573" s="36" t="e">
        <v>#N/A</v>
      </c>
      <c r="H2573" s="33"/>
      <c r="I2573" s="33"/>
      <c r="J2573" s="33"/>
      <c r="K2573" s="33"/>
      <c r="L2573" s="33"/>
      <c r="M2573" s="33"/>
    </row>
    <row r="2574">
      <c r="A2574" s="32" t="s">
        <v>6437</v>
      </c>
      <c r="B2574" s="32" t="s">
        <v>6438</v>
      </c>
      <c r="C2574" s="35">
        <v>40.21709824</v>
      </c>
      <c r="D2574" s="35">
        <v>-76.85150146</v>
      </c>
      <c r="E2574" s="32" t="s">
        <v>180</v>
      </c>
      <c r="F2574" s="32" t="s">
        <v>6439</v>
      </c>
      <c r="G2574" s="39" t="s">
        <v>181</v>
      </c>
      <c r="H2574" s="33"/>
      <c r="I2574" s="33"/>
      <c r="J2574" s="33"/>
      <c r="K2574" s="33"/>
      <c r="L2574" s="33"/>
      <c r="M2574" s="33"/>
    </row>
    <row r="2575">
      <c r="A2575" s="32" t="s">
        <v>6440</v>
      </c>
      <c r="B2575" s="32" t="s">
        <v>6441</v>
      </c>
      <c r="C2575" s="35">
        <v>19.68700027</v>
      </c>
      <c r="D2575" s="35">
        <v>-79.88279724</v>
      </c>
      <c r="E2575" s="32" t="s">
        <v>6442</v>
      </c>
      <c r="F2575" s="32" t="s">
        <v>6443</v>
      </c>
      <c r="G2575" s="36" t="e">
        <v>#N/A</v>
      </c>
      <c r="H2575" s="33"/>
      <c r="I2575" s="33"/>
      <c r="J2575" s="33"/>
      <c r="K2575" s="33"/>
      <c r="L2575" s="33"/>
      <c r="M2575" s="33"/>
    </row>
    <row r="2576">
      <c r="A2576" s="32" t="s">
        <v>6444</v>
      </c>
      <c r="B2576" s="32" t="s">
        <v>6445</v>
      </c>
      <c r="C2576" s="35">
        <v>60.14920044</v>
      </c>
      <c r="D2576" s="35">
        <v>-164.2859955</v>
      </c>
      <c r="E2576" s="32" t="s">
        <v>180</v>
      </c>
      <c r="F2576" s="32" t="s">
        <v>6446</v>
      </c>
      <c r="G2576" s="39" t="s">
        <v>181</v>
      </c>
      <c r="H2576" s="33"/>
      <c r="I2576" s="33"/>
      <c r="J2576" s="33"/>
      <c r="K2576" s="33"/>
      <c r="L2576" s="33"/>
      <c r="M2576" s="33"/>
    </row>
    <row r="2577">
      <c r="A2577" s="32" t="s">
        <v>6447</v>
      </c>
      <c r="B2577" s="32" t="s">
        <v>6448</v>
      </c>
      <c r="C2577" s="35">
        <v>-36.18280029</v>
      </c>
      <c r="D2577" s="35">
        <v>147.8880005</v>
      </c>
      <c r="E2577" s="32" t="s">
        <v>1968</v>
      </c>
      <c r="F2577" s="33"/>
      <c r="G2577" s="36" t="e">
        <v>#N/A</v>
      </c>
      <c r="H2577" s="33"/>
      <c r="I2577" s="33"/>
      <c r="J2577" s="33"/>
      <c r="K2577" s="33"/>
      <c r="L2577" s="33"/>
      <c r="M2577" s="33"/>
    </row>
    <row r="2578">
      <c r="A2578" s="32" t="s">
        <v>6449</v>
      </c>
      <c r="B2578" s="32" t="s">
        <v>6450</v>
      </c>
      <c r="C2578" s="35">
        <v>23.46179962</v>
      </c>
      <c r="D2578" s="35">
        <v>120.3929977</v>
      </c>
      <c r="E2578" s="32" t="s">
        <v>1497</v>
      </c>
      <c r="F2578" s="32" t="s">
        <v>6451</v>
      </c>
      <c r="G2578" s="36" t="e">
        <v>#N/A</v>
      </c>
      <c r="H2578" s="33"/>
      <c r="I2578" s="33"/>
      <c r="J2578" s="33"/>
      <c r="K2578" s="33"/>
      <c r="L2578" s="33"/>
      <c r="M2578" s="33"/>
    </row>
    <row r="2579">
      <c r="A2579" s="32" t="s">
        <v>6452</v>
      </c>
      <c r="B2579" s="32" t="s">
        <v>6453</v>
      </c>
      <c r="C2579" s="35">
        <v>21.61650085</v>
      </c>
      <c r="D2579" s="35">
        <v>-81.54599762</v>
      </c>
      <c r="E2579" s="32" t="s">
        <v>1294</v>
      </c>
      <c r="F2579" s="32" t="s">
        <v>6454</v>
      </c>
      <c r="G2579" s="36" t="e">
        <v>#N/A</v>
      </c>
      <c r="H2579" s="33"/>
      <c r="I2579" s="33"/>
      <c r="J2579" s="33"/>
      <c r="K2579" s="33"/>
      <c r="L2579" s="33"/>
      <c r="M2579" s="33"/>
    </row>
    <row r="2580">
      <c r="A2580" s="32" t="s">
        <v>6455</v>
      </c>
      <c r="B2580" s="32" t="s">
        <v>6456</v>
      </c>
      <c r="C2580" s="35">
        <v>12.07269955</v>
      </c>
      <c r="D2580" s="35">
        <v>124.5449982</v>
      </c>
      <c r="E2580" s="32" t="s">
        <v>270</v>
      </c>
      <c r="F2580" s="32" t="s">
        <v>6457</v>
      </c>
      <c r="G2580" s="36" t="e">
        <v>#N/A</v>
      </c>
      <c r="H2580" s="33"/>
      <c r="I2580" s="33"/>
      <c r="J2580" s="33"/>
      <c r="K2580" s="33"/>
      <c r="L2580" s="33"/>
      <c r="M2580" s="33"/>
    </row>
    <row r="2581">
      <c r="A2581" s="32" t="s">
        <v>6458</v>
      </c>
      <c r="B2581" s="32" t="s">
        <v>6459</v>
      </c>
      <c r="C2581" s="35">
        <v>-34.45640182</v>
      </c>
      <c r="D2581" s="35">
        <v>-57.77059937</v>
      </c>
      <c r="E2581" s="32" t="s">
        <v>1779</v>
      </c>
      <c r="F2581" s="32" t="s">
        <v>6460</v>
      </c>
      <c r="G2581" s="36" t="e">
        <v>#N/A</v>
      </c>
      <c r="H2581" s="33"/>
      <c r="I2581" s="33"/>
      <c r="J2581" s="33"/>
      <c r="K2581" s="33"/>
      <c r="L2581" s="33"/>
      <c r="M2581" s="33"/>
    </row>
    <row r="2582">
      <c r="A2582" s="32" t="s">
        <v>6461</v>
      </c>
      <c r="B2582" s="32" t="s">
        <v>6462</v>
      </c>
      <c r="C2582" s="35">
        <v>41.15570068</v>
      </c>
      <c r="D2582" s="35">
        <v>-104.8119965</v>
      </c>
      <c r="E2582" s="32" t="s">
        <v>180</v>
      </c>
      <c r="F2582" s="32" t="s">
        <v>6463</v>
      </c>
      <c r="G2582" s="39" t="s">
        <v>181</v>
      </c>
      <c r="H2582" s="33"/>
      <c r="I2582" s="33"/>
      <c r="J2582" s="33"/>
      <c r="K2582" s="33"/>
      <c r="L2582" s="33"/>
      <c r="M2582" s="33"/>
    </row>
    <row r="2583">
      <c r="A2583" s="32" t="s">
        <v>6464</v>
      </c>
      <c r="B2583" s="32" t="s">
        <v>6465</v>
      </c>
      <c r="C2583" s="35">
        <v>60.08200073</v>
      </c>
      <c r="D2583" s="35">
        <v>-142.4929962</v>
      </c>
      <c r="E2583" s="32" t="s">
        <v>180</v>
      </c>
      <c r="F2583" s="32" t="s">
        <v>6466</v>
      </c>
      <c r="G2583" s="39" t="s">
        <v>181</v>
      </c>
      <c r="H2583" s="33"/>
      <c r="I2583" s="33"/>
      <c r="J2583" s="33"/>
      <c r="K2583" s="33"/>
      <c r="L2583" s="33"/>
      <c r="M2583" s="33"/>
    </row>
    <row r="2584">
      <c r="A2584" s="32" t="s">
        <v>6467</v>
      </c>
      <c r="B2584" s="32" t="s">
        <v>6468</v>
      </c>
      <c r="C2584" s="35">
        <v>10.85809994</v>
      </c>
      <c r="D2584" s="35">
        <v>121.0690002</v>
      </c>
      <c r="E2584" s="32" t="s">
        <v>270</v>
      </c>
      <c r="F2584" s="32" t="s">
        <v>6469</v>
      </c>
      <c r="G2584" s="36" t="e">
        <v>#N/A</v>
      </c>
      <c r="H2584" s="33"/>
      <c r="I2584" s="33"/>
      <c r="J2584" s="33"/>
      <c r="K2584" s="33"/>
      <c r="L2584" s="33"/>
      <c r="M2584" s="33"/>
    </row>
    <row r="2585">
      <c r="A2585" s="32" t="s">
        <v>6470</v>
      </c>
      <c r="B2585" s="32" t="s">
        <v>6471</v>
      </c>
      <c r="C2585" s="35">
        <v>20.546</v>
      </c>
      <c r="D2585" s="35">
        <v>-100.887001</v>
      </c>
      <c r="E2585" s="32" t="s">
        <v>186</v>
      </c>
      <c r="F2585" s="32" t="s">
        <v>6472</v>
      </c>
      <c r="G2585" s="39" t="s">
        <v>187</v>
      </c>
      <c r="H2585" s="33"/>
      <c r="I2585" s="33"/>
      <c r="J2585" s="33"/>
      <c r="K2585" s="33"/>
      <c r="L2585" s="33"/>
      <c r="M2585" s="33"/>
    </row>
    <row r="2586">
      <c r="A2586" s="32" t="s">
        <v>6473</v>
      </c>
      <c r="B2586" s="32" t="s">
        <v>6474</v>
      </c>
      <c r="C2586" s="35">
        <v>68.74060059</v>
      </c>
      <c r="D2586" s="35">
        <v>161.3379974</v>
      </c>
      <c r="E2586" s="32" t="s">
        <v>2040</v>
      </c>
      <c r="F2586" s="32" t="s">
        <v>6475</v>
      </c>
      <c r="G2586" s="36" t="e">
        <v>#N/A</v>
      </c>
      <c r="H2586" s="33"/>
      <c r="I2586" s="33"/>
      <c r="J2586" s="33"/>
      <c r="K2586" s="33"/>
      <c r="L2586" s="33"/>
      <c r="M2586" s="33"/>
    </row>
    <row r="2587">
      <c r="A2587" s="32" t="s">
        <v>6476</v>
      </c>
      <c r="B2587" s="32" t="s">
        <v>6477</v>
      </c>
      <c r="C2587" s="35">
        <v>16.92989922</v>
      </c>
      <c r="D2587" s="35">
        <v>121.7529984</v>
      </c>
      <c r="E2587" s="32" t="s">
        <v>270</v>
      </c>
      <c r="F2587" s="32" t="s">
        <v>6478</v>
      </c>
      <c r="G2587" s="36" t="e">
        <v>#N/A</v>
      </c>
      <c r="H2587" s="33"/>
      <c r="I2587" s="33"/>
      <c r="J2587" s="33"/>
      <c r="K2587" s="33"/>
      <c r="L2587" s="33"/>
      <c r="M2587" s="33"/>
    </row>
    <row r="2588">
      <c r="A2588" s="32" t="s">
        <v>6479</v>
      </c>
      <c r="B2588" s="32" t="s">
        <v>6480</v>
      </c>
      <c r="C2588" s="35">
        <v>20.6413002</v>
      </c>
      <c r="D2588" s="35">
        <v>-88.44619751</v>
      </c>
      <c r="E2588" s="32" t="s">
        <v>186</v>
      </c>
      <c r="F2588" s="32" t="s">
        <v>6481</v>
      </c>
      <c r="G2588" s="39" t="s">
        <v>187</v>
      </c>
      <c r="H2588" s="33"/>
      <c r="I2588" s="33"/>
      <c r="J2588" s="33"/>
      <c r="K2588" s="33"/>
      <c r="L2588" s="33"/>
      <c r="M2588" s="33"/>
    </row>
    <row r="2589">
      <c r="A2589" s="32" t="s">
        <v>6482</v>
      </c>
      <c r="B2589" s="32" t="s">
        <v>6483</v>
      </c>
      <c r="C2589" s="35">
        <v>11.4149437</v>
      </c>
      <c r="D2589" s="35">
        <v>-69.68090057</v>
      </c>
      <c r="E2589" s="32" t="s">
        <v>315</v>
      </c>
      <c r="F2589" s="32" t="s">
        <v>6484</v>
      </c>
      <c r="G2589" s="36" t="e">
        <v>#N/A</v>
      </c>
      <c r="H2589" s="33"/>
      <c r="I2589" s="33"/>
      <c r="J2589" s="33"/>
      <c r="K2589" s="33"/>
      <c r="L2589" s="33"/>
      <c r="M2589" s="33"/>
    </row>
    <row r="2590">
      <c r="A2590" s="32" t="s">
        <v>6485</v>
      </c>
      <c r="B2590" s="32" t="s">
        <v>6486</v>
      </c>
      <c r="C2590" s="35">
        <v>61.78030014</v>
      </c>
      <c r="D2590" s="35">
        <v>-166.0390015</v>
      </c>
      <c r="E2590" s="32" t="s">
        <v>180</v>
      </c>
      <c r="F2590" s="32" t="s">
        <v>6487</v>
      </c>
      <c r="G2590" s="39" t="s">
        <v>181</v>
      </c>
      <c r="H2590" s="33"/>
      <c r="I2590" s="33"/>
      <c r="J2590" s="33"/>
      <c r="K2590" s="33"/>
      <c r="L2590" s="33"/>
      <c r="M2590" s="33"/>
    </row>
    <row r="2591">
      <c r="A2591" s="32" t="s">
        <v>6488</v>
      </c>
      <c r="B2591" s="32" t="s">
        <v>6489</v>
      </c>
      <c r="C2591" s="35">
        <v>42.078499</v>
      </c>
      <c r="D2591" s="35">
        <v>-76.096296</v>
      </c>
      <c r="E2591" s="32" t="s">
        <v>180</v>
      </c>
      <c r="F2591" s="32" t="s">
        <v>6490</v>
      </c>
      <c r="G2591" s="39" t="s">
        <v>181</v>
      </c>
      <c r="H2591" s="33"/>
      <c r="I2591" s="33"/>
      <c r="J2591" s="33"/>
      <c r="K2591" s="33"/>
      <c r="L2591" s="33"/>
      <c r="M2591" s="33"/>
    </row>
    <row r="2592">
      <c r="A2592" s="32" t="s">
        <v>6491</v>
      </c>
      <c r="B2592" s="32" t="s">
        <v>6492</v>
      </c>
      <c r="C2592" s="35">
        <v>36.27600098</v>
      </c>
      <c r="D2592" s="35">
        <v>6.620389938</v>
      </c>
      <c r="E2592" s="32" t="s">
        <v>20</v>
      </c>
      <c r="F2592" s="32" t="s">
        <v>6493</v>
      </c>
      <c r="G2592" s="36" t="e">
        <v>#N/A</v>
      </c>
      <c r="H2592" s="33"/>
      <c r="I2592" s="33"/>
      <c r="J2592" s="33"/>
      <c r="K2592" s="33"/>
      <c r="L2592" s="33"/>
      <c r="M2592" s="33"/>
    </row>
    <row r="2593">
      <c r="A2593" s="32" t="s">
        <v>6494</v>
      </c>
      <c r="B2593" s="32" t="s">
        <v>6495</v>
      </c>
      <c r="C2593" s="35">
        <v>20.5223999</v>
      </c>
      <c r="D2593" s="35">
        <v>-86.92559814</v>
      </c>
      <c r="E2593" s="32" t="s">
        <v>186</v>
      </c>
      <c r="F2593" s="32" t="s">
        <v>6496</v>
      </c>
      <c r="G2593" s="39" t="s">
        <v>187</v>
      </c>
      <c r="H2593" s="33"/>
      <c r="I2593" s="33"/>
      <c r="J2593" s="33"/>
      <c r="K2593" s="33"/>
      <c r="L2593" s="33"/>
      <c r="M2593" s="33"/>
    </row>
    <row r="2594">
      <c r="A2594" s="32" t="s">
        <v>6497</v>
      </c>
      <c r="B2594" s="32" t="s">
        <v>6498</v>
      </c>
      <c r="C2594" s="35">
        <v>-7.599909782</v>
      </c>
      <c r="D2594" s="35">
        <v>-72.76950073</v>
      </c>
      <c r="E2594" s="32" t="s">
        <v>288</v>
      </c>
      <c r="F2594" s="32" t="s">
        <v>6499</v>
      </c>
      <c r="G2594" s="36" t="e">
        <v>#N/A</v>
      </c>
      <c r="H2594" s="33"/>
      <c r="I2594" s="33"/>
      <c r="J2594" s="33"/>
      <c r="K2594" s="33"/>
      <c r="L2594" s="33"/>
      <c r="M2594" s="33"/>
    </row>
    <row r="2595">
      <c r="A2595" s="32" t="s">
        <v>6500</v>
      </c>
      <c r="B2595" s="32" t="s">
        <v>5400</v>
      </c>
      <c r="C2595" s="35">
        <v>9.33274</v>
      </c>
      <c r="D2595" s="35">
        <v>-75.2856</v>
      </c>
      <c r="E2595" s="32" t="s">
        <v>292</v>
      </c>
      <c r="F2595" s="32" t="s">
        <v>6501</v>
      </c>
      <c r="G2595" s="36" t="e">
        <v>#N/A</v>
      </c>
      <c r="H2595" s="33"/>
      <c r="I2595" s="33"/>
      <c r="J2595" s="33"/>
      <c r="K2595" s="33"/>
      <c r="L2595" s="33"/>
      <c r="M2595" s="33"/>
    </row>
    <row r="2596">
      <c r="A2596" s="32" t="s">
        <v>6502</v>
      </c>
      <c r="B2596" s="32" t="s">
        <v>6503</v>
      </c>
      <c r="C2596" s="35">
        <v>31.919701</v>
      </c>
      <c r="D2596" s="35">
        <v>119.778999</v>
      </c>
      <c r="E2596" s="32" t="s">
        <v>205</v>
      </c>
      <c r="F2596" s="32" t="s">
        <v>6504</v>
      </c>
      <c r="G2596" s="39" t="s">
        <v>206</v>
      </c>
      <c r="H2596" s="33"/>
      <c r="I2596" s="33"/>
      <c r="J2596" s="33"/>
      <c r="K2596" s="33"/>
      <c r="L2596" s="33"/>
      <c r="M2596" s="33"/>
    </row>
    <row r="2597">
      <c r="A2597" s="32" t="s">
        <v>6505</v>
      </c>
      <c r="B2597" s="32" t="s">
        <v>6506</v>
      </c>
      <c r="C2597" s="35">
        <v>38.71500015</v>
      </c>
      <c r="D2597" s="35">
        <v>-77.18099976</v>
      </c>
      <c r="E2597" s="32" t="s">
        <v>180</v>
      </c>
      <c r="F2597" s="32" t="s">
        <v>6507</v>
      </c>
      <c r="G2597" s="39" t="s">
        <v>181</v>
      </c>
      <c r="H2597" s="33"/>
      <c r="I2597" s="33"/>
      <c r="J2597" s="33"/>
      <c r="K2597" s="33"/>
      <c r="L2597" s="33"/>
      <c r="M2597" s="33"/>
    </row>
    <row r="2598">
      <c r="A2598" s="32" t="s">
        <v>6508</v>
      </c>
      <c r="B2598" s="32" t="s">
        <v>6509</v>
      </c>
      <c r="C2598" s="35">
        <v>29.179899</v>
      </c>
      <c r="D2598" s="35">
        <v>-81.058098</v>
      </c>
      <c r="E2598" s="32" t="s">
        <v>180</v>
      </c>
      <c r="F2598" s="32" t="s">
        <v>6510</v>
      </c>
      <c r="G2598" s="39" t="s">
        <v>181</v>
      </c>
      <c r="H2598" s="33"/>
      <c r="I2598" s="33"/>
      <c r="J2598" s="33"/>
      <c r="K2598" s="33"/>
      <c r="L2598" s="33"/>
      <c r="M2598" s="33"/>
    </row>
    <row r="2599">
      <c r="A2599" s="32" t="s">
        <v>6511</v>
      </c>
      <c r="B2599" s="32" t="s">
        <v>6512</v>
      </c>
      <c r="C2599" s="35">
        <v>23.843347</v>
      </c>
      <c r="D2599" s="35">
        <v>90.397783</v>
      </c>
      <c r="E2599" s="32" t="s">
        <v>1853</v>
      </c>
      <c r="F2599" s="32" t="s">
        <v>1854</v>
      </c>
      <c r="G2599" s="36" t="e">
        <v>#N/A</v>
      </c>
      <c r="H2599" s="33"/>
      <c r="I2599" s="33"/>
      <c r="J2599" s="33"/>
      <c r="K2599" s="33"/>
      <c r="L2599" s="33"/>
      <c r="M2599" s="33"/>
    </row>
    <row r="2600">
      <c r="A2600" s="32" t="s">
        <v>6513</v>
      </c>
      <c r="B2600" s="32" t="s">
        <v>6514</v>
      </c>
      <c r="C2600" s="35">
        <v>16.04389954</v>
      </c>
      <c r="D2600" s="35">
        <v>108.1989975</v>
      </c>
      <c r="E2600" s="32" t="s">
        <v>1913</v>
      </c>
      <c r="F2600" s="32" t="s">
        <v>6515</v>
      </c>
      <c r="G2600" s="36" t="e">
        <v>#N/A</v>
      </c>
      <c r="H2600" s="33"/>
      <c r="I2600" s="33"/>
      <c r="J2600" s="33"/>
      <c r="K2600" s="33"/>
      <c r="L2600" s="33"/>
      <c r="M2600" s="33"/>
    </row>
    <row r="2601">
      <c r="A2601" s="32" t="s">
        <v>6516</v>
      </c>
      <c r="B2601" s="32" t="s">
        <v>6517</v>
      </c>
      <c r="C2601" s="35">
        <v>34.85369873</v>
      </c>
      <c r="D2601" s="35">
        <v>-116.7870026</v>
      </c>
      <c r="E2601" s="32" t="s">
        <v>180</v>
      </c>
      <c r="F2601" s="32" t="s">
        <v>6518</v>
      </c>
      <c r="G2601" s="39" t="s">
        <v>181</v>
      </c>
      <c r="H2601" s="33"/>
      <c r="I2601" s="33"/>
      <c r="J2601" s="33"/>
      <c r="K2601" s="33"/>
      <c r="L2601" s="33"/>
      <c r="M2601" s="33"/>
    </row>
    <row r="2602">
      <c r="A2602" s="32" t="s">
        <v>6519</v>
      </c>
      <c r="B2602" s="32" t="s">
        <v>6520</v>
      </c>
      <c r="C2602" s="35">
        <v>32.847099299999996</v>
      </c>
      <c r="D2602" s="35">
        <v>-96.85179901</v>
      </c>
      <c r="E2602" s="32" t="s">
        <v>180</v>
      </c>
      <c r="F2602" s="32" t="s">
        <v>2153</v>
      </c>
      <c r="G2602" s="39" t="s">
        <v>181</v>
      </c>
      <c r="H2602" s="33"/>
      <c r="I2602" s="33"/>
      <c r="J2602" s="33"/>
      <c r="K2602" s="33"/>
      <c r="L2602" s="33"/>
      <c r="M2602" s="33"/>
    </row>
    <row r="2603">
      <c r="A2603" s="32" t="s">
        <v>6521</v>
      </c>
      <c r="B2603" s="32" t="s">
        <v>6522</v>
      </c>
      <c r="C2603" s="35">
        <v>33.41149902</v>
      </c>
      <c r="D2603" s="35">
        <v>36.5155983</v>
      </c>
      <c r="E2603" s="32" t="s">
        <v>3896</v>
      </c>
      <c r="F2603" s="32" t="s">
        <v>6523</v>
      </c>
      <c r="G2603" s="36" t="e">
        <v>#N/A</v>
      </c>
      <c r="H2603" s="33"/>
      <c r="I2603" s="33"/>
      <c r="J2603" s="33"/>
      <c r="K2603" s="33"/>
      <c r="L2603" s="33"/>
      <c r="M2603" s="33"/>
    </row>
    <row r="2604">
      <c r="A2604" s="32" t="s">
        <v>6524</v>
      </c>
      <c r="B2604" s="32" t="s">
        <v>6525</v>
      </c>
      <c r="C2604" s="35">
        <v>36.57289886</v>
      </c>
      <c r="D2604" s="35">
        <v>-79.33609772</v>
      </c>
      <c r="E2604" s="32" t="s">
        <v>180</v>
      </c>
      <c r="F2604" s="32" t="s">
        <v>6526</v>
      </c>
      <c r="G2604" s="39" t="s">
        <v>181</v>
      </c>
      <c r="H2604" s="33"/>
      <c r="I2604" s="33"/>
      <c r="J2604" s="33"/>
      <c r="K2604" s="33"/>
      <c r="L2604" s="33"/>
      <c r="M2604" s="33"/>
    </row>
    <row r="2605">
      <c r="A2605" s="32" t="s">
        <v>6527</v>
      </c>
      <c r="B2605" s="32" t="s">
        <v>6528</v>
      </c>
      <c r="C2605" s="35">
        <v>-6.878109932</v>
      </c>
      <c r="D2605" s="35">
        <v>39.20259857</v>
      </c>
      <c r="E2605" s="32" t="s">
        <v>2937</v>
      </c>
      <c r="F2605" s="32" t="s">
        <v>6529</v>
      </c>
      <c r="G2605" s="36" t="e">
        <v>#N/A</v>
      </c>
      <c r="H2605" s="33"/>
      <c r="I2605" s="33"/>
      <c r="J2605" s="33"/>
      <c r="K2605" s="33"/>
      <c r="L2605" s="33"/>
      <c r="M2605" s="33"/>
    </row>
    <row r="2606">
      <c r="A2606" s="32" t="s">
        <v>6530</v>
      </c>
      <c r="B2606" s="32" t="s">
        <v>6531</v>
      </c>
      <c r="C2606" s="35">
        <v>40.060299</v>
      </c>
      <c r="D2606" s="35">
        <v>113.482002</v>
      </c>
      <c r="E2606" s="32" t="s">
        <v>205</v>
      </c>
      <c r="F2606" s="32" t="s">
        <v>6532</v>
      </c>
      <c r="G2606" s="39" t="s">
        <v>206</v>
      </c>
      <c r="H2606" s="33"/>
      <c r="I2606" s="33"/>
      <c r="J2606" s="33"/>
      <c r="K2606" s="33"/>
      <c r="L2606" s="33"/>
      <c r="M2606" s="33"/>
    </row>
    <row r="2607">
      <c r="A2607" s="32" t="s">
        <v>6533</v>
      </c>
      <c r="B2607" s="32" t="s">
        <v>6534</v>
      </c>
      <c r="C2607" s="35">
        <v>-9.086759567</v>
      </c>
      <c r="D2607" s="35">
        <v>143.2079926</v>
      </c>
      <c r="E2607" s="32" t="s">
        <v>5289</v>
      </c>
      <c r="F2607" s="32" t="s">
        <v>6535</v>
      </c>
      <c r="G2607" s="36" t="e">
        <v>#N/A</v>
      </c>
      <c r="H2607" s="33"/>
      <c r="I2607" s="33"/>
      <c r="J2607" s="33"/>
      <c r="K2607" s="33"/>
      <c r="L2607" s="33"/>
      <c r="M2607" s="33"/>
    </row>
    <row r="2608">
      <c r="A2608" s="32" t="s">
        <v>6536</v>
      </c>
      <c r="B2608" s="32" t="s">
        <v>6537</v>
      </c>
      <c r="C2608" s="35">
        <v>8.390999794</v>
      </c>
      <c r="D2608" s="35">
        <v>-82.43499756</v>
      </c>
      <c r="E2608" s="32" t="s">
        <v>327</v>
      </c>
      <c r="F2608" s="32" t="s">
        <v>6538</v>
      </c>
      <c r="G2608" s="36" t="e">
        <v>#N/A</v>
      </c>
      <c r="H2608" s="33"/>
      <c r="I2608" s="33"/>
      <c r="J2608" s="33"/>
      <c r="K2608" s="33"/>
      <c r="L2608" s="33"/>
      <c r="M2608" s="33"/>
    </row>
    <row r="2609">
      <c r="A2609" s="32" t="s">
        <v>6539</v>
      </c>
      <c r="B2609" s="32" t="s">
        <v>6540</v>
      </c>
      <c r="C2609" s="35">
        <v>43.28409958</v>
      </c>
      <c r="D2609" s="35">
        <v>-70.9292984</v>
      </c>
      <c r="E2609" s="32" t="s">
        <v>180</v>
      </c>
      <c r="F2609" s="32" t="s">
        <v>6541</v>
      </c>
      <c r="G2609" s="39" t="s">
        <v>181</v>
      </c>
      <c r="H2609" s="33"/>
      <c r="I2609" s="33"/>
      <c r="J2609" s="33"/>
      <c r="K2609" s="33"/>
      <c r="L2609" s="33"/>
      <c r="M2609" s="33"/>
    </row>
    <row r="2610">
      <c r="A2610" s="32" t="s">
        <v>6542</v>
      </c>
      <c r="B2610" s="32" t="s">
        <v>6543</v>
      </c>
      <c r="C2610" s="35">
        <v>31.1302</v>
      </c>
      <c r="D2610" s="35">
        <v>107.4295</v>
      </c>
      <c r="E2610" s="32" t="s">
        <v>205</v>
      </c>
      <c r="F2610" s="32" t="s">
        <v>6544</v>
      </c>
      <c r="G2610" s="39" t="s">
        <v>206</v>
      </c>
      <c r="H2610" s="33"/>
      <c r="I2610" s="33"/>
      <c r="J2610" s="33"/>
      <c r="K2610" s="33"/>
      <c r="L2610" s="33"/>
      <c r="M2610" s="33"/>
    </row>
    <row r="2611">
      <c r="A2611" s="32" t="s">
        <v>6545</v>
      </c>
      <c r="B2611" s="32" t="s">
        <v>6546</v>
      </c>
      <c r="C2611" s="35">
        <v>39.90240097</v>
      </c>
      <c r="D2611" s="35">
        <v>-84.2193985</v>
      </c>
      <c r="E2611" s="32" t="s">
        <v>180</v>
      </c>
      <c r="F2611" s="32" t="s">
        <v>6547</v>
      </c>
      <c r="G2611" s="39" t="s">
        <v>181</v>
      </c>
      <c r="H2611" s="33"/>
      <c r="I2611" s="33"/>
      <c r="J2611" s="33"/>
      <c r="K2611" s="33"/>
      <c r="L2611" s="33"/>
      <c r="M2611" s="33"/>
    </row>
    <row r="2612">
      <c r="A2612" s="32" t="s">
        <v>6548</v>
      </c>
      <c r="B2612" s="32" t="s">
        <v>6549</v>
      </c>
      <c r="C2612" s="35">
        <v>28.87829971</v>
      </c>
      <c r="D2612" s="35">
        <v>64.39980316</v>
      </c>
      <c r="E2612" s="32" t="s">
        <v>1470</v>
      </c>
      <c r="F2612" s="32" t="s">
        <v>6550</v>
      </c>
      <c r="G2612" s="36" t="e">
        <v>#N/A</v>
      </c>
      <c r="H2612" s="33"/>
      <c r="I2612" s="33"/>
      <c r="J2612" s="33"/>
      <c r="K2612" s="33"/>
      <c r="L2612" s="33"/>
      <c r="M2612" s="33"/>
    </row>
    <row r="2613">
      <c r="A2613" s="32" t="s">
        <v>6551</v>
      </c>
      <c r="B2613" s="32" t="s">
        <v>6552</v>
      </c>
      <c r="C2613" s="35">
        <v>30.92449951</v>
      </c>
      <c r="D2613" s="35">
        <v>28.46139908</v>
      </c>
      <c r="E2613" s="32" t="s">
        <v>15</v>
      </c>
      <c r="F2613" s="32" t="s">
        <v>6553</v>
      </c>
      <c r="G2613" s="36" t="e">
        <v>#N/A</v>
      </c>
      <c r="H2613" s="33"/>
      <c r="I2613" s="33"/>
      <c r="J2613" s="33"/>
      <c r="K2613" s="33"/>
      <c r="L2613" s="33"/>
      <c r="M2613" s="33"/>
    </row>
    <row r="2614">
      <c r="A2614" s="32" t="s">
        <v>6554</v>
      </c>
      <c r="B2614" s="32" t="s">
        <v>6555</v>
      </c>
      <c r="C2614" s="35">
        <v>23.83399963</v>
      </c>
      <c r="D2614" s="35">
        <v>86.4253006</v>
      </c>
      <c r="E2614" s="32" t="s">
        <v>217</v>
      </c>
      <c r="F2614" s="32" t="s">
        <v>6556</v>
      </c>
      <c r="G2614" s="39" t="s">
        <v>218</v>
      </c>
      <c r="H2614" s="33"/>
      <c r="I2614" s="33"/>
      <c r="J2614" s="33"/>
      <c r="K2614" s="33"/>
      <c r="L2614" s="33"/>
      <c r="M2614" s="33"/>
    </row>
    <row r="2615">
      <c r="A2615" s="32" t="s">
        <v>6557</v>
      </c>
      <c r="B2615" s="32" t="s">
        <v>6558</v>
      </c>
      <c r="C2615" s="35">
        <v>10.35000038</v>
      </c>
      <c r="D2615" s="35">
        <v>37.71699905</v>
      </c>
      <c r="E2615" s="32" t="s">
        <v>18</v>
      </c>
      <c r="F2615" s="32" t="s">
        <v>6559</v>
      </c>
      <c r="G2615" s="36" t="e">
        <v>#N/A</v>
      </c>
      <c r="H2615" s="33"/>
      <c r="I2615" s="33"/>
      <c r="J2615" s="33"/>
      <c r="K2615" s="33"/>
      <c r="L2615" s="33"/>
      <c r="M2615" s="33"/>
    </row>
    <row r="2616">
      <c r="A2616" s="32" t="s">
        <v>6560</v>
      </c>
      <c r="B2616" s="32" t="s">
        <v>6561</v>
      </c>
      <c r="C2616" s="35">
        <v>32.56439972</v>
      </c>
      <c r="D2616" s="35">
        <v>-82.98529816</v>
      </c>
      <c r="E2616" s="32" t="s">
        <v>180</v>
      </c>
      <c r="F2616" s="32" t="s">
        <v>6562</v>
      </c>
      <c r="G2616" s="39" t="s">
        <v>181</v>
      </c>
      <c r="H2616" s="33"/>
      <c r="I2616" s="33"/>
      <c r="J2616" s="33"/>
      <c r="K2616" s="33"/>
      <c r="L2616" s="33"/>
      <c r="M2616" s="33"/>
    </row>
    <row r="2617">
      <c r="A2617" s="32" t="s">
        <v>6563</v>
      </c>
      <c r="B2617" s="32" t="s">
        <v>6564</v>
      </c>
      <c r="C2617" s="35">
        <v>-32.21670151</v>
      </c>
      <c r="D2617" s="35">
        <v>148.5749969</v>
      </c>
      <c r="E2617" s="32" t="s">
        <v>1968</v>
      </c>
      <c r="F2617" s="32" t="s">
        <v>6565</v>
      </c>
      <c r="G2617" s="36" t="e">
        <v>#N/A</v>
      </c>
      <c r="H2617" s="33"/>
      <c r="I2617" s="33"/>
      <c r="J2617" s="33"/>
      <c r="K2617" s="33"/>
      <c r="L2617" s="33"/>
      <c r="M2617" s="33"/>
    </row>
    <row r="2618">
      <c r="A2618" s="32" t="s">
        <v>6566</v>
      </c>
      <c r="B2618" s="32" t="s">
        <v>6567</v>
      </c>
      <c r="C2618" s="35">
        <v>42.40200043</v>
      </c>
      <c r="D2618" s="35">
        <v>-90.70950317</v>
      </c>
      <c r="E2618" s="32" t="s">
        <v>180</v>
      </c>
      <c r="F2618" s="32" t="s">
        <v>6568</v>
      </c>
      <c r="G2618" s="39" t="s">
        <v>181</v>
      </c>
      <c r="H2618" s="33"/>
      <c r="I2618" s="33"/>
      <c r="J2618" s="33"/>
      <c r="K2618" s="33"/>
      <c r="L2618" s="33"/>
      <c r="M2618" s="33"/>
    </row>
    <row r="2619">
      <c r="A2619" s="32" t="s">
        <v>6569</v>
      </c>
      <c r="B2619" s="32" t="s">
        <v>6570</v>
      </c>
      <c r="C2619" s="35">
        <v>11.96700001</v>
      </c>
      <c r="D2619" s="35">
        <v>38.0</v>
      </c>
      <c r="E2619" s="32" t="s">
        <v>18</v>
      </c>
      <c r="F2619" s="32" t="s">
        <v>6571</v>
      </c>
      <c r="G2619" s="36" t="e">
        <v>#N/A</v>
      </c>
      <c r="H2619" s="33"/>
      <c r="I2619" s="33"/>
      <c r="J2619" s="33"/>
      <c r="K2619" s="33"/>
      <c r="L2619" s="33"/>
      <c r="M2619" s="33"/>
    </row>
    <row r="2620">
      <c r="A2620" s="32" t="s">
        <v>6572</v>
      </c>
      <c r="B2620" s="32" t="s">
        <v>6573</v>
      </c>
      <c r="C2620" s="35">
        <v>42.56140137</v>
      </c>
      <c r="D2620" s="35">
        <v>18.26819992</v>
      </c>
      <c r="E2620" s="32" t="s">
        <v>211</v>
      </c>
      <c r="F2620" s="32" t="s">
        <v>6574</v>
      </c>
      <c r="G2620" s="39" t="s">
        <v>212</v>
      </c>
      <c r="H2620" s="33"/>
      <c r="I2620" s="33"/>
      <c r="J2620" s="33"/>
      <c r="K2620" s="33"/>
      <c r="L2620" s="33"/>
      <c r="M2620" s="33"/>
    </row>
    <row r="2621">
      <c r="A2621" s="32" t="s">
        <v>6575</v>
      </c>
      <c r="B2621" s="32" t="s">
        <v>6576</v>
      </c>
      <c r="C2621" s="35">
        <v>38.8521</v>
      </c>
      <c r="D2621" s="35">
        <v>-77.037697</v>
      </c>
      <c r="E2621" s="32" t="s">
        <v>180</v>
      </c>
      <c r="F2621" s="32" t="s">
        <v>6577</v>
      </c>
      <c r="G2621" s="39" t="s">
        <v>181</v>
      </c>
      <c r="H2621" s="33"/>
      <c r="I2621" s="33"/>
      <c r="J2621" s="33"/>
      <c r="K2621" s="33"/>
      <c r="L2621" s="33"/>
      <c r="M2621" s="33"/>
    </row>
    <row r="2622">
      <c r="A2622" s="32" t="s">
        <v>6578</v>
      </c>
      <c r="B2622" s="32" t="s">
        <v>6579</v>
      </c>
      <c r="C2622" s="35">
        <v>15.33670044</v>
      </c>
      <c r="D2622" s="35">
        <v>-61.39220047</v>
      </c>
      <c r="E2622" s="32" t="s">
        <v>6580</v>
      </c>
      <c r="F2622" s="32" t="s">
        <v>6581</v>
      </c>
      <c r="G2622" s="36" t="e">
        <v>#N/A</v>
      </c>
      <c r="H2622" s="33"/>
      <c r="I2622" s="33"/>
      <c r="J2622" s="33"/>
      <c r="K2622" s="33"/>
      <c r="L2622" s="33"/>
      <c r="M2622" s="33"/>
    </row>
    <row r="2623">
      <c r="A2623" s="32" t="s">
        <v>6582</v>
      </c>
      <c r="B2623" s="32" t="s">
        <v>6583</v>
      </c>
      <c r="C2623" s="35">
        <v>39.354198</v>
      </c>
      <c r="D2623" s="35">
        <v>8.97248</v>
      </c>
      <c r="E2623" s="32" t="s">
        <v>103</v>
      </c>
      <c r="F2623" s="32" t="s">
        <v>6584</v>
      </c>
      <c r="G2623" s="39" t="s">
        <v>104</v>
      </c>
      <c r="H2623" s="33"/>
      <c r="I2623" s="33"/>
      <c r="J2623" s="33"/>
      <c r="K2623" s="33"/>
      <c r="L2623" s="33"/>
      <c r="M2623" s="33"/>
    </row>
    <row r="2624">
      <c r="A2624" s="32" t="s">
        <v>6585</v>
      </c>
      <c r="B2624" s="32" t="s">
        <v>6586</v>
      </c>
      <c r="C2624" s="35">
        <v>43.55630112</v>
      </c>
      <c r="D2624" s="35">
        <v>2.28918004</v>
      </c>
      <c r="E2624" s="32" t="s">
        <v>96</v>
      </c>
      <c r="F2624" s="32" t="s">
        <v>6587</v>
      </c>
      <c r="G2624" s="39" t="s">
        <v>97</v>
      </c>
      <c r="H2624" s="33"/>
      <c r="I2624" s="33"/>
      <c r="J2624" s="33"/>
      <c r="K2624" s="33"/>
      <c r="L2624" s="33"/>
      <c r="M2624" s="33"/>
    </row>
    <row r="2625">
      <c r="A2625" s="32" t="s">
        <v>6588</v>
      </c>
      <c r="B2625" s="32" t="s">
        <v>6589</v>
      </c>
      <c r="C2625" s="35">
        <v>-17.58139992</v>
      </c>
      <c r="D2625" s="35">
        <v>123.8280029</v>
      </c>
      <c r="E2625" s="32" t="s">
        <v>1968</v>
      </c>
      <c r="F2625" s="32" t="s">
        <v>6590</v>
      </c>
      <c r="G2625" s="36" t="e">
        <v>#N/A</v>
      </c>
      <c r="H2625" s="33"/>
      <c r="I2625" s="33"/>
      <c r="J2625" s="33"/>
      <c r="K2625" s="33"/>
      <c r="L2625" s="33"/>
      <c r="M2625" s="33"/>
    </row>
    <row r="2626">
      <c r="A2626" s="32" t="s">
        <v>6591</v>
      </c>
      <c r="B2626" s="32" t="s">
        <v>6592</v>
      </c>
      <c r="C2626" s="35">
        <v>37.76340103</v>
      </c>
      <c r="D2626" s="35">
        <v>-99.96559906</v>
      </c>
      <c r="E2626" s="32" t="s">
        <v>180</v>
      </c>
      <c r="F2626" s="32" t="s">
        <v>6593</v>
      </c>
      <c r="G2626" s="39" t="s">
        <v>181</v>
      </c>
      <c r="H2626" s="33"/>
      <c r="I2626" s="33"/>
      <c r="J2626" s="33"/>
      <c r="K2626" s="33"/>
      <c r="L2626" s="33"/>
      <c r="M2626" s="33"/>
    </row>
    <row r="2627">
      <c r="A2627" s="32" t="s">
        <v>6594</v>
      </c>
      <c r="B2627" s="32" t="s">
        <v>6595</v>
      </c>
      <c r="C2627" s="35">
        <v>29.96100044</v>
      </c>
      <c r="D2627" s="35">
        <v>70.48590088</v>
      </c>
      <c r="E2627" s="32" t="s">
        <v>1470</v>
      </c>
      <c r="F2627" s="32" t="s">
        <v>6596</v>
      </c>
      <c r="G2627" s="36" t="e">
        <v>#N/A</v>
      </c>
      <c r="H2627" s="33"/>
      <c r="I2627" s="33"/>
      <c r="J2627" s="33"/>
      <c r="K2627" s="33"/>
      <c r="L2627" s="33"/>
      <c r="M2627" s="33"/>
    </row>
    <row r="2628">
      <c r="A2628" s="32" t="s">
        <v>6597</v>
      </c>
      <c r="B2628" s="32" t="s">
        <v>6598</v>
      </c>
      <c r="C2628" s="35">
        <v>47.48889923</v>
      </c>
      <c r="D2628" s="35">
        <v>21.61529922</v>
      </c>
      <c r="E2628" s="32" t="s">
        <v>1056</v>
      </c>
      <c r="F2628" s="32" t="s">
        <v>6599</v>
      </c>
      <c r="G2628" s="36" t="e">
        <v>#N/A</v>
      </c>
      <c r="H2628" s="33"/>
      <c r="I2628" s="33"/>
      <c r="J2628" s="33"/>
      <c r="K2628" s="33"/>
      <c r="L2628" s="33"/>
      <c r="M2628" s="33"/>
    </row>
    <row r="2629">
      <c r="A2629" s="32" t="s">
        <v>6600</v>
      </c>
      <c r="B2629" s="32" t="s">
        <v>6601</v>
      </c>
      <c r="C2629" s="35">
        <v>39.83459854</v>
      </c>
      <c r="D2629" s="35">
        <v>-88.86569977</v>
      </c>
      <c r="E2629" s="32" t="s">
        <v>180</v>
      </c>
      <c r="F2629" s="32" t="s">
        <v>6602</v>
      </c>
      <c r="G2629" s="39" t="s">
        <v>181</v>
      </c>
      <c r="H2629" s="33"/>
      <c r="I2629" s="33"/>
      <c r="J2629" s="33"/>
      <c r="K2629" s="33"/>
      <c r="L2629" s="33"/>
      <c r="M2629" s="33"/>
    </row>
    <row r="2630">
      <c r="A2630" s="32" t="s">
        <v>6603</v>
      </c>
      <c r="B2630" s="32" t="s">
        <v>6604</v>
      </c>
      <c r="C2630" s="35">
        <v>30.18969917</v>
      </c>
      <c r="D2630" s="35">
        <v>78.18029785</v>
      </c>
      <c r="E2630" s="32" t="s">
        <v>217</v>
      </c>
      <c r="F2630" s="32" t="s">
        <v>6605</v>
      </c>
      <c r="G2630" s="39" t="s">
        <v>218</v>
      </c>
      <c r="H2630" s="33"/>
      <c r="I2630" s="33"/>
      <c r="J2630" s="33"/>
      <c r="K2630" s="33"/>
      <c r="L2630" s="33"/>
      <c r="M2630" s="33"/>
    </row>
    <row r="2631">
      <c r="A2631" s="32" t="s">
        <v>6606</v>
      </c>
      <c r="B2631" s="32" t="s">
        <v>6607</v>
      </c>
      <c r="C2631" s="35">
        <v>-36.242155</v>
      </c>
      <c r="D2631" s="35">
        <v>149.130147</v>
      </c>
      <c r="E2631" s="32" t="s">
        <v>2040</v>
      </c>
      <c r="F2631" s="32" t="s">
        <v>6608</v>
      </c>
      <c r="G2631" s="36" t="e">
        <v>#N/A</v>
      </c>
      <c r="H2631" s="33"/>
      <c r="I2631" s="33"/>
      <c r="J2631" s="33"/>
      <c r="K2631" s="33"/>
      <c r="L2631" s="33"/>
      <c r="M2631" s="33"/>
    </row>
    <row r="2632">
      <c r="A2632" s="32" t="s">
        <v>6609</v>
      </c>
      <c r="B2632" s="32" t="s">
        <v>6610</v>
      </c>
      <c r="C2632" s="35">
        <v>28.56649971</v>
      </c>
      <c r="D2632" s="35">
        <v>77.10310364</v>
      </c>
      <c r="E2632" s="32" t="s">
        <v>217</v>
      </c>
      <c r="F2632" s="32" t="s">
        <v>1862</v>
      </c>
      <c r="G2632" s="39" t="s">
        <v>218</v>
      </c>
      <c r="H2632" s="33"/>
      <c r="I2632" s="33"/>
      <c r="J2632" s="33"/>
      <c r="K2632" s="33"/>
      <c r="L2632" s="33"/>
      <c r="M2632" s="33"/>
    </row>
    <row r="2633">
      <c r="A2633" s="32" t="s">
        <v>6611</v>
      </c>
      <c r="B2633" s="32" t="s">
        <v>6612</v>
      </c>
      <c r="C2633" s="35">
        <v>8.553999901</v>
      </c>
      <c r="D2633" s="35">
        <v>34.85800171</v>
      </c>
      <c r="E2633" s="32" t="s">
        <v>18</v>
      </c>
      <c r="F2633" s="32" t="s">
        <v>6613</v>
      </c>
      <c r="G2633" s="36" t="e">
        <v>#N/A</v>
      </c>
      <c r="H2633" s="33"/>
      <c r="I2633" s="33"/>
      <c r="J2633" s="33"/>
      <c r="K2633" s="33"/>
      <c r="L2633" s="33"/>
      <c r="M2633" s="33"/>
    </row>
    <row r="2634">
      <c r="A2634" s="32" t="s">
        <v>6614</v>
      </c>
      <c r="B2634" s="32" t="s">
        <v>6615</v>
      </c>
      <c r="C2634" s="35">
        <v>39.86169815</v>
      </c>
      <c r="D2634" s="35">
        <v>-104.6729965</v>
      </c>
      <c r="E2634" s="32" t="s">
        <v>180</v>
      </c>
      <c r="F2634" s="32" t="s">
        <v>4035</v>
      </c>
      <c r="G2634" s="39" t="s">
        <v>181</v>
      </c>
      <c r="H2634" s="33"/>
      <c r="I2634" s="33"/>
      <c r="J2634" s="33"/>
      <c r="K2634" s="33"/>
      <c r="L2634" s="33"/>
      <c r="M2634" s="33"/>
    </row>
    <row r="2635">
      <c r="A2635" s="32" t="s">
        <v>6616</v>
      </c>
      <c r="B2635" s="32" t="s">
        <v>6617</v>
      </c>
      <c r="C2635" s="35">
        <v>-5.6967</v>
      </c>
      <c r="D2635" s="35">
        <v>53.6558</v>
      </c>
      <c r="E2635" s="32" t="s">
        <v>778</v>
      </c>
      <c r="F2635" s="32" t="s">
        <v>6618</v>
      </c>
      <c r="G2635" s="36" t="e">
        <v>#N/A</v>
      </c>
      <c r="H2635" s="33"/>
      <c r="I2635" s="33"/>
      <c r="J2635" s="33"/>
      <c r="K2635" s="33"/>
      <c r="L2635" s="33"/>
      <c r="M2635" s="33"/>
    </row>
    <row r="2636">
      <c r="A2636" s="32" t="s">
        <v>6619</v>
      </c>
      <c r="B2636" s="32" t="s">
        <v>6620</v>
      </c>
      <c r="C2636" s="35">
        <v>42.40919876</v>
      </c>
      <c r="D2636" s="35">
        <v>-83.00990295</v>
      </c>
      <c r="E2636" s="32" t="s">
        <v>180</v>
      </c>
      <c r="F2636" s="32" t="s">
        <v>6621</v>
      </c>
      <c r="G2636" s="39" t="s">
        <v>181</v>
      </c>
      <c r="H2636" s="33"/>
      <c r="I2636" s="33"/>
      <c r="J2636" s="33"/>
      <c r="K2636" s="33"/>
      <c r="L2636" s="33"/>
      <c r="M2636" s="33"/>
    </row>
    <row r="2637">
      <c r="A2637" s="32" t="s">
        <v>6622</v>
      </c>
      <c r="B2637" s="32" t="s">
        <v>6623</v>
      </c>
      <c r="C2637" s="35">
        <v>35.28540039</v>
      </c>
      <c r="D2637" s="35">
        <v>40.17599869</v>
      </c>
      <c r="E2637" s="32" t="s">
        <v>3896</v>
      </c>
      <c r="F2637" s="32" t="s">
        <v>6624</v>
      </c>
      <c r="G2637" s="36" t="e">
        <v>#N/A</v>
      </c>
      <c r="H2637" s="33"/>
      <c r="I2637" s="33"/>
      <c r="J2637" s="33"/>
      <c r="K2637" s="33"/>
      <c r="L2637" s="33"/>
      <c r="M2637" s="33"/>
    </row>
    <row r="2638">
      <c r="A2638" s="32" t="s">
        <v>6625</v>
      </c>
      <c r="B2638" s="32" t="s">
        <v>6626</v>
      </c>
      <c r="C2638" s="35">
        <v>32.89680099</v>
      </c>
      <c r="D2638" s="35">
        <v>-97.03800201</v>
      </c>
      <c r="E2638" s="32" t="s">
        <v>180</v>
      </c>
      <c r="F2638" s="32" t="s">
        <v>6627</v>
      </c>
      <c r="G2638" s="39" t="s">
        <v>181</v>
      </c>
      <c r="H2638" s="33"/>
      <c r="I2638" s="33"/>
      <c r="J2638" s="33"/>
      <c r="K2638" s="33"/>
      <c r="L2638" s="33"/>
      <c r="M2638" s="33"/>
    </row>
    <row r="2639">
      <c r="A2639" s="32" t="s">
        <v>6628</v>
      </c>
      <c r="B2639" s="32" t="s">
        <v>6629</v>
      </c>
      <c r="C2639" s="35">
        <v>-32.5625</v>
      </c>
      <c r="D2639" s="35">
        <v>149.6109924</v>
      </c>
      <c r="E2639" s="32" t="s">
        <v>1968</v>
      </c>
      <c r="F2639" s="32" t="s">
        <v>6630</v>
      </c>
      <c r="G2639" s="36" t="e">
        <v>#N/A</v>
      </c>
      <c r="H2639" s="33"/>
      <c r="I2639" s="33"/>
      <c r="J2639" s="33"/>
      <c r="K2639" s="33"/>
      <c r="L2639" s="33"/>
      <c r="M2639" s="33"/>
    </row>
    <row r="2640">
      <c r="A2640" s="32" t="s">
        <v>6631</v>
      </c>
      <c r="B2640" s="32" t="s">
        <v>6632</v>
      </c>
      <c r="C2640" s="35">
        <v>31.34259987</v>
      </c>
      <c r="D2640" s="35">
        <v>-109.5059967</v>
      </c>
      <c r="E2640" s="32" t="s">
        <v>180</v>
      </c>
      <c r="F2640" s="32" t="s">
        <v>6633</v>
      </c>
      <c r="G2640" s="39" t="s">
        <v>181</v>
      </c>
      <c r="H2640" s="33"/>
      <c r="I2640" s="33"/>
      <c r="J2640" s="33"/>
      <c r="K2640" s="33"/>
      <c r="L2640" s="33"/>
      <c r="M2640" s="33"/>
    </row>
    <row r="2641">
      <c r="A2641" s="32" t="s">
        <v>6634</v>
      </c>
      <c r="B2641" s="32" t="s">
        <v>6635</v>
      </c>
      <c r="C2641" s="35">
        <v>24.12420082</v>
      </c>
      <c r="D2641" s="35">
        <v>-104.5279999</v>
      </c>
      <c r="E2641" s="32" t="s">
        <v>186</v>
      </c>
      <c r="F2641" s="32" t="s">
        <v>6636</v>
      </c>
      <c r="G2641" s="39" t="s">
        <v>187</v>
      </c>
      <c r="H2641" s="33"/>
      <c r="I2641" s="33"/>
      <c r="J2641" s="33"/>
      <c r="K2641" s="33"/>
      <c r="L2641" s="33"/>
      <c r="M2641" s="33"/>
    </row>
    <row r="2642">
      <c r="A2642" s="32" t="s">
        <v>6637</v>
      </c>
      <c r="B2642" s="32" t="s">
        <v>6638</v>
      </c>
      <c r="C2642" s="35">
        <v>55.94472122</v>
      </c>
      <c r="D2642" s="35">
        <v>26.66500092</v>
      </c>
      <c r="E2642" s="32" t="s">
        <v>3184</v>
      </c>
      <c r="F2642" s="32" t="s">
        <v>6639</v>
      </c>
      <c r="G2642" s="36" t="e">
        <v>#N/A</v>
      </c>
      <c r="H2642" s="33"/>
      <c r="I2642" s="33"/>
      <c r="J2642" s="33"/>
      <c r="K2642" s="33"/>
      <c r="L2642" s="33"/>
      <c r="M2642" s="33"/>
    </row>
    <row r="2643">
      <c r="A2643" s="32" t="s">
        <v>6640</v>
      </c>
      <c r="B2643" s="32" t="s">
        <v>6641</v>
      </c>
      <c r="C2643" s="35">
        <v>9.333709717</v>
      </c>
      <c r="D2643" s="35">
        <v>123.3000031</v>
      </c>
      <c r="E2643" s="32" t="s">
        <v>270</v>
      </c>
      <c r="F2643" s="32" t="s">
        <v>6642</v>
      </c>
      <c r="G2643" s="36" t="e">
        <v>#N/A</v>
      </c>
      <c r="H2643" s="33"/>
      <c r="I2643" s="33"/>
      <c r="J2643" s="33"/>
      <c r="K2643" s="33"/>
      <c r="L2643" s="33"/>
      <c r="M2643" s="33"/>
    </row>
    <row r="2644">
      <c r="A2644" s="32" t="s">
        <v>6643</v>
      </c>
      <c r="B2644" s="32" t="s">
        <v>6644</v>
      </c>
      <c r="C2644" s="35">
        <v>26.26539993</v>
      </c>
      <c r="D2644" s="35">
        <v>50.15200043</v>
      </c>
      <c r="E2644" s="32" t="s">
        <v>223</v>
      </c>
      <c r="F2644" s="32" t="s">
        <v>6645</v>
      </c>
      <c r="G2644" s="36" t="e">
        <v>#N/A</v>
      </c>
      <c r="H2644" s="33"/>
      <c r="I2644" s="33"/>
      <c r="J2644" s="33"/>
      <c r="K2644" s="33"/>
      <c r="L2644" s="33"/>
      <c r="M2644" s="33"/>
    </row>
    <row r="2645">
      <c r="A2645" s="32" t="s">
        <v>6646</v>
      </c>
      <c r="B2645" s="32" t="s">
        <v>6647</v>
      </c>
      <c r="C2645" s="35">
        <v>28.75329971</v>
      </c>
      <c r="D2645" s="35">
        <v>80.58190155</v>
      </c>
      <c r="E2645" s="32" t="s">
        <v>1877</v>
      </c>
      <c r="F2645" s="32" t="s">
        <v>6648</v>
      </c>
      <c r="G2645" s="36" t="e">
        <v>#N/A</v>
      </c>
      <c r="H2645" s="33"/>
      <c r="I2645" s="33"/>
      <c r="J2645" s="33"/>
      <c r="K2645" s="33"/>
      <c r="L2645" s="33"/>
      <c r="M2645" s="33"/>
    </row>
    <row r="2646">
      <c r="A2646" s="32" t="s">
        <v>6649</v>
      </c>
      <c r="B2646" s="32" t="s">
        <v>6650</v>
      </c>
      <c r="C2646" s="35">
        <v>32.1651001</v>
      </c>
      <c r="D2646" s="35">
        <v>76.26339722</v>
      </c>
      <c r="E2646" s="32" t="s">
        <v>217</v>
      </c>
      <c r="F2646" s="32" t="s">
        <v>6651</v>
      </c>
      <c r="G2646" s="39" t="s">
        <v>218</v>
      </c>
      <c r="H2646" s="33"/>
      <c r="I2646" s="33"/>
      <c r="J2646" s="33"/>
      <c r="K2646" s="33"/>
      <c r="L2646" s="33"/>
      <c r="M2646" s="33"/>
    </row>
    <row r="2647">
      <c r="A2647" s="32" t="s">
        <v>6652</v>
      </c>
      <c r="B2647" s="32" t="s">
        <v>6653</v>
      </c>
      <c r="C2647" s="35">
        <v>31.32130051</v>
      </c>
      <c r="D2647" s="35">
        <v>-85.44960022</v>
      </c>
      <c r="E2647" s="32" t="s">
        <v>180</v>
      </c>
      <c r="F2647" s="32" t="s">
        <v>6654</v>
      </c>
      <c r="G2647" s="39" t="s">
        <v>181</v>
      </c>
      <c r="H2647" s="33"/>
      <c r="I2647" s="33"/>
      <c r="J2647" s="33"/>
      <c r="K2647" s="33"/>
      <c r="L2647" s="33"/>
      <c r="M2647" s="33"/>
    </row>
    <row r="2648">
      <c r="A2648" s="32" t="s">
        <v>6655</v>
      </c>
      <c r="B2648" s="32" t="s">
        <v>6656</v>
      </c>
      <c r="C2648" s="35">
        <v>52.92340088</v>
      </c>
      <c r="D2648" s="35">
        <v>4.780620098</v>
      </c>
      <c r="E2648" s="32" t="s">
        <v>127</v>
      </c>
      <c r="F2648" s="32" t="s">
        <v>6657</v>
      </c>
      <c r="G2648" s="39" t="s">
        <v>128</v>
      </c>
      <c r="H2648" s="33"/>
      <c r="I2648" s="33"/>
      <c r="J2648" s="33"/>
      <c r="K2648" s="33"/>
      <c r="L2648" s="33"/>
      <c r="M2648" s="33"/>
    </row>
    <row r="2649">
      <c r="A2649" s="32" t="s">
        <v>6658</v>
      </c>
      <c r="B2649" s="32" t="s">
        <v>6659</v>
      </c>
      <c r="C2649" s="35">
        <v>36.02259827</v>
      </c>
      <c r="D2649" s="35">
        <v>-102.5469971</v>
      </c>
      <c r="E2649" s="32" t="s">
        <v>180</v>
      </c>
      <c r="F2649" s="32" t="s">
        <v>6660</v>
      </c>
      <c r="G2649" s="39" t="s">
        <v>181</v>
      </c>
      <c r="H2649" s="33"/>
      <c r="I2649" s="33"/>
      <c r="J2649" s="33"/>
      <c r="K2649" s="33"/>
      <c r="L2649" s="33"/>
      <c r="M2649" s="33"/>
    </row>
    <row r="2650">
      <c r="A2650" s="32" t="s">
        <v>6661</v>
      </c>
      <c r="B2650" s="32" t="s">
        <v>6662</v>
      </c>
      <c r="C2650" s="35">
        <v>27.48390007</v>
      </c>
      <c r="D2650" s="35">
        <v>95.01689911</v>
      </c>
      <c r="E2650" s="32" t="s">
        <v>217</v>
      </c>
      <c r="F2650" s="32" t="s">
        <v>6663</v>
      </c>
      <c r="G2650" s="39" t="s">
        <v>218</v>
      </c>
      <c r="H2650" s="33"/>
      <c r="I2650" s="33"/>
      <c r="J2650" s="33"/>
      <c r="K2650" s="33"/>
      <c r="L2650" s="33"/>
      <c r="M2650" s="33"/>
    </row>
    <row r="2651">
      <c r="A2651" s="32" t="s">
        <v>6664</v>
      </c>
      <c r="B2651" s="32" t="s">
        <v>6665</v>
      </c>
      <c r="C2651" s="35">
        <v>-12.34939957</v>
      </c>
      <c r="D2651" s="35">
        <v>49.29169846</v>
      </c>
      <c r="E2651" s="32" t="s">
        <v>384</v>
      </c>
      <c r="F2651" s="32" t="s">
        <v>6666</v>
      </c>
      <c r="G2651" s="36" t="e">
        <v>#N/A</v>
      </c>
      <c r="H2651" s="33"/>
      <c r="I2651" s="33"/>
      <c r="J2651" s="33"/>
      <c r="K2651" s="33"/>
      <c r="L2651" s="33"/>
      <c r="M2651" s="33"/>
    </row>
    <row r="2652">
      <c r="A2652" s="32" t="s">
        <v>6667</v>
      </c>
      <c r="B2652" s="32" t="s">
        <v>6668</v>
      </c>
      <c r="C2652" s="35">
        <v>27.7936</v>
      </c>
      <c r="D2652" s="35">
        <v>99.6772</v>
      </c>
      <c r="E2652" s="32" t="s">
        <v>205</v>
      </c>
      <c r="F2652" s="32" t="s">
        <v>6669</v>
      </c>
      <c r="G2652" s="39" t="s">
        <v>206</v>
      </c>
      <c r="H2652" s="33"/>
      <c r="I2652" s="33"/>
      <c r="J2652" s="33"/>
      <c r="K2652" s="33"/>
      <c r="L2652" s="33"/>
      <c r="M2652" s="33"/>
    </row>
    <row r="2653">
      <c r="A2653" s="32" t="s">
        <v>6670</v>
      </c>
      <c r="B2653" s="32" t="s">
        <v>6671</v>
      </c>
      <c r="C2653" s="35">
        <v>47.26890183</v>
      </c>
      <c r="D2653" s="35">
        <v>5.090000153</v>
      </c>
      <c r="E2653" s="32" t="s">
        <v>96</v>
      </c>
      <c r="F2653" s="32" t="s">
        <v>6672</v>
      </c>
      <c r="G2653" s="39" t="s">
        <v>97</v>
      </c>
      <c r="H2653" s="33"/>
      <c r="I2653" s="33"/>
      <c r="J2653" s="33"/>
      <c r="K2653" s="33"/>
      <c r="L2653" s="33"/>
      <c r="M2653" s="33"/>
    </row>
    <row r="2654">
      <c r="A2654" s="32" t="s">
        <v>6673</v>
      </c>
      <c r="B2654" s="32" t="s">
        <v>6674</v>
      </c>
      <c r="C2654" s="35">
        <v>46.79740143</v>
      </c>
      <c r="D2654" s="35">
        <v>-102.802002</v>
      </c>
      <c r="E2654" s="32" t="s">
        <v>180</v>
      </c>
      <c r="F2654" s="32" t="s">
        <v>6675</v>
      </c>
      <c r="G2654" s="39" t="s">
        <v>181</v>
      </c>
      <c r="H2654" s="33"/>
      <c r="I2654" s="33"/>
      <c r="J2654" s="33"/>
      <c r="K2654" s="33"/>
      <c r="L2654" s="33"/>
      <c r="M2654" s="33"/>
    </row>
    <row r="2655">
      <c r="A2655" s="32" t="s">
        <v>6676</v>
      </c>
      <c r="B2655" s="32" t="s">
        <v>6677</v>
      </c>
      <c r="C2655" s="35">
        <v>-8.54640007</v>
      </c>
      <c r="D2655" s="35">
        <v>125.526001</v>
      </c>
      <c r="E2655" s="32" t="s">
        <v>1959</v>
      </c>
      <c r="F2655" s="32" t="s">
        <v>6678</v>
      </c>
      <c r="G2655" s="36" t="e">
        <v>#N/A</v>
      </c>
      <c r="H2655" s="33"/>
      <c r="I2655" s="33"/>
      <c r="J2655" s="33"/>
      <c r="K2655" s="33"/>
      <c r="L2655" s="33"/>
      <c r="M2655" s="33"/>
    </row>
    <row r="2656">
      <c r="A2656" s="32" t="s">
        <v>6679</v>
      </c>
      <c r="B2656" s="32" t="s">
        <v>6680</v>
      </c>
      <c r="C2656" s="35">
        <v>21.39749908</v>
      </c>
      <c r="D2656" s="35">
        <v>103.0080032</v>
      </c>
      <c r="E2656" s="32" t="s">
        <v>1913</v>
      </c>
      <c r="F2656" s="32" t="s">
        <v>6681</v>
      </c>
      <c r="G2656" s="36" t="e">
        <v>#N/A</v>
      </c>
      <c r="H2656" s="33"/>
      <c r="I2656" s="33"/>
      <c r="J2656" s="33"/>
      <c r="K2656" s="33"/>
      <c r="L2656" s="33"/>
      <c r="M2656" s="33"/>
    </row>
    <row r="2657">
      <c r="A2657" s="32" t="s">
        <v>6682</v>
      </c>
      <c r="B2657" s="32" t="s">
        <v>6683</v>
      </c>
      <c r="C2657" s="35">
        <v>-20.1807003</v>
      </c>
      <c r="D2657" s="35">
        <v>-44.8708992</v>
      </c>
      <c r="E2657" s="32" t="s">
        <v>288</v>
      </c>
      <c r="F2657" s="32" t="s">
        <v>6684</v>
      </c>
      <c r="G2657" s="36" t="e">
        <v>#N/A</v>
      </c>
      <c r="H2657" s="33"/>
      <c r="I2657" s="33"/>
      <c r="J2657" s="33"/>
      <c r="K2657" s="33"/>
      <c r="L2657" s="33"/>
      <c r="M2657" s="33"/>
    </row>
    <row r="2658">
      <c r="A2658" s="32" t="s">
        <v>6685</v>
      </c>
      <c r="B2658" s="32" t="s">
        <v>6686</v>
      </c>
      <c r="C2658" s="35">
        <v>9.624699593</v>
      </c>
      <c r="D2658" s="35">
        <v>41.85419846</v>
      </c>
      <c r="E2658" s="32" t="s">
        <v>18</v>
      </c>
      <c r="F2658" s="32" t="s">
        <v>6687</v>
      </c>
      <c r="G2658" s="36" t="e">
        <v>#N/A</v>
      </c>
      <c r="H2658" s="33"/>
      <c r="I2658" s="33"/>
      <c r="J2658" s="33"/>
      <c r="K2658" s="33"/>
      <c r="L2658" s="33"/>
      <c r="M2658" s="33"/>
    </row>
    <row r="2659">
      <c r="A2659" s="32" t="s">
        <v>6688</v>
      </c>
      <c r="B2659" s="32" t="s">
        <v>6689</v>
      </c>
      <c r="C2659" s="35">
        <v>-4.20635</v>
      </c>
      <c r="D2659" s="35">
        <v>12.6599</v>
      </c>
      <c r="E2659" s="32" t="s">
        <v>5496</v>
      </c>
      <c r="F2659" s="32" t="s">
        <v>6690</v>
      </c>
      <c r="G2659" s="36" t="e">
        <v>#N/A</v>
      </c>
      <c r="H2659" s="33"/>
      <c r="I2659" s="33"/>
      <c r="J2659" s="33"/>
      <c r="K2659" s="33"/>
      <c r="L2659" s="33"/>
      <c r="M2659" s="33"/>
    </row>
    <row r="2660">
      <c r="A2660" s="32" t="s">
        <v>6691</v>
      </c>
      <c r="B2660" s="32" t="s">
        <v>6692</v>
      </c>
      <c r="C2660" s="35">
        <v>20.71310043</v>
      </c>
      <c r="D2660" s="35">
        <v>70.9210968</v>
      </c>
      <c r="E2660" s="32" t="s">
        <v>217</v>
      </c>
      <c r="F2660" s="32" t="s">
        <v>6693</v>
      </c>
      <c r="G2660" s="39" t="s">
        <v>218</v>
      </c>
      <c r="H2660" s="33"/>
      <c r="I2660" s="33"/>
      <c r="J2660" s="33"/>
      <c r="K2660" s="33"/>
      <c r="L2660" s="33"/>
      <c r="M2660" s="33"/>
    </row>
    <row r="2661">
      <c r="A2661" s="32" t="s">
        <v>6694</v>
      </c>
      <c r="B2661" s="32" t="s">
        <v>6695</v>
      </c>
      <c r="C2661" s="35">
        <v>37.89390183</v>
      </c>
      <c r="D2661" s="35">
        <v>40.20100021</v>
      </c>
      <c r="E2661" s="32" t="s">
        <v>133</v>
      </c>
      <c r="F2661" s="32" t="s">
        <v>6696</v>
      </c>
      <c r="G2661" s="39" t="s">
        <v>134</v>
      </c>
      <c r="H2661" s="33"/>
      <c r="I2661" s="33"/>
      <c r="J2661" s="33"/>
      <c r="K2661" s="33"/>
      <c r="L2661" s="33"/>
      <c r="M2661" s="33"/>
    </row>
    <row r="2662">
      <c r="A2662" s="32" t="s">
        <v>6697</v>
      </c>
      <c r="B2662" s="32" t="s">
        <v>6698</v>
      </c>
      <c r="C2662" s="35">
        <v>-1.638020039</v>
      </c>
      <c r="D2662" s="35">
        <v>103.6439972</v>
      </c>
      <c r="E2662" s="32" t="s">
        <v>280</v>
      </c>
      <c r="F2662" s="32" t="s">
        <v>6699</v>
      </c>
      <c r="G2662" s="36" t="e">
        <v>#N/A</v>
      </c>
      <c r="H2662" s="33"/>
      <c r="I2662" s="33"/>
      <c r="J2662" s="33"/>
      <c r="K2662" s="33"/>
      <c r="L2662" s="33"/>
      <c r="M2662" s="33"/>
    </row>
    <row r="2663">
      <c r="A2663" s="32" t="s">
        <v>6700</v>
      </c>
      <c r="B2663" s="32" t="s">
        <v>6701</v>
      </c>
      <c r="C2663" s="35">
        <v>33.875</v>
      </c>
      <c r="D2663" s="35">
        <v>10.7755003</v>
      </c>
      <c r="E2663" s="32" t="s">
        <v>22</v>
      </c>
      <c r="F2663" s="32" t="s">
        <v>6702</v>
      </c>
      <c r="G2663" s="36" t="e">
        <v>#N/A</v>
      </c>
      <c r="H2663" s="33"/>
      <c r="I2663" s="33"/>
      <c r="J2663" s="33"/>
      <c r="K2663" s="33"/>
      <c r="L2663" s="33"/>
      <c r="M2663" s="33"/>
    </row>
    <row r="2664">
      <c r="A2664" s="32" t="s">
        <v>6703</v>
      </c>
      <c r="B2664" s="32" t="s">
        <v>6704</v>
      </c>
      <c r="C2664" s="35">
        <v>24.2928009</v>
      </c>
      <c r="D2664" s="35">
        <v>9.452440262</v>
      </c>
      <c r="E2664" s="32" t="s">
        <v>20</v>
      </c>
      <c r="F2664" s="32" t="s">
        <v>6705</v>
      </c>
      <c r="G2664" s="36" t="e">
        <v>#N/A</v>
      </c>
      <c r="H2664" s="33"/>
      <c r="I2664" s="33"/>
      <c r="J2664" s="33"/>
      <c r="K2664" s="33"/>
      <c r="L2664" s="33"/>
      <c r="M2664" s="33"/>
    </row>
    <row r="2665">
      <c r="A2665" s="32" t="s">
        <v>6706</v>
      </c>
      <c r="B2665" s="32" t="s">
        <v>6707</v>
      </c>
      <c r="C2665" s="35">
        <v>-2.576950073</v>
      </c>
      <c r="D2665" s="35">
        <v>140.5160065</v>
      </c>
      <c r="E2665" s="32" t="s">
        <v>280</v>
      </c>
      <c r="F2665" s="32" t="s">
        <v>6708</v>
      </c>
      <c r="G2665" s="36" t="e">
        <v>#N/A</v>
      </c>
      <c r="H2665" s="33"/>
      <c r="I2665" s="33"/>
      <c r="J2665" s="33"/>
      <c r="K2665" s="33"/>
      <c r="L2665" s="33"/>
      <c r="M2665" s="33"/>
    </row>
    <row r="2666">
      <c r="A2666" s="32" t="s">
        <v>6709</v>
      </c>
      <c r="B2666" s="32" t="s">
        <v>6710</v>
      </c>
      <c r="C2666" s="35">
        <v>6.792809963</v>
      </c>
      <c r="D2666" s="35">
        <v>-6.473189831</v>
      </c>
      <c r="E2666" s="32" t="s">
        <v>3494</v>
      </c>
      <c r="F2666" s="32" t="s">
        <v>6711</v>
      </c>
      <c r="G2666" s="36" t="e">
        <v>#N/A</v>
      </c>
      <c r="H2666" s="33"/>
      <c r="I2666" s="33"/>
      <c r="J2666" s="33"/>
      <c r="K2666" s="33"/>
      <c r="L2666" s="33"/>
      <c r="M2666" s="33"/>
    </row>
    <row r="2667">
      <c r="A2667" s="32" t="s">
        <v>6712</v>
      </c>
      <c r="B2667" s="32" t="s">
        <v>6713</v>
      </c>
      <c r="C2667" s="35">
        <v>-17.94169998</v>
      </c>
      <c r="D2667" s="35">
        <v>146.1399994</v>
      </c>
      <c r="E2667" s="32" t="s">
        <v>1968</v>
      </c>
      <c r="F2667" s="32" t="s">
        <v>6714</v>
      </c>
      <c r="G2667" s="36" t="e">
        <v>#N/A</v>
      </c>
      <c r="H2667" s="33"/>
      <c r="I2667" s="33"/>
      <c r="J2667" s="33"/>
      <c r="K2667" s="33"/>
      <c r="L2667" s="33"/>
      <c r="M2667" s="33"/>
    </row>
    <row r="2668">
      <c r="A2668" s="32" t="s">
        <v>6715</v>
      </c>
      <c r="B2668" s="32" t="s">
        <v>6716</v>
      </c>
      <c r="C2668" s="35">
        <v>42.49330139</v>
      </c>
      <c r="D2668" s="35">
        <v>-79.27200317</v>
      </c>
      <c r="E2668" s="32" t="s">
        <v>180</v>
      </c>
      <c r="F2668" s="32" t="s">
        <v>6717</v>
      </c>
      <c r="G2668" s="39" t="s">
        <v>181</v>
      </c>
      <c r="H2668" s="33"/>
      <c r="I2668" s="33"/>
      <c r="J2668" s="33"/>
      <c r="K2668" s="33"/>
      <c r="L2668" s="33"/>
      <c r="M2668" s="33"/>
    </row>
    <row r="2669">
      <c r="A2669" s="32" t="s">
        <v>6718</v>
      </c>
      <c r="B2669" s="32" t="s">
        <v>6719</v>
      </c>
      <c r="C2669" s="35">
        <v>14.73970032</v>
      </c>
      <c r="D2669" s="35">
        <v>-17.49020004</v>
      </c>
      <c r="E2669" s="32" t="s">
        <v>5407</v>
      </c>
      <c r="F2669" s="32" t="s">
        <v>6720</v>
      </c>
      <c r="G2669" s="36" t="e">
        <v>#N/A</v>
      </c>
      <c r="H2669" s="33"/>
      <c r="I2669" s="33"/>
      <c r="J2669" s="33"/>
      <c r="K2669" s="33"/>
      <c r="L2669" s="33"/>
      <c r="M2669" s="33"/>
    </row>
    <row r="2670">
      <c r="A2670" s="32" t="s">
        <v>6721</v>
      </c>
      <c r="B2670" s="32" t="s">
        <v>6722</v>
      </c>
      <c r="C2670" s="35">
        <v>73.51780701</v>
      </c>
      <c r="D2670" s="35">
        <v>80.37966919</v>
      </c>
      <c r="E2670" s="32" t="s">
        <v>2040</v>
      </c>
      <c r="F2670" s="32" t="s">
        <v>6723</v>
      </c>
      <c r="G2670" s="36" t="e">
        <v>#N/A</v>
      </c>
      <c r="H2670" s="33"/>
      <c r="I2670" s="33"/>
      <c r="J2670" s="33"/>
      <c r="K2670" s="33"/>
      <c r="L2670" s="33"/>
      <c r="M2670" s="33"/>
    </row>
    <row r="2671">
      <c r="A2671" s="32" t="s">
        <v>6724</v>
      </c>
      <c r="B2671" s="32" t="s">
        <v>6725</v>
      </c>
      <c r="C2671" s="35">
        <v>35.96390152</v>
      </c>
      <c r="D2671" s="35">
        <v>-83.87390137</v>
      </c>
      <c r="E2671" s="32" t="s">
        <v>180</v>
      </c>
      <c r="F2671" s="32" t="s">
        <v>6726</v>
      </c>
      <c r="G2671" s="39" t="s">
        <v>181</v>
      </c>
      <c r="H2671" s="33"/>
      <c r="I2671" s="33"/>
      <c r="J2671" s="33"/>
      <c r="K2671" s="33"/>
      <c r="L2671" s="33"/>
      <c r="M2671" s="33"/>
    </row>
    <row r="2672">
      <c r="A2672" s="32" t="s">
        <v>6727</v>
      </c>
      <c r="B2672" s="32" t="s">
        <v>6728</v>
      </c>
      <c r="C2672" s="35">
        <v>4.006080151</v>
      </c>
      <c r="D2672" s="35">
        <v>9.719479561</v>
      </c>
      <c r="E2672" s="32" t="s">
        <v>32</v>
      </c>
      <c r="F2672" s="32" t="s">
        <v>6729</v>
      </c>
      <c r="G2672" s="36" t="e">
        <v>#N/A</v>
      </c>
      <c r="H2672" s="33"/>
      <c r="I2672" s="33"/>
      <c r="J2672" s="33"/>
      <c r="K2672" s="33"/>
      <c r="L2672" s="33"/>
      <c r="M2672" s="33"/>
    </row>
    <row r="2673">
      <c r="A2673" s="32" t="s">
        <v>6730</v>
      </c>
      <c r="B2673" s="32" t="s">
        <v>6731</v>
      </c>
      <c r="C2673" s="35">
        <v>38.96569824</v>
      </c>
      <c r="D2673" s="35">
        <v>121.5390015</v>
      </c>
      <c r="E2673" s="32" t="s">
        <v>205</v>
      </c>
      <c r="F2673" s="32" t="s">
        <v>6732</v>
      </c>
      <c r="G2673" s="39" t="s">
        <v>206</v>
      </c>
      <c r="H2673" s="33"/>
      <c r="I2673" s="33"/>
      <c r="J2673" s="33"/>
      <c r="K2673" s="33"/>
      <c r="L2673" s="33"/>
      <c r="M2673" s="33"/>
    </row>
    <row r="2674">
      <c r="A2674" s="32" t="s">
        <v>6733</v>
      </c>
      <c r="B2674" s="32" t="s">
        <v>6734</v>
      </c>
      <c r="C2674" s="35">
        <v>47.042686</v>
      </c>
      <c r="D2674" s="35">
        <v>5.435061</v>
      </c>
      <c r="E2674" s="32" t="s">
        <v>96</v>
      </c>
      <c r="F2674" s="32" t="s">
        <v>6735</v>
      </c>
      <c r="G2674" s="39" t="s">
        <v>97</v>
      </c>
      <c r="H2674" s="33"/>
      <c r="I2674" s="33"/>
      <c r="J2674" s="33"/>
      <c r="K2674" s="33"/>
      <c r="L2674" s="33"/>
      <c r="M2674" s="33"/>
    </row>
    <row r="2675">
      <c r="A2675" s="32" t="s">
        <v>6736</v>
      </c>
      <c r="B2675" s="32" t="s">
        <v>6737</v>
      </c>
      <c r="C2675" s="35">
        <v>29.35950089</v>
      </c>
      <c r="D2675" s="35">
        <v>-100.7779999</v>
      </c>
      <c r="E2675" s="32" t="s">
        <v>180</v>
      </c>
      <c r="F2675" s="32" t="s">
        <v>6738</v>
      </c>
      <c r="G2675" s="39" t="s">
        <v>181</v>
      </c>
      <c r="H2675" s="33"/>
      <c r="I2675" s="33"/>
      <c r="J2675" s="33"/>
      <c r="K2675" s="33"/>
      <c r="L2675" s="33"/>
      <c r="M2675" s="33"/>
    </row>
    <row r="2676">
      <c r="A2676" s="32" t="s">
        <v>6739</v>
      </c>
      <c r="B2676" s="32" t="s">
        <v>6740</v>
      </c>
      <c r="C2676" s="35">
        <v>59.04470062</v>
      </c>
      <c r="D2676" s="35">
        <v>-158.5050049</v>
      </c>
      <c r="E2676" s="32" t="s">
        <v>180</v>
      </c>
      <c r="F2676" s="32" t="s">
        <v>6741</v>
      </c>
      <c r="G2676" s="39" t="s">
        <v>181</v>
      </c>
      <c r="H2676" s="33"/>
      <c r="I2676" s="33"/>
      <c r="J2676" s="33"/>
      <c r="K2676" s="33"/>
      <c r="L2676" s="33"/>
      <c r="M2676" s="33"/>
    </row>
    <row r="2677">
      <c r="A2677" s="32" t="s">
        <v>6742</v>
      </c>
      <c r="B2677" s="32" t="s">
        <v>6743</v>
      </c>
      <c r="C2677" s="35">
        <v>46.84209824</v>
      </c>
      <c r="D2677" s="35">
        <v>-92.19360352</v>
      </c>
      <c r="E2677" s="32" t="s">
        <v>180</v>
      </c>
      <c r="F2677" s="32" t="s">
        <v>6744</v>
      </c>
      <c r="G2677" s="39" t="s">
        <v>181</v>
      </c>
      <c r="H2677" s="33"/>
      <c r="I2677" s="33"/>
      <c r="J2677" s="33"/>
      <c r="K2677" s="33"/>
      <c r="L2677" s="33"/>
      <c r="M2677" s="33"/>
    </row>
    <row r="2678">
      <c r="A2678" s="32" t="s">
        <v>6745</v>
      </c>
      <c r="B2678" s="32" t="s">
        <v>6746</v>
      </c>
      <c r="C2678" s="35">
        <v>11.75</v>
      </c>
      <c r="D2678" s="35">
        <v>108.3669968</v>
      </c>
      <c r="E2678" s="32" t="s">
        <v>1913</v>
      </c>
      <c r="F2678" s="32" t="s">
        <v>6747</v>
      </c>
      <c r="G2678" s="36" t="e">
        <v>#N/A</v>
      </c>
      <c r="H2678" s="33"/>
      <c r="I2678" s="33"/>
      <c r="J2678" s="33"/>
      <c r="K2678" s="33"/>
      <c r="L2678" s="33"/>
      <c r="M2678" s="33"/>
    </row>
    <row r="2679">
      <c r="A2679" s="32" t="s">
        <v>6748</v>
      </c>
      <c r="B2679" s="32" t="s">
        <v>6749</v>
      </c>
      <c r="C2679" s="35">
        <v>-29.01329994</v>
      </c>
      <c r="D2679" s="35">
        <v>138.4810028</v>
      </c>
      <c r="E2679" s="32" t="s">
        <v>1968</v>
      </c>
      <c r="F2679" s="32" t="s">
        <v>6750</v>
      </c>
      <c r="G2679" s="36" t="e">
        <v>#N/A</v>
      </c>
      <c r="H2679" s="33"/>
      <c r="I2679" s="33"/>
      <c r="J2679" s="33"/>
      <c r="K2679" s="33"/>
      <c r="L2679" s="33"/>
      <c r="M2679" s="33"/>
    </row>
    <row r="2680">
      <c r="A2680" s="32" t="s">
        <v>6751</v>
      </c>
      <c r="B2680" s="32" t="s">
        <v>6752</v>
      </c>
      <c r="C2680" s="35">
        <v>43.52270126</v>
      </c>
      <c r="D2680" s="35">
        <v>-89.77020264</v>
      </c>
      <c r="E2680" s="32" t="s">
        <v>180</v>
      </c>
      <c r="F2680" s="32" t="s">
        <v>6753</v>
      </c>
      <c r="G2680" s="39" t="s">
        <v>181</v>
      </c>
      <c r="H2680" s="33"/>
      <c r="I2680" s="33"/>
      <c r="J2680" s="33"/>
      <c r="K2680" s="33"/>
      <c r="L2680" s="33"/>
      <c r="M2680" s="33"/>
    </row>
    <row r="2681">
      <c r="A2681" s="32" t="s">
        <v>6754</v>
      </c>
      <c r="B2681" s="32" t="s">
        <v>6755</v>
      </c>
      <c r="C2681" s="35">
        <v>36.71310043</v>
      </c>
      <c r="D2681" s="35">
        <v>28.79249954</v>
      </c>
      <c r="E2681" s="32" t="s">
        <v>133</v>
      </c>
      <c r="F2681" s="32" t="s">
        <v>6756</v>
      </c>
      <c r="G2681" s="39" t="s">
        <v>134</v>
      </c>
      <c r="H2681" s="33"/>
      <c r="I2681" s="33"/>
      <c r="J2681" s="33"/>
      <c r="K2681" s="33"/>
      <c r="L2681" s="33"/>
      <c r="M2681" s="33"/>
    </row>
    <row r="2682">
      <c r="A2682" s="32" t="s">
        <v>6757</v>
      </c>
      <c r="B2682" s="32" t="s">
        <v>6758</v>
      </c>
      <c r="C2682" s="35">
        <v>25.649401</v>
      </c>
      <c r="D2682" s="35">
        <v>100.319</v>
      </c>
      <c r="E2682" s="32" t="s">
        <v>205</v>
      </c>
      <c r="F2682" s="32" t="s">
        <v>6759</v>
      </c>
      <c r="G2682" s="39" t="s">
        <v>206</v>
      </c>
      <c r="H2682" s="33"/>
      <c r="I2682" s="33"/>
      <c r="J2682" s="33"/>
      <c r="K2682" s="33"/>
      <c r="L2682" s="33"/>
      <c r="M2682" s="33"/>
    </row>
    <row r="2683">
      <c r="A2683" s="32" t="s">
        <v>6760</v>
      </c>
      <c r="B2683" s="32" t="s">
        <v>6761</v>
      </c>
      <c r="C2683" s="35">
        <v>-18.76939964</v>
      </c>
      <c r="D2683" s="35">
        <v>169.0010071</v>
      </c>
      <c r="E2683" s="32" t="s">
        <v>4279</v>
      </c>
      <c r="F2683" s="32" t="s">
        <v>6762</v>
      </c>
      <c r="G2683" s="36" t="e">
        <v>#N/A</v>
      </c>
      <c r="H2683" s="33"/>
      <c r="I2683" s="33"/>
      <c r="J2683" s="33"/>
      <c r="K2683" s="33"/>
      <c r="L2683" s="33"/>
      <c r="M2683" s="33"/>
    </row>
    <row r="2684">
      <c r="A2684" s="32" t="s">
        <v>6763</v>
      </c>
      <c r="B2684" s="32" t="s">
        <v>6764</v>
      </c>
      <c r="C2684" s="35">
        <v>43.59170151</v>
      </c>
      <c r="D2684" s="35">
        <v>104.4300003</v>
      </c>
      <c r="E2684" s="32" t="s">
        <v>2274</v>
      </c>
      <c r="F2684" s="32" t="s">
        <v>6765</v>
      </c>
      <c r="G2684" s="36" t="e">
        <v>#N/A</v>
      </c>
      <c r="H2684" s="33"/>
      <c r="I2684" s="33"/>
      <c r="J2684" s="33"/>
      <c r="K2684" s="33"/>
      <c r="L2684" s="33"/>
      <c r="M2684" s="33"/>
    </row>
    <row r="2685">
      <c r="A2685" s="32" t="s">
        <v>6766</v>
      </c>
      <c r="B2685" s="32" t="s">
        <v>6767</v>
      </c>
      <c r="C2685" s="35">
        <v>32.16650009</v>
      </c>
      <c r="D2685" s="35">
        <v>-110.8830032</v>
      </c>
      <c r="E2685" s="32" t="s">
        <v>180</v>
      </c>
      <c r="F2685" s="32" t="s">
        <v>3044</v>
      </c>
      <c r="G2685" s="39" t="s">
        <v>181</v>
      </c>
      <c r="H2685" s="33"/>
      <c r="I2685" s="33"/>
      <c r="J2685" s="33"/>
      <c r="K2685" s="33"/>
      <c r="L2685" s="33"/>
      <c r="M2685" s="33"/>
    </row>
    <row r="2686">
      <c r="A2686" s="32" t="s">
        <v>6768</v>
      </c>
      <c r="B2686" s="32" t="s">
        <v>6769</v>
      </c>
      <c r="C2686" s="35">
        <v>42.85359955</v>
      </c>
      <c r="D2686" s="35">
        <v>71.3035965</v>
      </c>
      <c r="E2686" s="32" t="s">
        <v>2817</v>
      </c>
      <c r="F2686" s="32" t="s">
        <v>6770</v>
      </c>
      <c r="G2686" s="36" t="e">
        <v>#N/A</v>
      </c>
      <c r="H2686" s="33"/>
      <c r="I2686" s="33"/>
      <c r="J2686" s="33"/>
      <c r="K2686" s="33"/>
      <c r="L2686" s="33"/>
      <c r="M2686" s="33"/>
    </row>
    <row r="2687">
      <c r="A2687" s="32" t="s">
        <v>6771</v>
      </c>
      <c r="B2687" s="32" t="s">
        <v>6772</v>
      </c>
      <c r="C2687" s="35">
        <v>-17.94029999</v>
      </c>
      <c r="D2687" s="35">
        <v>138.8220062</v>
      </c>
      <c r="E2687" s="32" t="s">
        <v>1968</v>
      </c>
      <c r="F2687" s="32" t="s">
        <v>6773</v>
      </c>
      <c r="G2687" s="36" t="e">
        <v>#N/A</v>
      </c>
      <c r="H2687" s="33"/>
      <c r="I2687" s="33"/>
      <c r="J2687" s="33"/>
      <c r="K2687" s="33"/>
      <c r="L2687" s="33"/>
      <c r="M2687" s="33"/>
    </row>
    <row r="2688">
      <c r="A2688" s="32" t="s">
        <v>6774</v>
      </c>
      <c r="B2688" s="32" t="s">
        <v>6775</v>
      </c>
      <c r="C2688" s="35">
        <v>55.40879822</v>
      </c>
      <c r="D2688" s="35">
        <v>37.90629959</v>
      </c>
      <c r="E2688" s="32" t="s">
        <v>2040</v>
      </c>
      <c r="F2688" s="32" t="s">
        <v>2653</v>
      </c>
      <c r="G2688" s="36" t="e">
        <v>#N/A</v>
      </c>
      <c r="H2688" s="33"/>
      <c r="I2688" s="33"/>
      <c r="J2688" s="33"/>
      <c r="K2688" s="33"/>
      <c r="L2688" s="33"/>
      <c r="M2688" s="33"/>
    </row>
    <row r="2689">
      <c r="A2689" s="32" t="s">
        <v>6776</v>
      </c>
      <c r="B2689" s="32" t="s">
        <v>6777</v>
      </c>
      <c r="C2689" s="35">
        <v>13.91259956</v>
      </c>
      <c r="D2689" s="35">
        <v>100.6070023</v>
      </c>
      <c r="E2689" s="32" t="s">
        <v>175</v>
      </c>
      <c r="F2689" s="32" t="s">
        <v>4880</v>
      </c>
      <c r="G2689" s="39" t="s">
        <v>176</v>
      </c>
      <c r="H2689" s="33"/>
      <c r="I2689" s="33"/>
      <c r="J2689" s="33"/>
      <c r="K2689" s="33"/>
      <c r="L2689" s="33"/>
      <c r="M2689" s="33"/>
    </row>
    <row r="2690">
      <c r="A2690" s="32" t="s">
        <v>6778</v>
      </c>
      <c r="B2690" s="32" t="s">
        <v>6779</v>
      </c>
      <c r="C2690" s="35">
        <v>26.47120094</v>
      </c>
      <c r="D2690" s="35">
        <v>49.79790115</v>
      </c>
      <c r="E2690" s="32" t="s">
        <v>223</v>
      </c>
      <c r="F2690" s="32" t="s">
        <v>6780</v>
      </c>
      <c r="G2690" s="36" t="e">
        <v>#N/A</v>
      </c>
      <c r="H2690" s="33"/>
      <c r="I2690" s="33"/>
      <c r="J2690" s="33"/>
      <c r="K2690" s="33"/>
      <c r="L2690" s="33"/>
      <c r="M2690" s="33"/>
    </row>
    <row r="2691">
      <c r="A2691" s="32" t="s">
        <v>6781</v>
      </c>
      <c r="B2691" s="32" t="s">
        <v>6782</v>
      </c>
      <c r="C2691" s="35">
        <v>32.26229858</v>
      </c>
      <c r="D2691" s="35">
        <v>-107.7210007</v>
      </c>
      <c r="E2691" s="32" t="s">
        <v>180</v>
      </c>
      <c r="F2691" s="32" t="s">
        <v>6783</v>
      </c>
      <c r="G2691" s="39" t="s">
        <v>181</v>
      </c>
      <c r="H2691" s="33"/>
      <c r="I2691" s="33"/>
      <c r="J2691" s="33"/>
      <c r="K2691" s="33"/>
      <c r="L2691" s="33"/>
      <c r="M2691" s="33"/>
    </row>
    <row r="2692">
      <c r="A2692" s="32" t="s">
        <v>6784</v>
      </c>
      <c r="B2692" s="32" t="s">
        <v>6785</v>
      </c>
      <c r="C2692" s="35">
        <v>-14.37689972</v>
      </c>
      <c r="D2692" s="35">
        <v>-56.40039825</v>
      </c>
      <c r="E2692" s="32" t="s">
        <v>288</v>
      </c>
      <c r="F2692" s="32" t="s">
        <v>6786</v>
      </c>
      <c r="G2692" s="36" t="e">
        <v>#N/A</v>
      </c>
      <c r="H2692" s="33"/>
      <c r="I2692" s="33"/>
      <c r="J2692" s="33"/>
      <c r="K2692" s="33"/>
      <c r="L2692" s="33"/>
      <c r="M2692" s="33"/>
    </row>
    <row r="2693">
      <c r="A2693" s="32" t="s">
        <v>6787</v>
      </c>
      <c r="B2693" s="32" t="s">
        <v>6788</v>
      </c>
      <c r="C2693" s="35">
        <v>25.88389969</v>
      </c>
      <c r="D2693" s="35">
        <v>93.77110291</v>
      </c>
      <c r="E2693" s="32" t="s">
        <v>217</v>
      </c>
      <c r="F2693" s="32" t="s">
        <v>6789</v>
      </c>
      <c r="G2693" s="39" t="s">
        <v>218</v>
      </c>
      <c r="H2693" s="33"/>
      <c r="I2693" s="33"/>
      <c r="J2693" s="33"/>
      <c r="K2693" s="33"/>
      <c r="L2693" s="33"/>
      <c r="M2693" s="33"/>
    </row>
    <row r="2694">
      <c r="A2694" s="32" t="s">
        <v>6790</v>
      </c>
      <c r="B2694" s="32" t="s">
        <v>6791</v>
      </c>
      <c r="C2694" s="35">
        <v>26.3556</v>
      </c>
      <c r="D2694" s="35">
        <v>127.767998</v>
      </c>
      <c r="E2694" s="32" t="s">
        <v>170</v>
      </c>
      <c r="F2694" s="32" t="s">
        <v>6792</v>
      </c>
      <c r="G2694" s="39" t="s">
        <v>171</v>
      </c>
      <c r="H2694" s="33"/>
      <c r="I2694" s="33"/>
      <c r="J2694" s="33"/>
      <c r="K2694" s="33"/>
      <c r="L2694" s="33"/>
      <c r="M2694" s="33"/>
    </row>
    <row r="2695">
      <c r="A2695" s="32" t="s">
        <v>6793</v>
      </c>
      <c r="B2695" s="32" t="s">
        <v>6794</v>
      </c>
      <c r="C2695" s="35">
        <v>56.45249939</v>
      </c>
      <c r="D2695" s="35">
        <v>-3.02583003</v>
      </c>
      <c r="E2695" s="32" t="s">
        <v>90</v>
      </c>
      <c r="F2695" s="32" t="s">
        <v>6795</v>
      </c>
      <c r="G2695" s="39" t="s">
        <v>91</v>
      </c>
      <c r="H2695" s="33"/>
      <c r="I2695" s="33"/>
      <c r="J2695" s="33"/>
      <c r="K2695" s="33"/>
      <c r="L2695" s="33"/>
      <c r="M2695" s="33"/>
    </row>
    <row r="2696">
      <c r="A2696" s="32" t="s">
        <v>6796</v>
      </c>
      <c r="B2696" s="32" t="s">
        <v>6797</v>
      </c>
      <c r="C2696" s="35">
        <v>40.16109848</v>
      </c>
      <c r="D2696" s="35">
        <v>94.80919647</v>
      </c>
      <c r="E2696" s="32" t="s">
        <v>205</v>
      </c>
      <c r="F2696" s="32" t="s">
        <v>6798</v>
      </c>
      <c r="G2696" s="39" t="s">
        <v>206</v>
      </c>
      <c r="H2696" s="33"/>
      <c r="I2696" s="33"/>
      <c r="J2696" s="33"/>
      <c r="K2696" s="33"/>
      <c r="L2696" s="33"/>
      <c r="M2696" s="33"/>
    </row>
    <row r="2697">
      <c r="A2697" s="32" t="s">
        <v>6799</v>
      </c>
      <c r="B2697" s="32" t="s">
        <v>6800</v>
      </c>
      <c r="C2697" s="35">
        <v>48.35720062</v>
      </c>
      <c r="D2697" s="35">
        <v>35.1006012</v>
      </c>
      <c r="E2697" s="32" t="s">
        <v>3293</v>
      </c>
      <c r="F2697" s="32" t="s">
        <v>6801</v>
      </c>
      <c r="G2697" s="36" t="e">
        <v>#N/A</v>
      </c>
      <c r="H2697" s="33"/>
      <c r="I2697" s="33"/>
      <c r="J2697" s="33"/>
      <c r="K2697" s="33"/>
      <c r="L2697" s="33"/>
      <c r="M2697" s="33"/>
    </row>
    <row r="2698">
      <c r="A2698" s="32" t="s">
        <v>6802</v>
      </c>
      <c r="B2698" s="32" t="s">
        <v>6803</v>
      </c>
      <c r="C2698" s="35">
        <v>33.46649933</v>
      </c>
      <c r="D2698" s="35">
        <v>-82.03939819</v>
      </c>
      <c r="E2698" s="32" t="s">
        <v>180</v>
      </c>
      <c r="F2698" s="32" t="s">
        <v>3388</v>
      </c>
      <c r="G2698" s="39" t="s">
        <v>181</v>
      </c>
      <c r="H2698" s="33"/>
      <c r="I2698" s="33"/>
      <c r="J2698" s="33"/>
      <c r="K2698" s="33"/>
      <c r="L2698" s="33"/>
      <c r="M2698" s="33"/>
    </row>
    <row r="2699">
      <c r="A2699" s="32" t="s">
        <v>6804</v>
      </c>
      <c r="B2699" s="32" t="s">
        <v>6805</v>
      </c>
      <c r="C2699" s="35">
        <v>34.72290039</v>
      </c>
      <c r="D2699" s="35">
        <v>-84.87020111</v>
      </c>
      <c r="E2699" s="32" t="s">
        <v>180</v>
      </c>
      <c r="F2699" s="32" t="s">
        <v>6806</v>
      </c>
      <c r="G2699" s="39" t="s">
        <v>181</v>
      </c>
      <c r="H2699" s="33"/>
      <c r="I2699" s="33"/>
      <c r="J2699" s="33"/>
      <c r="K2699" s="33"/>
      <c r="L2699" s="33"/>
      <c r="M2699" s="33"/>
    </row>
    <row r="2700">
      <c r="A2700" s="32" t="s">
        <v>6807</v>
      </c>
      <c r="B2700" s="32" t="s">
        <v>6808</v>
      </c>
      <c r="C2700" s="35">
        <v>28.11109924</v>
      </c>
      <c r="D2700" s="35">
        <v>82.29419708</v>
      </c>
      <c r="E2700" s="32" t="s">
        <v>1877</v>
      </c>
      <c r="F2700" s="32" t="s">
        <v>6809</v>
      </c>
      <c r="G2700" s="36" t="e">
        <v>#N/A</v>
      </c>
      <c r="H2700" s="33"/>
      <c r="I2700" s="33"/>
      <c r="J2700" s="33"/>
      <c r="K2700" s="33"/>
      <c r="L2700" s="33"/>
      <c r="M2700" s="33"/>
    </row>
    <row r="2701">
      <c r="A2701" s="32" t="s">
        <v>6810</v>
      </c>
      <c r="B2701" s="32" t="s">
        <v>6811</v>
      </c>
      <c r="C2701" s="35">
        <v>-35.55939865</v>
      </c>
      <c r="D2701" s="35">
        <v>144.9459991</v>
      </c>
      <c r="E2701" s="32" t="s">
        <v>1968</v>
      </c>
      <c r="F2701" s="32" t="s">
        <v>6812</v>
      </c>
      <c r="G2701" s="36" t="e">
        <v>#N/A</v>
      </c>
      <c r="H2701" s="33"/>
      <c r="I2701" s="33"/>
      <c r="J2701" s="33"/>
      <c r="K2701" s="33"/>
      <c r="L2701" s="33"/>
      <c r="M2701" s="33"/>
    </row>
    <row r="2702">
      <c r="A2702" s="32" t="s">
        <v>6813</v>
      </c>
      <c r="B2702" s="32" t="s">
        <v>6814</v>
      </c>
      <c r="C2702" s="35">
        <v>48.58769989</v>
      </c>
      <c r="D2702" s="35">
        <v>-2.079960108</v>
      </c>
      <c r="E2702" s="32" t="s">
        <v>96</v>
      </c>
      <c r="F2702" s="32" t="s">
        <v>6815</v>
      </c>
      <c r="G2702" s="39" t="s">
        <v>97</v>
      </c>
      <c r="H2702" s="33"/>
      <c r="I2702" s="33"/>
      <c r="J2702" s="33"/>
      <c r="K2702" s="33"/>
      <c r="L2702" s="33"/>
      <c r="M2702" s="33"/>
    </row>
    <row r="2703">
      <c r="A2703" s="32" t="s">
        <v>6816</v>
      </c>
      <c r="B2703" s="32" t="s">
        <v>6817</v>
      </c>
      <c r="C2703" s="35">
        <v>40.19919968</v>
      </c>
      <c r="D2703" s="35">
        <v>-87.59590149</v>
      </c>
      <c r="E2703" s="32" t="s">
        <v>180</v>
      </c>
      <c r="F2703" s="32" t="s">
        <v>6526</v>
      </c>
      <c r="G2703" s="39" t="s">
        <v>181</v>
      </c>
      <c r="H2703" s="33"/>
      <c r="I2703" s="33"/>
      <c r="J2703" s="33"/>
      <c r="K2703" s="33"/>
      <c r="L2703" s="33"/>
      <c r="M2703" s="33"/>
    </row>
    <row r="2704">
      <c r="A2704" s="32" t="s">
        <v>6818</v>
      </c>
      <c r="B2704" s="32" t="s">
        <v>6819</v>
      </c>
      <c r="C2704" s="35">
        <v>37.78559875</v>
      </c>
      <c r="D2704" s="35">
        <v>29.70129967</v>
      </c>
      <c r="E2704" s="32" t="s">
        <v>133</v>
      </c>
      <c r="F2704" s="32" t="s">
        <v>6820</v>
      </c>
      <c r="G2704" s="39" t="s">
        <v>134</v>
      </c>
      <c r="H2704" s="33"/>
      <c r="I2704" s="33"/>
      <c r="J2704" s="33"/>
      <c r="K2704" s="33"/>
      <c r="L2704" s="33"/>
      <c r="M2704" s="33"/>
    </row>
    <row r="2705">
      <c r="A2705" s="32" t="s">
        <v>6821</v>
      </c>
      <c r="B2705" s="32" t="s">
        <v>6822</v>
      </c>
      <c r="C2705" s="35">
        <v>-6.170440197</v>
      </c>
      <c r="D2705" s="35">
        <v>35.75260162</v>
      </c>
      <c r="E2705" s="32" t="s">
        <v>2937</v>
      </c>
      <c r="F2705" s="32" t="s">
        <v>6823</v>
      </c>
      <c r="G2705" s="36" t="e">
        <v>#N/A</v>
      </c>
      <c r="H2705" s="33"/>
      <c r="I2705" s="33"/>
      <c r="J2705" s="33"/>
      <c r="K2705" s="33"/>
      <c r="L2705" s="33"/>
      <c r="M2705" s="33"/>
    </row>
    <row r="2706">
      <c r="A2706" s="32" t="s">
        <v>6824</v>
      </c>
      <c r="B2706" s="32" t="s">
        <v>6825</v>
      </c>
      <c r="C2706" s="35">
        <v>19.15390015</v>
      </c>
      <c r="D2706" s="35">
        <v>30.43009949</v>
      </c>
      <c r="E2706" s="32" t="s">
        <v>844</v>
      </c>
      <c r="F2706" s="32" t="s">
        <v>6826</v>
      </c>
      <c r="G2706" s="36" t="e">
        <v>#N/A</v>
      </c>
      <c r="H2706" s="33"/>
      <c r="I2706" s="33"/>
      <c r="J2706" s="33"/>
      <c r="K2706" s="33"/>
      <c r="L2706" s="33"/>
      <c r="M2706" s="33"/>
    </row>
    <row r="2707">
      <c r="A2707" s="32" t="s">
        <v>6827</v>
      </c>
      <c r="B2707" s="32" t="s">
        <v>6828</v>
      </c>
      <c r="C2707" s="35">
        <v>48.07360077</v>
      </c>
      <c r="D2707" s="35">
        <v>37.73970032</v>
      </c>
      <c r="E2707" s="32" t="s">
        <v>3293</v>
      </c>
      <c r="F2707" s="32" t="s">
        <v>6829</v>
      </c>
      <c r="G2707" s="36" t="e">
        <v>#N/A</v>
      </c>
      <c r="H2707" s="33"/>
      <c r="I2707" s="33"/>
      <c r="J2707" s="33"/>
      <c r="K2707" s="33"/>
      <c r="L2707" s="33"/>
      <c r="M2707" s="33"/>
    </row>
    <row r="2708">
      <c r="A2708" s="32" t="s">
        <v>6830</v>
      </c>
      <c r="B2708" s="32" t="s">
        <v>6831</v>
      </c>
      <c r="C2708" s="35">
        <v>49.36529922</v>
      </c>
      <c r="D2708" s="35">
        <v>0.154305995</v>
      </c>
      <c r="E2708" s="32" t="s">
        <v>96</v>
      </c>
      <c r="F2708" s="32" t="s">
        <v>6832</v>
      </c>
      <c r="G2708" s="39" t="s">
        <v>97</v>
      </c>
      <c r="H2708" s="33"/>
      <c r="I2708" s="33"/>
      <c r="J2708" s="33"/>
      <c r="K2708" s="33"/>
      <c r="L2708" s="33"/>
      <c r="M2708" s="33"/>
    </row>
    <row r="2709">
      <c r="A2709" s="32" t="s">
        <v>6833</v>
      </c>
      <c r="B2709" s="32" t="s">
        <v>6834</v>
      </c>
      <c r="C2709" s="35">
        <v>15.54699993</v>
      </c>
      <c r="D2709" s="35">
        <v>-61.29999924</v>
      </c>
      <c r="E2709" s="32" t="s">
        <v>6580</v>
      </c>
      <c r="F2709" s="32" t="s">
        <v>6580</v>
      </c>
      <c r="G2709" s="36" t="e">
        <v>#N/A</v>
      </c>
      <c r="H2709" s="33"/>
      <c r="I2709" s="33"/>
      <c r="J2709" s="33"/>
      <c r="K2709" s="33"/>
      <c r="L2709" s="33"/>
      <c r="M2709" s="33"/>
    </row>
    <row r="2710">
      <c r="A2710" s="32" t="s">
        <v>6835</v>
      </c>
      <c r="B2710" s="32" t="s">
        <v>6836</v>
      </c>
      <c r="C2710" s="35">
        <v>28.98570061</v>
      </c>
      <c r="D2710" s="35">
        <v>82.81909943</v>
      </c>
      <c r="E2710" s="32" t="s">
        <v>1877</v>
      </c>
      <c r="F2710" s="32" t="s">
        <v>6837</v>
      </c>
      <c r="G2710" s="36" t="e">
        <v>#N/A</v>
      </c>
      <c r="H2710" s="33"/>
      <c r="I2710" s="33"/>
      <c r="J2710" s="33"/>
      <c r="K2710" s="33"/>
      <c r="L2710" s="33"/>
      <c r="M2710" s="33"/>
    </row>
    <row r="2711">
      <c r="A2711" s="32" t="s">
        <v>6838</v>
      </c>
      <c r="B2711" s="32" t="s">
        <v>6839</v>
      </c>
      <c r="C2711" s="35">
        <v>-22.2019</v>
      </c>
      <c r="D2711" s="35">
        <v>-54.926601</v>
      </c>
      <c r="E2711" s="32" t="s">
        <v>288</v>
      </c>
      <c r="F2711" s="32" t="s">
        <v>6840</v>
      </c>
      <c r="G2711" s="36" t="e">
        <v>#N/A</v>
      </c>
      <c r="H2711" s="33"/>
      <c r="I2711" s="33"/>
      <c r="J2711" s="33"/>
      <c r="K2711" s="33"/>
      <c r="L2711" s="33"/>
      <c r="M2711" s="33"/>
    </row>
    <row r="2712">
      <c r="A2712" s="32" t="s">
        <v>6841</v>
      </c>
      <c r="B2712" s="32" t="s">
        <v>6842</v>
      </c>
      <c r="C2712" s="35">
        <v>39.12950134</v>
      </c>
      <c r="D2712" s="35">
        <v>-75.46600342</v>
      </c>
      <c r="E2712" s="32" t="s">
        <v>180</v>
      </c>
      <c r="F2712" s="32" t="s">
        <v>6843</v>
      </c>
      <c r="G2712" s="39" t="s">
        <v>181</v>
      </c>
      <c r="H2712" s="33"/>
      <c r="I2712" s="33"/>
      <c r="J2712" s="33"/>
      <c r="K2712" s="33"/>
      <c r="L2712" s="33"/>
      <c r="M2712" s="33"/>
    </row>
    <row r="2713">
      <c r="A2713" s="32" t="s">
        <v>6844</v>
      </c>
      <c r="B2713" s="32" t="s">
        <v>6845</v>
      </c>
      <c r="C2713" s="35">
        <v>41.90779877</v>
      </c>
      <c r="D2713" s="35">
        <v>-88.24859619</v>
      </c>
      <c r="E2713" s="32" t="s">
        <v>180</v>
      </c>
      <c r="F2713" s="32" t="s">
        <v>6846</v>
      </c>
      <c r="G2713" s="39" t="s">
        <v>181</v>
      </c>
      <c r="H2713" s="33"/>
      <c r="I2713" s="33"/>
      <c r="J2713" s="33"/>
      <c r="K2713" s="33"/>
      <c r="L2713" s="33"/>
      <c r="M2713" s="33"/>
    </row>
    <row r="2714">
      <c r="A2714" s="32" t="s">
        <v>6847</v>
      </c>
      <c r="B2714" s="32" t="s">
        <v>6848</v>
      </c>
      <c r="C2714" s="35">
        <v>8.601983499</v>
      </c>
      <c r="D2714" s="35">
        <v>123.3418751</v>
      </c>
      <c r="E2714" s="32" t="s">
        <v>270</v>
      </c>
      <c r="F2714" s="32" t="s">
        <v>6849</v>
      </c>
      <c r="G2714" s="36" t="e">
        <v>#N/A</v>
      </c>
      <c r="H2714" s="33"/>
      <c r="I2714" s="33"/>
      <c r="J2714" s="33"/>
      <c r="K2714" s="33"/>
      <c r="L2714" s="33"/>
      <c r="M2714" s="33"/>
    </row>
    <row r="2715">
      <c r="A2715" s="32" t="s">
        <v>6850</v>
      </c>
      <c r="B2715" s="32" t="s">
        <v>6851</v>
      </c>
      <c r="C2715" s="35">
        <v>-41.16970062</v>
      </c>
      <c r="D2715" s="35">
        <v>146.4299927</v>
      </c>
      <c r="E2715" s="32" t="s">
        <v>1968</v>
      </c>
      <c r="F2715" s="32" t="s">
        <v>6852</v>
      </c>
      <c r="G2715" s="36" t="e">
        <v>#N/A</v>
      </c>
      <c r="H2715" s="33"/>
      <c r="I2715" s="33"/>
      <c r="J2715" s="33"/>
      <c r="K2715" s="33"/>
      <c r="L2715" s="33"/>
      <c r="M2715" s="33"/>
    </row>
    <row r="2716">
      <c r="A2716" s="32" t="s">
        <v>6853</v>
      </c>
      <c r="B2716" s="32" t="s">
        <v>6854</v>
      </c>
      <c r="C2716" s="35">
        <v>-8.748169899</v>
      </c>
      <c r="D2716" s="35">
        <v>115.1669998</v>
      </c>
      <c r="E2716" s="32" t="s">
        <v>280</v>
      </c>
      <c r="F2716" s="32" t="s">
        <v>6855</v>
      </c>
      <c r="G2716" s="36" t="e">
        <v>#N/A</v>
      </c>
      <c r="H2716" s="33"/>
      <c r="I2716" s="33"/>
      <c r="J2716" s="33"/>
      <c r="K2716" s="33"/>
      <c r="L2716" s="33"/>
      <c r="M2716" s="33"/>
    </row>
    <row r="2717">
      <c r="A2717" s="32" t="s">
        <v>6856</v>
      </c>
      <c r="B2717" s="32" t="s">
        <v>6632</v>
      </c>
      <c r="C2717" s="35">
        <v>31.47669983</v>
      </c>
      <c r="D2717" s="35">
        <v>-82.86049652</v>
      </c>
      <c r="E2717" s="32" t="s">
        <v>180</v>
      </c>
      <c r="F2717" s="32" t="s">
        <v>6633</v>
      </c>
      <c r="G2717" s="39" t="s">
        <v>181</v>
      </c>
      <c r="H2717" s="33"/>
      <c r="I2717" s="33"/>
      <c r="J2717" s="33"/>
      <c r="K2717" s="33"/>
      <c r="L2717" s="33"/>
      <c r="M2717" s="33"/>
    </row>
    <row r="2718">
      <c r="A2718" s="32" t="s">
        <v>6857</v>
      </c>
      <c r="B2718" s="32" t="s">
        <v>6858</v>
      </c>
      <c r="C2718" s="35">
        <v>36.6194</v>
      </c>
      <c r="D2718" s="35">
        <v>-116.032997</v>
      </c>
      <c r="E2718" s="32" t="s">
        <v>180</v>
      </c>
      <c r="F2718" s="32" t="s">
        <v>6859</v>
      </c>
      <c r="G2718" s="39" t="s">
        <v>181</v>
      </c>
      <c r="H2718" s="33"/>
      <c r="I2718" s="33"/>
      <c r="J2718" s="33"/>
      <c r="K2718" s="33"/>
      <c r="L2718" s="33"/>
      <c r="M2718" s="33"/>
    </row>
    <row r="2719">
      <c r="A2719" s="32" t="s">
        <v>6860</v>
      </c>
      <c r="B2719" s="32" t="s">
        <v>6861</v>
      </c>
      <c r="C2719" s="35">
        <v>-17.37000084</v>
      </c>
      <c r="D2719" s="35">
        <v>123.6610031</v>
      </c>
      <c r="E2719" s="32" t="s">
        <v>1968</v>
      </c>
      <c r="F2719" s="32" t="s">
        <v>6590</v>
      </c>
      <c r="G2719" s="36" t="e">
        <v>#N/A</v>
      </c>
      <c r="H2719" s="33"/>
      <c r="I2719" s="33"/>
      <c r="J2719" s="33"/>
      <c r="K2719" s="33"/>
      <c r="L2719" s="33"/>
      <c r="M2719" s="33"/>
    </row>
    <row r="2720">
      <c r="A2720" s="32" t="s">
        <v>6862</v>
      </c>
      <c r="B2720" s="32" t="s">
        <v>6863</v>
      </c>
      <c r="C2720" s="35">
        <v>66.06960297</v>
      </c>
      <c r="D2720" s="35">
        <v>-162.7660065</v>
      </c>
      <c r="E2720" s="32" t="s">
        <v>180</v>
      </c>
      <c r="F2720" s="32" t="s">
        <v>6864</v>
      </c>
      <c r="G2720" s="39" t="s">
        <v>181</v>
      </c>
      <c r="H2720" s="33"/>
      <c r="I2720" s="33"/>
      <c r="J2720" s="33"/>
      <c r="K2720" s="33"/>
      <c r="L2720" s="33"/>
      <c r="M2720" s="33"/>
    </row>
    <row r="2721">
      <c r="A2721" s="32" t="s">
        <v>6865</v>
      </c>
      <c r="B2721" s="32" t="s">
        <v>6866</v>
      </c>
      <c r="C2721" s="35">
        <v>30.83169937</v>
      </c>
      <c r="D2721" s="35">
        <v>-93.33989716</v>
      </c>
      <c r="E2721" s="32" t="s">
        <v>180</v>
      </c>
      <c r="F2721" s="32" t="s">
        <v>6867</v>
      </c>
      <c r="G2721" s="39" t="s">
        <v>181</v>
      </c>
      <c r="H2721" s="33"/>
      <c r="I2721" s="33"/>
      <c r="J2721" s="33"/>
      <c r="K2721" s="33"/>
      <c r="L2721" s="33"/>
      <c r="M2721" s="33"/>
    </row>
    <row r="2722">
      <c r="A2722" s="32" t="s">
        <v>6868</v>
      </c>
      <c r="B2722" s="32" t="s">
        <v>6869</v>
      </c>
      <c r="C2722" s="35">
        <v>4.116666794</v>
      </c>
      <c r="D2722" s="35">
        <v>-54.66667175</v>
      </c>
      <c r="E2722" s="32" t="s">
        <v>2192</v>
      </c>
      <c r="F2722" s="32" t="s">
        <v>6870</v>
      </c>
      <c r="G2722" s="36" t="e">
        <v>#N/A</v>
      </c>
      <c r="H2722" s="33"/>
      <c r="I2722" s="33"/>
      <c r="J2722" s="33"/>
      <c r="K2722" s="33"/>
      <c r="L2722" s="33"/>
      <c r="M2722" s="33"/>
    </row>
    <row r="2723">
      <c r="A2723" s="32" t="s">
        <v>6871</v>
      </c>
      <c r="B2723" s="32" t="s">
        <v>6872</v>
      </c>
      <c r="C2723" s="35">
        <v>8.71889019</v>
      </c>
      <c r="D2723" s="35">
        <v>-83.64170074</v>
      </c>
      <c r="E2723" s="32" t="s">
        <v>1267</v>
      </c>
      <c r="F2723" s="32" t="s">
        <v>6873</v>
      </c>
      <c r="G2723" s="36" t="e">
        <v>#N/A</v>
      </c>
      <c r="H2723" s="33"/>
      <c r="I2723" s="33"/>
      <c r="J2723" s="33"/>
      <c r="K2723" s="33"/>
      <c r="L2723" s="33"/>
      <c r="M2723" s="33"/>
    </row>
    <row r="2724">
      <c r="A2724" s="32" t="s">
        <v>6874</v>
      </c>
      <c r="B2724" s="32" t="s">
        <v>6875</v>
      </c>
      <c r="C2724" s="35">
        <v>46.00930023</v>
      </c>
      <c r="D2724" s="35">
        <v>-83.74389648</v>
      </c>
      <c r="E2724" s="32" t="s">
        <v>180</v>
      </c>
      <c r="F2724" s="32" t="s">
        <v>6876</v>
      </c>
      <c r="G2724" s="39" t="s">
        <v>181</v>
      </c>
      <c r="H2724" s="33"/>
      <c r="I2724" s="33"/>
      <c r="J2724" s="33"/>
      <c r="K2724" s="33"/>
      <c r="L2724" s="33"/>
      <c r="M2724" s="33"/>
    </row>
    <row r="2725">
      <c r="A2725" s="32" t="s">
        <v>6877</v>
      </c>
      <c r="B2725" s="32" t="s">
        <v>6878</v>
      </c>
      <c r="C2725" s="35">
        <v>-28.5916996</v>
      </c>
      <c r="D2725" s="35">
        <v>148.2169952</v>
      </c>
      <c r="E2725" s="32" t="s">
        <v>1968</v>
      </c>
      <c r="F2725" s="33"/>
      <c r="G2725" s="36" t="e">
        <v>#N/A</v>
      </c>
      <c r="H2725" s="33"/>
      <c r="I2725" s="33"/>
      <c r="J2725" s="33"/>
      <c r="K2725" s="33"/>
      <c r="L2725" s="33"/>
      <c r="M2725" s="33"/>
    </row>
    <row r="2726">
      <c r="A2726" s="32" t="s">
        <v>6879</v>
      </c>
      <c r="B2726" s="32" t="s">
        <v>6880</v>
      </c>
      <c r="C2726" s="35">
        <v>37.1515007</v>
      </c>
      <c r="D2726" s="35">
        <v>-107.7539978</v>
      </c>
      <c r="E2726" s="32" t="s">
        <v>180</v>
      </c>
      <c r="F2726" s="32" t="s">
        <v>6636</v>
      </c>
      <c r="G2726" s="39" t="s">
        <v>181</v>
      </c>
      <c r="H2726" s="33"/>
      <c r="I2726" s="33"/>
      <c r="J2726" s="33"/>
      <c r="K2726" s="33"/>
      <c r="L2726" s="33"/>
      <c r="M2726" s="33"/>
    </row>
    <row r="2727">
      <c r="A2727" s="32" t="s">
        <v>6881</v>
      </c>
      <c r="B2727" s="32" t="s">
        <v>6882</v>
      </c>
      <c r="C2727" s="35">
        <v>51.13280106</v>
      </c>
      <c r="D2727" s="35">
        <v>13.76720047</v>
      </c>
      <c r="E2727" s="32" t="s">
        <v>109</v>
      </c>
      <c r="F2727" s="32" t="s">
        <v>6883</v>
      </c>
      <c r="G2727" s="39" t="s">
        <v>110</v>
      </c>
      <c r="H2727" s="33"/>
      <c r="I2727" s="33"/>
      <c r="J2727" s="33"/>
      <c r="K2727" s="33"/>
      <c r="L2727" s="33"/>
      <c r="M2727" s="33"/>
    </row>
    <row r="2728">
      <c r="A2728" s="32" t="s">
        <v>6884</v>
      </c>
      <c r="B2728" s="32" t="s">
        <v>6885</v>
      </c>
      <c r="C2728" s="35">
        <v>29.37420082</v>
      </c>
      <c r="D2728" s="35">
        <v>-100.927002</v>
      </c>
      <c r="E2728" s="32" t="s">
        <v>180</v>
      </c>
      <c r="F2728" s="32" t="s">
        <v>6738</v>
      </c>
      <c r="G2728" s="39" t="s">
        <v>181</v>
      </c>
      <c r="H2728" s="33"/>
      <c r="I2728" s="33"/>
      <c r="J2728" s="33"/>
      <c r="K2728" s="33"/>
      <c r="L2728" s="33"/>
      <c r="M2728" s="33"/>
    </row>
    <row r="2729">
      <c r="A2729" s="32" t="s">
        <v>6886</v>
      </c>
      <c r="B2729" s="32" t="s">
        <v>6887</v>
      </c>
      <c r="C2729" s="35">
        <v>5.1561</v>
      </c>
      <c r="D2729" s="35">
        <v>73.1302</v>
      </c>
      <c r="E2729" s="32" t="s">
        <v>6888</v>
      </c>
      <c r="F2729" s="32" t="s">
        <v>6889</v>
      </c>
      <c r="G2729" s="36" t="e">
        <v>#N/A</v>
      </c>
      <c r="H2729" s="33"/>
      <c r="I2729" s="33"/>
      <c r="J2729" s="33"/>
      <c r="K2729" s="33"/>
      <c r="L2729" s="33"/>
      <c r="M2729" s="33"/>
    </row>
    <row r="2730">
      <c r="A2730" s="32" t="s">
        <v>6890</v>
      </c>
      <c r="B2730" s="32" t="s">
        <v>6891</v>
      </c>
      <c r="C2730" s="35">
        <v>-12.41469955</v>
      </c>
      <c r="D2730" s="35">
        <v>130.8769989</v>
      </c>
      <c r="E2730" s="32" t="s">
        <v>1968</v>
      </c>
      <c r="F2730" s="32" t="s">
        <v>6892</v>
      </c>
      <c r="G2730" s="36" t="e">
        <v>#N/A</v>
      </c>
      <c r="H2730" s="33"/>
      <c r="I2730" s="33"/>
      <c r="J2730" s="33"/>
      <c r="K2730" s="33"/>
      <c r="L2730" s="33"/>
      <c r="M2730" s="33"/>
    </row>
    <row r="2731">
      <c r="A2731" s="32" t="s">
        <v>6893</v>
      </c>
      <c r="B2731" s="32" t="s">
        <v>6894</v>
      </c>
      <c r="C2731" s="35">
        <v>53.48053781</v>
      </c>
      <c r="D2731" s="35">
        <v>-1.010656357</v>
      </c>
      <c r="E2731" s="32" t="s">
        <v>90</v>
      </c>
      <c r="F2731" s="32" t="s">
        <v>6895</v>
      </c>
      <c r="G2731" s="39" t="s">
        <v>91</v>
      </c>
      <c r="H2731" s="33"/>
      <c r="I2731" s="33"/>
      <c r="J2731" s="33"/>
      <c r="K2731" s="33"/>
      <c r="L2731" s="33"/>
      <c r="M2731" s="33"/>
    </row>
    <row r="2732">
      <c r="A2732" s="32" t="s">
        <v>6896</v>
      </c>
      <c r="B2732" s="32" t="s">
        <v>6897</v>
      </c>
      <c r="C2732" s="35">
        <v>16.2968998</v>
      </c>
      <c r="D2732" s="35">
        <v>-61.08440018</v>
      </c>
      <c r="E2732" s="32" t="s">
        <v>4470</v>
      </c>
      <c r="F2732" s="32" t="s">
        <v>6898</v>
      </c>
      <c r="G2732" s="36" t="e">
        <v>#N/A</v>
      </c>
      <c r="H2732" s="33"/>
      <c r="I2732" s="33"/>
      <c r="J2732" s="33"/>
      <c r="K2732" s="33"/>
      <c r="L2732" s="33"/>
      <c r="M2732" s="33"/>
    </row>
    <row r="2733">
      <c r="A2733" s="32" t="s">
        <v>6899</v>
      </c>
      <c r="B2733" s="32" t="s">
        <v>6900</v>
      </c>
      <c r="C2733" s="35">
        <v>11.08250046</v>
      </c>
      <c r="D2733" s="35">
        <v>39.71139908</v>
      </c>
      <c r="E2733" s="32" t="s">
        <v>18</v>
      </c>
      <c r="F2733" s="32" t="s">
        <v>6901</v>
      </c>
      <c r="G2733" s="36" t="e">
        <v>#N/A</v>
      </c>
      <c r="H2733" s="33"/>
      <c r="I2733" s="33"/>
      <c r="J2733" s="33"/>
      <c r="K2733" s="33"/>
      <c r="L2733" s="33"/>
      <c r="M2733" s="33"/>
    </row>
    <row r="2734">
      <c r="A2734" s="32" t="s">
        <v>6902</v>
      </c>
      <c r="B2734" s="32" t="s">
        <v>6903</v>
      </c>
      <c r="C2734" s="35">
        <v>31.90940094</v>
      </c>
      <c r="D2734" s="35">
        <v>70.89659882</v>
      </c>
      <c r="E2734" s="32" t="s">
        <v>1470</v>
      </c>
      <c r="F2734" s="32" t="s">
        <v>6904</v>
      </c>
      <c r="G2734" s="36" t="e">
        <v>#N/A</v>
      </c>
      <c r="H2734" s="33"/>
      <c r="I2734" s="33"/>
      <c r="J2734" s="33"/>
      <c r="K2734" s="33"/>
      <c r="L2734" s="33"/>
      <c r="M2734" s="33"/>
    </row>
    <row r="2735">
      <c r="A2735" s="32" t="s">
        <v>6905</v>
      </c>
      <c r="B2735" s="32" t="s">
        <v>6906</v>
      </c>
      <c r="C2735" s="35">
        <v>41.5340004</v>
      </c>
      <c r="D2735" s="35">
        <v>-93.6631012</v>
      </c>
      <c r="E2735" s="32" t="s">
        <v>180</v>
      </c>
      <c r="F2735" s="32" t="s">
        <v>6907</v>
      </c>
      <c r="G2735" s="39" t="s">
        <v>181</v>
      </c>
      <c r="H2735" s="33"/>
      <c r="I2735" s="33"/>
      <c r="J2735" s="33"/>
      <c r="K2735" s="33"/>
      <c r="L2735" s="33"/>
      <c r="M2735" s="33"/>
    </row>
    <row r="2736">
      <c r="A2736" s="32" t="s">
        <v>6908</v>
      </c>
      <c r="B2736" s="32" t="s">
        <v>6909</v>
      </c>
      <c r="C2736" s="35">
        <v>39.49</v>
      </c>
      <c r="D2736" s="35">
        <v>109.8613889</v>
      </c>
      <c r="E2736" s="32" t="s">
        <v>205</v>
      </c>
      <c r="F2736" s="32" t="s">
        <v>6910</v>
      </c>
      <c r="G2736" s="39" t="s">
        <v>206</v>
      </c>
      <c r="H2736" s="33"/>
      <c r="I2736" s="33"/>
      <c r="J2736" s="33"/>
      <c r="K2736" s="33"/>
      <c r="L2736" s="33"/>
      <c r="M2736" s="33"/>
    </row>
    <row r="2737">
      <c r="A2737" s="32" t="s">
        <v>6911</v>
      </c>
      <c r="B2737" s="32" t="s">
        <v>6912</v>
      </c>
      <c r="C2737" s="35">
        <v>39.745201</v>
      </c>
      <c r="D2737" s="35">
        <v>127.473999</v>
      </c>
      <c r="E2737" s="32" t="s">
        <v>3364</v>
      </c>
      <c r="F2737" s="32" t="s">
        <v>6913</v>
      </c>
      <c r="G2737" s="36" t="e">
        <v>#N/A</v>
      </c>
      <c r="H2737" s="33"/>
      <c r="I2737" s="33"/>
      <c r="J2737" s="33"/>
      <c r="K2737" s="33"/>
      <c r="L2737" s="33"/>
      <c r="M2737" s="33"/>
    </row>
    <row r="2738">
      <c r="A2738" s="32" t="s">
        <v>6914</v>
      </c>
      <c r="B2738" s="32" t="s">
        <v>6915</v>
      </c>
      <c r="C2738" s="35">
        <v>39.38059998</v>
      </c>
      <c r="D2738" s="35">
        <v>-112.5080032</v>
      </c>
      <c r="E2738" s="32" t="s">
        <v>180</v>
      </c>
      <c r="F2738" s="32" t="s">
        <v>6916</v>
      </c>
      <c r="G2738" s="39" t="s">
        <v>181</v>
      </c>
      <c r="H2738" s="33"/>
      <c r="I2738" s="33"/>
      <c r="J2738" s="33"/>
      <c r="K2738" s="33"/>
      <c r="L2738" s="33"/>
      <c r="M2738" s="33"/>
    </row>
    <row r="2739">
      <c r="A2739" s="32" t="s">
        <v>6917</v>
      </c>
      <c r="B2739" s="32" t="s">
        <v>6918</v>
      </c>
      <c r="C2739" s="35">
        <v>2.25973</v>
      </c>
      <c r="D2739" s="35">
        <v>98.991898</v>
      </c>
      <c r="E2739" s="32" t="s">
        <v>280</v>
      </c>
      <c r="F2739" s="32" t="s">
        <v>6919</v>
      </c>
      <c r="G2739" s="36" t="e">
        <v>#N/A</v>
      </c>
      <c r="H2739" s="33"/>
      <c r="I2739" s="33"/>
      <c r="J2739" s="33"/>
      <c r="K2739" s="33"/>
      <c r="L2739" s="33"/>
      <c r="M2739" s="33"/>
    </row>
    <row r="2740">
      <c r="A2740" s="32" t="s">
        <v>6920</v>
      </c>
      <c r="B2740" s="32" t="s">
        <v>6921</v>
      </c>
      <c r="C2740" s="35">
        <v>0.8106</v>
      </c>
      <c r="D2740" s="35">
        <v>114.5306</v>
      </c>
      <c r="E2740" s="32" t="s">
        <v>280</v>
      </c>
      <c r="F2740" s="32" t="s">
        <v>6922</v>
      </c>
      <c r="G2740" s="36" t="e">
        <v>#N/A</v>
      </c>
      <c r="H2740" s="33"/>
      <c r="I2740" s="33"/>
      <c r="J2740" s="33"/>
      <c r="K2740" s="33"/>
      <c r="L2740" s="33"/>
      <c r="M2740" s="33"/>
    </row>
    <row r="2741">
      <c r="A2741" s="32" t="s">
        <v>6923</v>
      </c>
      <c r="B2741" s="32" t="s">
        <v>6924</v>
      </c>
      <c r="C2741" s="35">
        <v>-18.23200035</v>
      </c>
      <c r="D2741" s="35">
        <v>-43.65039825</v>
      </c>
      <c r="E2741" s="32" t="s">
        <v>288</v>
      </c>
      <c r="F2741" s="32" t="s">
        <v>6925</v>
      </c>
      <c r="G2741" s="36" t="e">
        <v>#N/A</v>
      </c>
      <c r="H2741" s="33"/>
      <c r="I2741" s="33"/>
      <c r="J2741" s="33"/>
      <c r="K2741" s="33"/>
      <c r="L2741" s="33"/>
      <c r="M2741" s="33"/>
    </row>
    <row r="2742">
      <c r="A2742" s="32" t="s">
        <v>6926</v>
      </c>
      <c r="B2742" s="32" t="s">
        <v>6927</v>
      </c>
      <c r="C2742" s="35">
        <v>51.5182991</v>
      </c>
      <c r="D2742" s="35">
        <v>7.612239838</v>
      </c>
      <c r="E2742" s="32" t="s">
        <v>109</v>
      </c>
      <c r="F2742" s="32" t="s">
        <v>6928</v>
      </c>
      <c r="G2742" s="39" t="s">
        <v>110</v>
      </c>
      <c r="H2742" s="33"/>
      <c r="I2742" s="33"/>
      <c r="J2742" s="33"/>
      <c r="K2742" s="33"/>
      <c r="L2742" s="33"/>
      <c r="M2742" s="33"/>
    </row>
    <row r="2743">
      <c r="A2743" s="32" t="s">
        <v>6929</v>
      </c>
      <c r="B2743" s="32" t="s">
        <v>6930</v>
      </c>
      <c r="C2743" s="35">
        <v>30.40010071</v>
      </c>
      <c r="D2743" s="35">
        <v>-86.47149658</v>
      </c>
      <c r="E2743" s="32" t="s">
        <v>180</v>
      </c>
      <c r="F2743" s="32" t="s">
        <v>6931</v>
      </c>
      <c r="G2743" s="39" t="s">
        <v>181</v>
      </c>
      <c r="H2743" s="33"/>
      <c r="I2743" s="33"/>
      <c r="J2743" s="33"/>
      <c r="K2743" s="33"/>
      <c r="L2743" s="33"/>
      <c r="M2743" s="33"/>
    </row>
    <row r="2744">
      <c r="A2744" s="32" t="s">
        <v>6932</v>
      </c>
      <c r="B2744" s="32" t="s">
        <v>6933</v>
      </c>
      <c r="C2744" s="35">
        <v>42.21239853</v>
      </c>
      <c r="D2744" s="35">
        <v>-83.35340118</v>
      </c>
      <c r="E2744" s="32" t="s">
        <v>180</v>
      </c>
      <c r="F2744" s="32" t="s">
        <v>6621</v>
      </c>
      <c r="G2744" s="39" t="s">
        <v>181</v>
      </c>
      <c r="H2744" s="33"/>
      <c r="I2744" s="33"/>
      <c r="J2744" s="33"/>
      <c r="K2744" s="33"/>
      <c r="L2744" s="33"/>
      <c r="M2744" s="33"/>
    </row>
    <row r="2745">
      <c r="A2745" s="32" t="s">
        <v>6934</v>
      </c>
      <c r="B2745" s="32" t="s">
        <v>6935</v>
      </c>
      <c r="C2745" s="35">
        <v>42.87220001</v>
      </c>
      <c r="D2745" s="35">
        <v>-79.59580231</v>
      </c>
      <c r="E2745" s="32" t="s">
        <v>94</v>
      </c>
      <c r="F2745" s="32" t="s">
        <v>6936</v>
      </c>
      <c r="G2745" s="36" t="e">
        <v>#N/A</v>
      </c>
      <c r="H2745" s="33"/>
      <c r="I2745" s="33"/>
      <c r="J2745" s="33"/>
      <c r="K2745" s="33"/>
      <c r="L2745" s="33"/>
      <c r="M2745" s="33"/>
    </row>
    <row r="2746">
      <c r="A2746" s="32" t="s">
        <v>6937</v>
      </c>
      <c r="B2746" s="32" t="s">
        <v>6938</v>
      </c>
      <c r="C2746" s="35">
        <v>53.42129898</v>
      </c>
      <c r="D2746" s="35">
        <v>-6.270070076</v>
      </c>
      <c r="E2746" s="32" t="s">
        <v>199</v>
      </c>
      <c r="F2746" s="32" t="s">
        <v>6562</v>
      </c>
      <c r="G2746" s="39" t="s">
        <v>200</v>
      </c>
      <c r="H2746" s="33"/>
      <c r="I2746" s="33"/>
      <c r="J2746" s="33"/>
      <c r="K2746" s="33"/>
      <c r="L2746" s="33"/>
      <c r="M2746" s="33"/>
    </row>
    <row r="2747">
      <c r="A2747" s="32" t="s">
        <v>6939</v>
      </c>
      <c r="B2747" s="32" t="s">
        <v>6940</v>
      </c>
      <c r="C2747" s="35">
        <v>34.47090149</v>
      </c>
      <c r="D2747" s="35">
        <v>-97.9598999</v>
      </c>
      <c r="E2747" s="32" t="s">
        <v>180</v>
      </c>
      <c r="F2747" s="32" t="s">
        <v>6941</v>
      </c>
      <c r="G2747" s="39" t="s">
        <v>181</v>
      </c>
      <c r="H2747" s="33"/>
      <c r="I2747" s="33"/>
      <c r="J2747" s="33"/>
      <c r="K2747" s="33"/>
      <c r="L2747" s="33"/>
      <c r="M2747" s="33"/>
    </row>
    <row r="2748">
      <c r="A2748" s="32" t="s">
        <v>6942</v>
      </c>
      <c r="B2748" s="32" t="s">
        <v>6943</v>
      </c>
      <c r="C2748" s="35">
        <v>-45.92810059</v>
      </c>
      <c r="D2748" s="35">
        <v>170.197998</v>
      </c>
      <c r="E2748" s="32" t="s">
        <v>1328</v>
      </c>
      <c r="F2748" s="32" t="s">
        <v>6944</v>
      </c>
      <c r="G2748" s="36" t="e">
        <v>#N/A</v>
      </c>
      <c r="H2748" s="33"/>
      <c r="I2748" s="33"/>
      <c r="J2748" s="33"/>
      <c r="K2748" s="33"/>
      <c r="L2748" s="33"/>
      <c r="M2748" s="33"/>
    </row>
    <row r="2749">
      <c r="A2749" s="32" t="s">
        <v>6945</v>
      </c>
      <c r="B2749" s="32" t="s">
        <v>6946</v>
      </c>
      <c r="C2749" s="35">
        <v>-7.400889874</v>
      </c>
      <c r="D2749" s="35">
        <v>20.81850052</v>
      </c>
      <c r="E2749" s="32" t="s">
        <v>764</v>
      </c>
      <c r="F2749" s="32" t="s">
        <v>6947</v>
      </c>
      <c r="G2749" s="36" t="e">
        <v>#N/A</v>
      </c>
      <c r="H2749" s="33"/>
      <c r="I2749" s="33"/>
      <c r="J2749" s="33"/>
      <c r="K2749" s="33"/>
      <c r="L2749" s="33"/>
      <c r="M2749" s="33"/>
    </row>
    <row r="2750">
      <c r="A2750" s="32" t="s">
        <v>6948</v>
      </c>
      <c r="B2750" s="32" t="s">
        <v>6949</v>
      </c>
      <c r="C2750" s="35">
        <v>31.46899986</v>
      </c>
      <c r="D2750" s="35">
        <v>-109.6039963</v>
      </c>
      <c r="E2750" s="32" t="s">
        <v>180</v>
      </c>
      <c r="F2750" s="32" t="s">
        <v>6633</v>
      </c>
      <c r="G2750" s="39" t="s">
        <v>181</v>
      </c>
      <c r="H2750" s="33"/>
      <c r="I2750" s="33"/>
      <c r="J2750" s="33"/>
      <c r="K2750" s="33"/>
      <c r="L2750" s="33"/>
      <c r="M2750" s="33"/>
    </row>
    <row r="2751">
      <c r="A2751" s="32" t="s">
        <v>6950</v>
      </c>
      <c r="B2751" s="32" t="s">
        <v>6951</v>
      </c>
      <c r="C2751" s="35">
        <v>-33.60699844</v>
      </c>
      <c r="D2751" s="35">
        <v>22.18899918</v>
      </c>
      <c r="E2751" s="32" t="s">
        <v>16</v>
      </c>
      <c r="F2751" s="32" t="s">
        <v>6952</v>
      </c>
      <c r="G2751" s="36" t="e">
        <v>#N/A</v>
      </c>
      <c r="H2751" s="33"/>
      <c r="I2751" s="33"/>
      <c r="J2751" s="33"/>
      <c r="K2751" s="33"/>
      <c r="L2751" s="33"/>
      <c r="M2751" s="33"/>
    </row>
    <row r="2752">
      <c r="A2752" s="32" t="s">
        <v>6953</v>
      </c>
      <c r="B2752" s="32" t="s">
        <v>6954</v>
      </c>
      <c r="C2752" s="35">
        <v>41.17829895</v>
      </c>
      <c r="D2752" s="35">
        <v>-78.8986969</v>
      </c>
      <c r="E2752" s="32" t="s">
        <v>180</v>
      </c>
      <c r="F2752" s="32" t="s">
        <v>6955</v>
      </c>
      <c r="G2752" s="39" t="s">
        <v>181</v>
      </c>
      <c r="H2752" s="33"/>
      <c r="I2752" s="33"/>
      <c r="J2752" s="33"/>
      <c r="K2752" s="33"/>
      <c r="L2752" s="33"/>
      <c r="M2752" s="33"/>
    </row>
    <row r="2753">
      <c r="A2753" s="32" t="s">
        <v>6956</v>
      </c>
      <c r="B2753" s="32" t="s">
        <v>6957</v>
      </c>
      <c r="C2753" s="35">
        <v>1.60919</v>
      </c>
      <c r="D2753" s="35">
        <v>101.433998</v>
      </c>
      <c r="E2753" s="32" t="s">
        <v>280</v>
      </c>
      <c r="F2753" s="32" t="s">
        <v>6958</v>
      </c>
      <c r="G2753" s="36" t="e">
        <v>#N/A</v>
      </c>
      <c r="H2753" s="33"/>
      <c r="I2753" s="33"/>
      <c r="J2753" s="33"/>
      <c r="K2753" s="33"/>
      <c r="L2753" s="33"/>
      <c r="M2753" s="33"/>
    </row>
    <row r="2754">
      <c r="A2754" s="32" t="s">
        <v>6959</v>
      </c>
      <c r="B2754" s="32" t="s">
        <v>6960</v>
      </c>
      <c r="C2754" s="35">
        <v>-29.61444444</v>
      </c>
      <c r="D2754" s="35">
        <v>31.11972222</v>
      </c>
      <c r="E2754" s="32" t="s">
        <v>16</v>
      </c>
      <c r="F2754" s="32" t="s">
        <v>6961</v>
      </c>
      <c r="G2754" s="36" t="e">
        <v>#N/A</v>
      </c>
      <c r="H2754" s="33"/>
      <c r="I2754" s="33"/>
      <c r="J2754" s="33"/>
      <c r="K2754" s="33"/>
      <c r="L2754" s="33"/>
      <c r="M2754" s="33"/>
    </row>
    <row r="2755">
      <c r="A2755" s="32" t="s">
        <v>6962</v>
      </c>
      <c r="B2755" s="32" t="s">
        <v>6963</v>
      </c>
      <c r="C2755" s="35">
        <v>51.28950119</v>
      </c>
      <c r="D2755" s="35">
        <v>6.7667799</v>
      </c>
      <c r="E2755" s="32" t="s">
        <v>109</v>
      </c>
      <c r="F2755" s="32" t="s">
        <v>6964</v>
      </c>
      <c r="G2755" s="39" t="s">
        <v>110</v>
      </c>
      <c r="H2755" s="33"/>
      <c r="I2755" s="33"/>
      <c r="J2755" s="33"/>
      <c r="K2755" s="33"/>
      <c r="L2755" s="33"/>
      <c r="M2755" s="33"/>
    </row>
    <row r="2756">
      <c r="A2756" s="32" t="s">
        <v>6965</v>
      </c>
      <c r="B2756" s="32" t="s">
        <v>6966</v>
      </c>
      <c r="C2756" s="35">
        <v>53.90010071</v>
      </c>
      <c r="D2756" s="35">
        <v>-166.5440063</v>
      </c>
      <c r="E2756" s="32" t="s">
        <v>180</v>
      </c>
      <c r="F2756" s="32" t="s">
        <v>6967</v>
      </c>
      <c r="G2756" s="39" t="s">
        <v>181</v>
      </c>
      <c r="H2756" s="33"/>
      <c r="I2756" s="33"/>
      <c r="J2756" s="33"/>
      <c r="K2756" s="33"/>
      <c r="L2756" s="33"/>
      <c r="M2756" s="33"/>
    </row>
    <row r="2757">
      <c r="A2757" s="32" t="s">
        <v>6968</v>
      </c>
      <c r="B2757" s="32" t="s">
        <v>6969</v>
      </c>
      <c r="C2757" s="35">
        <v>48.11420059</v>
      </c>
      <c r="D2757" s="35">
        <v>-98.90879822</v>
      </c>
      <c r="E2757" s="32" t="s">
        <v>180</v>
      </c>
      <c r="F2757" s="32" t="s">
        <v>6970</v>
      </c>
      <c r="G2757" s="39" t="s">
        <v>181</v>
      </c>
      <c r="H2757" s="33"/>
      <c r="I2757" s="33"/>
      <c r="J2757" s="33"/>
      <c r="K2757" s="33"/>
      <c r="L2757" s="33"/>
      <c r="M2757" s="33"/>
    </row>
    <row r="2758">
      <c r="A2758" s="32" t="s">
        <v>6971</v>
      </c>
      <c r="B2758" s="32" t="s">
        <v>6972</v>
      </c>
      <c r="C2758" s="35">
        <v>7.125520229</v>
      </c>
      <c r="D2758" s="35">
        <v>125.6460037</v>
      </c>
      <c r="E2758" s="32" t="s">
        <v>270</v>
      </c>
      <c r="F2758" s="32" t="s">
        <v>6973</v>
      </c>
      <c r="G2758" s="36" t="e">
        <v>#N/A</v>
      </c>
      <c r="H2758" s="33"/>
      <c r="I2758" s="33"/>
      <c r="J2758" s="33"/>
      <c r="K2758" s="33"/>
      <c r="L2758" s="33"/>
      <c r="M2758" s="33"/>
    </row>
    <row r="2759">
      <c r="A2759" s="32" t="s">
        <v>6974</v>
      </c>
      <c r="B2759" s="32" t="s">
        <v>6975</v>
      </c>
      <c r="C2759" s="35">
        <v>33.68830109</v>
      </c>
      <c r="D2759" s="35">
        <v>-112.0830002</v>
      </c>
      <c r="E2759" s="32" t="s">
        <v>180</v>
      </c>
      <c r="F2759" s="32" t="s">
        <v>3418</v>
      </c>
      <c r="G2759" s="39" t="s">
        <v>181</v>
      </c>
      <c r="H2759" s="33"/>
      <c r="I2759" s="33"/>
      <c r="J2759" s="33"/>
      <c r="K2759" s="33"/>
      <c r="L2759" s="33"/>
      <c r="M2759" s="33"/>
    </row>
    <row r="2760">
      <c r="A2760" s="32" t="s">
        <v>6976</v>
      </c>
      <c r="B2760" s="32" t="s">
        <v>6977</v>
      </c>
      <c r="C2760" s="35">
        <v>38.57910156</v>
      </c>
      <c r="D2760" s="35">
        <v>-121.8570023</v>
      </c>
      <c r="E2760" s="32" t="s">
        <v>180</v>
      </c>
      <c r="F2760" s="32" t="s">
        <v>6978</v>
      </c>
      <c r="G2760" s="39" t="s">
        <v>181</v>
      </c>
      <c r="H2760" s="33"/>
      <c r="I2760" s="33"/>
      <c r="J2760" s="33"/>
      <c r="K2760" s="33"/>
      <c r="L2760" s="33"/>
      <c r="M2760" s="33"/>
    </row>
    <row r="2761">
      <c r="A2761" s="32" t="s">
        <v>6979</v>
      </c>
      <c r="B2761" s="32" t="s">
        <v>6980</v>
      </c>
      <c r="C2761" s="35">
        <v>-16.10169042</v>
      </c>
      <c r="D2761" s="35">
        <v>45.35883665</v>
      </c>
      <c r="E2761" s="32" t="s">
        <v>384</v>
      </c>
      <c r="F2761" s="32" t="s">
        <v>6981</v>
      </c>
      <c r="G2761" s="36" t="e">
        <v>#N/A</v>
      </c>
      <c r="H2761" s="33"/>
      <c r="I2761" s="33"/>
      <c r="J2761" s="33"/>
      <c r="K2761" s="33"/>
      <c r="L2761" s="33"/>
      <c r="M2761" s="33"/>
    </row>
    <row r="2762">
      <c r="A2762" s="32" t="s">
        <v>6982</v>
      </c>
      <c r="B2762" s="32" t="s">
        <v>6983</v>
      </c>
      <c r="C2762" s="35">
        <v>24.896356</v>
      </c>
      <c r="D2762" s="35">
        <v>55.161389</v>
      </c>
      <c r="E2762" s="32" t="s">
        <v>139</v>
      </c>
      <c r="F2762" s="32" t="s">
        <v>6984</v>
      </c>
      <c r="G2762" s="39" t="s">
        <v>140</v>
      </c>
      <c r="H2762" s="33"/>
      <c r="I2762" s="33"/>
      <c r="J2762" s="33"/>
      <c r="K2762" s="33"/>
      <c r="L2762" s="33"/>
      <c r="M2762" s="33"/>
    </row>
    <row r="2763">
      <c r="A2763" s="32" t="s">
        <v>6985</v>
      </c>
      <c r="B2763" s="32" t="s">
        <v>3244</v>
      </c>
      <c r="C2763" s="35">
        <v>24.5</v>
      </c>
      <c r="D2763" s="35">
        <v>44.40000153</v>
      </c>
      <c r="E2763" s="32" t="s">
        <v>223</v>
      </c>
      <c r="F2763" s="32" t="s">
        <v>6986</v>
      </c>
      <c r="G2763" s="36" t="e">
        <v>#N/A</v>
      </c>
      <c r="H2763" s="33"/>
      <c r="I2763" s="33"/>
      <c r="J2763" s="33"/>
      <c r="K2763" s="33"/>
      <c r="L2763" s="33"/>
      <c r="M2763" s="33"/>
    </row>
    <row r="2764">
      <c r="A2764" s="32" t="s">
        <v>6987</v>
      </c>
      <c r="B2764" s="32" t="s">
        <v>6988</v>
      </c>
      <c r="C2764" s="35">
        <v>30.0618</v>
      </c>
      <c r="D2764" s="35">
        <v>-95.55280304</v>
      </c>
      <c r="E2764" s="32" t="s">
        <v>180</v>
      </c>
      <c r="F2764" s="32" t="s">
        <v>3455</v>
      </c>
      <c r="G2764" s="39" t="s">
        <v>181</v>
      </c>
      <c r="H2764" s="33"/>
      <c r="I2764" s="33"/>
      <c r="J2764" s="33"/>
      <c r="K2764" s="33"/>
      <c r="L2764" s="33"/>
      <c r="M2764" s="33"/>
    </row>
    <row r="2765">
      <c r="A2765" s="32" t="s">
        <v>6989</v>
      </c>
      <c r="B2765" s="32" t="s">
        <v>6990</v>
      </c>
      <c r="C2765" s="35">
        <v>25.25279999</v>
      </c>
      <c r="D2765" s="35">
        <v>55.36439896</v>
      </c>
      <c r="E2765" s="32" t="s">
        <v>139</v>
      </c>
      <c r="F2765" s="32" t="s">
        <v>6984</v>
      </c>
      <c r="G2765" s="39" t="s">
        <v>140</v>
      </c>
      <c r="H2765" s="33"/>
      <c r="I2765" s="33"/>
      <c r="J2765" s="33"/>
      <c r="K2765" s="33"/>
      <c r="L2765" s="33"/>
      <c r="M2765" s="33"/>
    </row>
    <row r="2766">
      <c r="A2766" s="32" t="s">
        <v>6991</v>
      </c>
      <c r="B2766" s="32" t="s">
        <v>6992</v>
      </c>
      <c r="C2766" s="35">
        <v>41.37149811</v>
      </c>
      <c r="D2766" s="35">
        <v>-73.48220062</v>
      </c>
      <c r="E2766" s="32" t="s">
        <v>180</v>
      </c>
      <c r="F2766" s="32" t="s">
        <v>6993</v>
      </c>
      <c r="G2766" s="39" t="s">
        <v>181</v>
      </c>
      <c r="H2766" s="33"/>
      <c r="I2766" s="33"/>
      <c r="J2766" s="33"/>
      <c r="K2766" s="33"/>
      <c r="L2766" s="33"/>
      <c r="M2766" s="33"/>
    </row>
    <row r="2767">
      <c r="A2767" s="32" t="s">
        <v>6994</v>
      </c>
      <c r="B2767" s="32" t="s">
        <v>6995</v>
      </c>
      <c r="C2767" s="35">
        <v>-22.62220001</v>
      </c>
      <c r="D2767" s="35">
        <v>148.3639984</v>
      </c>
      <c r="E2767" s="32" t="s">
        <v>1968</v>
      </c>
      <c r="F2767" s="33"/>
      <c r="G2767" s="36" t="e">
        <v>#N/A</v>
      </c>
      <c r="H2767" s="33"/>
      <c r="I2767" s="33"/>
      <c r="J2767" s="33"/>
      <c r="K2767" s="33"/>
      <c r="L2767" s="33"/>
      <c r="M2767" s="33"/>
    </row>
    <row r="2768">
      <c r="A2768" s="32" t="s">
        <v>6996</v>
      </c>
      <c r="B2768" s="32" t="s">
        <v>6997</v>
      </c>
      <c r="C2768" s="35">
        <v>29.1028</v>
      </c>
      <c r="D2768" s="35">
        <v>110.443001</v>
      </c>
      <c r="E2768" s="32" t="s">
        <v>205</v>
      </c>
      <c r="F2768" s="32" t="s">
        <v>6998</v>
      </c>
      <c r="G2768" s="39" t="s">
        <v>206</v>
      </c>
      <c r="H2768" s="33"/>
      <c r="I2768" s="33"/>
      <c r="J2768" s="33"/>
      <c r="K2768" s="33"/>
      <c r="L2768" s="33"/>
      <c r="M2768" s="33"/>
    </row>
    <row r="2769">
      <c r="A2769" s="32" t="s">
        <v>6999</v>
      </c>
      <c r="B2769" s="32" t="s">
        <v>7000</v>
      </c>
      <c r="C2769" s="35">
        <v>40.33300018</v>
      </c>
      <c r="D2769" s="35">
        <v>-75.12229919</v>
      </c>
      <c r="E2769" s="32" t="s">
        <v>180</v>
      </c>
      <c r="F2769" s="32" t="s">
        <v>7001</v>
      </c>
      <c r="G2769" s="39" t="s">
        <v>181</v>
      </c>
      <c r="H2769" s="33"/>
      <c r="I2769" s="33"/>
      <c r="J2769" s="33"/>
      <c r="K2769" s="33"/>
      <c r="L2769" s="33"/>
      <c r="M2769" s="33"/>
    </row>
    <row r="2770">
      <c r="A2770" s="32" t="s">
        <v>7002</v>
      </c>
      <c r="B2770" s="32" t="s">
        <v>7003</v>
      </c>
      <c r="C2770" s="35">
        <v>64.73490143</v>
      </c>
      <c r="D2770" s="35">
        <v>177.7409973</v>
      </c>
      <c r="E2770" s="32" t="s">
        <v>2040</v>
      </c>
      <c r="F2770" s="32" t="s">
        <v>7004</v>
      </c>
      <c r="G2770" s="36" t="e">
        <v>#N/A</v>
      </c>
      <c r="H2770" s="33"/>
      <c r="I2770" s="33"/>
      <c r="J2770" s="33"/>
      <c r="K2770" s="33"/>
      <c r="L2770" s="33"/>
      <c r="M2770" s="33"/>
    </row>
    <row r="2771">
      <c r="A2771" s="32" t="s">
        <v>7005</v>
      </c>
      <c r="B2771" s="32" t="s">
        <v>7006</v>
      </c>
      <c r="C2771" s="35">
        <v>32.42079926</v>
      </c>
      <c r="D2771" s="35">
        <v>-99.854599</v>
      </c>
      <c r="E2771" s="32" t="s">
        <v>180</v>
      </c>
      <c r="F2771" s="32" t="s">
        <v>3491</v>
      </c>
      <c r="G2771" s="39" t="s">
        <v>181</v>
      </c>
      <c r="H2771" s="33"/>
      <c r="I2771" s="33"/>
      <c r="J2771" s="33"/>
      <c r="K2771" s="33"/>
      <c r="L2771" s="33"/>
      <c r="M2771" s="33"/>
    </row>
    <row r="2772">
      <c r="A2772" s="32" t="s">
        <v>7007</v>
      </c>
      <c r="B2772" s="32" t="s">
        <v>7008</v>
      </c>
      <c r="C2772" s="35">
        <v>38.54330063</v>
      </c>
      <c r="D2772" s="35">
        <v>68.82499695</v>
      </c>
      <c r="E2772" s="32" t="s">
        <v>2237</v>
      </c>
      <c r="F2772" s="32" t="s">
        <v>7009</v>
      </c>
      <c r="G2772" s="36" t="e">
        <v>#N/A</v>
      </c>
      <c r="H2772" s="33"/>
      <c r="I2772" s="33"/>
      <c r="J2772" s="33"/>
      <c r="K2772" s="33"/>
      <c r="L2772" s="33"/>
      <c r="M2772" s="33"/>
    </row>
    <row r="2773">
      <c r="A2773" s="32" t="s">
        <v>7010</v>
      </c>
      <c r="B2773" s="32" t="s">
        <v>7011</v>
      </c>
      <c r="C2773" s="35">
        <v>-12.8046999</v>
      </c>
      <c r="D2773" s="35">
        <v>45.28110123</v>
      </c>
      <c r="E2773" s="32" t="s">
        <v>7012</v>
      </c>
      <c r="F2773" s="32" t="s">
        <v>7013</v>
      </c>
      <c r="G2773" s="36" t="e">
        <v>#N/A</v>
      </c>
      <c r="H2773" s="33"/>
      <c r="I2773" s="33"/>
      <c r="J2773" s="33"/>
      <c r="K2773" s="33"/>
      <c r="L2773" s="33"/>
      <c r="M2773" s="33"/>
    </row>
    <row r="2774">
      <c r="A2774" s="32" t="s">
        <v>7014</v>
      </c>
      <c r="B2774" s="32" t="s">
        <v>7015</v>
      </c>
      <c r="C2774" s="35">
        <v>47.708302</v>
      </c>
      <c r="D2774" s="35">
        <v>67.733299</v>
      </c>
      <c r="E2774" s="32" t="s">
        <v>2817</v>
      </c>
      <c r="F2774" s="32" t="s">
        <v>7016</v>
      </c>
      <c r="G2774" s="36" t="e">
        <v>#N/A</v>
      </c>
      <c r="H2774" s="33"/>
      <c r="I2774" s="33"/>
      <c r="J2774" s="33"/>
      <c r="K2774" s="33"/>
      <c r="L2774" s="33"/>
      <c r="M2774" s="33"/>
    </row>
    <row r="2775">
      <c r="A2775" s="32" t="s">
        <v>7017</v>
      </c>
      <c r="B2775" s="32" t="s">
        <v>7018</v>
      </c>
      <c r="C2775" s="35">
        <v>33.96889877</v>
      </c>
      <c r="D2775" s="35">
        <v>-112.7990036</v>
      </c>
      <c r="E2775" s="32" t="s">
        <v>180</v>
      </c>
      <c r="F2775" s="32" t="s">
        <v>7019</v>
      </c>
      <c r="G2775" s="39" t="s">
        <v>181</v>
      </c>
      <c r="H2775" s="33"/>
      <c r="I2775" s="33"/>
      <c r="J2775" s="33"/>
      <c r="K2775" s="33"/>
      <c r="L2775" s="33"/>
      <c r="M2775" s="33"/>
    </row>
    <row r="2776">
      <c r="A2776" s="32" t="s">
        <v>7020</v>
      </c>
      <c r="B2776" s="32" t="s">
        <v>7021</v>
      </c>
      <c r="C2776" s="35">
        <v>30.38419914</v>
      </c>
      <c r="D2776" s="35">
        <v>-103.6839981</v>
      </c>
      <c r="E2776" s="32" t="s">
        <v>180</v>
      </c>
      <c r="F2776" s="32" t="s">
        <v>7022</v>
      </c>
      <c r="G2776" s="39" t="s">
        <v>181</v>
      </c>
      <c r="H2776" s="33"/>
      <c r="I2776" s="33"/>
      <c r="J2776" s="33"/>
      <c r="K2776" s="33"/>
      <c r="L2776" s="33"/>
      <c r="M2776" s="33"/>
    </row>
    <row r="2777">
      <c r="A2777" s="32" t="s">
        <v>7023</v>
      </c>
      <c r="B2777" s="32" t="s">
        <v>7024</v>
      </c>
      <c r="C2777" s="35">
        <v>32.95809937</v>
      </c>
      <c r="D2777" s="35">
        <v>-112.6780014</v>
      </c>
      <c r="E2777" s="32" t="s">
        <v>180</v>
      </c>
      <c r="F2777" s="32" t="s">
        <v>7025</v>
      </c>
      <c r="G2777" s="39" t="s">
        <v>181</v>
      </c>
      <c r="H2777" s="33"/>
      <c r="I2777" s="33"/>
      <c r="J2777" s="33"/>
      <c r="K2777" s="33"/>
      <c r="L2777" s="33"/>
      <c r="M2777" s="33"/>
    </row>
    <row r="2778">
      <c r="A2778" s="32" t="s">
        <v>7026</v>
      </c>
      <c r="B2778" s="32" t="s">
        <v>7027</v>
      </c>
      <c r="C2778" s="35">
        <v>64.77639771</v>
      </c>
      <c r="D2778" s="35">
        <v>-141.151001</v>
      </c>
      <c r="E2778" s="32" t="s">
        <v>180</v>
      </c>
      <c r="F2778" s="32" t="s">
        <v>7028</v>
      </c>
      <c r="G2778" s="39" t="s">
        <v>181</v>
      </c>
      <c r="H2778" s="33"/>
      <c r="I2778" s="33"/>
      <c r="J2778" s="33"/>
      <c r="K2778" s="33"/>
      <c r="L2778" s="33"/>
      <c r="M2778" s="33"/>
    </row>
    <row r="2779">
      <c r="A2779" s="32" t="s">
        <v>7029</v>
      </c>
      <c r="B2779" s="32" t="s">
        <v>7030</v>
      </c>
      <c r="C2779" s="35">
        <v>-17.09029961</v>
      </c>
      <c r="D2779" s="35">
        <v>168.3430023</v>
      </c>
      <c r="E2779" s="32" t="s">
        <v>4279</v>
      </c>
      <c r="F2779" s="32" t="s">
        <v>7031</v>
      </c>
      <c r="G2779" s="36" t="e">
        <v>#N/A</v>
      </c>
      <c r="H2779" s="33"/>
      <c r="I2779" s="33"/>
      <c r="J2779" s="33"/>
      <c r="K2779" s="33"/>
      <c r="L2779" s="33"/>
      <c r="M2779" s="33"/>
    </row>
    <row r="2780">
      <c r="A2780" s="32" t="s">
        <v>7032</v>
      </c>
      <c r="B2780" s="32" t="s">
        <v>7033</v>
      </c>
      <c r="C2780" s="35">
        <v>17.6114006</v>
      </c>
      <c r="D2780" s="35">
        <v>44.4192009</v>
      </c>
      <c r="E2780" s="32" t="s">
        <v>223</v>
      </c>
      <c r="F2780" s="32" t="s">
        <v>7034</v>
      </c>
      <c r="G2780" s="36" t="e">
        <v>#N/A</v>
      </c>
      <c r="H2780" s="33"/>
      <c r="I2780" s="33"/>
      <c r="J2780" s="33"/>
      <c r="K2780" s="33"/>
      <c r="L2780" s="33"/>
      <c r="M2780" s="33"/>
    </row>
    <row r="2781">
      <c r="A2781" s="32" t="s">
        <v>7035</v>
      </c>
      <c r="B2781" s="32" t="s">
        <v>7036</v>
      </c>
      <c r="C2781" s="35">
        <v>43.35649872</v>
      </c>
      <c r="D2781" s="35">
        <v>-1.790609956</v>
      </c>
      <c r="E2781" s="32" t="s">
        <v>115</v>
      </c>
      <c r="F2781" s="32" t="s">
        <v>3126</v>
      </c>
      <c r="G2781" s="39" t="s">
        <v>116</v>
      </c>
      <c r="H2781" s="33"/>
      <c r="I2781" s="33"/>
      <c r="J2781" s="33"/>
      <c r="K2781" s="33"/>
      <c r="L2781" s="33"/>
      <c r="M2781" s="33"/>
    </row>
    <row r="2782">
      <c r="A2782" s="32" t="s">
        <v>7037</v>
      </c>
      <c r="B2782" s="32" t="s">
        <v>7038</v>
      </c>
      <c r="C2782" s="35">
        <v>47.39889908</v>
      </c>
      <c r="D2782" s="35">
        <v>-120.2070007</v>
      </c>
      <c r="E2782" s="32" t="s">
        <v>180</v>
      </c>
      <c r="F2782" s="32" t="s">
        <v>7039</v>
      </c>
      <c r="G2782" s="39" t="s">
        <v>181</v>
      </c>
      <c r="H2782" s="33"/>
      <c r="I2782" s="33"/>
      <c r="J2782" s="33"/>
      <c r="K2782" s="33"/>
      <c r="L2782" s="33"/>
      <c r="M2782" s="33"/>
    </row>
    <row r="2783">
      <c r="A2783" s="32" t="s">
        <v>7040</v>
      </c>
      <c r="B2783" s="32" t="s">
        <v>7041</v>
      </c>
      <c r="C2783" s="35">
        <v>44.86579895</v>
      </c>
      <c r="D2783" s="35">
        <v>-91.48429871</v>
      </c>
      <c r="E2783" s="32" t="s">
        <v>180</v>
      </c>
      <c r="F2783" s="32" t="s">
        <v>7042</v>
      </c>
      <c r="G2783" s="39" t="s">
        <v>181</v>
      </c>
      <c r="H2783" s="33"/>
      <c r="I2783" s="33"/>
      <c r="J2783" s="33"/>
      <c r="K2783" s="33"/>
      <c r="L2783" s="33"/>
      <c r="M2783" s="33"/>
    </row>
    <row r="2784">
      <c r="A2784" s="32" t="s">
        <v>7043</v>
      </c>
      <c r="B2784" s="32" t="s">
        <v>7044</v>
      </c>
      <c r="C2784" s="35">
        <v>42.7603</v>
      </c>
      <c r="D2784" s="35">
        <v>10.2394</v>
      </c>
      <c r="E2784" s="32" t="s">
        <v>103</v>
      </c>
      <c r="F2784" s="32" t="s">
        <v>7045</v>
      </c>
      <c r="G2784" s="39" t="s">
        <v>104</v>
      </c>
      <c r="H2784" s="33"/>
      <c r="I2784" s="33"/>
      <c r="J2784" s="33"/>
      <c r="K2784" s="33"/>
      <c r="L2784" s="33"/>
      <c r="M2784" s="33"/>
    </row>
    <row r="2785">
      <c r="A2785" s="32" t="s">
        <v>7046</v>
      </c>
      <c r="B2785" s="32" t="s">
        <v>7047</v>
      </c>
      <c r="C2785" s="35">
        <v>0.042385999</v>
      </c>
      <c r="D2785" s="35">
        <v>32.44350052</v>
      </c>
      <c r="E2785" s="32" t="s">
        <v>2219</v>
      </c>
      <c r="F2785" s="32" t="s">
        <v>7048</v>
      </c>
      <c r="G2785" s="36" t="e">
        <v>#N/A</v>
      </c>
      <c r="H2785" s="33"/>
      <c r="I2785" s="33"/>
      <c r="J2785" s="33"/>
      <c r="K2785" s="33"/>
      <c r="L2785" s="33"/>
      <c r="M2785" s="33"/>
    </row>
    <row r="2786">
      <c r="A2786" s="32" t="s">
        <v>7049</v>
      </c>
      <c r="B2786" s="32" t="s">
        <v>7050</v>
      </c>
      <c r="C2786" s="35">
        <v>13.15320015</v>
      </c>
      <c r="D2786" s="35">
        <v>30.232700350000002</v>
      </c>
      <c r="E2786" s="32" t="s">
        <v>844</v>
      </c>
      <c r="F2786" s="32" t="s">
        <v>7051</v>
      </c>
      <c r="G2786" s="36" t="e">
        <v>#N/A</v>
      </c>
      <c r="H2786" s="33"/>
      <c r="I2786" s="33"/>
      <c r="J2786" s="33"/>
      <c r="K2786" s="33"/>
      <c r="L2786" s="33"/>
      <c r="M2786" s="33"/>
    </row>
    <row r="2787">
      <c r="A2787" s="32" t="s">
        <v>7052</v>
      </c>
      <c r="B2787" s="32" t="s">
        <v>7053</v>
      </c>
      <c r="C2787" s="35">
        <v>51.21166611</v>
      </c>
      <c r="D2787" s="35">
        <v>4.580832958</v>
      </c>
      <c r="E2787" s="32" t="s">
        <v>109</v>
      </c>
      <c r="F2787" s="32" t="s">
        <v>7054</v>
      </c>
      <c r="G2787" s="39" t="s">
        <v>110</v>
      </c>
      <c r="H2787" s="33"/>
      <c r="I2787" s="33"/>
      <c r="J2787" s="33"/>
      <c r="K2787" s="33"/>
      <c r="L2787" s="33"/>
      <c r="M2787" s="33"/>
    </row>
    <row r="2788">
      <c r="A2788" s="32" t="s">
        <v>7055</v>
      </c>
      <c r="B2788" s="32" t="s">
        <v>7056</v>
      </c>
      <c r="C2788" s="35">
        <v>7.59647</v>
      </c>
      <c r="D2788" s="35">
        <v>-74.8089</v>
      </c>
      <c r="E2788" s="32" t="s">
        <v>292</v>
      </c>
      <c r="F2788" s="32" t="s">
        <v>7057</v>
      </c>
      <c r="G2788" s="36" t="e">
        <v>#N/A</v>
      </c>
      <c r="H2788" s="33"/>
      <c r="I2788" s="33"/>
      <c r="J2788" s="33"/>
      <c r="K2788" s="33"/>
      <c r="L2788" s="33"/>
      <c r="M2788" s="33"/>
    </row>
    <row r="2789">
      <c r="A2789" s="32" t="s">
        <v>7058</v>
      </c>
      <c r="B2789" s="32" t="s">
        <v>7059</v>
      </c>
      <c r="C2789" s="35">
        <v>55.52590179</v>
      </c>
      <c r="D2789" s="35">
        <v>8.55340004</v>
      </c>
      <c r="E2789" s="32" t="s">
        <v>533</v>
      </c>
      <c r="F2789" s="32" t="s">
        <v>7060</v>
      </c>
      <c r="G2789" s="36" t="e">
        <v>#N/A</v>
      </c>
      <c r="H2789" s="33"/>
      <c r="I2789" s="33"/>
      <c r="J2789" s="33"/>
      <c r="K2789" s="33"/>
      <c r="L2789" s="33"/>
      <c r="M2789" s="33"/>
    </row>
    <row r="2790">
      <c r="A2790" s="32" t="s">
        <v>7061</v>
      </c>
      <c r="B2790" s="32" t="s">
        <v>7062</v>
      </c>
      <c r="C2790" s="35">
        <v>36.23759842</v>
      </c>
      <c r="D2790" s="35">
        <v>43.96319962</v>
      </c>
      <c r="E2790" s="32" t="s">
        <v>259</v>
      </c>
      <c r="F2790" s="32" t="s">
        <v>7063</v>
      </c>
      <c r="G2790" s="36" t="e">
        <v>#N/A</v>
      </c>
      <c r="H2790" s="33"/>
      <c r="I2790" s="33"/>
      <c r="J2790" s="33"/>
      <c r="K2790" s="33"/>
      <c r="L2790" s="33"/>
      <c r="M2790" s="33"/>
    </row>
    <row r="2791">
      <c r="A2791" s="32" t="s">
        <v>7064</v>
      </c>
      <c r="B2791" s="32" t="s">
        <v>7065</v>
      </c>
      <c r="C2791" s="35">
        <v>31.70429993</v>
      </c>
      <c r="D2791" s="35">
        <v>9.254619598</v>
      </c>
      <c r="E2791" s="32" t="s">
        <v>22</v>
      </c>
      <c r="F2791" s="32" t="s">
        <v>7066</v>
      </c>
      <c r="G2791" s="36" t="e">
        <v>#N/A</v>
      </c>
      <c r="H2791" s="33"/>
      <c r="I2791" s="33"/>
      <c r="J2791" s="33"/>
      <c r="K2791" s="33"/>
      <c r="L2791" s="33"/>
      <c r="M2791" s="33"/>
    </row>
    <row r="2792">
      <c r="A2792" s="32" t="s">
        <v>7067</v>
      </c>
      <c r="B2792" s="32" t="s">
        <v>7068</v>
      </c>
      <c r="C2792" s="35">
        <v>45.54059982</v>
      </c>
      <c r="D2792" s="35">
        <v>4.296390057</v>
      </c>
      <c r="E2792" s="32" t="s">
        <v>96</v>
      </c>
      <c r="F2792" s="32" t="s">
        <v>7069</v>
      </c>
      <c r="G2792" s="39" t="s">
        <v>97</v>
      </c>
      <c r="H2792" s="33"/>
      <c r="I2792" s="33"/>
      <c r="J2792" s="33"/>
      <c r="K2792" s="33"/>
      <c r="L2792" s="33"/>
      <c r="M2792" s="33"/>
    </row>
    <row r="2793">
      <c r="A2793" s="32" t="s">
        <v>7070</v>
      </c>
      <c r="B2793" s="32" t="s">
        <v>7071</v>
      </c>
      <c r="C2793" s="35">
        <v>44.312801</v>
      </c>
      <c r="D2793" s="35">
        <v>-83.422302</v>
      </c>
      <c r="E2793" s="32" t="s">
        <v>180</v>
      </c>
      <c r="F2793" s="32" t="s">
        <v>7072</v>
      </c>
      <c r="G2793" s="39" t="s">
        <v>181</v>
      </c>
      <c r="H2793" s="33"/>
      <c r="I2793" s="33"/>
      <c r="J2793" s="33"/>
      <c r="K2793" s="33"/>
      <c r="L2793" s="33"/>
      <c r="M2793" s="33"/>
    </row>
    <row r="2794">
      <c r="A2794" s="32" t="s">
        <v>7073</v>
      </c>
      <c r="B2794" s="32" t="s">
        <v>7074</v>
      </c>
      <c r="C2794" s="35">
        <v>-36.15719986</v>
      </c>
      <c r="D2794" s="35">
        <v>144.7619934</v>
      </c>
      <c r="E2794" s="32" t="s">
        <v>1968</v>
      </c>
      <c r="F2794" s="33"/>
      <c r="G2794" s="36" t="e">
        <v>#N/A</v>
      </c>
      <c r="H2794" s="33"/>
      <c r="I2794" s="33"/>
      <c r="J2794" s="33"/>
      <c r="K2794" s="33"/>
      <c r="L2794" s="33"/>
      <c r="M2794" s="33"/>
    </row>
    <row r="2795">
      <c r="A2795" s="32" t="s">
        <v>7075</v>
      </c>
      <c r="B2795" s="32" t="s">
        <v>7076</v>
      </c>
      <c r="C2795" s="35">
        <v>35.15470123</v>
      </c>
      <c r="D2795" s="35">
        <v>33.49610138</v>
      </c>
      <c r="E2795" s="32" t="s">
        <v>3847</v>
      </c>
      <c r="F2795" s="32" t="s">
        <v>7077</v>
      </c>
      <c r="G2795" s="36" t="e">
        <v>#N/A</v>
      </c>
      <c r="H2795" s="33"/>
      <c r="I2795" s="33"/>
      <c r="J2795" s="33"/>
      <c r="K2795" s="33"/>
      <c r="L2795" s="33"/>
      <c r="M2795" s="33"/>
    </row>
    <row r="2796">
      <c r="A2796" s="32" t="s">
        <v>7078</v>
      </c>
      <c r="B2796" s="32" t="s">
        <v>7079</v>
      </c>
      <c r="C2796" s="35">
        <v>30.357106</v>
      </c>
      <c r="D2796" s="35">
        <v>-85.795414</v>
      </c>
      <c r="E2796" s="32" t="s">
        <v>180</v>
      </c>
      <c r="F2796" s="32" t="s">
        <v>7080</v>
      </c>
      <c r="G2796" s="39" t="s">
        <v>181</v>
      </c>
      <c r="H2796" s="33"/>
      <c r="I2796" s="33"/>
      <c r="J2796" s="33"/>
      <c r="K2796" s="33"/>
      <c r="L2796" s="33"/>
      <c r="M2796" s="33"/>
    </row>
    <row r="2797">
      <c r="A2797" s="32" t="s">
        <v>7081</v>
      </c>
      <c r="B2797" s="32" t="s">
        <v>7082</v>
      </c>
      <c r="C2797" s="35">
        <v>40.37070084</v>
      </c>
      <c r="D2797" s="35">
        <v>-3.785140038</v>
      </c>
      <c r="E2797" s="32" t="s">
        <v>115</v>
      </c>
      <c r="F2797" s="32" t="s">
        <v>864</v>
      </c>
      <c r="G2797" s="39" t="s">
        <v>116</v>
      </c>
      <c r="H2797" s="33"/>
      <c r="I2797" s="33"/>
      <c r="J2797" s="33"/>
      <c r="K2797" s="33"/>
      <c r="L2797" s="33"/>
      <c r="M2797" s="33"/>
    </row>
    <row r="2798">
      <c r="A2798" s="32" t="s">
        <v>7083</v>
      </c>
      <c r="B2798" s="32" t="s">
        <v>7084</v>
      </c>
      <c r="C2798" s="35">
        <v>61.25099945</v>
      </c>
      <c r="D2798" s="35">
        <v>-149.8070068</v>
      </c>
      <c r="E2798" s="32" t="s">
        <v>180</v>
      </c>
      <c r="F2798" s="32" t="s">
        <v>3952</v>
      </c>
      <c r="G2798" s="39" t="s">
        <v>181</v>
      </c>
      <c r="H2798" s="33"/>
      <c r="I2798" s="33"/>
      <c r="J2798" s="33"/>
      <c r="K2798" s="33"/>
      <c r="L2798" s="33"/>
      <c r="M2798" s="33"/>
    </row>
    <row r="2799">
      <c r="A2799" s="32" t="s">
        <v>7085</v>
      </c>
      <c r="B2799" s="32" t="s">
        <v>7086</v>
      </c>
      <c r="C2799" s="35">
        <v>55.95000076</v>
      </c>
      <c r="D2799" s="35">
        <v>-3.3724999430000002</v>
      </c>
      <c r="E2799" s="32" t="s">
        <v>90</v>
      </c>
      <c r="F2799" s="32" t="s">
        <v>1975</v>
      </c>
      <c r="G2799" s="39" t="s">
        <v>91</v>
      </c>
      <c r="H2799" s="33"/>
      <c r="I2799" s="33"/>
      <c r="J2799" s="33"/>
      <c r="K2799" s="33"/>
      <c r="L2799" s="33"/>
      <c r="M2799" s="33"/>
    </row>
    <row r="2800">
      <c r="A2800" s="32" t="s">
        <v>7087</v>
      </c>
      <c r="B2800" s="32" t="s">
        <v>7088</v>
      </c>
      <c r="C2800" s="35">
        <v>0.404457986</v>
      </c>
      <c r="D2800" s="35">
        <v>35.23889923</v>
      </c>
      <c r="E2800" s="32" t="s">
        <v>21</v>
      </c>
      <c r="F2800" s="32" t="s">
        <v>7089</v>
      </c>
      <c r="G2800" s="36" t="e">
        <v>#N/A</v>
      </c>
      <c r="H2800" s="33"/>
      <c r="I2800" s="33"/>
      <c r="J2800" s="33"/>
      <c r="K2800" s="33"/>
      <c r="L2800" s="33"/>
      <c r="M2800" s="33"/>
    </row>
    <row r="2801">
      <c r="A2801" s="32" t="s">
        <v>7090</v>
      </c>
      <c r="B2801" s="32" t="s">
        <v>7091</v>
      </c>
      <c r="C2801" s="35">
        <v>46.70190048</v>
      </c>
      <c r="D2801" s="35">
        <v>-1.378630042</v>
      </c>
      <c r="E2801" s="32" t="s">
        <v>96</v>
      </c>
      <c r="F2801" s="32" t="s">
        <v>7092</v>
      </c>
      <c r="G2801" s="39" t="s">
        <v>97</v>
      </c>
      <c r="H2801" s="33"/>
      <c r="I2801" s="33"/>
      <c r="J2801" s="33"/>
      <c r="K2801" s="33"/>
      <c r="L2801" s="33"/>
      <c r="M2801" s="33"/>
    </row>
    <row r="2802">
      <c r="A2802" s="32" t="s">
        <v>7093</v>
      </c>
      <c r="B2802" s="32" t="s">
        <v>7094</v>
      </c>
      <c r="C2802" s="35">
        <v>31.29969978</v>
      </c>
      <c r="D2802" s="35">
        <v>-85.89990234</v>
      </c>
      <c r="E2802" s="32" t="s">
        <v>180</v>
      </c>
      <c r="F2802" s="32" t="s">
        <v>7095</v>
      </c>
      <c r="G2802" s="39" t="s">
        <v>181</v>
      </c>
      <c r="H2802" s="33"/>
      <c r="I2802" s="33"/>
      <c r="J2802" s="33"/>
      <c r="K2802" s="33"/>
      <c r="L2802" s="33"/>
      <c r="M2802" s="33"/>
    </row>
    <row r="2803">
      <c r="A2803" s="32" t="s">
        <v>7096</v>
      </c>
      <c r="B2803" s="32" t="s">
        <v>7097</v>
      </c>
      <c r="C2803" s="35">
        <v>39.55459976</v>
      </c>
      <c r="D2803" s="35">
        <v>27.01379967</v>
      </c>
      <c r="E2803" s="32" t="s">
        <v>133</v>
      </c>
      <c r="F2803" s="32" t="s">
        <v>7098</v>
      </c>
      <c r="G2803" s="39" t="s">
        <v>134</v>
      </c>
      <c r="H2803" s="33"/>
      <c r="I2803" s="33"/>
      <c r="J2803" s="33"/>
      <c r="K2803" s="33"/>
      <c r="L2803" s="33"/>
      <c r="M2803" s="33"/>
    </row>
    <row r="2804">
      <c r="A2804" s="32" t="s">
        <v>7099</v>
      </c>
      <c r="B2804" s="32" t="s">
        <v>7100</v>
      </c>
      <c r="C2804" s="35">
        <v>-14.896451</v>
      </c>
      <c r="D2804" s="35">
        <v>141.60908</v>
      </c>
      <c r="E2804" s="32" t="s">
        <v>1968</v>
      </c>
      <c r="F2804" s="32" t="s">
        <v>7101</v>
      </c>
      <c r="G2804" s="36" t="e">
        <v>#N/A</v>
      </c>
      <c r="H2804" s="33"/>
      <c r="I2804" s="33"/>
      <c r="J2804" s="33"/>
      <c r="K2804" s="33"/>
      <c r="L2804" s="33"/>
      <c r="M2804" s="33"/>
    </row>
    <row r="2805">
      <c r="A2805" s="32" t="s">
        <v>7102</v>
      </c>
      <c r="B2805" s="32" t="s">
        <v>7103</v>
      </c>
      <c r="C2805" s="35">
        <v>34.905399</v>
      </c>
      <c r="D2805" s="35">
        <v>-117.884003</v>
      </c>
      <c r="E2805" s="32" t="s">
        <v>180</v>
      </c>
      <c r="F2805" s="32" t="s">
        <v>7104</v>
      </c>
      <c r="G2805" s="39" t="s">
        <v>181</v>
      </c>
      <c r="H2805" s="33"/>
      <c r="I2805" s="33"/>
      <c r="J2805" s="33"/>
      <c r="K2805" s="33"/>
      <c r="L2805" s="33"/>
      <c r="M2805" s="33"/>
    </row>
    <row r="2806">
      <c r="A2806" s="32" t="s">
        <v>7105</v>
      </c>
      <c r="B2806" s="32" t="s">
        <v>7106</v>
      </c>
      <c r="C2806" s="35">
        <v>34.7663002</v>
      </c>
      <c r="D2806" s="35">
        <v>-114.6230011</v>
      </c>
      <c r="E2806" s="32" t="s">
        <v>180</v>
      </c>
      <c r="F2806" s="32" t="s">
        <v>7107</v>
      </c>
      <c r="G2806" s="39" t="s">
        <v>181</v>
      </c>
      <c r="H2806" s="33"/>
      <c r="I2806" s="33"/>
      <c r="J2806" s="33"/>
      <c r="K2806" s="33"/>
      <c r="L2806" s="33"/>
      <c r="M2806" s="33"/>
    </row>
    <row r="2807">
      <c r="A2807" s="32" t="s">
        <v>7108</v>
      </c>
      <c r="B2807" s="32" t="s">
        <v>7109</v>
      </c>
      <c r="C2807" s="35">
        <v>60.21367264</v>
      </c>
      <c r="D2807" s="35">
        <v>-162.0438843</v>
      </c>
      <c r="E2807" s="32" t="s">
        <v>180</v>
      </c>
      <c r="F2807" s="32" t="s">
        <v>7110</v>
      </c>
      <c r="G2807" s="39" t="s">
        <v>181</v>
      </c>
      <c r="H2807" s="33"/>
      <c r="I2807" s="33"/>
      <c r="J2807" s="33"/>
      <c r="K2807" s="33"/>
      <c r="L2807" s="33"/>
      <c r="M2807" s="33"/>
    </row>
    <row r="2808">
      <c r="A2808" s="32" t="s">
        <v>7111</v>
      </c>
      <c r="B2808" s="32" t="s">
        <v>7112</v>
      </c>
      <c r="C2808" s="35">
        <v>42.89839935</v>
      </c>
      <c r="D2808" s="35">
        <v>-72.27079773</v>
      </c>
      <c r="E2808" s="32" t="s">
        <v>180</v>
      </c>
      <c r="F2808" s="32" t="s">
        <v>7113</v>
      </c>
      <c r="G2808" s="39" t="s">
        <v>181</v>
      </c>
      <c r="H2808" s="33"/>
      <c r="I2808" s="33"/>
      <c r="J2808" s="33"/>
      <c r="K2808" s="33"/>
      <c r="L2808" s="33"/>
      <c r="M2808" s="33"/>
    </row>
    <row r="2809">
      <c r="A2809" s="32" t="s">
        <v>7114</v>
      </c>
      <c r="B2809" s="32" t="s">
        <v>3381</v>
      </c>
      <c r="C2809" s="35">
        <v>33.17699814</v>
      </c>
      <c r="D2809" s="35">
        <v>-86.78279877</v>
      </c>
      <c r="E2809" s="32" t="s">
        <v>180</v>
      </c>
      <c r="F2809" s="32" t="s">
        <v>7115</v>
      </c>
      <c r="G2809" s="39" t="s">
        <v>181</v>
      </c>
      <c r="H2809" s="33"/>
      <c r="I2809" s="33"/>
      <c r="J2809" s="33"/>
      <c r="K2809" s="33"/>
      <c r="L2809" s="33"/>
      <c r="M2809" s="33"/>
    </row>
    <row r="2810">
      <c r="A2810" s="32" t="s">
        <v>7116</v>
      </c>
      <c r="B2810" s="32" t="s">
        <v>7117</v>
      </c>
      <c r="C2810" s="35">
        <v>29.6072998</v>
      </c>
      <c r="D2810" s="35">
        <v>-95.15879822</v>
      </c>
      <c r="E2810" s="32" t="s">
        <v>180</v>
      </c>
      <c r="F2810" s="32" t="s">
        <v>3455</v>
      </c>
      <c r="G2810" s="39" t="s">
        <v>181</v>
      </c>
      <c r="H2810" s="33"/>
      <c r="I2810" s="33"/>
      <c r="J2810" s="33"/>
      <c r="K2810" s="33"/>
      <c r="L2810" s="33"/>
      <c r="M2810" s="33"/>
    </row>
    <row r="2811">
      <c r="A2811" s="32" t="s">
        <v>7118</v>
      </c>
      <c r="B2811" s="32" t="s">
        <v>7119</v>
      </c>
      <c r="C2811" s="35">
        <v>38.12009811</v>
      </c>
      <c r="D2811" s="35">
        <v>20.50049973</v>
      </c>
      <c r="E2811" s="32" t="s">
        <v>339</v>
      </c>
      <c r="F2811" s="32" t="s">
        <v>7120</v>
      </c>
      <c r="G2811" s="36" t="e">
        <v>#N/A</v>
      </c>
      <c r="H2811" s="33"/>
      <c r="I2811" s="33"/>
      <c r="J2811" s="33"/>
      <c r="K2811" s="33"/>
      <c r="L2811" s="33"/>
      <c r="M2811" s="33"/>
    </row>
    <row r="2812">
      <c r="A2812" s="32" t="s">
        <v>7121</v>
      </c>
      <c r="B2812" s="32" t="s">
        <v>7122</v>
      </c>
      <c r="C2812" s="35">
        <v>44.82529831</v>
      </c>
      <c r="D2812" s="35">
        <v>0.518611014</v>
      </c>
      <c r="E2812" s="32" t="s">
        <v>96</v>
      </c>
      <c r="F2812" s="32" t="s">
        <v>7123</v>
      </c>
      <c r="G2812" s="39" t="s">
        <v>97</v>
      </c>
      <c r="H2812" s="33"/>
      <c r="I2812" s="33"/>
      <c r="J2812" s="33"/>
      <c r="K2812" s="33"/>
      <c r="L2812" s="33"/>
      <c r="M2812" s="33"/>
    </row>
    <row r="2813">
      <c r="A2813" s="32" t="s">
        <v>7124</v>
      </c>
      <c r="B2813" s="32" t="s">
        <v>7125</v>
      </c>
      <c r="C2813" s="35">
        <v>39.64260101</v>
      </c>
      <c r="D2813" s="35">
        <v>-106.9179993</v>
      </c>
      <c r="E2813" s="32" t="s">
        <v>180</v>
      </c>
      <c r="F2813" s="32" t="s">
        <v>7126</v>
      </c>
      <c r="G2813" s="39" t="s">
        <v>181</v>
      </c>
      <c r="H2813" s="33"/>
      <c r="I2813" s="33"/>
      <c r="J2813" s="33"/>
      <c r="K2813" s="33"/>
      <c r="L2813" s="33"/>
      <c r="M2813" s="33"/>
    </row>
    <row r="2814">
      <c r="A2814" s="32" t="s">
        <v>7127</v>
      </c>
      <c r="B2814" s="32" t="s">
        <v>7128</v>
      </c>
      <c r="C2814" s="35">
        <v>30.65040016</v>
      </c>
      <c r="D2814" s="35">
        <v>-86.52290344</v>
      </c>
      <c r="E2814" s="32" t="s">
        <v>180</v>
      </c>
      <c r="F2814" s="32" t="s">
        <v>5747</v>
      </c>
      <c r="G2814" s="39" t="s">
        <v>181</v>
      </c>
      <c r="H2814" s="33"/>
      <c r="I2814" s="33"/>
      <c r="J2814" s="33"/>
      <c r="K2814" s="33"/>
      <c r="L2814" s="33"/>
      <c r="M2814" s="33"/>
    </row>
    <row r="2815">
      <c r="A2815" s="32" t="s">
        <v>7129</v>
      </c>
      <c r="B2815" s="32" t="s">
        <v>7130</v>
      </c>
      <c r="C2815" s="35">
        <v>-8.578889847</v>
      </c>
      <c r="D2815" s="35">
        <v>157.8760071</v>
      </c>
      <c r="E2815" s="32" t="s">
        <v>3666</v>
      </c>
      <c r="F2815" s="32" t="s">
        <v>7131</v>
      </c>
      <c r="G2815" s="36" t="e">
        <v>#N/A</v>
      </c>
      <c r="H2815" s="33"/>
      <c r="I2815" s="33"/>
      <c r="J2815" s="33"/>
      <c r="K2815" s="33"/>
      <c r="L2815" s="33"/>
      <c r="M2815" s="33"/>
    </row>
    <row r="2816">
      <c r="A2816" s="32" t="s">
        <v>7132</v>
      </c>
      <c r="B2816" s="32" t="s">
        <v>7133</v>
      </c>
      <c r="C2816" s="35">
        <v>13.48169994</v>
      </c>
      <c r="D2816" s="35">
        <v>22.46719933</v>
      </c>
      <c r="E2816" s="32" t="s">
        <v>844</v>
      </c>
      <c r="F2816" s="32" t="s">
        <v>7134</v>
      </c>
      <c r="G2816" s="36" t="e">
        <v>#N/A</v>
      </c>
      <c r="H2816" s="33"/>
      <c r="I2816" s="33"/>
      <c r="J2816" s="33"/>
      <c r="K2816" s="33"/>
      <c r="L2816" s="33"/>
      <c r="M2816" s="33"/>
    </row>
    <row r="2817">
      <c r="A2817" s="32" t="s">
        <v>7135</v>
      </c>
      <c r="B2817" s="32" t="s">
        <v>7136</v>
      </c>
      <c r="C2817" s="35">
        <v>50.64379883</v>
      </c>
      <c r="D2817" s="35">
        <v>36.59009933</v>
      </c>
      <c r="E2817" s="32" t="s">
        <v>2040</v>
      </c>
      <c r="F2817" s="32" t="s">
        <v>7137</v>
      </c>
      <c r="G2817" s="36" t="e">
        <v>#N/A</v>
      </c>
      <c r="H2817" s="33"/>
      <c r="I2817" s="33"/>
      <c r="J2817" s="33"/>
      <c r="K2817" s="33"/>
      <c r="L2817" s="33"/>
      <c r="M2817" s="33"/>
    </row>
    <row r="2818">
      <c r="A2818" s="32" t="s">
        <v>7138</v>
      </c>
      <c r="B2818" s="32" t="s">
        <v>7139</v>
      </c>
      <c r="C2818" s="35">
        <v>31.068559</v>
      </c>
      <c r="D2818" s="35">
        <v>34.129629</v>
      </c>
      <c r="E2818" s="32" t="s">
        <v>15</v>
      </c>
      <c r="F2818" s="32" t="s">
        <v>7140</v>
      </c>
      <c r="G2818" s="36" t="e">
        <v>#N/A</v>
      </c>
      <c r="H2818" s="33"/>
      <c r="I2818" s="33"/>
      <c r="J2818" s="33"/>
      <c r="K2818" s="33"/>
      <c r="L2818" s="33"/>
      <c r="M2818" s="33"/>
    </row>
    <row r="2819">
      <c r="A2819" s="32" t="s">
        <v>7141</v>
      </c>
      <c r="B2819" s="32" t="s">
        <v>7142</v>
      </c>
      <c r="C2819" s="35">
        <v>65.28330231</v>
      </c>
      <c r="D2819" s="35">
        <v>-14.40139961</v>
      </c>
      <c r="E2819" s="32" t="s">
        <v>2037</v>
      </c>
      <c r="F2819" s="32" t="s">
        <v>7143</v>
      </c>
      <c r="G2819" s="36" t="e">
        <v>#N/A</v>
      </c>
      <c r="H2819" s="33"/>
      <c r="I2819" s="33"/>
      <c r="J2819" s="33"/>
      <c r="K2819" s="33"/>
      <c r="L2819" s="33"/>
      <c r="M2819" s="33"/>
    </row>
    <row r="2820">
      <c r="A2820" s="32" t="s">
        <v>7144</v>
      </c>
      <c r="B2820" s="32" t="s">
        <v>7145</v>
      </c>
      <c r="C2820" s="35">
        <v>37.32360077</v>
      </c>
      <c r="D2820" s="35">
        <v>-97.38829803</v>
      </c>
      <c r="E2820" s="32" t="s">
        <v>180</v>
      </c>
      <c r="F2820" s="32" t="s">
        <v>7146</v>
      </c>
      <c r="G2820" s="39" t="s">
        <v>181</v>
      </c>
      <c r="H2820" s="33"/>
      <c r="I2820" s="33"/>
      <c r="J2820" s="33"/>
      <c r="K2820" s="33"/>
      <c r="L2820" s="33"/>
      <c r="M2820" s="33"/>
    </row>
    <row r="2821">
      <c r="A2821" s="32" t="s">
        <v>7147</v>
      </c>
      <c r="B2821" s="32" t="s">
        <v>7148</v>
      </c>
      <c r="C2821" s="35">
        <v>45.93230057</v>
      </c>
      <c r="D2821" s="35">
        <v>-89.26830292</v>
      </c>
      <c r="E2821" s="32" t="s">
        <v>180</v>
      </c>
      <c r="F2821" s="32" t="s">
        <v>7149</v>
      </c>
      <c r="G2821" s="39" t="s">
        <v>181</v>
      </c>
      <c r="H2821" s="33"/>
      <c r="I2821" s="33"/>
      <c r="J2821" s="33"/>
      <c r="K2821" s="33"/>
      <c r="L2821" s="33"/>
      <c r="M2821" s="33"/>
    </row>
    <row r="2822">
      <c r="A2822" s="32" t="s">
        <v>7150</v>
      </c>
      <c r="B2822" s="32" t="s">
        <v>7151</v>
      </c>
      <c r="C2822" s="35">
        <v>58.1855011</v>
      </c>
      <c r="D2822" s="35">
        <v>-157.375</v>
      </c>
      <c r="E2822" s="32" t="s">
        <v>180</v>
      </c>
      <c r="F2822" s="32" t="s">
        <v>7152</v>
      </c>
      <c r="G2822" s="39" t="s">
        <v>181</v>
      </c>
      <c r="H2822" s="33"/>
      <c r="I2822" s="33"/>
      <c r="J2822" s="33"/>
      <c r="K2822" s="33"/>
      <c r="L2822" s="33"/>
      <c r="M2822" s="33"/>
    </row>
    <row r="2823">
      <c r="A2823" s="32" t="s">
        <v>7153</v>
      </c>
      <c r="B2823" s="32" t="s">
        <v>7154</v>
      </c>
      <c r="C2823" s="35">
        <v>37.000702</v>
      </c>
      <c r="D2823" s="35">
        <v>-101.879997</v>
      </c>
      <c r="E2823" s="32" t="s">
        <v>180</v>
      </c>
      <c r="F2823" s="32" t="s">
        <v>7155</v>
      </c>
      <c r="G2823" s="39" t="s">
        <v>181</v>
      </c>
      <c r="H2823" s="33"/>
      <c r="I2823" s="33"/>
      <c r="J2823" s="33"/>
      <c r="K2823" s="33"/>
      <c r="L2823" s="33"/>
      <c r="M2823" s="33"/>
    </row>
    <row r="2824">
      <c r="A2824" s="32" t="s">
        <v>7156</v>
      </c>
      <c r="B2824" s="32" t="s">
        <v>7157</v>
      </c>
      <c r="C2824" s="35">
        <v>-41.94319916</v>
      </c>
      <c r="D2824" s="35">
        <v>-71.53230286</v>
      </c>
      <c r="E2824" s="32" t="s">
        <v>296</v>
      </c>
      <c r="F2824" s="32" t="s">
        <v>7158</v>
      </c>
      <c r="G2824" s="36" t="e">
        <v>#N/A</v>
      </c>
      <c r="H2824" s="33"/>
      <c r="I2824" s="33"/>
      <c r="J2824" s="33"/>
      <c r="K2824" s="33"/>
      <c r="L2824" s="33"/>
      <c r="M2824" s="33"/>
    </row>
    <row r="2825">
      <c r="A2825" s="32" t="s">
        <v>7159</v>
      </c>
      <c r="B2825" s="32" t="s">
        <v>7160</v>
      </c>
      <c r="C2825" s="35">
        <v>58.64640045</v>
      </c>
      <c r="D2825" s="35">
        <v>-162.0630035</v>
      </c>
      <c r="E2825" s="32" t="s">
        <v>180</v>
      </c>
      <c r="F2825" s="32" t="s">
        <v>7161</v>
      </c>
      <c r="G2825" s="39" t="s">
        <v>181</v>
      </c>
      <c r="H2825" s="33"/>
      <c r="I2825" s="33"/>
      <c r="J2825" s="33"/>
      <c r="K2825" s="33"/>
      <c r="L2825" s="33"/>
      <c r="M2825" s="33"/>
    </row>
    <row r="2826">
      <c r="A2826" s="32" t="s">
        <v>7162</v>
      </c>
      <c r="B2826" s="32" t="s">
        <v>7163</v>
      </c>
      <c r="C2826" s="35">
        <v>58.4742012</v>
      </c>
      <c r="D2826" s="35">
        <v>92.11250305</v>
      </c>
      <c r="E2826" s="32" t="s">
        <v>2040</v>
      </c>
      <c r="F2826" s="32" t="s">
        <v>7164</v>
      </c>
      <c r="G2826" s="36" t="e">
        <v>#N/A</v>
      </c>
      <c r="H2826" s="33"/>
      <c r="I2826" s="33"/>
      <c r="J2826" s="33"/>
      <c r="K2826" s="33"/>
      <c r="L2826" s="33"/>
      <c r="M2826" s="33"/>
    </row>
    <row r="2827">
      <c r="A2827" s="32" t="s">
        <v>7165</v>
      </c>
      <c r="B2827" s="32" t="s">
        <v>7166</v>
      </c>
      <c r="C2827" s="35">
        <v>64.66570282</v>
      </c>
      <c r="D2827" s="35">
        <v>-147.102005</v>
      </c>
      <c r="E2827" s="32" t="s">
        <v>180</v>
      </c>
      <c r="F2827" s="32" t="s">
        <v>7167</v>
      </c>
      <c r="G2827" s="39" t="s">
        <v>181</v>
      </c>
      <c r="H2827" s="33"/>
      <c r="I2827" s="33"/>
      <c r="J2827" s="33"/>
      <c r="K2827" s="33"/>
      <c r="L2827" s="33"/>
      <c r="M2827" s="33"/>
    </row>
    <row r="2828">
      <c r="A2828" s="32" t="s">
        <v>7168</v>
      </c>
      <c r="B2828" s="32" t="s">
        <v>7169</v>
      </c>
      <c r="C2828" s="35">
        <v>51.45009995</v>
      </c>
      <c r="D2828" s="35">
        <v>5.374529839</v>
      </c>
      <c r="E2828" s="32" t="s">
        <v>127</v>
      </c>
      <c r="F2828" s="32" t="s">
        <v>7170</v>
      </c>
      <c r="G2828" s="39" t="s">
        <v>128</v>
      </c>
      <c r="H2828" s="33"/>
      <c r="I2828" s="33"/>
      <c r="J2828" s="33"/>
      <c r="K2828" s="33"/>
      <c r="L2828" s="33"/>
      <c r="M2828" s="33"/>
    </row>
    <row r="2829">
      <c r="A2829" s="32" t="s">
        <v>7171</v>
      </c>
      <c r="B2829" s="32" t="s">
        <v>7172</v>
      </c>
      <c r="C2829" s="35">
        <v>18.44479942</v>
      </c>
      <c r="D2829" s="35">
        <v>-64.54299927</v>
      </c>
      <c r="E2829" s="32" t="s">
        <v>7173</v>
      </c>
      <c r="F2829" s="32" t="s">
        <v>7174</v>
      </c>
      <c r="G2829" s="36" t="e">
        <v>#N/A</v>
      </c>
      <c r="H2829" s="33"/>
      <c r="I2829" s="33"/>
      <c r="J2829" s="33"/>
      <c r="K2829" s="33"/>
      <c r="L2829" s="33"/>
      <c r="M2829" s="33"/>
    </row>
    <row r="2830">
      <c r="A2830" s="32" t="s">
        <v>7175</v>
      </c>
      <c r="B2830" s="32" t="s">
        <v>7176</v>
      </c>
      <c r="C2830" s="35">
        <v>7.02433</v>
      </c>
      <c r="D2830" s="35">
        <v>-73.8068</v>
      </c>
      <c r="E2830" s="32" t="s">
        <v>292</v>
      </c>
      <c r="F2830" s="32" t="s">
        <v>7177</v>
      </c>
      <c r="G2830" s="36" t="e">
        <v>#N/A</v>
      </c>
      <c r="H2830" s="33"/>
      <c r="I2830" s="33"/>
      <c r="J2830" s="33"/>
      <c r="K2830" s="33"/>
      <c r="L2830" s="33"/>
      <c r="M2830" s="33"/>
    </row>
    <row r="2831">
      <c r="A2831" s="32" t="s">
        <v>7178</v>
      </c>
      <c r="B2831" s="32" t="s">
        <v>7179</v>
      </c>
      <c r="C2831" s="35">
        <v>26.19860077</v>
      </c>
      <c r="D2831" s="35">
        <v>36.47639847</v>
      </c>
      <c r="E2831" s="32" t="s">
        <v>223</v>
      </c>
      <c r="F2831" s="32" t="s">
        <v>7180</v>
      </c>
      <c r="G2831" s="36" t="e">
        <v>#N/A</v>
      </c>
      <c r="H2831" s="33"/>
      <c r="I2831" s="33"/>
      <c r="J2831" s="33"/>
      <c r="K2831" s="33"/>
      <c r="L2831" s="33"/>
      <c r="M2831" s="33"/>
    </row>
    <row r="2832">
      <c r="A2832" s="32" t="s">
        <v>7181</v>
      </c>
      <c r="B2832" s="32" t="s">
        <v>7182</v>
      </c>
      <c r="C2832" s="35">
        <v>40.80339813</v>
      </c>
      <c r="D2832" s="35">
        <v>-124.112999</v>
      </c>
      <c r="E2832" s="32" t="s">
        <v>180</v>
      </c>
      <c r="F2832" s="32" t="s">
        <v>7183</v>
      </c>
      <c r="G2832" s="39" t="s">
        <v>181</v>
      </c>
      <c r="H2832" s="33"/>
      <c r="I2832" s="33"/>
      <c r="J2832" s="33"/>
      <c r="K2832" s="33"/>
      <c r="L2832" s="33"/>
      <c r="M2832" s="33"/>
    </row>
    <row r="2833">
      <c r="A2833" s="32" t="s">
        <v>7184</v>
      </c>
      <c r="B2833" s="32" t="s">
        <v>7185</v>
      </c>
      <c r="C2833" s="35">
        <v>41.7193985</v>
      </c>
      <c r="D2833" s="35">
        <v>-86.00319672</v>
      </c>
      <c r="E2833" s="32" t="s">
        <v>180</v>
      </c>
      <c r="F2833" s="32" t="s">
        <v>7155</v>
      </c>
      <c r="G2833" s="39" t="s">
        <v>181</v>
      </c>
      <c r="H2833" s="33"/>
      <c r="I2833" s="33"/>
      <c r="J2833" s="33"/>
      <c r="K2833" s="33"/>
      <c r="L2833" s="33"/>
      <c r="M2833" s="33"/>
    </row>
    <row r="2834">
      <c r="A2834" s="32" t="s">
        <v>7186</v>
      </c>
      <c r="B2834" s="32" t="s">
        <v>7187</v>
      </c>
      <c r="C2834" s="35">
        <v>38.88940048</v>
      </c>
      <c r="D2834" s="35">
        <v>-79.85710144</v>
      </c>
      <c r="E2834" s="32" t="s">
        <v>180</v>
      </c>
      <c r="F2834" s="32" t="s">
        <v>7188</v>
      </c>
      <c r="G2834" s="39" t="s">
        <v>181</v>
      </c>
      <c r="H2834" s="33"/>
      <c r="I2834" s="33"/>
      <c r="J2834" s="33"/>
      <c r="K2834" s="33"/>
      <c r="L2834" s="33"/>
      <c r="M2834" s="33"/>
    </row>
    <row r="2835">
      <c r="A2835" s="32" t="s">
        <v>7189</v>
      </c>
      <c r="B2835" s="32" t="s">
        <v>7190</v>
      </c>
      <c r="C2835" s="35">
        <v>40.82490158</v>
      </c>
      <c r="D2835" s="35">
        <v>-115.7919998</v>
      </c>
      <c r="E2835" s="32" t="s">
        <v>180</v>
      </c>
      <c r="F2835" s="32" t="s">
        <v>7191</v>
      </c>
      <c r="G2835" s="39" t="s">
        <v>181</v>
      </c>
      <c r="H2835" s="33"/>
      <c r="I2835" s="33"/>
      <c r="J2835" s="33"/>
      <c r="K2835" s="33"/>
      <c r="L2835" s="33"/>
      <c r="M2835" s="33"/>
    </row>
    <row r="2836">
      <c r="A2836" s="32" t="s">
        <v>7192</v>
      </c>
      <c r="B2836" s="32" t="s">
        <v>7193</v>
      </c>
      <c r="C2836" s="35">
        <v>33.31290054</v>
      </c>
      <c r="D2836" s="35">
        <v>-86.92590332</v>
      </c>
      <c r="E2836" s="32" t="s">
        <v>180</v>
      </c>
      <c r="F2836" s="32" t="s">
        <v>7194</v>
      </c>
      <c r="G2836" s="39" t="s">
        <v>181</v>
      </c>
      <c r="H2836" s="33"/>
      <c r="I2836" s="33"/>
      <c r="J2836" s="33"/>
      <c r="K2836" s="33"/>
      <c r="L2836" s="33"/>
      <c r="M2836" s="33"/>
    </row>
    <row r="2837">
      <c r="A2837" s="32" t="s">
        <v>7195</v>
      </c>
      <c r="B2837" s="32" t="s">
        <v>7196</v>
      </c>
      <c r="C2837" s="35">
        <v>-12.01939964</v>
      </c>
      <c r="D2837" s="35">
        <v>135.5709991</v>
      </c>
      <c r="E2837" s="32" t="s">
        <v>1968</v>
      </c>
      <c r="F2837" s="32" t="s">
        <v>7197</v>
      </c>
      <c r="G2837" s="36" t="e">
        <v>#N/A</v>
      </c>
      <c r="H2837" s="33"/>
      <c r="I2837" s="33"/>
      <c r="J2837" s="33"/>
      <c r="K2837" s="33"/>
      <c r="L2837" s="33"/>
      <c r="M2837" s="33"/>
    </row>
    <row r="2838">
      <c r="A2838" s="32" t="s">
        <v>7198</v>
      </c>
      <c r="B2838" s="32" t="s">
        <v>7199</v>
      </c>
      <c r="C2838" s="35">
        <v>33.22100067</v>
      </c>
      <c r="D2838" s="35">
        <v>-92.81330109</v>
      </c>
      <c r="E2838" s="32" t="s">
        <v>180</v>
      </c>
      <c r="F2838" s="32" t="s">
        <v>1609</v>
      </c>
      <c r="G2838" s="39" t="s">
        <v>181</v>
      </c>
      <c r="H2838" s="33"/>
      <c r="I2838" s="33"/>
      <c r="J2838" s="33"/>
      <c r="K2838" s="33"/>
      <c r="L2838" s="33"/>
      <c r="M2838" s="33"/>
    </row>
    <row r="2839">
      <c r="A2839" s="32" t="s">
        <v>7200</v>
      </c>
      <c r="B2839" s="32" t="s">
        <v>7201</v>
      </c>
      <c r="C2839" s="35">
        <v>13.61489964</v>
      </c>
      <c r="D2839" s="35">
        <v>25.32460022</v>
      </c>
      <c r="E2839" s="32" t="s">
        <v>844</v>
      </c>
      <c r="F2839" s="32" t="s">
        <v>7202</v>
      </c>
      <c r="G2839" s="36" t="e">
        <v>#N/A</v>
      </c>
      <c r="H2839" s="33"/>
      <c r="I2839" s="33"/>
      <c r="J2839" s="33"/>
      <c r="K2839" s="33"/>
      <c r="L2839" s="33"/>
      <c r="M2839" s="33"/>
    </row>
    <row r="2840">
      <c r="A2840" s="32" t="s">
        <v>7203</v>
      </c>
      <c r="B2840" s="32" t="s">
        <v>7204</v>
      </c>
      <c r="C2840" s="35">
        <v>30.57130051</v>
      </c>
      <c r="D2840" s="35">
        <v>2.859590054</v>
      </c>
      <c r="E2840" s="32" t="s">
        <v>20</v>
      </c>
      <c r="F2840" s="32" t="s">
        <v>7205</v>
      </c>
      <c r="G2840" s="36" t="e">
        <v>#N/A</v>
      </c>
      <c r="H2840" s="33"/>
      <c r="I2840" s="33"/>
      <c r="J2840" s="33"/>
      <c r="K2840" s="33"/>
      <c r="L2840" s="33"/>
      <c r="M2840" s="33"/>
    </row>
    <row r="2841">
      <c r="A2841" s="32" t="s">
        <v>7206</v>
      </c>
      <c r="B2841" s="32" t="s">
        <v>7207</v>
      </c>
      <c r="C2841" s="35">
        <v>25.47489929</v>
      </c>
      <c r="D2841" s="35">
        <v>-76.6835022</v>
      </c>
      <c r="E2841" s="32" t="s">
        <v>319</v>
      </c>
      <c r="F2841" s="32" t="s">
        <v>7208</v>
      </c>
      <c r="G2841" s="36" t="e">
        <v>#N/A</v>
      </c>
      <c r="H2841" s="33"/>
      <c r="I2841" s="33"/>
      <c r="J2841" s="33"/>
      <c r="K2841" s="33"/>
      <c r="L2841" s="33"/>
      <c r="M2841" s="33"/>
    </row>
    <row r="2842">
      <c r="A2842" s="32" t="s">
        <v>7209</v>
      </c>
      <c r="B2842" s="32" t="s">
        <v>7210</v>
      </c>
      <c r="C2842" s="35">
        <v>64.61470032</v>
      </c>
      <c r="D2842" s="35">
        <v>-162.2720032</v>
      </c>
      <c r="E2842" s="32" t="s">
        <v>180</v>
      </c>
      <c r="F2842" s="32" t="s">
        <v>7211</v>
      </c>
      <c r="G2842" s="39" t="s">
        <v>181</v>
      </c>
      <c r="H2842" s="33"/>
      <c r="I2842" s="33"/>
      <c r="J2842" s="33"/>
      <c r="K2842" s="33"/>
      <c r="L2842" s="33"/>
      <c r="M2842" s="33"/>
    </row>
    <row r="2843">
      <c r="A2843" s="32" t="s">
        <v>7212</v>
      </c>
      <c r="B2843" s="32" t="s">
        <v>7213</v>
      </c>
      <c r="C2843" s="35">
        <v>42.15990067</v>
      </c>
      <c r="D2843" s="35">
        <v>-76.89160156</v>
      </c>
      <c r="E2843" s="32" t="s">
        <v>180</v>
      </c>
      <c r="F2843" s="32" t="s">
        <v>7214</v>
      </c>
      <c r="G2843" s="39" t="s">
        <v>181</v>
      </c>
      <c r="H2843" s="33"/>
      <c r="I2843" s="33"/>
      <c r="J2843" s="33"/>
      <c r="K2843" s="33"/>
      <c r="L2843" s="33"/>
      <c r="M2843" s="33"/>
    </row>
    <row r="2844">
      <c r="A2844" s="32" t="s">
        <v>7215</v>
      </c>
      <c r="B2844" s="32" t="s">
        <v>7216</v>
      </c>
      <c r="C2844" s="35">
        <v>31.80719948</v>
      </c>
      <c r="D2844" s="35">
        <v>-106.3779984</v>
      </c>
      <c r="E2844" s="32" t="s">
        <v>180</v>
      </c>
      <c r="F2844" s="32" t="s">
        <v>4765</v>
      </c>
      <c r="G2844" s="39" t="s">
        <v>181</v>
      </c>
      <c r="H2844" s="33"/>
      <c r="I2844" s="33"/>
      <c r="J2844" s="33"/>
      <c r="K2844" s="33"/>
      <c r="L2844" s="33"/>
      <c r="M2844" s="33"/>
    </row>
    <row r="2845">
      <c r="A2845" s="32" t="s">
        <v>7217</v>
      </c>
      <c r="B2845" s="32" t="s">
        <v>7218</v>
      </c>
      <c r="C2845" s="35">
        <v>26.30279922</v>
      </c>
      <c r="D2845" s="35">
        <v>43.7743988</v>
      </c>
      <c r="E2845" s="32" t="s">
        <v>223</v>
      </c>
      <c r="F2845" s="32" t="s">
        <v>7219</v>
      </c>
      <c r="G2845" s="36" t="e">
        <v>#N/A</v>
      </c>
      <c r="H2845" s="33"/>
      <c r="I2845" s="33"/>
      <c r="J2845" s="33"/>
      <c r="K2845" s="33"/>
      <c r="L2845" s="33"/>
      <c r="M2845" s="33"/>
    </row>
    <row r="2846">
      <c r="A2846" s="32" t="s">
        <v>7220</v>
      </c>
      <c r="B2846" s="32" t="s">
        <v>7221</v>
      </c>
      <c r="C2846" s="35">
        <v>-33.03559875</v>
      </c>
      <c r="D2846" s="35">
        <v>27.82589912</v>
      </c>
      <c r="E2846" s="32" t="s">
        <v>16</v>
      </c>
      <c r="F2846" s="32" t="s">
        <v>7222</v>
      </c>
      <c r="G2846" s="36" t="e">
        <v>#N/A</v>
      </c>
      <c r="H2846" s="33"/>
      <c r="I2846" s="33"/>
      <c r="J2846" s="33"/>
      <c r="K2846" s="33"/>
      <c r="L2846" s="33"/>
      <c r="M2846" s="33"/>
    </row>
    <row r="2847">
      <c r="A2847" s="32" t="s">
        <v>7223</v>
      </c>
      <c r="B2847" s="32" t="s">
        <v>7224</v>
      </c>
      <c r="C2847" s="35">
        <v>28.20899963</v>
      </c>
      <c r="D2847" s="35">
        <v>33.64550018</v>
      </c>
      <c r="E2847" s="32" t="s">
        <v>15</v>
      </c>
      <c r="F2847" s="32" t="s">
        <v>7225</v>
      </c>
      <c r="G2847" s="36" t="e">
        <v>#N/A</v>
      </c>
      <c r="H2847" s="33"/>
      <c r="I2847" s="33"/>
      <c r="J2847" s="33"/>
      <c r="K2847" s="33"/>
      <c r="L2847" s="33"/>
      <c r="M2847" s="33"/>
    </row>
    <row r="2848">
      <c r="A2848" s="32" t="s">
        <v>7226</v>
      </c>
      <c r="B2848" s="32" t="s">
        <v>7227</v>
      </c>
      <c r="C2848" s="35">
        <v>33.51139832</v>
      </c>
      <c r="D2848" s="35">
        <v>6.776790142</v>
      </c>
      <c r="E2848" s="32" t="s">
        <v>20</v>
      </c>
      <c r="F2848" s="32" t="s">
        <v>7228</v>
      </c>
      <c r="G2848" s="36" t="e">
        <v>#N/A</v>
      </c>
      <c r="H2848" s="33"/>
      <c r="I2848" s="33"/>
      <c r="J2848" s="33"/>
      <c r="K2848" s="33"/>
      <c r="L2848" s="33"/>
      <c r="M2848" s="33"/>
    </row>
    <row r="2849">
      <c r="A2849" s="32" t="s">
        <v>7229</v>
      </c>
      <c r="B2849" s="32" t="s">
        <v>7230</v>
      </c>
      <c r="C2849" s="35">
        <v>58.19520187</v>
      </c>
      <c r="D2849" s="35">
        <v>-136.3470001</v>
      </c>
      <c r="E2849" s="32" t="s">
        <v>180</v>
      </c>
      <c r="F2849" s="32" t="s">
        <v>7231</v>
      </c>
      <c r="G2849" s="39" t="s">
        <v>181</v>
      </c>
      <c r="H2849" s="33"/>
      <c r="I2849" s="33"/>
      <c r="J2849" s="33"/>
      <c r="K2849" s="33"/>
      <c r="L2849" s="33"/>
      <c r="M2849" s="33"/>
    </row>
    <row r="2850">
      <c r="A2850" s="32" t="s">
        <v>7232</v>
      </c>
      <c r="B2850" s="32" t="s">
        <v>7233</v>
      </c>
      <c r="C2850" s="35">
        <v>39.29970169</v>
      </c>
      <c r="D2850" s="35">
        <v>-114.8420029</v>
      </c>
      <c r="E2850" s="32" t="s">
        <v>180</v>
      </c>
      <c r="F2850" s="32" t="s">
        <v>7234</v>
      </c>
      <c r="G2850" s="39" t="s">
        <v>181</v>
      </c>
      <c r="H2850" s="33"/>
      <c r="I2850" s="33"/>
      <c r="J2850" s="33"/>
      <c r="K2850" s="33"/>
      <c r="L2850" s="33"/>
      <c r="M2850" s="33"/>
    </row>
    <row r="2851">
      <c r="A2851" s="32" t="s">
        <v>7235</v>
      </c>
      <c r="B2851" s="32" t="s">
        <v>7236</v>
      </c>
      <c r="C2851" s="35">
        <v>52.83110046</v>
      </c>
      <c r="D2851" s="35">
        <v>-1.328060031</v>
      </c>
      <c r="E2851" s="32" t="s">
        <v>90</v>
      </c>
      <c r="F2851" s="32" t="s">
        <v>7237</v>
      </c>
      <c r="G2851" s="39" t="s">
        <v>91</v>
      </c>
      <c r="H2851" s="33"/>
      <c r="I2851" s="33"/>
      <c r="J2851" s="33"/>
      <c r="K2851" s="33"/>
      <c r="L2851" s="33"/>
      <c r="M2851" s="33"/>
    </row>
    <row r="2852">
      <c r="A2852" s="32" t="s">
        <v>7238</v>
      </c>
      <c r="B2852" s="32" t="s">
        <v>7239</v>
      </c>
      <c r="C2852" s="35">
        <v>-23.56749916</v>
      </c>
      <c r="D2852" s="35">
        <v>148.1790009</v>
      </c>
      <c r="E2852" s="32" t="s">
        <v>1968</v>
      </c>
      <c r="F2852" s="32" t="s">
        <v>7240</v>
      </c>
      <c r="G2852" s="36" t="e">
        <v>#N/A</v>
      </c>
      <c r="H2852" s="33"/>
      <c r="I2852" s="33"/>
      <c r="J2852" s="33"/>
      <c r="K2852" s="33"/>
      <c r="L2852" s="33"/>
      <c r="M2852" s="33"/>
    </row>
    <row r="2853">
      <c r="A2853" s="32" t="s">
        <v>7241</v>
      </c>
      <c r="B2853" s="32" t="s">
        <v>7242</v>
      </c>
      <c r="C2853" s="35">
        <v>53.39110947</v>
      </c>
      <c r="D2853" s="35">
        <v>7.227499962</v>
      </c>
      <c r="E2853" s="32" t="s">
        <v>109</v>
      </c>
      <c r="F2853" s="32" t="s">
        <v>7243</v>
      </c>
      <c r="G2853" s="39" t="s">
        <v>110</v>
      </c>
      <c r="H2853" s="33"/>
      <c r="I2853" s="33"/>
      <c r="J2853" s="33"/>
      <c r="K2853" s="33"/>
      <c r="L2853" s="33"/>
      <c r="M2853" s="33"/>
    </row>
    <row r="2854">
      <c r="A2854" s="32" t="s">
        <v>7244</v>
      </c>
      <c r="B2854" s="32" t="s">
        <v>7245</v>
      </c>
      <c r="C2854" s="35">
        <v>62.78609848</v>
      </c>
      <c r="D2854" s="35">
        <v>-164.4909973</v>
      </c>
      <c r="E2854" s="32" t="s">
        <v>180</v>
      </c>
      <c r="F2854" s="32" t="s">
        <v>7246</v>
      </c>
      <c r="G2854" s="39" t="s">
        <v>181</v>
      </c>
      <c r="H2854" s="33"/>
      <c r="I2854" s="33"/>
      <c r="J2854" s="33"/>
      <c r="K2854" s="33"/>
      <c r="L2854" s="33"/>
      <c r="M2854" s="33"/>
    </row>
    <row r="2855">
      <c r="A2855" s="32" t="s">
        <v>7247</v>
      </c>
      <c r="B2855" s="32" t="s">
        <v>7248</v>
      </c>
      <c r="C2855" s="35">
        <v>47.092444</v>
      </c>
      <c r="D2855" s="35">
        <v>8.305184</v>
      </c>
      <c r="E2855" s="32" t="s">
        <v>1180</v>
      </c>
      <c r="F2855" s="32" t="s">
        <v>7249</v>
      </c>
      <c r="G2855" s="36" t="e">
        <v>#N/A</v>
      </c>
      <c r="H2855" s="33"/>
      <c r="I2855" s="33"/>
      <c r="J2855" s="33"/>
      <c r="K2855" s="33"/>
      <c r="L2855" s="33"/>
      <c r="M2855" s="33"/>
    </row>
    <row r="2856">
      <c r="A2856" s="32" t="s">
        <v>7250</v>
      </c>
      <c r="B2856" s="32" t="s">
        <v>7251</v>
      </c>
      <c r="C2856" s="35">
        <v>16.62199974</v>
      </c>
      <c r="D2856" s="35">
        <v>-7.316599846</v>
      </c>
      <c r="E2856" s="32" t="s">
        <v>817</v>
      </c>
      <c r="F2856" s="32" t="s">
        <v>7252</v>
      </c>
      <c r="G2856" s="36" t="e">
        <v>#N/A</v>
      </c>
      <c r="H2856" s="33"/>
      <c r="I2856" s="33"/>
      <c r="J2856" s="33"/>
      <c r="K2856" s="33"/>
      <c r="L2856" s="33"/>
      <c r="M2856" s="33"/>
    </row>
    <row r="2857">
      <c r="A2857" s="32" t="s">
        <v>7253</v>
      </c>
      <c r="B2857" s="32" t="s">
        <v>7254</v>
      </c>
      <c r="C2857" s="35">
        <v>38.33209991</v>
      </c>
      <c r="D2857" s="35">
        <v>-96.19120026</v>
      </c>
      <c r="E2857" s="32" t="s">
        <v>109</v>
      </c>
      <c r="F2857" s="32" t="s">
        <v>7255</v>
      </c>
      <c r="G2857" s="39" t="s">
        <v>110</v>
      </c>
      <c r="H2857" s="33"/>
      <c r="I2857" s="33"/>
      <c r="J2857" s="33"/>
      <c r="K2857" s="33"/>
      <c r="L2857" s="33"/>
      <c r="M2857" s="33"/>
    </row>
    <row r="2858">
      <c r="A2858" s="32" t="s">
        <v>7256</v>
      </c>
      <c r="B2858" s="32" t="s">
        <v>7257</v>
      </c>
      <c r="C2858" s="35">
        <v>34.08610153</v>
      </c>
      <c r="D2858" s="35">
        <v>-118.0350037</v>
      </c>
      <c r="E2858" s="32" t="s">
        <v>180</v>
      </c>
      <c r="F2858" s="32" t="s">
        <v>7258</v>
      </c>
      <c r="G2858" s="39" t="s">
        <v>181</v>
      </c>
      <c r="H2858" s="33"/>
      <c r="I2858" s="33"/>
      <c r="J2858" s="33"/>
      <c r="K2858" s="33"/>
      <c r="L2858" s="33"/>
      <c r="M2858" s="33"/>
    </row>
    <row r="2859">
      <c r="A2859" s="32" t="s">
        <v>7259</v>
      </c>
      <c r="B2859" s="32" t="s">
        <v>7260</v>
      </c>
      <c r="C2859" s="35">
        <v>36.68690109</v>
      </c>
      <c r="D2859" s="35">
        <v>-77.48280334</v>
      </c>
      <c r="E2859" s="32" t="s">
        <v>180</v>
      </c>
      <c r="F2859" s="32" t="s">
        <v>7261</v>
      </c>
      <c r="G2859" s="39" t="s">
        <v>181</v>
      </c>
      <c r="H2859" s="33"/>
      <c r="I2859" s="33"/>
      <c r="J2859" s="33"/>
      <c r="K2859" s="33"/>
      <c r="L2859" s="33"/>
      <c r="M2859" s="33"/>
    </row>
    <row r="2860">
      <c r="A2860" s="32" t="s">
        <v>7262</v>
      </c>
      <c r="B2860" s="32" t="s">
        <v>7263</v>
      </c>
      <c r="C2860" s="35">
        <v>60.57310104</v>
      </c>
      <c r="D2860" s="35">
        <v>-151.2449951</v>
      </c>
      <c r="E2860" s="32" t="s">
        <v>180</v>
      </c>
      <c r="F2860" s="32" t="s">
        <v>7264</v>
      </c>
      <c r="G2860" s="39" t="s">
        <v>181</v>
      </c>
      <c r="H2860" s="33"/>
      <c r="I2860" s="33"/>
      <c r="J2860" s="33"/>
      <c r="K2860" s="33"/>
      <c r="L2860" s="33"/>
      <c r="M2860" s="33"/>
    </row>
    <row r="2861">
      <c r="A2861" s="32" t="s">
        <v>7265</v>
      </c>
      <c r="B2861" s="32" t="s">
        <v>7266</v>
      </c>
      <c r="C2861" s="35">
        <v>48.69210052</v>
      </c>
      <c r="D2861" s="35">
        <v>6.230460167</v>
      </c>
      <c r="E2861" s="32" t="s">
        <v>96</v>
      </c>
      <c r="F2861" s="32" t="s">
        <v>1022</v>
      </c>
      <c r="G2861" s="39" t="s">
        <v>97</v>
      </c>
      <c r="H2861" s="33"/>
      <c r="I2861" s="33"/>
      <c r="J2861" s="33"/>
      <c r="K2861" s="33"/>
      <c r="L2861" s="33"/>
      <c r="M2861" s="33"/>
    </row>
    <row r="2862">
      <c r="A2862" s="32" t="s">
        <v>7267</v>
      </c>
      <c r="B2862" s="32" t="s">
        <v>7268</v>
      </c>
      <c r="C2862" s="35">
        <v>36.33919907</v>
      </c>
      <c r="D2862" s="35">
        <v>-97.91649628</v>
      </c>
      <c r="E2862" s="32" t="s">
        <v>180</v>
      </c>
      <c r="F2862" s="32" t="s">
        <v>7269</v>
      </c>
      <c r="G2862" s="39" t="s">
        <v>181</v>
      </c>
      <c r="H2862" s="33"/>
      <c r="I2862" s="33"/>
      <c r="J2862" s="33"/>
      <c r="K2862" s="33"/>
      <c r="L2862" s="33"/>
      <c r="M2862" s="33"/>
    </row>
    <row r="2863">
      <c r="A2863" s="32" t="s">
        <v>7270</v>
      </c>
      <c r="B2863" s="32" t="s">
        <v>7271</v>
      </c>
      <c r="C2863" s="35">
        <v>-8.849289894</v>
      </c>
      <c r="D2863" s="35">
        <v>121.6610031</v>
      </c>
      <c r="E2863" s="32" t="s">
        <v>280</v>
      </c>
      <c r="F2863" s="32" t="s">
        <v>7272</v>
      </c>
      <c r="G2863" s="36" t="e">
        <v>#N/A</v>
      </c>
      <c r="H2863" s="33"/>
      <c r="I2863" s="33"/>
      <c r="J2863" s="33"/>
      <c r="K2863" s="33"/>
      <c r="L2863" s="33"/>
      <c r="M2863" s="33"/>
    </row>
    <row r="2864">
      <c r="A2864" s="32" t="s">
        <v>7273</v>
      </c>
      <c r="B2864" s="32" t="s">
        <v>7274</v>
      </c>
      <c r="C2864" s="35">
        <v>68.36260223</v>
      </c>
      <c r="D2864" s="35">
        <v>23.42429924</v>
      </c>
      <c r="E2864" s="32" t="s">
        <v>408</v>
      </c>
      <c r="F2864" s="32" t="s">
        <v>7275</v>
      </c>
      <c r="G2864" s="36" t="e">
        <v>#N/A</v>
      </c>
      <c r="H2864" s="33"/>
      <c r="I2864" s="33"/>
      <c r="J2864" s="33"/>
      <c r="K2864" s="33"/>
      <c r="L2864" s="33"/>
      <c r="M2864" s="33"/>
    </row>
    <row r="2865">
      <c r="A2865" s="32" t="s">
        <v>7276</v>
      </c>
      <c r="B2865" s="32" t="s">
        <v>7277</v>
      </c>
      <c r="C2865" s="35">
        <v>30.32029915</v>
      </c>
      <c r="D2865" s="35">
        <v>109.4850006</v>
      </c>
      <c r="E2865" s="32" t="s">
        <v>205</v>
      </c>
      <c r="F2865" s="32" t="s">
        <v>7278</v>
      </c>
      <c r="G2865" s="39" t="s">
        <v>206</v>
      </c>
      <c r="H2865" s="33"/>
      <c r="I2865" s="33"/>
      <c r="J2865" s="33"/>
      <c r="K2865" s="33"/>
      <c r="L2865" s="33"/>
      <c r="M2865" s="33"/>
    </row>
    <row r="2866">
      <c r="A2866" s="32" t="s">
        <v>7279</v>
      </c>
      <c r="B2866" s="32" t="s">
        <v>7280</v>
      </c>
      <c r="C2866" s="35">
        <v>54.39889908</v>
      </c>
      <c r="D2866" s="35">
        <v>-7.651669979</v>
      </c>
      <c r="E2866" s="32" t="s">
        <v>90</v>
      </c>
      <c r="F2866" s="32" t="s">
        <v>7281</v>
      </c>
      <c r="G2866" s="39" t="s">
        <v>91</v>
      </c>
      <c r="H2866" s="33"/>
      <c r="I2866" s="33"/>
      <c r="J2866" s="33"/>
      <c r="K2866" s="33"/>
      <c r="L2866" s="33"/>
      <c r="M2866" s="33"/>
    </row>
    <row r="2867">
      <c r="A2867" s="32" t="s">
        <v>7282</v>
      </c>
      <c r="B2867" s="32" t="s">
        <v>7283</v>
      </c>
      <c r="C2867" s="35">
        <v>64.54730225</v>
      </c>
      <c r="D2867" s="35">
        <v>-149.0740051</v>
      </c>
      <c r="E2867" s="32" t="s">
        <v>180</v>
      </c>
      <c r="F2867" s="32" t="s">
        <v>7284</v>
      </c>
      <c r="G2867" s="39" t="s">
        <v>181</v>
      </c>
      <c r="H2867" s="33"/>
      <c r="I2867" s="33"/>
      <c r="J2867" s="33"/>
      <c r="K2867" s="33"/>
      <c r="L2867" s="33"/>
      <c r="M2867" s="33"/>
    </row>
    <row r="2868">
      <c r="A2868" s="32" t="s">
        <v>7285</v>
      </c>
      <c r="B2868" s="32" t="s">
        <v>7286</v>
      </c>
      <c r="C2868" s="35">
        <v>52.2758333</v>
      </c>
      <c r="D2868" s="35">
        <v>6.8891667</v>
      </c>
      <c r="E2868" s="32" t="s">
        <v>127</v>
      </c>
      <c r="F2868" s="32" t="s">
        <v>7287</v>
      </c>
      <c r="G2868" s="39" t="s">
        <v>128</v>
      </c>
      <c r="H2868" s="33"/>
      <c r="I2868" s="33"/>
      <c r="J2868" s="33"/>
      <c r="K2868" s="33"/>
      <c r="L2868" s="33"/>
      <c r="M2868" s="33"/>
    </row>
    <row r="2869">
      <c r="A2869" s="32" t="s">
        <v>7288</v>
      </c>
      <c r="B2869" s="32" t="s">
        <v>7289</v>
      </c>
      <c r="C2869" s="35">
        <v>11.34070015</v>
      </c>
      <c r="D2869" s="35">
        <v>162.3280029</v>
      </c>
      <c r="E2869" s="32" t="s">
        <v>1494</v>
      </c>
      <c r="F2869" s="32" t="s">
        <v>7290</v>
      </c>
      <c r="G2869" s="36" t="e">
        <v>#N/A</v>
      </c>
      <c r="H2869" s="33"/>
      <c r="I2869" s="33"/>
      <c r="J2869" s="33"/>
      <c r="K2869" s="33"/>
      <c r="L2869" s="33"/>
      <c r="M2869" s="33"/>
    </row>
    <row r="2870">
      <c r="A2870" s="32" t="s">
        <v>7291</v>
      </c>
      <c r="B2870" s="32" t="s">
        <v>7292</v>
      </c>
      <c r="C2870" s="35">
        <v>6.474269867</v>
      </c>
      <c r="D2870" s="35">
        <v>7.56196022</v>
      </c>
      <c r="E2870" s="32" t="s">
        <v>19</v>
      </c>
      <c r="F2870" s="32" t="s">
        <v>7293</v>
      </c>
      <c r="G2870" s="36" t="e">
        <v>#N/A</v>
      </c>
      <c r="H2870" s="33"/>
      <c r="I2870" s="33"/>
      <c r="J2870" s="33"/>
      <c r="K2870" s="33"/>
      <c r="L2870" s="33"/>
      <c r="M2870" s="33"/>
    </row>
    <row r="2871">
      <c r="A2871" s="32" t="s">
        <v>7294</v>
      </c>
      <c r="B2871" s="32" t="s">
        <v>7295</v>
      </c>
      <c r="C2871" s="35">
        <v>40.71870041</v>
      </c>
      <c r="D2871" s="35">
        <v>-114.0309982</v>
      </c>
      <c r="E2871" s="32" t="s">
        <v>180</v>
      </c>
      <c r="F2871" s="32" t="s">
        <v>7296</v>
      </c>
      <c r="G2871" s="39" t="s">
        <v>181</v>
      </c>
      <c r="H2871" s="33"/>
      <c r="I2871" s="33"/>
      <c r="J2871" s="33"/>
      <c r="K2871" s="33"/>
      <c r="L2871" s="33"/>
      <c r="M2871" s="33"/>
    </row>
    <row r="2872">
      <c r="A2872" s="32" t="s">
        <v>7297</v>
      </c>
      <c r="B2872" s="32" t="s">
        <v>7298</v>
      </c>
      <c r="C2872" s="35">
        <v>42.59569931</v>
      </c>
      <c r="D2872" s="35">
        <v>-87.92780304</v>
      </c>
      <c r="E2872" s="32" t="s">
        <v>180</v>
      </c>
      <c r="F2872" s="32" t="s">
        <v>7299</v>
      </c>
      <c r="G2872" s="39" t="s">
        <v>181</v>
      </c>
      <c r="H2872" s="33"/>
      <c r="I2872" s="33"/>
      <c r="J2872" s="33"/>
      <c r="K2872" s="33"/>
      <c r="L2872" s="33"/>
      <c r="M2872" s="33"/>
    </row>
    <row r="2873">
      <c r="A2873" s="32" t="s">
        <v>7300</v>
      </c>
      <c r="B2873" s="32" t="s">
        <v>7301</v>
      </c>
      <c r="C2873" s="35">
        <v>36.636902</v>
      </c>
      <c r="D2873" s="35">
        <v>109.554001</v>
      </c>
      <c r="E2873" s="32" t="s">
        <v>205</v>
      </c>
      <c r="F2873" s="32" t="s">
        <v>7302</v>
      </c>
      <c r="G2873" s="39" t="s">
        <v>206</v>
      </c>
      <c r="H2873" s="33"/>
      <c r="I2873" s="33"/>
      <c r="J2873" s="33"/>
      <c r="K2873" s="33"/>
      <c r="L2873" s="33"/>
      <c r="M2873" s="33"/>
    </row>
    <row r="2874">
      <c r="A2874" s="32" t="s">
        <v>7303</v>
      </c>
      <c r="B2874" s="32" t="s">
        <v>7304</v>
      </c>
      <c r="C2874" s="35">
        <v>6.220549</v>
      </c>
      <c r="D2874" s="35">
        <v>-75.590582</v>
      </c>
      <c r="E2874" s="32" t="s">
        <v>292</v>
      </c>
      <c r="F2874" s="32" t="s">
        <v>7305</v>
      </c>
      <c r="G2874" s="36" t="e">
        <v>#N/A</v>
      </c>
      <c r="H2874" s="33"/>
      <c r="I2874" s="33"/>
      <c r="J2874" s="33"/>
      <c r="K2874" s="33"/>
      <c r="L2874" s="33"/>
      <c r="M2874" s="33"/>
    </row>
    <row r="2875">
      <c r="A2875" s="32" t="s">
        <v>7306</v>
      </c>
      <c r="B2875" s="32" t="s">
        <v>7307</v>
      </c>
      <c r="C2875" s="35">
        <v>59.19060135</v>
      </c>
      <c r="D2875" s="35">
        <v>-2.772219896</v>
      </c>
      <c r="E2875" s="32" t="s">
        <v>90</v>
      </c>
      <c r="F2875" s="32" t="s">
        <v>7308</v>
      </c>
      <c r="G2875" s="39" t="s">
        <v>91</v>
      </c>
      <c r="H2875" s="33"/>
      <c r="I2875" s="33"/>
      <c r="J2875" s="33"/>
      <c r="K2875" s="33"/>
      <c r="L2875" s="33"/>
      <c r="M2875" s="33"/>
    </row>
    <row r="2876">
      <c r="A2876" s="32" t="s">
        <v>7309</v>
      </c>
      <c r="B2876" s="32" t="s">
        <v>7310</v>
      </c>
      <c r="C2876" s="35">
        <v>40.4598999</v>
      </c>
      <c r="D2876" s="35">
        <v>-91.42849731</v>
      </c>
      <c r="E2876" s="32" t="s">
        <v>180</v>
      </c>
      <c r="F2876" s="32" t="s">
        <v>7311</v>
      </c>
      <c r="G2876" s="39" t="s">
        <v>181</v>
      </c>
      <c r="H2876" s="33"/>
      <c r="I2876" s="33"/>
      <c r="J2876" s="33"/>
      <c r="K2876" s="33"/>
      <c r="L2876" s="33"/>
      <c r="M2876" s="33"/>
    </row>
    <row r="2877">
      <c r="A2877" s="32" t="s">
        <v>7312</v>
      </c>
      <c r="B2877" s="32" t="s">
        <v>7313</v>
      </c>
      <c r="C2877" s="35">
        <v>48.32500076</v>
      </c>
      <c r="D2877" s="35">
        <v>6.069980145</v>
      </c>
      <c r="E2877" s="32" t="s">
        <v>96</v>
      </c>
      <c r="F2877" s="32" t="s">
        <v>7314</v>
      </c>
      <c r="G2877" s="39" t="s">
        <v>97</v>
      </c>
      <c r="H2877" s="33"/>
      <c r="I2877" s="33"/>
      <c r="J2877" s="33"/>
      <c r="K2877" s="33"/>
      <c r="L2877" s="33"/>
      <c r="M2877" s="33"/>
    </row>
    <row r="2878">
      <c r="A2878" s="32" t="s">
        <v>7315</v>
      </c>
      <c r="B2878" s="32" t="s">
        <v>7316</v>
      </c>
      <c r="C2878" s="35">
        <v>44.91009903</v>
      </c>
      <c r="D2878" s="35">
        <v>-67.01270294</v>
      </c>
      <c r="E2878" s="32" t="s">
        <v>180</v>
      </c>
      <c r="F2878" s="32" t="s">
        <v>7317</v>
      </c>
      <c r="G2878" s="39" t="s">
        <v>181</v>
      </c>
      <c r="H2878" s="33"/>
      <c r="I2878" s="33"/>
      <c r="J2878" s="33"/>
      <c r="K2878" s="33"/>
      <c r="L2878" s="33"/>
      <c r="M2878" s="33"/>
    </row>
    <row r="2879">
      <c r="A2879" s="32" t="s">
        <v>7318</v>
      </c>
      <c r="B2879" s="32" t="s">
        <v>7319</v>
      </c>
      <c r="C2879" s="35">
        <v>-33.684399</v>
      </c>
      <c r="D2879" s="35">
        <v>121.822998</v>
      </c>
      <c r="E2879" s="32" t="s">
        <v>1968</v>
      </c>
      <c r="F2879" s="32" t="s">
        <v>7320</v>
      </c>
      <c r="G2879" s="36" t="e">
        <v>#N/A</v>
      </c>
      <c r="H2879" s="33"/>
      <c r="I2879" s="33"/>
      <c r="J2879" s="33"/>
      <c r="K2879" s="33"/>
      <c r="L2879" s="33"/>
      <c r="M2879" s="33"/>
    </row>
    <row r="2880">
      <c r="A2880" s="32" t="s">
        <v>7321</v>
      </c>
      <c r="B2880" s="32" t="s">
        <v>7322</v>
      </c>
      <c r="C2880" s="35">
        <v>19.19860077</v>
      </c>
      <c r="D2880" s="35">
        <v>-69.42980194</v>
      </c>
      <c r="E2880" s="32" t="s">
        <v>335</v>
      </c>
      <c r="F2880" s="32" t="s">
        <v>4391</v>
      </c>
      <c r="G2880" s="36" t="e">
        <v>#N/A</v>
      </c>
      <c r="H2880" s="33"/>
      <c r="I2880" s="33"/>
      <c r="J2880" s="33"/>
      <c r="K2880" s="33"/>
      <c r="L2880" s="33"/>
      <c r="M2880" s="33"/>
    </row>
    <row r="2881">
      <c r="A2881" s="32" t="s">
        <v>7323</v>
      </c>
      <c r="B2881" s="32" t="s">
        <v>7324</v>
      </c>
      <c r="C2881" s="35">
        <v>58.41899872</v>
      </c>
      <c r="D2881" s="35">
        <v>24.4727993</v>
      </c>
      <c r="E2881" s="32" t="s">
        <v>405</v>
      </c>
      <c r="F2881" s="32" t="s">
        <v>7325</v>
      </c>
      <c r="G2881" s="36" t="e">
        <v>#N/A</v>
      </c>
      <c r="H2881" s="33"/>
      <c r="I2881" s="33"/>
      <c r="J2881" s="33"/>
      <c r="K2881" s="33"/>
      <c r="L2881" s="33"/>
      <c r="M2881" s="33"/>
    </row>
    <row r="2882">
      <c r="A2882" s="32" t="s">
        <v>7326</v>
      </c>
      <c r="B2882" s="32" t="s">
        <v>7327</v>
      </c>
      <c r="C2882" s="35">
        <v>-42.90800095</v>
      </c>
      <c r="D2882" s="35">
        <v>-71.13950348</v>
      </c>
      <c r="E2882" s="32" t="s">
        <v>296</v>
      </c>
      <c r="F2882" s="32" t="s">
        <v>7328</v>
      </c>
      <c r="G2882" s="36" t="e">
        <v>#N/A</v>
      </c>
      <c r="H2882" s="33"/>
      <c r="I2882" s="33"/>
      <c r="J2882" s="33"/>
      <c r="K2882" s="33"/>
      <c r="L2882" s="33"/>
      <c r="M2882" s="33"/>
    </row>
    <row r="2883">
      <c r="A2883" s="32" t="s">
        <v>7329</v>
      </c>
      <c r="B2883" s="32" t="s">
        <v>7330</v>
      </c>
      <c r="C2883" s="35">
        <v>39.71020126</v>
      </c>
      <c r="D2883" s="35">
        <v>39.52700043</v>
      </c>
      <c r="E2883" s="32" t="s">
        <v>133</v>
      </c>
      <c r="F2883" s="32" t="s">
        <v>7331</v>
      </c>
      <c r="G2883" s="39" t="s">
        <v>134</v>
      </c>
      <c r="H2883" s="33"/>
      <c r="I2883" s="33"/>
      <c r="J2883" s="33"/>
      <c r="K2883" s="33"/>
      <c r="L2883" s="33"/>
      <c r="M2883" s="33"/>
    </row>
    <row r="2884">
      <c r="A2884" s="32" t="s">
        <v>7332</v>
      </c>
      <c r="B2884" s="32" t="s">
        <v>7333</v>
      </c>
      <c r="C2884" s="35">
        <v>46.81499863</v>
      </c>
      <c r="D2884" s="35">
        <v>36.7580986</v>
      </c>
      <c r="E2884" s="32" t="s">
        <v>3293</v>
      </c>
      <c r="F2884" s="32" t="s">
        <v>7334</v>
      </c>
      <c r="G2884" s="36" t="e">
        <v>#N/A</v>
      </c>
      <c r="H2884" s="33"/>
      <c r="I2884" s="33"/>
      <c r="J2884" s="33"/>
      <c r="K2884" s="33"/>
      <c r="L2884" s="33"/>
      <c r="M2884" s="33"/>
    </row>
    <row r="2885">
      <c r="A2885" s="32" t="s">
        <v>7335</v>
      </c>
      <c r="B2885" s="32" t="s">
        <v>7336</v>
      </c>
      <c r="C2885" s="35">
        <v>50.97980118</v>
      </c>
      <c r="D2885" s="35">
        <v>10.95810032</v>
      </c>
      <c r="E2885" s="32" t="s">
        <v>109</v>
      </c>
      <c r="F2885" s="32" t="s">
        <v>7337</v>
      </c>
      <c r="G2885" s="39" t="s">
        <v>110</v>
      </c>
      <c r="H2885" s="33"/>
      <c r="I2885" s="33"/>
      <c r="J2885" s="33"/>
      <c r="K2885" s="33"/>
      <c r="L2885" s="33"/>
      <c r="M2885" s="33"/>
    </row>
    <row r="2886">
      <c r="A2886" s="32" t="s">
        <v>7338</v>
      </c>
      <c r="B2886" s="32" t="s">
        <v>7339</v>
      </c>
      <c r="C2886" s="35">
        <v>61.27500153</v>
      </c>
      <c r="D2886" s="35">
        <v>108.0299988</v>
      </c>
      <c r="E2886" s="32" t="s">
        <v>2040</v>
      </c>
      <c r="F2886" s="32" t="s">
        <v>7340</v>
      </c>
      <c r="G2886" s="36" t="e">
        <v>#N/A</v>
      </c>
      <c r="H2886" s="33"/>
      <c r="I2886" s="33"/>
      <c r="J2886" s="33"/>
      <c r="K2886" s="33"/>
      <c r="L2886" s="33"/>
      <c r="M2886" s="33"/>
    </row>
    <row r="2887">
      <c r="A2887" s="32" t="s">
        <v>7341</v>
      </c>
      <c r="B2887" s="32" t="s">
        <v>7342</v>
      </c>
      <c r="C2887" s="35">
        <v>31.94750023</v>
      </c>
      <c r="D2887" s="35">
        <v>-4.398330212</v>
      </c>
      <c r="E2887" s="32" t="s">
        <v>17</v>
      </c>
      <c r="F2887" s="32" t="s">
        <v>7343</v>
      </c>
      <c r="G2887" s="36" t="e">
        <v>#N/A</v>
      </c>
      <c r="H2887" s="33"/>
      <c r="I2887" s="33"/>
      <c r="J2887" s="33"/>
      <c r="K2887" s="33"/>
      <c r="L2887" s="33"/>
      <c r="M2887" s="33"/>
    </row>
    <row r="2888">
      <c r="A2888" s="32" t="s">
        <v>7344</v>
      </c>
      <c r="B2888" s="32" t="s">
        <v>7345</v>
      </c>
      <c r="C2888" s="35">
        <v>42.08312701</v>
      </c>
      <c r="D2888" s="35">
        <v>-80.17386675</v>
      </c>
      <c r="E2888" s="32" t="s">
        <v>180</v>
      </c>
      <c r="F2888" s="32" t="s">
        <v>7346</v>
      </c>
      <c r="G2888" s="39" t="s">
        <v>181</v>
      </c>
      <c r="H2888" s="33"/>
      <c r="I2888" s="33"/>
      <c r="J2888" s="33"/>
      <c r="K2888" s="33"/>
      <c r="L2888" s="33"/>
      <c r="M2888" s="33"/>
    </row>
    <row r="2889">
      <c r="A2889" s="32" t="s">
        <v>7347</v>
      </c>
      <c r="B2889" s="32" t="s">
        <v>7348</v>
      </c>
      <c r="C2889" s="35">
        <v>43.4225</v>
      </c>
      <c r="D2889" s="35">
        <v>112.096667</v>
      </c>
      <c r="E2889" s="32" t="s">
        <v>205</v>
      </c>
      <c r="F2889" s="32" t="s">
        <v>7349</v>
      </c>
      <c r="G2889" s="39" t="s">
        <v>206</v>
      </c>
      <c r="H2889" s="33"/>
      <c r="I2889" s="33"/>
      <c r="J2889" s="33"/>
      <c r="K2889" s="33"/>
      <c r="L2889" s="33"/>
      <c r="M2889" s="33"/>
    </row>
    <row r="2890">
      <c r="A2890" s="32" t="s">
        <v>7350</v>
      </c>
      <c r="B2890" s="32" t="s">
        <v>7351</v>
      </c>
      <c r="C2890" s="35">
        <v>-27.66189957</v>
      </c>
      <c r="D2890" s="35">
        <v>-52.2682991</v>
      </c>
      <c r="E2890" s="32" t="s">
        <v>288</v>
      </c>
      <c r="F2890" s="32" t="s">
        <v>7352</v>
      </c>
      <c r="G2890" s="36" t="e">
        <v>#N/A</v>
      </c>
      <c r="H2890" s="33"/>
      <c r="I2890" s="33"/>
      <c r="J2890" s="33"/>
      <c r="K2890" s="33"/>
      <c r="L2890" s="33"/>
      <c r="M2890" s="33"/>
    </row>
    <row r="2891">
      <c r="A2891" s="32" t="s">
        <v>7353</v>
      </c>
      <c r="B2891" s="32" t="s">
        <v>7354</v>
      </c>
      <c r="C2891" s="35">
        <v>-6.639530182</v>
      </c>
      <c r="D2891" s="35">
        <v>-69.87979889</v>
      </c>
      <c r="E2891" s="32" t="s">
        <v>288</v>
      </c>
      <c r="F2891" s="32" t="s">
        <v>7355</v>
      </c>
      <c r="G2891" s="36" t="e">
        <v>#N/A</v>
      </c>
      <c r="H2891" s="33"/>
      <c r="I2891" s="33"/>
      <c r="J2891" s="33"/>
      <c r="K2891" s="33"/>
      <c r="L2891" s="33"/>
      <c r="M2891" s="33"/>
    </row>
    <row r="2892">
      <c r="A2892" s="32" t="s">
        <v>7356</v>
      </c>
      <c r="B2892" s="32" t="s">
        <v>7357</v>
      </c>
      <c r="C2892" s="35">
        <v>-22.61219978</v>
      </c>
      <c r="D2892" s="35">
        <v>17.08040047</v>
      </c>
      <c r="E2892" s="32" t="s">
        <v>3193</v>
      </c>
      <c r="F2892" s="32" t="s">
        <v>7358</v>
      </c>
      <c r="G2892" s="36" t="e">
        <v>#N/A</v>
      </c>
      <c r="H2892" s="33"/>
      <c r="I2892" s="33"/>
      <c r="J2892" s="33"/>
      <c r="K2892" s="33"/>
      <c r="L2892" s="33"/>
      <c r="M2892" s="33"/>
    </row>
    <row r="2893">
      <c r="A2893" s="32" t="s">
        <v>7359</v>
      </c>
      <c r="B2893" s="32" t="s">
        <v>7360</v>
      </c>
      <c r="C2893" s="35">
        <v>29.97669983</v>
      </c>
      <c r="D2893" s="35">
        <v>-99.08570099</v>
      </c>
      <c r="E2893" s="32" t="s">
        <v>180</v>
      </c>
      <c r="F2893" s="32" t="s">
        <v>7361</v>
      </c>
      <c r="G2893" s="39" t="s">
        <v>181</v>
      </c>
      <c r="H2893" s="33"/>
      <c r="I2893" s="33"/>
      <c r="J2893" s="33"/>
      <c r="K2893" s="33"/>
      <c r="L2893" s="33"/>
      <c r="M2893" s="33"/>
    </row>
    <row r="2894">
      <c r="A2894" s="32" t="s">
        <v>7362</v>
      </c>
      <c r="B2894" s="32" t="s">
        <v>7363</v>
      </c>
      <c r="C2894" s="35">
        <v>46.31119919</v>
      </c>
      <c r="D2894" s="35">
        <v>-85.45729828</v>
      </c>
      <c r="E2894" s="32" t="s">
        <v>180</v>
      </c>
      <c r="F2894" s="32" t="s">
        <v>7364</v>
      </c>
      <c r="G2894" s="39" t="s">
        <v>181</v>
      </c>
      <c r="H2894" s="33"/>
      <c r="I2894" s="33"/>
      <c r="J2894" s="33"/>
      <c r="K2894" s="33"/>
      <c r="L2894" s="33"/>
      <c r="M2894" s="33"/>
    </row>
    <row r="2895">
      <c r="A2895" s="32" t="s">
        <v>7365</v>
      </c>
      <c r="B2895" s="32" t="s">
        <v>7366</v>
      </c>
      <c r="C2895" s="35">
        <v>39.95650101</v>
      </c>
      <c r="D2895" s="35">
        <v>41.17020035</v>
      </c>
      <c r="E2895" s="32" t="s">
        <v>133</v>
      </c>
      <c r="F2895" s="32" t="s">
        <v>7367</v>
      </c>
      <c r="G2895" s="39" t="s">
        <v>134</v>
      </c>
      <c r="H2895" s="33"/>
      <c r="I2895" s="33"/>
      <c r="J2895" s="33"/>
      <c r="K2895" s="33"/>
      <c r="L2895" s="33"/>
      <c r="M2895" s="33"/>
    </row>
    <row r="2896">
      <c r="A2896" s="32" t="s">
        <v>7368</v>
      </c>
      <c r="B2896" s="32" t="s">
        <v>7369</v>
      </c>
      <c r="C2896" s="35">
        <v>40.12810135</v>
      </c>
      <c r="D2896" s="35">
        <v>32.99509811</v>
      </c>
      <c r="E2896" s="32" t="s">
        <v>133</v>
      </c>
      <c r="F2896" s="32" t="s">
        <v>1197</v>
      </c>
      <c r="G2896" s="39" t="s">
        <v>134</v>
      </c>
      <c r="H2896" s="33"/>
      <c r="I2896" s="33"/>
      <c r="J2896" s="33"/>
      <c r="K2896" s="33"/>
      <c r="L2896" s="33"/>
      <c r="M2896" s="33"/>
    </row>
    <row r="2897">
      <c r="A2897" s="32" t="s">
        <v>7370</v>
      </c>
      <c r="B2897" s="32" t="s">
        <v>7371</v>
      </c>
      <c r="C2897" s="35">
        <v>45.72269821</v>
      </c>
      <c r="D2897" s="35">
        <v>-87.09369659</v>
      </c>
      <c r="E2897" s="32" t="s">
        <v>180</v>
      </c>
      <c r="F2897" s="32" t="s">
        <v>7372</v>
      </c>
      <c r="G2897" s="39" t="s">
        <v>181</v>
      </c>
      <c r="H2897" s="33"/>
      <c r="I2897" s="33"/>
      <c r="J2897" s="33"/>
      <c r="K2897" s="33"/>
      <c r="L2897" s="33"/>
      <c r="M2897" s="33"/>
    </row>
    <row r="2898">
      <c r="A2898" s="32" t="s">
        <v>7373</v>
      </c>
      <c r="B2898" s="32" t="s">
        <v>7374</v>
      </c>
      <c r="C2898" s="35">
        <v>48.70819855</v>
      </c>
      <c r="D2898" s="35">
        <v>-122.9100037</v>
      </c>
      <c r="E2898" s="32" t="s">
        <v>180</v>
      </c>
      <c r="F2898" s="32" t="s">
        <v>7375</v>
      </c>
      <c r="G2898" s="39" t="s">
        <v>181</v>
      </c>
      <c r="H2898" s="33"/>
      <c r="I2898" s="33"/>
      <c r="J2898" s="33"/>
      <c r="K2898" s="33"/>
      <c r="L2898" s="33"/>
      <c r="M2898" s="33"/>
    </row>
    <row r="2899">
      <c r="A2899" s="32" t="s">
        <v>7376</v>
      </c>
      <c r="B2899" s="32" t="s">
        <v>7377</v>
      </c>
      <c r="C2899" s="35">
        <v>31.79529953</v>
      </c>
      <c r="D2899" s="35">
        <v>-116.6029968</v>
      </c>
      <c r="E2899" s="32" t="s">
        <v>186</v>
      </c>
      <c r="F2899" s="32" t="s">
        <v>7378</v>
      </c>
      <c r="G2899" s="39" t="s">
        <v>187</v>
      </c>
      <c r="H2899" s="33"/>
      <c r="I2899" s="33"/>
      <c r="J2899" s="33"/>
      <c r="K2899" s="33"/>
      <c r="L2899" s="33"/>
      <c r="M2899" s="33"/>
    </row>
    <row r="2900">
      <c r="A2900" s="32" t="s">
        <v>7379</v>
      </c>
      <c r="B2900" s="32" t="s">
        <v>7380</v>
      </c>
      <c r="C2900" s="35">
        <v>31.39489937</v>
      </c>
      <c r="D2900" s="35">
        <v>-92.29579926</v>
      </c>
      <c r="E2900" s="32" t="s">
        <v>180</v>
      </c>
      <c r="F2900" s="32" t="s">
        <v>1034</v>
      </c>
      <c r="G2900" s="39" t="s">
        <v>181</v>
      </c>
      <c r="H2900" s="33"/>
      <c r="I2900" s="33"/>
      <c r="J2900" s="33"/>
      <c r="K2900" s="33"/>
      <c r="L2900" s="33"/>
      <c r="M2900" s="33"/>
    </row>
    <row r="2901">
      <c r="A2901" s="32" t="s">
        <v>7381</v>
      </c>
      <c r="B2901" s="32" t="s">
        <v>7382</v>
      </c>
      <c r="C2901" s="35">
        <v>50.83560181</v>
      </c>
      <c r="D2901" s="35">
        <v>-0.297221988</v>
      </c>
      <c r="E2901" s="32" t="s">
        <v>90</v>
      </c>
      <c r="F2901" s="32" t="s">
        <v>7383</v>
      </c>
      <c r="G2901" s="39" t="s">
        <v>91</v>
      </c>
      <c r="H2901" s="33"/>
      <c r="I2901" s="33"/>
      <c r="J2901" s="33"/>
      <c r="K2901" s="33"/>
      <c r="L2901" s="33"/>
      <c r="M2901" s="33"/>
    </row>
    <row r="2902">
      <c r="A2902" s="32" t="s">
        <v>7384</v>
      </c>
      <c r="B2902" s="32" t="s">
        <v>7385</v>
      </c>
      <c r="C2902" s="35">
        <v>39.78409958</v>
      </c>
      <c r="D2902" s="35">
        <v>30.58209991</v>
      </c>
      <c r="E2902" s="32" t="s">
        <v>133</v>
      </c>
      <c r="F2902" s="32" t="s">
        <v>7386</v>
      </c>
      <c r="G2902" s="39" t="s">
        <v>134</v>
      </c>
      <c r="H2902" s="33"/>
      <c r="I2902" s="33"/>
      <c r="J2902" s="33"/>
      <c r="K2902" s="33"/>
      <c r="L2902" s="33"/>
      <c r="M2902" s="33"/>
    </row>
    <row r="2903">
      <c r="A2903" s="32" t="s">
        <v>7387</v>
      </c>
      <c r="B2903" s="32" t="s">
        <v>7388</v>
      </c>
      <c r="C2903" s="35">
        <v>46.37390137</v>
      </c>
      <c r="D2903" s="35">
        <v>44.33089828</v>
      </c>
      <c r="E2903" s="32" t="s">
        <v>2040</v>
      </c>
      <c r="F2903" s="32" t="s">
        <v>7389</v>
      </c>
      <c r="G2903" s="36" t="e">
        <v>#N/A</v>
      </c>
      <c r="H2903" s="33"/>
      <c r="I2903" s="33"/>
      <c r="J2903" s="33"/>
      <c r="K2903" s="33"/>
      <c r="L2903" s="33"/>
      <c r="M2903" s="33"/>
    </row>
    <row r="2904">
      <c r="A2904" s="32" t="s">
        <v>7390</v>
      </c>
      <c r="B2904" s="32" t="s">
        <v>7391</v>
      </c>
      <c r="C2904" s="35">
        <v>0.978519022</v>
      </c>
      <c r="D2904" s="35">
        <v>-79.62660217</v>
      </c>
      <c r="E2904" s="32" t="s">
        <v>311</v>
      </c>
      <c r="F2904" s="32" t="s">
        <v>7392</v>
      </c>
      <c r="G2904" s="36" t="e">
        <v>#N/A</v>
      </c>
      <c r="H2904" s="33"/>
      <c r="I2904" s="33"/>
      <c r="J2904" s="33"/>
      <c r="K2904" s="33"/>
      <c r="L2904" s="33"/>
      <c r="M2904" s="33"/>
    </row>
    <row r="2905">
      <c r="A2905" s="32" t="s">
        <v>7393</v>
      </c>
      <c r="B2905" s="32" t="s">
        <v>7394</v>
      </c>
      <c r="C2905" s="35">
        <v>38.80419922</v>
      </c>
      <c r="D2905" s="35">
        <v>-76.06900024</v>
      </c>
      <c r="E2905" s="32" t="s">
        <v>180</v>
      </c>
      <c r="F2905" s="32" t="s">
        <v>7395</v>
      </c>
      <c r="G2905" s="39" t="s">
        <v>181</v>
      </c>
      <c r="H2905" s="33"/>
      <c r="I2905" s="33"/>
      <c r="J2905" s="33"/>
      <c r="K2905" s="33"/>
      <c r="L2905" s="33"/>
      <c r="M2905" s="33"/>
    </row>
    <row r="2906">
      <c r="A2906" s="32" t="s">
        <v>7396</v>
      </c>
      <c r="B2906" s="32" t="s">
        <v>7397</v>
      </c>
      <c r="C2906" s="35">
        <v>-26.31110001</v>
      </c>
      <c r="D2906" s="35">
        <v>-69.76519775</v>
      </c>
      <c r="E2906" s="32" t="s">
        <v>300</v>
      </c>
      <c r="F2906" s="32" t="s">
        <v>1286</v>
      </c>
      <c r="G2906" s="36" t="e">
        <v>#N/A</v>
      </c>
      <c r="H2906" s="33"/>
      <c r="I2906" s="33"/>
      <c r="J2906" s="33"/>
      <c r="K2906" s="33"/>
      <c r="L2906" s="33"/>
      <c r="M2906" s="33"/>
    </row>
    <row r="2907">
      <c r="A2907" s="32" t="s">
        <v>7398</v>
      </c>
      <c r="B2907" s="32" t="s">
        <v>7399</v>
      </c>
      <c r="C2907" s="35">
        <v>51.40230179</v>
      </c>
      <c r="D2907" s="35">
        <v>6.937329769</v>
      </c>
      <c r="E2907" s="32" t="s">
        <v>109</v>
      </c>
      <c r="F2907" s="32" t="s">
        <v>7400</v>
      </c>
      <c r="G2907" s="39" t="s">
        <v>110</v>
      </c>
      <c r="H2907" s="33"/>
      <c r="I2907" s="33"/>
      <c r="J2907" s="33"/>
      <c r="K2907" s="33"/>
      <c r="L2907" s="33"/>
      <c r="M2907" s="33"/>
    </row>
    <row r="2908">
      <c r="A2908" s="32" t="s">
        <v>7401</v>
      </c>
      <c r="B2908" s="32" t="s">
        <v>7402</v>
      </c>
      <c r="C2908" s="35">
        <v>31.39749908</v>
      </c>
      <c r="D2908" s="35">
        <v>-9.681670189</v>
      </c>
      <c r="E2908" s="32" t="s">
        <v>17</v>
      </c>
      <c r="F2908" s="32" t="s">
        <v>7403</v>
      </c>
      <c r="G2908" s="36" t="e">
        <v>#N/A</v>
      </c>
      <c r="H2908" s="33"/>
      <c r="I2908" s="33"/>
      <c r="J2908" s="33"/>
      <c r="K2908" s="33"/>
      <c r="L2908" s="33"/>
      <c r="M2908" s="33"/>
    </row>
    <row r="2909">
      <c r="A2909" s="32" t="s">
        <v>7404</v>
      </c>
      <c r="B2909" s="32" t="s">
        <v>7405</v>
      </c>
      <c r="C2909" s="35">
        <v>59.3451004</v>
      </c>
      <c r="D2909" s="35">
        <v>17.7404995</v>
      </c>
      <c r="E2909" s="32" t="s">
        <v>109</v>
      </c>
      <c r="F2909" s="32" t="s">
        <v>7400</v>
      </c>
      <c r="G2909" s="39" t="s">
        <v>110</v>
      </c>
      <c r="H2909" s="33"/>
      <c r="I2909" s="33"/>
      <c r="J2909" s="33"/>
      <c r="K2909" s="33"/>
      <c r="L2909" s="33"/>
      <c r="M2909" s="33"/>
    </row>
    <row r="2910">
      <c r="A2910" s="32" t="s">
        <v>7406</v>
      </c>
      <c r="B2910" s="32" t="s">
        <v>7407</v>
      </c>
      <c r="C2910" s="35">
        <v>29.56130028</v>
      </c>
      <c r="D2910" s="35">
        <v>34.96009827</v>
      </c>
      <c r="E2910" s="32" t="s">
        <v>243</v>
      </c>
      <c r="F2910" s="32" t="s">
        <v>7408</v>
      </c>
      <c r="G2910" s="36" t="e">
        <v>#N/A</v>
      </c>
      <c r="H2910" s="33"/>
      <c r="I2910" s="33"/>
      <c r="J2910" s="33"/>
      <c r="K2910" s="33"/>
      <c r="L2910" s="33"/>
      <c r="M2910" s="33"/>
    </row>
    <row r="2911">
      <c r="A2911" s="32" t="s">
        <v>7409</v>
      </c>
      <c r="B2911" s="32" t="s">
        <v>7410</v>
      </c>
      <c r="C2911" s="35">
        <v>-3.441986</v>
      </c>
      <c r="D2911" s="35">
        <v>-79.996957</v>
      </c>
      <c r="E2911" s="32" t="s">
        <v>311</v>
      </c>
      <c r="F2911" s="32" t="s">
        <v>7411</v>
      </c>
      <c r="G2911" s="36" t="e">
        <v>#N/A</v>
      </c>
      <c r="H2911" s="33"/>
      <c r="I2911" s="33"/>
      <c r="J2911" s="33"/>
      <c r="K2911" s="33"/>
      <c r="L2911" s="33"/>
      <c r="M2911" s="33"/>
    </row>
    <row r="2912">
      <c r="A2912" s="32" t="s">
        <v>7412</v>
      </c>
      <c r="B2912" s="32" t="s">
        <v>7413</v>
      </c>
      <c r="C2912" s="35">
        <v>48.98210144</v>
      </c>
      <c r="D2912" s="35">
        <v>6.251319885</v>
      </c>
      <c r="E2912" s="32" t="s">
        <v>96</v>
      </c>
      <c r="F2912" s="32" t="s">
        <v>7414</v>
      </c>
      <c r="G2912" s="39" t="s">
        <v>97</v>
      </c>
      <c r="H2912" s="33"/>
      <c r="I2912" s="33"/>
      <c r="J2912" s="33"/>
      <c r="K2912" s="33"/>
      <c r="L2912" s="33"/>
      <c r="M2912" s="33"/>
    </row>
    <row r="2913">
      <c r="A2913" s="32" t="s">
        <v>7415</v>
      </c>
      <c r="B2913" s="32" t="s">
        <v>7416</v>
      </c>
      <c r="C2913" s="35">
        <v>-21.37829971</v>
      </c>
      <c r="D2913" s="35">
        <v>-174.9579926</v>
      </c>
      <c r="E2913" s="32" t="s">
        <v>7417</v>
      </c>
      <c r="F2913" s="32" t="s">
        <v>7418</v>
      </c>
      <c r="G2913" s="36" t="e">
        <v>#N/A</v>
      </c>
      <c r="H2913" s="33"/>
      <c r="I2913" s="33"/>
      <c r="J2913" s="33"/>
      <c r="K2913" s="33"/>
      <c r="L2913" s="33"/>
      <c r="M2913" s="33"/>
    </row>
    <row r="2914">
      <c r="A2914" s="32" t="s">
        <v>7419</v>
      </c>
      <c r="B2914" s="32" t="s">
        <v>7420</v>
      </c>
      <c r="C2914" s="35">
        <v>31.95129967</v>
      </c>
      <c r="D2914" s="35">
        <v>-85.12889862</v>
      </c>
      <c r="E2914" s="32" t="s">
        <v>180</v>
      </c>
      <c r="F2914" s="32" t="s">
        <v>7421</v>
      </c>
      <c r="G2914" s="39" t="s">
        <v>181</v>
      </c>
      <c r="H2914" s="33"/>
      <c r="I2914" s="33"/>
      <c r="J2914" s="33"/>
      <c r="K2914" s="33"/>
      <c r="L2914" s="33"/>
      <c r="M2914" s="33"/>
    </row>
    <row r="2915">
      <c r="A2915" s="32" t="s">
        <v>7422</v>
      </c>
      <c r="B2915" s="32" t="s">
        <v>7423</v>
      </c>
      <c r="C2915" s="35">
        <v>44.12459946</v>
      </c>
      <c r="D2915" s="35">
        <v>-123.211998</v>
      </c>
      <c r="E2915" s="32" t="s">
        <v>180</v>
      </c>
      <c r="F2915" s="32" t="s">
        <v>7424</v>
      </c>
      <c r="G2915" s="39" t="s">
        <v>181</v>
      </c>
      <c r="H2915" s="33"/>
      <c r="I2915" s="33"/>
      <c r="J2915" s="33"/>
      <c r="K2915" s="33"/>
      <c r="L2915" s="33"/>
      <c r="M2915" s="33"/>
    </row>
    <row r="2916">
      <c r="A2916" s="32" t="s">
        <v>7425</v>
      </c>
      <c r="B2916" s="32" t="s">
        <v>7426</v>
      </c>
      <c r="C2916" s="35">
        <v>54.07944489</v>
      </c>
      <c r="D2916" s="35">
        <v>9.941389084</v>
      </c>
      <c r="E2916" s="32" t="s">
        <v>109</v>
      </c>
      <c r="F2916" s="32" t="s">
        <v>7427</v>
      </c>
      <c r="G2916" s="39" t="s">
        <v>110</v>
      </c>
      <c r="H2916" s="33"/>
      <c r="I2916" s="33"/>
      <c r="J2916" s="33"/>
      <c r="K2916" s="33"/>
      <c r="L2916" s="33"/>
      <c r="M2916" s="33"/>
    </row>
    <row r="2917">
      <c r="A2917" s="32" t="s">
        <v>7428</v>
      </c>
      <c r="B2917" s="32" t="s">
        <v>7429</v>
      </c>
      <c r="C2917" s="35">
        <v>27.151699</v>
      </c>
      <c r="D2917" s="35">
        <v>-13.2192</v>
      </c>
      <c r="E2917" s="32" t="s">
        <v>7430</v>
      </c>
      <c r="F2917" s="32" t="s">
        <v>7431</v>
      </c>
      <c r="G2917" s="36" t="e">
        <v>#N/A</v>
      </c>
      <c r="H2917" s="33"/>
      <c r="I2917" s="33"/>
      <c r="J2917" s="33"/>
      <c r="K2917" s="33"/>
      <c r="L2917" s="33"/>
      <c r="M2917" s="33"/>
    </row>
    <row r="2918">
      <c r="A2918" s="32" t="s">
        <v>7432</v>
      </c>
      <c r="B2918" s="32" t="s">
        <v>7433</v>
      </c>
      <c r="C2918" s="35">
        <v>17.49650002</v>
      </c>
      <c r="D2918" s="35">
        <v>-62.97940063</v>
      </c>
      <c r="E2918" s="32" t="s">
        <v>5070</v>
      </c>
      <c r="F2918" s="32" t="s">
        <v>4243</v>
      </c>
      <c r="G2918" s="36" t="e">
        <v>#N/A</v>
      </c>
      <c r="H2918" s="33"/>
      <c r="I2918" s="33"/>
      <c r="J2918" s="33"/>
      <c r="K2918" s="33"/>
      <c r="L2918" s="33"/>
      <c r="M2918" s="33"/>
    </row>
    <row r="2919">
      <c r="A2919" s="32" t="s">
        <v>7434</v>
      </c>
      <c r="B2919" s="32" t="s">
        <v>7435</v>
      </c>
      <c r="C2919" s="35">
        <v>68.49130249</v>
      </c>
      <c r="D2919" s="35">
        <v>16.67810059</v>
      </c>
      <c r="E2919" s="32" t="s">
        <v>343</v>
      </c>
      <c r="F2919" s="32" t="s">
        <v>7436</v>
      </c>
      <c r="G2919" s="36" t="e">
        <v>#N/A</v>
      </c>
      <c r="H2919" s="33"/>
      <c r="I2919" s="33"/>
      <c r="J2919" s="33"/>
      <c r="K2919" s="33"/>
      <c r="L2919" s="33"/>
      <c r="M2919" s="33"/>
    </row>
    <row r="2920">
      <c r="A2920" s="32" t="s">
        <v>7437</v>
      </c>
      <c r="B2920" s="32" t="s">
        <v>7438</v>
      </c>
      <c r="C2920" s="35">
        <v>62.04779816</v>
      </c>
      <c r="D2920" s="35">
        <v>14.4229002</v>
      </c>
      <c r="E2920" s="32" t="s">
        <v>347</v>
      </c>
      <c r="F2920" s="32" t="s">
        <v>7439</v>
      </c>
      <c r="G2920" s="36" t="e">
        <v>#N/A</v>
      </c>
      <c r="H2920" s="33"/>
      <c r="I2920" s="33"/>
      <c r="J2920" s="33"/>
      <c r="K2920" s="33"/>
      <c r="L2920" s="33"/>
      <c r="M2920" s="33"/>
    </row>
    <row r="2921">
      <c r="A2921" s="32" t="s">
        <v>7440</v>
      </c>
      <c r="B2921" s="32" t="s">
        <v>7441</v>
      </c>
      <c r="C2921" s="35">
        <v>40.14730072</v>
      </c>
      <c r="D2921" s="35">
        <v>44.39590073</v>
      </c>
      <c r="E2921" s="32" t="s">
        <v>2015</v>
      </c>
      <c r="F2921" s="32" t="s">
        <v>2016</v>
      </c>
      <c r="G2921" s="36" t="e">
        <v>#N/A</v>
      </c>
      <c r="H2921" s="33"/>
      <c r="I2921" s="33"/>
      <c r="J2921" s="33"/>
      <c r="K2921" s="33"/>
      <c r="L2921" s="33"/>
      <c r="M2921" s="33"/>
    </row>
    <row r="2922">
      <c r="A2922" s="32" t="s">
        <v>7442</v>
      </c>
      <c r="B2922" s="32" t="s">
        <v>7443</v>
      </c>
      <c r="C2922" s="35">
        <v>38.03699875</v>
      </c>
      <c r="D2922" s="35">
        <v>-87.53240204</v>
      </c>
      <c r="E2922" s="32" t="s">
        <v>180</v>
      </c>
      <c r="F2922" s="32" t="s">
        <v>7444</v>
      </c>
      <c r="G2922" s="39" t="s">
        <v>181</v>
      </c>
      <c r="H2922" s="33"/>
      <c r="I2922" s="33"/>
      <c r="J2922" s="33"/>
      <c r="K2922" s="33"/>
      <c r="L2922" s="33"/>
      <c r="M2922" s="33"/>
    </row>
    <row r="2923">
      <c r="A2923" s="32" t="s">
        <v>7445</v>
      </c>
      <c r="B2923" s="32" t="s">
        <v>7446</v>
      </c>
      <c r="C2923" s="35">
        <v>41.27479935</v>
      </c>
      <c r="D2923" s="35">
        <v>-111.0350037</v>
      </c>
      <c r="E2923" s="32" t="s">
        <v>180</v>
      </c>
      <c r="F2923" s="32" t="s">
        <v>7447</v>
      </c>
      <c r="G2923" s="39" t="s">
        <v>181</v>
      </c>
      <c r="H2923" s="33"/>
      <c r="I2923" s="33"/>
      <c r="J2923" s="33"/>
      <c r="K2923" s="33"/>
      <c r="L2923" s="33"/>
      <c r="M2923" s="33"/>
    </row>
    <row r="2924">
      <c r="A2924" s="32" t="s">
        <v>7448</v>
      </c>
      <c r="B2924" s="32" t="s">
        <v>7449</v>
      </c>
      <c r="C2924" s="35">
        <v>41.67610168</v>
      </c>
      <c r="D2924" s="35">
        <v>-70.95690155</v>
      </c>
      <c r="E2924" s="32" t="s">
        <v>180</v>
      </c>
      <c r="F2924" s="32" t="s">
        <v>7450</v>
      </c>
      <c r="G2924" s="39" t="s">
        <v>181</v>
      </c>
      <c r="H2924" s="33"/>
      <c r="I2924" s="33"/>
      <c r="J2924" s="33"/>
      <c r="K2924" s="33"/>
      <c r="L2924" s="33"/>
      <c r="M2924" s="33"/>
    </row>
    <row r="2925">
      <c r="A2925" s="32" t="s">
        <v>7451</v>
      </c>
      <c r="B2925" s="32" t="s">
        <v>7452</v>
      </c>
      <c r="C2925" s="35">
        <v>20.50429916</v>
      </c>
      <c r="D2925" s="35">
        <v>45.19960022</v>
      </c>
      <c r="E2925" s="32" t="s">
        <v>223</v>
      </c>
      <c r="F2925" s="32" t="s">
        <v>7453</v>
      </c>
      <c r="G2925" s="36" t="e">
        <v>#N/A</v>
      </c>
      <c r="H2925" s="33"/>
      <c r="I2925" s="33"/>
      <c r="J2925" s="33"/>
      <c r="K2925" s="33"/>
      <c r="L2925" s="33"/>
      <c r="M2925" s="33"/>
    </row>
    <row r="2926">
      <c r="A2926" s="32" t="s">
        <v>7454</v>
      </c>
      <c r="B2926" s="32" t="s">
        <v>7455</v>
      </c>
      <c r="C2926" s="35">
        <v>38.05820084</v>
      </c>
      <c r="D2926" s="35">
        <v>-97.27449799</v>
      </c>
      <c r="E2926" s="32" t="s">
        <v>180</v>
      </c>
      <c r="F2926" s="32" t="s">
        <v>7456</v>
      </c>
      <c r="G2926" s="39" t="s">
        <v>181</v>
      </c>
      <c r="H2926" s="33"/>
      <c r="I2926" s="33"/>
      <c r="J2926" s="33"/>
      <c r="K2926" s="33"/>
      <c r="L2926" s="33"/>
      <c r="M2926" s="33"/>
    </row>
    <row r="2927">
      <c r="A2927" s="32" t="s">
        <v>7457</v>
      </c>
      <c r="B2927" s="32" t="s">
        <v>7458</v>
      </c>
      <c r="C2927" s="35">
        <v>35.07300186</v>
      </c>
      <c r="D2927" s="35">
        <v>-77.04290009</v>
      </c>
      <c r="E2927" s="32" t="s">
        <v>180</v>
      </c>
      <c r="F2927" s="32" t="s">
        <v>7459</v>
      </c>
      <c r="G2927" s="39" t="s">
        <v>181</v>
      </c>
      <c r="H2927" s="33"/>
      <c r="I2927" s="33"/>
      <c r="J2927" s="33"/>
      <c r="K2927" s="33"/>
      <c r="L2927" s="33"/>
      <c r="M2927" s="33"/>
    </row>
    <row r="2928">
      <c r="A2928" s="32" t="s">
        <v>7460</v>
      </c>
      <c r="B2928" s="32" t="s">
        <v>7461</v>
      </c>
      <c r="C2928" s="35">
        <v>40.69250107</v>
      </c>
      <c r="D2928" s="35">
        <v>-74.16870117</v>
      </c>
      <c r="E2928" s="32" t="s">
        <v>180</v>
      </c>
      <c r="F2928" s="32" t="s">
        <v>7462</v>
      </c>
      <c r="G2928" s="39" t="s">
        <v>181</v>
      </c>
      <c r="H2928" s="33"/>
      <c r="I2928" s="33"/>
      <c r="J2928" s="33"/>
      <c r="K2928" s="33"/>
      <c r="L2928" s="33"/>
      <c r="M2928" s="33"/>
    </row>
    <row r="2929">
      <c r="A2929" s="32" t="s">
        <v>7463</v>
      </c>
      <c r="B2929" s="32" t="s">
        <v>7464</v>
      </c>
      <c r="C2929" s="35">
        <v>50.7344017</v>
      </c>
      <c r="D2929" s="35">
        <v>-3.413889885</v>
      </c>
      <c r="E2929" s="32" t="s">
        <v>90</v>
      </c>
      <c r="F2929" s="32" t="s">
        <v>7465</v>
      </c>
      <c r="G2929" s="39" t="s">
        <v>91</v>
      </c>
      <c r="H2929" s="33"/>
      <c r="I2929" s="33"/>
      <c r="J2929" s="33"/>
      <c r="K2929" s="33"/>
      <c r="L2929" s="33"/>
      <c r="M2929" s="33"/>
    </row>
    <row r="2930">
      <c r="A2930" s="32" t="s">
        <v>7466</v>
      </c>
      <c r="B2930" s="32" t="s">
        <v>7467</v>
      </c>
      <c r="C2930" s="35">
        <v>63.68690109</v>
      </c>
      <c r="D2930" s="35">
        <v>66.69860077</v>
      </c>
      <c r="E2930" s="32" t="s">
        <v>2040</v>
      </c>
      <c r="F2930" s="32" t="s">
        <v>7468</v>
      </c>
      <c r="G2930" s="36" t="e">
        <v>#N/A</v>
      </c>
      <c r="H2930" s="33"/>
      <c r="I2930" s="33"/>
      <c r="J2930" s="33"/>
      <c r="K2930" s="33"/>
      <c r="L2930" s="33"/>
      <c r="M2930" s="33"/>
    </row>
    <row r="2931">
      <c r="A2931" s="32" t="s">
        <v>7469</v>
      </c>
      <c r="B2931" s="32" t="s">
        <v>7470</v>
      </c>
      <c r="C2931" s="35">
        <v>5.31911</v>
      </c>
      <c r="D2931" s="35">
        <v>-72.384</v>
      </c>
      <c r="E2931" s="32" t="s">
        <v>292</v>
      </c>
      <c r="F2931" s="32" t="s">
        <v>7471</v>
      </c>
      <c r="G2931" s="36" t="e">
        <v>#N/A</v>
      </c>
      <c r="H2931" s="33"/>
      <c r="I2931" s="33"/>
      <c r="J2931" s="33"/>
      <c r="K2931" s="33"/>
      <c r="L2931" s="33"/>
      <c r="M2931" s="33"/>
    </row>
    <row r="2932">
      <c r="A2932" s="32" t="s">
        <v>7472</v>
      </c>
      <c r="B2932" s="32" t="s">
        <v>7473</v>
      </c>
      <c r="C2932" s="35">
        <v>24.55610085</v>
      </c>
      <c r="D2932" s="35">
        <v>-81.75959778000001</v>
      </c>
      <c r="E2932" s="32" t="s">
        <v>180</v>
      </c>
      <c r="F2932" s="32" t="s">
        <v>2590</v>
      </c>
      <c r="G2932" s="39" t="s">
        <v>181</v>
      </c>
      <c r="H2932" s="33"/>
      <c r="I2932" s="33"/>
      <c r="J2932" s="33"/>
      <c r="K2932" s="33"/>
      <c r="L2932" s="33"/>
      <c r="M2932" s="33"/>
    </row>
    <row r="2933">
      <c r="A2933" s="32" t="s">
        <v>7474</v>
      </c>
      <c r="B2933" s="32" t="s">
        <v>7475</v>
      </c>
      <c r="C2933" s="35">
        <v>-34.8222</v>
      </c>
      <c r="D2933" s="35">
        <v>-58.5358</v>
      </c>
      <c r="E2933" s="32" t="s">
        <v>296</v>
      </c>
      <c r="F2933" s="32" t="s">
        <v>1268</v>
      </c>
      <c r="G2933" s="36" t="e">
        <v>#N/A</v>
      </c>
      <c r="H2933" s="33"/>
      <c r="I2933" s="33"/>
      <c r="J2933" s="33"/>
      <c r="K2933" s="33"/>
      <c r="L2933" s="33"/>
      <c r="M2933" s="33"/>
    </row>
    <row r="2934">
      <c r="A2934" s="32" t="s">
        <v>7476</v>
      </c>
      <c r="B2934" s="32" t="s">
        <v>7477</v>
      </c>
      <c r="C2934" s="35">
        <v>38.60689926</v>
      </c>
      <c r="D2934" s="35">
        <v>39.29140091</v>
      </c>
      <c r="E2934" s="32" t="s">
        <v>133</v>
      </c>
      <c r="F2934" s="32" t="s">
        <v>7478</v>
      </c>
      <c r="G2934" s="39" t="s">
        <v>134</v>
      </c>
      <c r="H2934" s="33"/>
      <c r="I2934" s="33"/>
      <c r="J2934" s="33"/>
      <c r="K2934" s="33"/>
      <c r="L2934" s="33"/>
      <c r="M2934" s="33"/>
    </row>
    <row r="2935">
      <c r="A2935" s="32" t="s">
        <v>7479</v>
      </c>
      <c r="B2935" s="32" t="s">
        <v>7480</v>
      </c>
      <c r="C2935" s="35">
        <v>10.03549957</v>
      </c>
      <c r="D2935" s="35">
        <v>-10.76980019</v>
      </c>
      <c r="E2935" s="32" t="s">
        <v>2970</v>
      </c>
      <c r="F2935" s="32" t="s">
        <v>7481</v>
      </c>
      <c r="G2935" s="36" t="e">
        <v>#N/A</v>
      </c>
      <c r="H2935" s="33"/>
      <c r="I2935" s="33"/>
      <c r="J2935" s="33"/>
      <c r="K2935" s="33"/>
      <c r="L2935" s="33"/>
      <c r="M2935" s="33"/>
    </row>
    <row r="2936">
      <c r="A2936" s="32" t="s">
        <v>7482</v>
      </c>
      <c r="B2936" s="32" t="s">
        <v>7483</v>
      </c>
      <c r="C2936" s="35">
        <v>51.2757988</v>
      </c>
      <c r="D2936" s="35">
        <v>-0.776332974</v>
      </c>
      <c r="E2936" s="32" t="s">
        <v>90</v>
      </c>
      <c r="F2936" s="32" t="s">
        <v>7484</v>
      </c>
      <c r="G2936" s="39" t="s">
        <v>91</v>
      </c>
      <c r="H2936" s="33"/>
      <c r="I2936" s="33"/>
      <c r="J2936" s="33"/>
      <c r="K2936" s="33"/>
      <c r="L2936" s="33"/>
      <c r="M2936" s="33"/>
    </row>
    <row r="2937">
      <c r="A2937" s="32" t="s">
        <v>7485</v>
      </c>
      <c r="B2937" s="32" t="s">
        <v>7486</v>
      </c>
      <c r="C2937" s="35">
        <v>62.06359863</v>
      </c>
      <c r="D2937" s="35">
        <v>-7.277219772</v>
      </c>
      <c r="E2937" s="32" t="s">
        <v>2514</v>
      </c>
      <c r="F2937" s="32" t="s">
        <v>7487</v>
      </c>
      <c r="G2937" s="36" t="e">
        <v>#N/A</v>
      </c>
      <c r="H2937" s="33"/>
      <c r="I2937" s="33"/>
      <c r="J2937" s="33"/>
      <c r="K2937" s="33"/>
      <c r="L2937" s="33"/>
      <c r="M2937" s="33"/>
    </row>
    <row r="2938">
      <c r="A2938" s="32" t="s">
        <v>7488</v>
      </c>
      <c r="B2938" s="32" t="s">
        <v>7489</v>
      </c>
      <c r="C2938" s="35">
        <v>37.13249969</v>
      </c>
      <c r="D2938" s="35">
        <v>-76.6088028</v>
      </c>
      <c r="E2938" s="32" t="s">
        <v>180</v>
      </c>
      <c r="F2938" s="32" t="s">
        <v>7490</v>
      </c>
      <c r="G2938" s="39" t="s">
        <v>181</v>
      </c>
      <c r="H2938" s="33"/>
      <c r="I2938" s="33"/>
      <c r="J2938" s="33"/>
      <c r="K2938" s="33"/>
      <c r="L2938" s="33"/>
      <c r="M2938" s="33"/>
    </row>
    <row r="2939">
      <c r="A2939" s="32" t="s">
        <v>7491</v>
      </c>
      <c r="B2939" s="32" t="s">
        <v>7492</v>
      </c>
      <c r="C2939" s="35">
        <v>32.36700058</v>
      </c>
      <c r="D2939" s="35">
        <v>62.18299866</v>
      </c>
      <c r="E2939" s="32" t="s">
        <v>1350</v>
      </c>
      <c r="F2939" s="32" t="s">
        <v>7493</v>
      </c>
      <c r="G2939" s="36" t="e">
        <v>#N/A</v>
      </c>
      <c r="H2939" s="33"/>
      <c r="I2939" s="33"/>
      <c r="J2939" s="33"/>
      <c r="K2939" s="33"/>
      <c r="L2939" s="33"/>
      <c r="M2939" s="33"/>
    </row>
    <row r="2940">
      <c r="A2940" s="32" t="s">
        <v>7494</v>
      </c>
      <c r="B2940" s="32" t="s">
        <v>7495</v>
      </c>
      <c r="C2940" s="35">
        <v>64.81510162</v>
      </c>
      <c r="D2940" s="35">
        <v>-147.8560028</v>
      </c>
      <c r="E2940" s="32" t="s">
        <v>180</v>
      </c>
      <c r="F2940" s="32" t="s">
        <v>7167</v>
      </c>
      <c r="G2940" s="39" t="s">
        <v>181</v>
      </c>
      <c r="H2940" s="33"/>
      <c r="I2940" s="33"/>
      <c r="J2940" s="33"/>
      <c r="K2940" s="33"/>
      <c r="L2940" s="33"/>
      <c r="M2940" s="33"/>
    </row>
    <row r="2941">
      <c r="A2941" s="32" t="s">
        <v>7496</v>
      </c>
      <c r="B2941" s="32" t="s">
        <v>7497</v>
      </c>
      <c r="C2941" s="35">
        <v>18.30890083</v>
      </c>
      <c r="D2941" s="35">
        <v>-65.66190338</v>
      </c>
      <c r="E2941" s="32" t="s">
        <v>331</v>
      </c>
      <c r="F2941" s="32" t="s">
        <v>7498</v>
      </c>
      <c r="G2941" s="36" t="e">
        <v>#N/A</v>
      </c>
      <c r="H2941" s="33"/>
      <c r="I2941" s="33"/>
      <c r="J2941" s="33"/>
      <c r="K2941" s="33"/>
      <c r="L2941" s="33"/>
      <c r="M2941" s="33"/>
    </row>
    <row r="2942">
      <c r="A2942" s="32" t="s">
        <v>7499</v>
      </c>
      <c r="B2942" s="32" t="s">
        <v>7500</v>
      </c>
      <c r="C2942" s="35">
        <v>58.09949875</v>
      </c>
      <c r="D2942" s="35">
        <v>6.626049995</v>
      </c>
      <c r="E2942" s="32" t="s">
        <v>343</v>
      </c>
      <c r="F2942" s="32" t="s">
        <v>7501</v>
      </c>
      <c r="G2942" s="36" t="e">
        <v>#N/A</v>
      </c>
      <c r="H2942" s="33"/>
      <c r="I2942" s="33"/>
      <c r="J2942" s="33"/>
      <c r="K2942" s="33"/>
      <c r="L2942" s="33"/>
      <c r="M2942" s="33"/>
    </row>
    <row r="2943">
      <c r="A2943" s="32" t="s">
        <v>7502</v>
      </c>
      <c r="B2943" s="32" t="s">
        <v>7503</v>
      </c>
      <c r="C2943" s="35">
        <v>37.01440048</v>
      </c>
      <c r="D2943" s="35">
        <v>-7.965909958</v>
      </c>
      <c r="E2943" s="32" t="s">
        <v>121</v>
      </c>
      <c r="F2943" s="32" t="s">
        <v>7504</v>
      </c>
      <c r="G2943" s="39" t="s">
        <v>122</v>
      </c>
      <c r="H2943" s="33"/>
      <c r="I2943" s="33"/>
      <c r="J2943" s="33"/>
      <c r="K2943" s="33"/>
      <c r="L2943" s="33"/>
      <c r="M2943" s="33"/>
    </row>
    <row r="2944">
      <c r="A2944" s="32" t="s">
        <v>7505</v>
      </c>
      <c r="B2944" s="32" t="s">
        <v>7506</v>
      </c>
      <c r="C2944" s="35">
        <v>46.92070007</v>
      </c>
      <c r="D2944" s="35">
        <v>-96.81580353</v>
      </c>
      <c r="E2944" s="32" t="s">
        <v>180</v>
      </c>
      <c r="F2944" s="32" t="s">
        <v>7507</v>
      </c>
      <c r="G2944" s="39" t="s">
        <v>181</v>
      </c>
      <c r="H2944" s="33"/>
      <c r="I2944" s="33"/>
      <c r="J2944" s="33"/>
      <c r="K2944" s="33"/>
      <c r="L2944" s="33"/>
      <c r="M2944" s="33"/>
    </row>
    <row r="2945">
      <c r="A2945" s="32" t="s">
        <v>7508</v>
      </c>
      <c r="B2945" s="32" t="s">
        <v>7509</v>
      </c>
      <c r="C2945" s="35">
        <v>36.77619934</v>
      </c>
      <c r="D2945" s="35">
        <v>-119.7180023</v>
      </c>
      <c r="E2945" s="32" t="s">
        <v>180</v>
      </c>
      <c r="F2945" s="32" t="s">
        <v>7510</v>
      </c>
      <c r="G2945" s="39" t="s">
        <v>181</v>
      </c>
      <c r="H2945" s="33"/>
      <c r="I2945" s="33"/>
      <c r="J2945" s="33"/>
      <c r="K2945" s="33"/>
      <c r="L2945" s="33"/>
      <c r="M2945" s="33"/>
    </row>
    <row r="2946">
      <c r="A2946" s="32" t="s">
        <v>7511</v>
      </c>
      <c r="B2946" s="32" t="s">
        <v>7512</v>
      </c>
      <c r="C2946" s="35">
        <v>-16.05410004</v>
      </c>
      <c r="D2946" s="35">
        <v>-145.6569977</v>
      </c>
      <c r="E2946" s="32" t="s">
        <v>1325</v>
      </c>
      <c r="F2946" s="32" t="s">
        <v>7513</v>
      </c>
      <c r="G2946" s="36" t="e">
        <v>#N/A</v>
      </c>
      <c r="H2946" s="33"/>
      <c r="I2946" s="33"/>
      <c r="J2946" s="33"/>
      <c r="K2946" s="33"/>
      <c r="L2946" s="33"/>
      <c r="M2946" s="33"/>
    </row>
    <row r="2947">
      <c r="A2947" s="32" t="s">
        <v>7514</v>
      </c>
      <c r="B2947" s="32" t="s">
        <v>7515</v>
      </c>
      <c r="C2947" s="35">
        <v>34.99119949</v>
      </c>
      <c r="D2947" s="35">
        <v>-78.88030243</v>
      </c>
      <c r="E2947" s="32" t="s">
        <v>180</v>
      </c>
      <c r="F2947" s="32" t="s">
        <v>7516</v>
      </c>
      <c r="G2947" s="39" t="s">
        <v>181</v>
      </c>
      <c r="H2947" s="33"/>
      <c r="I2947" s="33"/>
      <c r="J2947" s="33"/>
      <c r="K2947" s="33"/>
      <c r="L2947" s="33"/>
      <c r="M2947" s="33"/>
    </row>
    <row r="2948">
      <c r="A2948" s="32" t="s">
        <v>7517</v>
      </c>
      <c r="B2948" s="32" t="s">
        <v>7518</v>
      </c>
      <c r="C2948" s="35">
        <v>-2.53260994</v>
      </c>
      <c r="D2948" s="35">
        <v>-66.08319855</v>
      </c>
      <c r="E2948" s="32" t="s">
        <v>288</v>
      </c>
      <c r="F2948" s="32" t="s">
        <v>7519</v>
      </c>
      <c r="G2948" s="36" t="e">
        <v>#N/A</v>
      </c>
      <c r="H2948" s="33"/>
      <c r="I2948" s="33"/>
      <c r="J2948" s="33"/>
      <c r="K2948" s="33"/>
      <c r="L2948" s="33"/>
      <c r="M2948" s="33"/>
    </row>
    <row r="2949">
      <c r="A2949" s="32" t="s">
        <v>7520</v>
      </c>
      <c r="B2949" s="32" t="s">
        <v>7521</v>
      </c>
      <c r="C2949" s="35">
        <v>37.121101</v>
      </c>
      <c r="D2949" s="35">
        <v>70.518097</v>
      </c>
      <c r="E2949" s="32" t="s">
        <v>1350</v>
      </c>
      <c r="F2949" s="32" t="s">
        <v>7522</v>
      </c>
      <c r="G2949" s="36" t="e">
        <v>#N/A</v>
      </c>
      <c r="H2949" s="33"/>
      <c r="I2949" s="33"/>
      <c r="J2949" s="33"/>
      <c r="K2949" s="33"/>
      <c r="L2949" s="33"/>
      <c r="M2949" s="33"/>
    </row>
    <row r="2950">
      <c r="A2950" s="32" t="s">
        <v>7523</v>
      </c>
      <c r="B2950" s="32" t="s">
        <v>7524</v>
      </c>
      <c r="C2950" s="35">
        <v>-26.05920029</v>
      </c>
      <c r="D2950" s="35">
        <v>-53.06349945</v>
      </c>
      <c r="E2950" s="32" t="s">
        <v>288</v>
      </c>
      <c r="F2950" s="32" t="s">
        <v>7525</v>
      </c>
      <c r="G2950" s="36" t="e">
        <v>#N/A</v>
      </c>
      <c r="H2950" s="33"/>
      <c r="I2950" s="33"/>
      <c r="J2950" s="33"/>
      <c r="K2950" s="33"/>
      <c r="L2950" s="33"/>
      <c r="M2950" s="33"/>
    </row>
    <row r="2951">
      <c r="A2951" s="32" t="s">
        <v>7526</v>
      </c>
      <c r="B2951" s="32" t="s">
        <v>7527</v>
      </c>
      <c r="C2951" s="35">
        <v>35.13180161</v>
      </c>
      <c r="D2951" s="35">
        <v>-78.93669891</v>
      </c>
      <c r="E2951" s="32" t="s">
        <v>180</v>
      </c>
      <c r="F2951" s="32" t="s">
        <v>7528</v>
      </c>
      <c r="G2951" s="39" t="s">
        <v>181</v>
      </c>
      <c r="H2951" s="33"/>
      <c r="I2951" s="33"/>
      <c r="J2951" s="33"/>
      <c r="K2951" s="33"/>
      <c r="L2951" s="33"/>
      <c r="M2951" s="33"/>
    </row>
    <row r="2952">
      <c r="A2952" s="32" t="s">
        <v>7529</v>
      </c>
      <c r="B2952" s="32" t="s">
        <v>7530</v>
      </c>
      <c r="C2952" s="35">
        <v>64.83750153</v>
      </c>
      <c r="D2952" s="35">
        <v>-147.6139984</v>
      </c>
      <c r="E2952" s="32" t="s">
        <v>180</v>
      </c>
      <c r="F2952" s="32" t="s">
        <v>7531</v>
      </c>
      <c r="G2952" s="39" t="s">
        <v>181</v>
      </c>
      <c r="H2952" s="33"/>
      <c r="I2952" s="33"/>
      <c r="J2952" s="33"/>
      <c r="K2952" s="33"/>
      <c r="L2952" s="33"/>
      <c r="M2952" s="33"/>
    </row>
    <row r="2953">
      <c r="A2953" s="32" t="s">
        <v>7532</v>
      </c>
      <c r="B2953" s="32" t="s">
        <v>7533</v>
      </c>
      <c r="C2953" s="35">
        <v>-11.59130001</v>
      </c>
      <c r="D2953" s="35">
        <v>27.53089905</v>
      </c>
      <c r="E2953" s="32" t="s">
        <v>800</v>
      </c>
      <c r="F2953" s="32" t="s">
        <v>7534</v>
      </c>
      <c r="G2953" s="36" t="e">
        <v>#N/A</v>
      </c>
      <c r="H2953" s="33"/>
      <c r="I2953" s="33"/>
      <c r="J2953" s="33"/>
      <c r="K2953" s="33"/>
      <c r="L2953" s="33"/>
      <c r="M2953" s="33"/>
    </row>
    <row r="2954">
      <c r="A2954" s="32" t="s">
        <v>7535</v>
      </c>
      <c r="B2954" s="32" t="s">
        <v>7536</v>
      </c>
      <c r="C2954" s="35">
        <v>41.39189911</v>
      </c>
      <c r="D2954" s="35">
        <v>-110.4069977</v>
      </c>
      <c r="E2954" s="32" t="s">
        <v>180</v>
      </c>
      <c r="F2954" s="32" t="s">
        <v>7537</v>
      </c>
      <c r="G2954" s="39" t="s">
        <v>181</v>
      </c>
      <c r="H2954" s="33"/>
      <c r="I2954" s="33"/>
      <c r="J2954" s="33"/>
      <c r="K2954" s="33"/>
      <c r="L2954" s="33"/>
      <c r="M2954" s="33"/>
    </row>
    <row r="2955">
      <c r="A2955" s="32" t="s">
        <v>7538</v>
      </c>
      <c r="B2955" s="32" t="s">
        <v>7539</v>
      </c>
      <c r="C2955" s="35">
        <v>59.89580154</v>
      </c>
      <c r="D2955" s="35">
        <v>10.6171999</v>
      </c>
      <c r="E2955" s="32" t="s">
        <v>343</v>
      </c>
      <c r="F2955" s="32" t="s">
        <v>7540</v>
      </c>
      <c r="G2955" s="36" t="e">
        <v>#N/A</v>
      </c>
      <c r="H2955" s="33"/>
      <c r="I2955" s="33"/>
      <c r="J2955" s="33"/>
      <c r="K2955" s="33"/>
      <c r="L2955" s="33"/>
      <c r="M2955" s="33"/>
    </row>
    <row r="2956">
      <c r="A2956" s="32" t="s">
        <v>7541</v>
      </c>
      <c r="B2956" s="32" t="s">
        <v>7542</v>
      </c>
      <c r="C2956" s="35">
        <v>48.3105011</v>
      </c>
      <c r="D2956" s="35">
        <v>-114.2559967</v>
      </c>
      <c r="E2956" s="32" t="s">
        <v>180</v>
      </c>
      <c r="F2956" s="32" t="s">
        <v>7543</v>
      </c>
      <c r="G2956" s="39" t="s">
        <v>181</v>
      </c>
      <c r="H2956" s="33"/>
      <c r="I2956" s="33"/>
      <c r="J2956" s="33"/>
      <c r="K2956" s="33"/>
      <c r="L2956" s="33"/>
      <c r="M2956" s="33"/>
    </row>
    <row r="2957">
      <c r="A2957" s="32" t="s">
        <v>7544</v>
      </c>
      <c r="B2957" s="32" t="s">
        <v>7545</v>
      </c>
      <c r="C2957" s="35">
        <v>37.40650177</v>
      </c>
      <c r="D2957" s="35">
        <v>-77.52500153</v>
      </c>
      <c r="E2957" s="32" t="s">
        <v>180</v>
      </c>
      <c r="F2957" s="32" t="s">
        <v>1979</v>
      </c>
      <c r="G2957" s="39" t="s">
        <v>181</v>
      </c>
      <c r="H2957" s="33"/>
      <c r="I2957" s="33"/>
      <c r="J2957" s="33"/>
      <c r="K2957" s="33"/>
      <c r="L2957" s="33"/>
      <c r="M2957" s="33"/>
    </row>
    <row r="2958">
      <c r="A2958" s="32" t="s">
        <v>7546</v>
      </c>
      <c r="B2958" s="32" t="s">
        <v>7547</v>
      </c>
      <c r="C2958" s="35">
        <v>44.82720184</v>
      </c>
      <c r="D2958" s="35">
        <v>-93.45709991</v>
      </c>
      <c r="E2958" s="32" t="s">
        <v>180</v>
      </c>
      <c r="F2958" s="32" t="s">
        <v>7548</v>
      </c>
      <c r="G2958" s="39" t="s">
        <v>181</v>
      </c>
      <c r="H2958" s="33"/>
      <c r="I2958" s="33"/>
      <c r="J2958" s="33"/>
      <c r="K2958" s="33"/>
      <c r="L2958" s="33"/>
      <c r="M2958" s="33"/>
    </row>
    <row r="2959">
      <c r="A2959" s="32" t="s">
        <v>7549</v>
      </c>
      <c r="B2959" s="32" t="s">
        <v>7550</v>
      </c>
      <c r="C2959" s="35">
        <v>41.8002778</v>
      </c>
      <c r="D2959" s="35">
        <v>12.2388889</v>
      </c>
      <c r="E2959" s="32" t="s">
        <v>103</v>
      </c>
      <c r="F2959" s="32" t="s">
        <v>1095</v>
      </c>
      <c r="G2959" s="39" t="s">
        <v>104</v>
      </c>
      <c r="H2959" s="33"/>
      <c r="I2959" s="33"/>
      <c r="J2959" s="33"/>
      <c r="K2959" s="33"/>
      <c r="L2959" s="33"/>
      <c r="M2959" s="33"/>
    </row>
    <row r="2960">
      <c r="A2960" s="32" t="s">
        <v>7551</v>
      </c>
      <c r="B2960" s="32" t="s">
        <v>7552</v>
      </c>
      <c r="C2960" s="35">
        <v>38.67839813</v>
      </c>
      <c r="D2960" s="35">
        <v>-104.7570038</v>
      </c>
      <c r="E2960" s="32" t="s">
        <v>180</v>
      </c>
      <c r="F2960" s="32" t="s">
        <v>7553</v>
      </c>
      <c r="G2960" s="39" t="s">
        <v>181</v>
      </c>
      <c r="H2960" s="33"/>
      <c r="I2960" s="33"/>
      <c r="J2960" s="33"/>
      <c r="K2960" s="33"/>
      <c r="L2960" s="33"/>
      <c r="M2960" s="33"/>
    </row>
    <row r="2961">
      <c r="A2961" s="32" t="s">
        <v>7554</v>
      </c>
      <c r="B2961" s="32" t="s">
        <v>7555</v>
      </c>
      <c r="C2961" s="35">
        <v>14.5909996</v>
      </c>
      <c r="D2961" s="35">
        <v>-61.00320053</v>
      </c>
      <c r="E2961" s="32" t="s">
        <v>7556</v>
      </c>
      <c r="F2961" s="32" t="s">
        <v>7557</v>
      </c>
      <c r="G2961" s="36" t="e">
        <v>#N/A</v>
      </c>
      <c r="H2961" s="33"/>
      <c r="I2961" s="33"/>
      <c r="J2961" s="33"/>
      <c r="K2961" s="33"/>
      <c r="L2961" s="33"/>
      <c r="M2961" s="33"/>
    </row>
    <row r="2962">
      <c r="A2962" s="32" t="s">
        <v>7558</v>
      </c>
      <c r="B2962" s="32" t="s">
        <v>7559</v>
      </c>
      <c r="C2962" s="35">
        <v>47.67129898</v>
      </c>
      <c r="D2962" s="35">
        <v>9.511489868</v>
      </c>
      <c r="E2962" s="32" t="s">
        <v>109</v>
      </c>
      <c r="F2962" s="32" t="s">
        <v>7560</v>
      </c>
      <c r="G2962" s="39" t="s">
        <v>110</v>
      </c>
      <c r="H2962" s="33"/>
      <c r="I2962" s="33"/>
      <c r="J2962" s="33"/>
      <c r="K2962" s="33"/>
      <c r="L2962" s="33"/>
      <c r="M2962" s="33"/>
    </row>
    <row r="2963">
      <c r="A2963" s="32" t="s">
        <v>7561</v>
      </c>
      <c r="B2963" s="32" t="s">
        <v>7562</v>
      </c>
      <c r="C2963" s="35">
        <v>-3.311320066</v>
      </c>
      <c r="D2963" s="35">
        <v>17.38170052</v>
      </c>
      <c r="E2963" s="32" t="s">
        <v>800</v>
      </c>
      <c r="F2963" s="32" t="s">
        <v>7563</v>
      </c>
      <c r="G2963" s="36" t="e">
        <v>#N/A</v>
      </c>
      <c r="H2963" s="33"/>
      <c r="I2963" s="33"/>
      <c r="J2963" s="33"/>
      <c r="K2963" s="33"/>
      <c r="L2963" s="33"/>
      <c r="M2963" s="33"/>
    </row>
    <row r="2964">
      <c r="A2964" s="32" t="s">
        <v>7564</v>
      </c>
      <c r="B2964" s="32" t="s">
        <v>7565</v>
      </c>
      <c r="C2964" s="35">
        <v>34.31549835</v>
      </c>
      <c r="D2964" s="35">
        <v>-81.1088028</v>
      </c>
      <c r="E2964" s="32" t="s">
        <v>180</v>
      </c>
      <c r="F2964" s="32" t="s">
        <v>7566</v>
      </c>
      <c r="G2964" s="39" t="s">
        <v>181</v>
      </c>
      <c r="H2964" s="33"/>
      <c r="I2964" s="33"/>
      <c r="J2964" s="33"/>
      <c r="K2964" s="33"/>
      <c r="L2964" s="33"/>
      <c r="M2964" s="33"/>
    </row>
    <row r="2965">
      <c r="A2965" s="32" t="s">
        <v>7567</v>
      </c>
      <c r="B2965" s="32" t="s">
        <v>7568</v>
      </c>
      <c r="C2965" s="35">
        <v>41.01350021</v>
      </c>
      <c r="D2965" s="35">
        <v>-83.66870117</v>
      </c>
      <c r="E2965" s="32" t="s">
        <v>180</v>
      </c>
      <c r="F2965" s="32" t="s">
        <v>7569</v>
      </c>
      <c r="G2965" s="39" t="s">
        <v>181</v>
      </c>
      <c r="H2965" s="33"/>
      <c r="I2965" s="33"/>
      <c r="J2965" s="33"/>
      <c r="K2965" s="33"/>
      <c r="L2965" s="33"/>
      <c r="M2965" s="33"/>
    </row>
    <row r="2966">
      <c r="A2966" s="32" t="s">
        <v>7570</v>
      </c>
      <c r="B2966" s="32" t="s">
        <v>7571</v>
      </c>
      <c r="C2966" s="35">
        <v>40.35879898</v>
      </c>
      <c r="D2966" s="35">
        <v>71.74500275</v>
      </c>
      <c r="E2966" s="32" t="s">
        <v>3332</v>
      </c>
      <c r="F2966" s="32" t="s">
        <v>7572</v>
      </c>
      <c r="G2966" s="36" t="e">
        <v>#N/A</v>
      </c>
      <c r="H2966" s="33"/>
      <c r="I2966" s="33"/>
      <c r="J2966" s="33"/>
      <c r="K2966" s="33"/>
      <c r="L2966" s="33"/>
      <c r="M2966" s="33"/>
    </row>
    <row r="2967">
      <c r="A2967" s="32" t="s">
        <v>7573</v>
      </c>
      <c r="B2967" s="32" t="s">
        <v>7574</v>
      </c>
      <c r="C2967" s="35">
        <v>48.20555496</v>
      </c>
      <c r="D2967" s="35">
        <v>11.26694393</v>
      </c>
      <c r="E2967" s="32" t="s">
        <v>109</v>
      </c>
      <c r="F2967" s="32" t="s">
        <v>7575</v>
      </c>
      <c r="G2967" s="39" t="s">
        <v>110</v>
      </c>
      <c r="H2967" s="33"/>
      <c r="I2967" s="33"/>
      <c r="J2967" s="33"/>
      <c r="K2967" s="33"/>
      <c r="L2967" s="33"/>
      <c r="M2967" s="33"/>
    </row>
    <row r="2968">
      <c r="A2968" s="32" t="s">
        <v>7576</v>
      </c>
      <c r="B2968" s="32" t="s">
        <v>7577</v>
      </c>
      <c r="C2968" s="35">
        <v>-3.854929924</v>
      </c>
      <c r="D2968" s="35">
        <v>-32.4233017</v>
      </c>
      <c r="E2968" s="32" t="s">
        <v>288</v>
      </c>
      <c r="F2968" s="32" t="s">
        <v>7578</v>
      </c>
      <c r="G2968" s="36" t="e">
        <v>#N/A</v>
      </c>
      <c r="H2968" s="33"/>
      <c r="I2968" s="33"/>
      <c r="J2968" s="33"/>
      <c r="K2968" s="33"/>
      <c r="L2968" s="33"/>
      <c r="M2968" s="33"/>
    </row>
    <row r="2969">
      <c r="A2969" s="32" t="s">
        <v>7579</v>
      </c>
      <c r="B2969" s="32" t="s">
        <v>7580</v>
      </c>
      <c r="C2969" s="35">
        <v>41.44910049</v>
      </c>
      <c r="D2969" s="35">
        <v>-96.52020264</v>
      </c>
      <c r="E2969" s="32" t="s">
        <v>180</v>
      </c>
      <c r="F2969" s="32" t="s">
        <v>7581</v>
      </c>
      <c r="G2969" s="39" t="s">
        <v>181</v>
      </c>
      <c r="H2969" s="33"/>
      <c r="I2969" s="33"/>
      <c r="J2969" s="33"/>
      <c r="K2969" s="33"/>
      <c r="L2969" s="33"/>
      <c r="M2969" s="33"/>
    </row>
    <row r="2970">
      <c r="A2970" s="32" t="s">
        <v>7582</v>
      </c>
      <c r="B2970" s="32" t="s">
        <v>7583</v>
      </c>
      <c r="C2970" s="35">
        <v>33.9272995</v>
      </c>
      <c r="D2970" s="35">
        <v>-4.97796011</v>
      </c>
      <c r="E2970" s="32" t="s">
        <v>17</v>
      </c>
      <c r="F2970" s="32" t="s">
        <v>2379</v>
      </c>
      <c r="G2970" s="36" t="e">
        <v>#N/A</v>
      </c>
      <c r="H2970" s="33"/>
      <c r="I2970" s="33"/>
      <c r="J2970" s="33"/>
      <c r="K2970" s="33"/>
      <c r="L2970" s="33"/>
      <c r="M2970" s="33"/>
    </row>
    <row r="2971">
      <c r="A2971" s="32" t="s">
        <v>7584</v>
      </c>
      <c r="B2971" s="32" t="s">
        <v>7585</v>
      </c>
      <c r="C2971" s="35">
        <v>36.01819992</v>
      </c>
      <c r="D2971" s="35">
        <v>-75.6713028</v>
      </c>
      <c r="E2971" s="32" t="s">
        <v>180</v>
      </c>
      <c r="F2971" s="32" t="s">
        <v>7586</v>
      </c>
      <c r="G2971" s="39" t="s">
        <v>181</v>
      </c>
      <c r="H2971" s="33"/>
      <c r="I2971" s="33"/>
      <c r="J2971" s="33"/>
      <c r="K2971" s="33"/>
      <c r="L2971" s="33"/>
      <c r="M2971" s="33"/>
    </row>
    <row r="2972">
      <c r="A2972" s="32" t="s">
        <v>7587</v>
      </c>
      <c r="B2972" s="32" t="s">
        <v>7588</v>
      </c>
      <c r="C2972" s="35">
        <v>33.3572998</v>
      </c>
      <c r="D2972" s="35">
        <v>-84.57180023</v>
      </c>
      <c r="E2972" s="32" t="s">
        <v>180</v>
      </c>
      <c r="F2972" s="32" t="s">
        <v>4222</v>
      </c>
      <c r="G2972" s="39" t="s">
        <v>181</v>
      </c>
      <c r="H2972" s="33"/>
      <c r="I2972" s="33"/>
      <c r="J2972" s="33"/>
      <c r="K2972" s="33"/>
      <c r="L2972" s="33"/>
      <c r="M2972" s="33"/>
    </row>
    <row r="2973">
      <c r="A2973" s="32" t="s">
        <v>7589</v>
      </c>
      <c r="B2973" s="32" t="s">
        <v>7590</v>
      </c>
      <c r="C2973" s="35">
        <v>51.68220139</v>
      </c>
      <c r="D2973" s="35">
        <v>-1.790030003</v>
      </c>
      <c r="E2973" s="32" t="s">
        <v>90</v>
      </c>
      <c r="F2973" s="32" t="s">
        <v>7591</v>
      </c>
      <c r="G2973" s="39" t="s">
        <v>91</v>
      </c>
      <c r="H2973" s="33"/>
      <c r="I2973" s="33"/>
      <c r="J2973" s="33"/>
      <c r="K2973" s="33"/>
      <c r="L2973" s="33"/>
      <c r="M2973" s="33"/>
    </row>
    <row r="2974">
      <c r="A2974" s="32" t="s">
        <v>7592</v>
      </c>
      <c r="B2974" s="32" t="s">
        <v>7593</v>
      </c>
      <c r="C2974" s="35">
        <v>39.8260994</v>
      </c>
      <c r="D2974" s="35">
        <v>-84.0483017</v>
      </c>
      <c r="E2974" s="32" t="s">
        <v>180</v>
      </c>
      <c r="F2974" s="32" t="s">
        <v>6547</v>
      </c>
      <c r="G2974" s="39" t="s">
        <v>181</v>
      </c>
      <c r="H2974" s="33"/>
      <c r="I2974" s="33"/>
      <c r="J2974" s="33"/>
      <c r="K2974" s="33"/>
      <c r="L2974" s="33"/>
      <c r="M2974" s="33"/>
    </row>
    <row r="2975">
      <c r="A2975" s="32" t="s">
        <v>7594</v>
      </c>
      <c r="B2975" s="32" t="s">
        <v>6438</v>
      </c>
      <c r="C2975" s="35">
        <v>38.18249893</v>
      </c>
      <c r="D2975" s="35">
        <v>-84.90470123</v>
      </c>
      <c r="E2975" s="32" t="s">
        <v>180</v>
      </c>
      <c r="F2975" s="32" t="s">
        <v>7595</v>
      </c>
      <c r="G2975" s="39" t="s">
        <v>181</v>
      </c>
      <c r="H2975" s="33"/>
      <c r="I2975" s="33"/>
      <c r="J2975" s="33"/>
      <c r="K2975" s="33"/>
      <c r="L2975" s="33"/>
      <c r="M2975" s="33"/>
    </row>
    <row r="2976">
      <c r="A2976" s="32" t="s">
        <v>7596</v>
      </c>
      <c r="B2976" s="32" t="s">
        <v>7597</v>
      </c>
      <c r="C2976" s="35">
        <v>33.46080017</v>
      </c>
      <c r="D2976" s="35">
        <v>-111.7279968</v>
      </c>
      <c r="E2976" s="32" t="s">
        <v>180</v>
      </c>
      <c r="F2976" s="32" t="s">
        <v>4374</v>
      </c>
      <c r="G2976" s="39" t="s">
        <v>181</v>
      </c>
      <c r="H2976" s="33"/>
      <c r="I2976" s="33"/>
      <c r="J2976" s="33"/>
      <c r="K2976" s="33"/>
      <c r="L2976" s="33"/>
      <c r="M2976" s="33"/>
    </row>
    <row r="2977">
      <c r="A2977" s="32" t="s">
        <v>7598</v>
      </c>
      <c r="B2977" s="32" t="s">
        <v>7599</v>
      </c>
      <c r="C2977" s="35">
        <v>-13.84869957</v>
      </c>
      <c r="D2977" s="35">
        <v>-171.7400055</v>
      </c>
      <c r="E2977" s="32" t="s">
        <v>4064</v>
      </c>
      <c r="F2977" s="32" t="s">
        <v>7600</v>
      </c>
      <c r="G2977" s="36" t="e">
        <v>#N/A</v>
      </c>
      <c r="H2977" s="33"/>
      <c r="I2977" s="33"/>
      <c r="J2977" s="33"/>
      <c r="K2977" s="33"/>
      <c r="L2977" s="33"/>
      <c r="M2977" s="33"/>
    </row>
    <row r="2978">
      <c r="A2978" s="32" t="s">
        <v>7601</v>
      </c>
      <c r="B2978" s="32" t="s">
        <v>7602</v>
      </c>
      <c r="C2978" s="35">
        <v>31.58849907</v>
      </c>
      <c r="D2978" s="35">
        <v>-110.3440018</v>
      </c>
      <c r="E2978" s="32" t="s">
        <v>180</v>
      </c>
      <c r="F2978" s="32" t="s">
        <v>7603</v>
      </c>
      <c r="G2978" s="39" t="s">
        <v>181</v>
      </c>
      <c r="H2978" s="33"/>
      <c r="I2978" s="33"/>
      <c r="J2978" s="33"/>
      <c r="K2978" s="33"/>
      <c r="L2978" s="33"/>
      <c r="M2978" s="33"/>
    </row>
    <row r="2979">
      <c r="A2979" s="32" t="s">
        <v>7604</v>
      </c>
      <c r="B2979" s="32" t="s">
        <v>7605</v>
      </c>
      <c r="C2979" s="35">
        <v>59.53580093</v>
      </c>
      <c r="D2979" s="35">
        <v>-1.628059983</v>
      </c>
      <c r="E2979" s="32" t="s">
        <v>90</v>
      </c>
      <c r="F2979" s="32" t="s">
        <v>7606</v>
      </c>
      <c r="G2979" s="39" t="s">
        <v>91</v>
      </c>
      <c r="H2979" s="33"/>
      <c r="I2979" s="33"/>
      <c r="J2979" s="33"/>
      <c r="K2979" s="33"/>
      <c r="L2979" s="33"/>
      <c r="M2979" s="33"/>
    </row>
    <row r="2980">
      <c r="A2980" s="32" t="s">
        <v>7607</v>
      </c>
      <c r="B2980" s="32" t="s">
        <v>7608</v>
      </c>
      <c r="C2980" s="35">
        <v>10.35060024</v>
      </c>
      <c r="D2980" s="35">
        <v>-13.56919956</v>
      </c>
      <c r="E2980" s="32" t="s">
        <v>2970</v>
      </c>
      <c r="F2980" s="32" t="s">
        <v>7609</v>
      </c>
      <c r="G2980" s="36" t="e">
        <v>#N/A</v>
      </c>
      <c r="H2980" s="33"/>
      <c r="I2980" s="33"/>
      <c r="J2980" s="33"/>
      <c r="K2980" s="33"/>
      <c r="L2980" s="33"/>
      <c r="M2980" s="33"/>
    </row>
    <row r="2981">
      <c r="A2981" s="32" t="s">
        <v>7610</v>
      </c>
      <c r="B2981" s="32" t="s">
        <v>7611</v>
      </c>
      <c r="C2981" s="35">
        <v>-4.385749817</v>
      </c>
      <c r="D2981" s="35">
        <v>15.44460011</v>
      </c>
      <c r="E2981" s="32" t="s">
        <v>800</v>
      </c>
      <c r="F2981" s="32" t="s">
        <v>7612</v>
      </c>
      <c r="G2981" s="36" t="e">
        <v>#N/A</v>
      </c>
      <c r="H2981" s="33"/>
      <c r="I2981" s="33"/>
      <c r="J2981" s="33"/>
      <c r="K2981" s="33"/>
      <c r="L2981" s="33"/>
      <c r="M2981" s="33"/>
    </row>
    <row r="2982">
      <c r="A2982" s="32" t="s">
        <v>7613</v>
      </c>
      <c r="B2982" s="32" t="s">
        <v>7614</v>
      </c>
      <c r="C2982" s="35">
        <v>42.55410004</v>
      </c>
      <c r="D2982" s="35">
        <v>-71.75900269</v>
      </c>
      <c r="E2982" s="32" t="s">
        <v>180</v>
      </c>
      <c r="F2982" s="32" t="s">
        <v>7615</v>
      </c>
      <c r="G2982" s="39" t="s">
        <v>181</v>
      </c>
      <c r="H2982" s="33"/>
      <c r="I2982" s="33"/>
      <c r="J2982" s="33"/>
      <c r="K2982" s="33"/>
      <c r="L2982" s="33"/>
      <c r="M2982" s="33"/>
    </row>
    <row r="2983">
      <c r="A2983" s="32" t="s">
        <v>7616</v>
      </c>
      <c r="B2983" s="32" t="s">
        <v>7617</v>
      </c>
      <c r="C2983" s="35">
        <v>-18.18190002</v>
      </c>
      <c r="D2983" s="35">
        <v>125.5589981</v>
      </c>
      <c r="E2983" s="32" t="s">
        <v>1968</v>
      </c>
      <c r="F2983" s="32" t="s">
        <v>7618</v>
      </c>
      <c r="G2983" s="36" t="e">
        <v>#N/A</v>
      </c>
      <c r="H2983" s="33"/>
      <c r="I2983" s="33"/>
      <c r="J2983" s="33"/>
      <c r="K2983" s="33"/>
      <c r="L2983" s="33"/>
      <c r="M2983" s="33"/>
    </row>
    <row r="2984">
      <c r="A2984" s="32" t="s">
        <v>7619</v>
      </c>
      <c r="B2984" s="32" t="s">
        <v>7620</v>
      </c>
      <c r="C2984" s="35">
        <v>25.11219978</v>
      </c>
      <c r="D2984" s="35">
        <v>56.32400131</v>
      </c>
      <c r="E2984" s="32" t="s">
        <v>139</v>
      </c>
      <c r="F2984" s="32" t="s">
        <v>7621</v>
      </c>
      <c r="G2984" s="39" t="s">
        <v>140</v>
      </c>
      <c r="H2984" s="33"/>
      <c r="I2984" s="33"/>
      <c r="J2984" s="33"/>
      <c r="K2984" s="33"/>
      <c r="L2984" s="33"/>
      <c r="M2984" s="33"/>
    </row>
    <row r="2985">
      <c r="A2985" s="32" t="s">
        <v>7622</v>
      </c>
      <c r="B2985" s="32" t="s">
        <v>7623</v>
      </c>
      <c r="C2985" s="35">
        <v>48.77939987</v>
      </c>
      <c r="D2985" s="35">
        <v>8.080499649</v>
      </c>
      <c r="E2985" s="32" t="s">
        <v>109</v>
      </c>
      <c r="F2985" s="32" t="s">
        <v>7624</v>
      </c>
      <c r="G2985" s="39" t="s">
        <v>110</v>
      </c>
      <c r="H2985" s="33"/>
      <c r="I2985" s="33"/>
      <c r="J2985" s="33"/>
      <c r="K2985" s="33"/>
      <c r="L2985" s="33"/>
      <c r="M2985" s="33"/>
    </row>
    <row r="2986">
      <c r="A2986" s="32" t="s">
        <v>7625</v>
      </c>
      <c r="B2986" s="32" t="s">
        <v>7626</v>
      </c>
      <c r="C2986" s="35">
        <v>0.481638998</v>
      </c>
      <c r="D2986" s="35">
        <v>25.33799934</v>
      </c>
      <c r="E2986" s="32" t="s">
        <v>800</v>
      </c>
      <c r="F2986" s="32" t="s">
        <v>7627</v>
      </c>
      <c r="G2986" s="36" t="e">
        <v>#N/A</v>
      </c>
      <c r="H2986" s="33"/>
      <c r="I2986" s="33"/>
      <c r="J2986" s="33"/>
      <c r="K2986" s="33"/>
      <c r="L2986" s="33"/>
      <c r="M2986" s="33"/>
    </row>
    <row r="2987">
      <c r="A2987" s="32" t="s">
        <v>7628</v>
      </c>
      <c r="B2987" s="32" t="s">
        <v>7629</v>
      </c>
      <c r="C2987" s="35">
        <v>41.37789917</v>
      </c>
      <c r="D2987" s="35">
        <v>-79.86039734</v>
      </c>
      <c r="E2987" s="32" t="s">
        <v>180</v>
      </c>
      <c r="F2987" s="32" t="s">
        <v>7630</v>
      </c>
      <c r="G2987" s="39" t="s">
        <v>181</v>
      </c>
      <c r="H2987" s="33"/>
      <c r="I2987" s="33"/>
      <c r="J2987" s="33"/>
      <c r="K2987" s="33"/>
      <c r="L2987" s="33"/>
      <c r="M2987" s="33"/>
    </row>
    <row r="2988">
      <c r="A2988" s="32" t="s">
        <v>7631</v>
      </c>
      <c r="B2988" s="32" t="s">
        <v>7632</v>
      </c>
      <c r="C2988" s="35">
        <v>-2.920190096</v>
      </c>
      <c r="D2988" s="35">
        <v>132.2669983</v>
      </c>
      <c r="E2988" s="32" t="s">
        <v>280</v>
      </c>
      <c r="F2988" s="32" t="s">
        <v>7633</v>
      </c>
      <c r="G2988" s="36" t="e">
        <v>#N/A</v>
      </c>
      <c r="H2988" s="33"/>
      <c r="I2988" s="33"/>
      <c r="J2988" s="33"/>
      <c r="K2988" s="33"/>
      <c r="L2988" s="33"/>
      <c r="M2988" s="33"/>
    </row>
    <row r="2989">
      <c r="A2989" s="32" t="s">
        <v>7634</v>
      </c>
      <c r="B2989" s="32" t="s">
        <v>7635</v>
      </c>
      <c r="C2989" s="35">
        <v>37.22740173</v>
      </c>
      <c r="D2989" s="35">
        <v>140.4309998</v>
      </c>
      <c r="E2989" s="32" t="s">
        <v>170</v>
      </c>
      <c r="F2989" s="32" t="s">
        <v>7636</v>
      </c>
      <c r="G2989" s="39" t="s">
        <v>171</v>
      </c>
      <c r="H2989" s="33"/>
      <c r="I2989" s="33"/>
      <c r="J2989" s="33"/>
      <c r="K2989" s="33"/>
      <c r="L2989" s="33"/>
      <c r="M2989" s="33"/>
    </row>
    <row r="2990">
      <c r="A2990" s="32" t="s">
        <v>7637</v>
      </c>
      <c r="B2990" s="32" t="s">
        <v>7638</v>
      </c>
      <c r="C2990" s="35">
        <v>1.58919</v>
      </c>
      <c r="D2990" s="35">
        <v>-75.5644</v>
      </c>
      <c r="E2990" s="32" t="s">
        <v>292</v>
      </c>
      <c r="F2990" s="32" t="s">
        <v>7639</v>
      </c>
      <c r="G2990" s="36" t="e">
        <v>#N/A</v>
      </c>
      <c r="H2990" s="33"/>
      <c r="I2990" s="33"/>
      <c r="J2990" s="33"/>
      <c r="K2990" s="33"/>
      <c r="L2990" s="33"/>
      <c r="M2990" s="33"/>
    </row>
    <row r="2991">
      <c r="A2991" s="32" t="s">
        <v>7640</v>
      </c>
      <c r="B2991" s="32" t="s">
        <v>7641</v>
      </c>
      <c r="C2991" s="35">
        <v>-6.846389771</v>
      </c>
      <c r="D2991" s="35">
        <v>-43.07730103</v>
      </c>
      <c r="E2991" s="32" t="s">
        <v>288</v>
      </c>
      <c r="F2991" s="32" t="s">
        <v>7642</v>
      </c>
      <c r="G2991" s="36" t="e">
        <v>#N/A</v>
      </c>
      <c r="H2991" s="33"/>
      <c r="I2991" s="33"/>
      <c r="J2991" s="33"/>
      <c r="K2991" s="33"/>
      <c r="L2991" s="33"/>
      <c r="M2991" s="33"/>
    </row>
    <row r="2992">
      <c r="A2992" s="32" t="s">
        <v>7643</v>
      </c>
      <c r="B2992" s="32" t="s">
        <v>7644</v>
      </c>
      <c r="C2992" s="35">
        <v>43.77119827</v>
      </c>
      <c r="D2992" s="35">
        <v>-88.48840332</v>
      </c>
      <c r="E2992" s="32" t="s">
        <v>180</v>
      </c>
      <c r="F2992" s="32" t="s">
        <v>7645</v>
      </c>
      <c r="G2992" s="39" t="s">
        <v>181</v>
      </c>
      <c r="H2992" s="33"/>
      <c r="I2992" s="33"/>
      <c r="J2992" s="33"/>
      <c r="K2992" s="33"/>
      <c r="L2992" s="33"/>
      <c r="M2992" s="33"/>
    </row>
    <row r="2993">
      <c r="A2993" s="32" t="s">
        <v>7646</v>
      </c>
      <c r="B2993" s="32" t="s">
        <v>7647</v>
      </c>
      <c r="C2993" s="35">
        <v>54.7733345</v>
      </c>
      <c r="D2993" s="35">
        <v>9.378889084</v>
      </c>
      <c r="E2993" s="32" t="s">
        <v>109</v>
      </c>
      <c r="F2993" s="32" t="s">
        <v>7648</v>
      </c>
      <c r="G2993" s="39" t="s">
        <v>110</v>
      </c>
      <c r="H2993" s="33"/>
      <c r="I2993" s="33"/>
      <c r="J2993" s="33"/>
      <c r="K2993" s="33"/>
      <c r="L2993" s="33"/>
      <c r="M2993" s="33"/>
    </row>
    <row r="2994">
      <c r="A2994" s="32" t="s">
        <v>7649</v>
      </c>
      <c r="B2994" s="32" t="s">
        <v>7650</v>
      </c>
      <c r="C2994" s="35">
        <v>35.13850021</v>
      </c>
      <c r="D2994" s="35">
        <v>-111.6709976</v>
      </c>
      <c r="E2994" s="32" t="s">
        <v>180</v>
      </c>
      <c r="F2994" s="32" t="s">
        <v>7651</v>
      </c>
      <c r="G2994" s="39" t="s">
        <v>181</v>
      </c>
      <c r="H2994" s="33"/>
      <c r="I2994" s="33"/>
      <c r="J2994" s="33"/>
      <c r="K2994" s="33"/>
      <c r="L2994" s="33"/>
      <c r="M2994" s="33"/>
    </row>
    <row r="2995">
      <c r="A2995" s="32" t="s">
        <v>7652</v>
      </c>
      <c r="B2995" s="32" t="s">
        <v>7653</v>
      </c>
      <c r="C2995" s="35">
        <v>26.07259941</v>
      </c>
      <c r="D2995" s="35">
        <v>-80.15270233</v>
      </c>
      <c r="E2995" s="32" t="s">
        <v>180</v>
      </c>
      <c r="F2995" s="32" t="s">
        <v>7654</v>
      </c>
      <c r="G2995" s="39" t="s">
        <v>181</v>
      </c>
      <c r="H2995" s="33"/>
      <c r="I2995" s="33"/>
      <c r="J2995" s="33"/>
      <c r="K2995" s="33"/>
      <c r="L2995" s="33"/>
      <c r="M2995" s="33"/>
    </row>
    <row r="2996">
      <c r="A2996" s="32" t="s">
        <v>7655</v>
      </c>
      <c r="B2996" s="32" t="s">
        <v>7656</v>
      </c>
      <c r="C2996" s="35">
        <v>-27.67027855</v>
      </c>
      <c r="D2996" s="35">
        <v>-48.55250168</v>
      </c>
      <c r="E2996" s="32" t="s">
        <v>288</v>
      </c>
      <c r="F2996" s="32" t="s">
        <v>7657</v>
      </c>
      <c r="G2996" s="36" t="e">
        <v>#N/A</v>
      </c>
      <c r="H2996" s="33"/>
      <c r="I2996" s="33"/>
      <c r="J2996" s="33"/>
      <c r="K2996" s="33"/>
      <c r="L2996" s="33"/>
      <c r="M2996" s="33"/>
    </row>
    <row r="2997">
      <c r="A2997" s="32" t="s">
        <v>7658</v>
      </c>
      <c r="B2997" s="32" t="s">
        <v>7659</v>
      </c>
      <c r="C2997" s="35">
        <v>34.1853981</v>
      </c>
      <c r="D2997" s="35">
        <v>-79.72389984</v>
      </c>
      <c r="E2997" s="32" t="s">
        <v>180</v>
      </c>
      <c r="F2997" s="32" t="s">
        <v>7660</v>
      </c>
      <c r="G2997" s="39" t="s">
        <v>181</v>
      </c>
      <c r="H2997" s="33"/>
      <c r="I2997" s="33"/>
      <c r="J2997" s="33"/>
      <c r="K2997" s="33"/>
      <c r="L2997" s="33"/>
      <c r="M2997" s="33"/>
    </row>
    <row r="2998">
      <c r="A2998" s="32" t="s">
        <v>7661</v>
      </c>
      <c r="B2998" s="32" t="s">
        <v>7662</v>
      </c>
      <c r="C2998" s="35">
        <v>43.810001</v>
      </c>
      <c r="D2998" s="35">
        <v>11.2051</v>
      </c>
      <c r="E2998" s="32" t="s">
        <v>103</v>
      </c>
      <c r="F2998" s="32" t="s">
        <v>7660</v>
      </c>
      <c r="G2998" s="39" t="s">
        <v>104</v>
      </c>
      <c r="H2998" s="33"/>
      <c r="I2998" s="33"/>
      <c r="J2998" s="33"/>
      <c r="K2998" s="33"/>
      <c r="L2998" s="33"/>
      <c r="M2998" s="33"/>
    </row>
    <row r="2999">
      <c r="A2999" s="32" t="s">
        <v>7663</v>
      </c>
      <c r="B2999" s="32" t="s">
        <v>3049</v>
      </c>
      <c r="C2999" s="35">
        <v>-40.09170151</v>
      </c>
      <c r="D2999" s="35">
        <v>147.9929962</v>
      </c>
      <c r="E2999" s="32" t="s">
        <v>1968</v>
      </c>
      <c r="F2999" s="32" t="s">
        <v>7664</v>
      </c>
      <c r="G2999" s="36" t="e">
        <v>#N/A</v>
      </c>
      <c r="H2999" s="33"/>
      <c r="I2999" s="33"/>
      <c r="J2999" s="33"/>
      <c r="K2999" s="33"/>
      <c r="L2999" s="33"/>
      <c r="M2999" s="33"/>
    </row>
    <row r="3000">
      <c r="A3000" s="32" t="s">
        <v>7665</v>
      </c>
      <c r="B3000" s="32" t="s">
        <v>7666</v>
      </c>
      <c r="C3000" s="35">
        <v>39.36830139</v>
      </c>
      <c r="D3000" s="35">
        <v>-94.91470337</v>
      </c>
      <c r="E3000" s="32" t="s">
        <v>180</v>
      </c>
      <c r="F3000" s="32" t="s">
        <v>7667</v>
      </c>
      <c r="G3000" s="39" t="s">
        <v>181</v>
      </c>
      <c r="H3000" s="33"/>
      <c r="I3000" s="33"/>
      <c r="J3000" s="33"/>
      <c r="K3000" s="33"/>
      <c r="L3000" s="33"/>
      <c r="M3000" s="33"/>
    </row>
    <row r="3001">
      <c r="A3001" s="32" t="s">
        <v>7668</v>
      </c>
      <c r="B3001" s="32" t="s">
        <v>7669</v>
      </c>
      <c r="C3001" s="35">
        <v>39.45529938</v>
      </c>
      <c r="D3001" s="35">
        <v>-31.13139915</v>
      </c>
      <c r="E3001" s="32" t="s">
        <v>121</v>
      </c>
      <c r="F3001" s="32" t="s">
        <v>7670</v>
      </c>
      <c r="G3001" s="39" t="s">
        <v>122</v>
      </c>
      <c r="H3001" s="33"/>
      <c r="I3001" s="33"/>
      <c r="J3001" s="33"/>
      <c r="K3001" s="33"/>
      <c r="L3001" s="33"/>
      <c r="M3001" s="33"/>
    </row>
    <row r="3002">
      <c r="A3002" s="32" t="s">
        <v>7671</v>
      </c>
      <c r="B3002" s="32" t="s">
        <v>7672</v>
      </c>
      <c r="C3002" s="35">
        <v>-26.2127</v>
      </c>
      <c r="D3002" s="35">
        <v>-58.2281</v>
      </c>
      <c r="E3002" s="32" t="s">
        <v>296</v>
      </c>
      <c r="F3002" s="32" t="s">
        <v>7673</v>
      </c>
      <c r="G3002" s="36" t="e">
        <v>#N/A</v>
      </c>
      <c r="H3002" s="33"/>
      <c r="I3002" s="33"/>
      <c r="J3002" s="33"/>
      <c r="K3002" s="33"/>
      <c r="L3002" s="33"/>
      <c r="M3002" s="33"/>
    </row>
    <row r="3003">
      <c r="A3003" s="32" t="s">
        <v>7674</v>
      </c>
      <c r="B3003" s="32" t="s">
        <v>7675</v>
      </c>
      <c r="C3003" s="35">
        <v>39.08539963</v>
      </c>
      <c r="D3003" s="35">
        <v>-76.75939941</v>
      </c>
      <c r="E3003" s="32" t="s">
        <v>180</v>
      </c>
      <c r="F3003" s="32" t="s">
        <v>7676</v>
      </c>
      <c r="G3003" s="39" t="s">
        <v>181</v>
      </c>
      <c r="H3003" s="33"/>
      <c r="I3003" s="33"/>
      <c r="J3003" s="33"/>
      <c r="K3003" s="33"/>
      <c r="L3003" s="33"/>
      <c r="M3003" s="33"/>
    </row>
    <row r="3004">
      <c r="A3004" s="32" t="s">
        <v>7677</v>
      </c>
      <c r="B3004" s="32" t="s">
        <v>7678</v>
      </c>
      <c r="C3004" s="35">
        <v>-5.875559807</v>
      </c>
      <c r="D3004" s="35">
        <v>29.25</v>
      </c>
      <c r="E3004" s="32" t="s">
        <v>800</v>
      </c>
      <c r="F3004" s="32" t="s">
        <v>7679</v>
      </c>
      <c r="G3004" s="36" t="e">
        <v>#N/A</v>
      </c>
      <c r="H3004" s="33"/>
      <c r="I3004" s="33"/>
      <c r="J3004" s="33"/>
      <c r="K3004" s="33"/>
      <c r="L3004" s="33"/>
      <c r="M3004" s="33"/>
    </row>
    <row r="3005">
      <c r="A3005" s="32" t="s">
        <v>7680</v>
      </c>
      <c r="B3005" s="32" t="s">
        <v>7681</v>
      </c>
      <c r="C3005" s="35">
        <v>47.98880005</v>
      </c>
      <c r="D3005" s="35">
        <v>10.23950005</v>
      </c>
      <c r="E3005" s="32" t="s">
        <v>109</v>
      </c>
      <c r="F3005" s="32" t="s">
        <v>7682</v>
      </c>
      <c r="G3005" s="39" t="s">
        <v>110</v>
      </c>
      <c r="H3005" s="33"/>
      <c r="I3005" s="33"/>
      <c r="J3005" s="33"/>
      <c r="K3005" s="33"/>
      <c r="L3005" s="33"/>
      <c r="M3005" s="33"/>
    </row>
    <row r="3006">
      <c r="A3006" s="32" t="s">
        <v>7683</v>
      </c>
      <c r="B3006" s="32" t="s">
        <v>7684</v>
      </c>
      <c r="C3006" s="35">
        <v>36.74119949</v>
      </c>
      <c r="D3006" s="35">
        <v>-108.2300034</v>
      </c>
      <c r="E3006" s="32" t="s">
        <v>180</v>
      </c>
      <c r="F3006" s="32" t="s">
        <v>7685</v>
      </c>
      <c r="G3006" s="39" t="s">
        <v>181</v>
      </c>
      <c r="H3006" s="33"/>
      <c r="I3006" s="33"/>
      <c r="J3006" s="33"/>
      <c r="K3006" s="33"/>
      <c r="L3006" s="33"/>
      <c r="M3006" s="33"/>
    </row>
    <row r="3007">
      <c r="A3007" s="32" t="s">
        <v>7686</v>
      </c>
      <c r="B3007" s="32" t="s">
        <v>7687</v>
      </c>
      <c r="C3007" s="35">
        <v>52.13460159</v>
      </c>
      <c r="D3007" s="35">
        <v>7.684830189</v>
      </c>
      <c r="E3007" s="32" t="s">
        <v>109</v>
      </c>
      <c r="F3007" s="32" t="s">
        <v>7688</v>
      </c>
      <c r="G3007" s="39" t="s">
        <v>110</v>
      </c>
      <c r="H3007" s="33"/>
      <c r="I3007" s="33"/>
      <c r="J3007" s="33"/>
      <c r="K3007" s="33"/>
      <c r="L3007" s="33"/>
      <c r="M3007" s="33"/>
    </row>
    <row r="3008">
      <c r="A3008" s="32" t="s">
        <v>7689</v>
      </c>
      <c r="B3008" s="32" t="s">
        <v>7690</v>
      </c>
      <c r="C3008" s="35">
        <v>26.58659935</v>
      </c>
      <c r="D3008" s="35">
        <v>-81.86329651</v>
      </c>
      <c r="E3008" s="32" t="s">
        <v>180</v>
      </c>
      <c r="F3008" s="32" t="s">
        <v>7691</v>
      </c>
      <c r="G3008" s="39" t="s">
        <v>181</v>
      </c>
      <c r="H3008" s="33"/>
      <c r="I3008" s="33"/>
      <c r="J3008" s="33"/>
      <c r="K3008" s="33"/>
      <c r="L3008" s="33"/>
      <c r="M3008" s="33"/>
    </row>
    <row r="3009">
      <c r="A3009" s="32" t="s">
        <v>7692</v>
      </c>
      <c r="B3009" s="32" t="s">
        <v>7693</v>
      </c>
      <c r="C3009" s="35">
        <v>8.616439819</v>
      </c>
      <c r="D3009" s="35">
        <v>-13.19550037</v>
      </c>
      <c r="E3009" s="32" t="s">
        <v>5250</v>
      </c>
      <c r="F3009" s="32" t="s">
        <v>7694</v>
      </c>
      <c r="G3009" s="36" t="e">
        <v>#N/A</v>
      </c>
      <c r="H3009" s="33"/>
      <c r="I3009" s="33"/>
      <c r="J3009" s="33"/>
      <c r="K3009" s="33"/>
      <c r="L3009" s="33"/>
      <c r="M3009" s="33"/>
    </row>
    <row r="3010">
      <c r="A3010" s="32" t="s">
        <v>7695</v>
      </c>
      <c r="B3010" s="32" t="s">
        <v>7696</v>
      </c>
      <c r="C3010" s="35">
        <v>53.6022</v>
      </c>
      <c r="D3010" s="35">
        <v>13.306</v>
      </c>
      <c r="E3010" s="32" t="s">
        <v>109</v>
      </c>
      <c r="F3010" s="32" t="s">
        <v>7697</v>
      </c>
      <c r="G3010" s="39" t="s">
        <v>110</v>
      </c>
      <c r="H3010" s="33"/>
      <c r="I3010" s="33"/>
      <c r="J3010" s="33"/>
      <c r="K3010" s="33"/>
      <c r="L3010" s="33"/>
      <c r="M3010" s="33"/>
    </row>
    <row r="3011">
      <c r="A3011" s="32" t="s">
        <v>7698</v>
      </c>
      <c r="B3011" s="32" t="s">
        <v>7699</v>
      </c>
      <c r="C3011" s="35">
        <v>32.69789886</v>
      </c>
      <c r="D3011" s="35">
        <v>-16.77449989</v>
      </c>
      <c r="E3011" s="32" t="s">
        <v>121</v>
      </c>
      <c r="F3011" s="32" t="s">
        <v>7700</v>
      </c>
      <c r="G3011" s="39" t="s">
        <v>122</v>
      </c>
      <c r="H3011" s="33"/>
      <c r="I3011" s="33"/>
      <c r="J3011" s="33"/>
      <c r="K3011" s="33"/>
      <c r="L3011" s="33"/>
      <c r="M3011" s="33"/>
    </row>
    <row r="3012">
      <c r="A3012" s="32" t="s">
        <v>7701</v>
      </c>
      <c r="B3012" s="32" t="s">
        <v>7702</v>
      </c>
      <c r="C3012" s="35">
        <v>43.75740051</v>
      </c>
      <c r="D3012" s="35">
        <v>4.416349888</v>
      </c>
      <c r="E3012" s="32" t="s">
        <v>96</v>
      </c>
      <c r="F3012" s="32" t="s">
        <v>7703</v>
      </c>
      <c r="G3012" s="39" t="s">
        <v>97</v>
      </c>
      <c r="H3012" s="33"/>
      <c r="I3012" s="33"/>
      <c r="J3012" s="33"/>
      <c r="K3012" s="33"/>
      <c r="L3012" s="33"/>
      <c r="M3012" s="33"/>
    </row>
    <row r="3013">
      <c r="A3013" s="32" t="s">
        <v>7704</v>
      </c>
      <c r="B3013" s="32" t="s">
        <v>7705</v>
      </c>
      <c r="C3013" s="35">
        <v>39.224098</v>
      </c>
      <c r="D3013" s="35">
        <v>125.669998</v>
      </c>
      <c r="E3013" s="32" t="s">
        <v>3364</v>
      </c>
      <c r="F3013" s="32" t="s">
        <v>7706</v>
      </c>
      <c r="G3013" s="36" t="e">
        <v>#N/A</v>
      </c>
      <c r="H3013" s="33"/>
      <c r="I3013" s="33"/>
      <c r="J3013" s="33"/>
      <c r="K3013" s="33"/>
      <c r="L3013" s="33"/>
      <c r="M3013" s="33"/>
    </row>
    <row r="3014">
      <c r="A3014" s="32" t="s">
        <v>7707</v>
      </c>
      <c r="B3014" s="32" t="s">
        <v>7708</v>
      </c>
      <c r="C3014" s="35">
        <v>40.4518013</v>
      </c>
      <c r="D3014" s="35">
        <v>-105.0110016</v>
      </c>
      <c r="E3014" s="32" t="s">
        <v>180</v>
      </c>
      <c r="F3014" s="32" t="s">
        <v>7709</v>
      </c>
      <c r="G3014" s="39" t="s">
        <v>181</v>
      </c>
      <c r="H3014" s="33"/>
      <c r="I3014" s="33"/>
      <c r="J3014" s="33"/>
      <c r="K3014" s="33"/>
      <c r="L3014" s="33"/>
      <c r="M3014" s="33"/>
    </row>
    <row r="3015">
      <c r="A3015" s="32" t="s">
        <v>7710</v>
      </c>
      <c r="B3015" s="32" t="s">
        <v>7711</v>
      </c>
      <c r="C3015" s="35">
        <v>58.25439835</v>
      </c>
      <c r="D3015" s="35">
        <v>-134.897995</v>
      </c>
      <c r="E3015" s="32" t="s">
        <v>180</v>
      </c>
      <c r="F3015" s="32" t="s">
        <v>7712</v>
      </c>
      <c r="G3015" s="39" t="s">
        <v>181</v>
      </c>
      <c r="H3015" s="33"/>
      <c r="I3015" s="33"/>
      <c r="J3015" s="33"/>
      <c r="K3015" s="33"/>
      <c r="L3015" s="33"/>
      <c r="M3015" s="33"/>
    </row>
    <row r="3016">
      <c r="A3016" s="32" t="s">
        <v>7713</v>
      </c>
      <c r="B3016" s="32" t="s">
        <v>7714</v>
      </c>
      <c r="C3016" s="35">
        <v>42.965400700000004</v>
      </c>
      <c r="D3016" s="35">
        <v>-83.74359894</v>
      </c>
      <c r="E3016" s="32" t="s">
        <v>180</v>
      </c>
      <c r="F3016" s="32" t="s">
        <v>7715</v>
      </c>
      <c r="G3016" s="39" t="s">
        <v>181</v>
      </c>
      <c r="H3016" s="33"/>
      <c r="I3016" s="33"/>
      <c r="J3016" s="33"/>
      <c r="K3016" s="33"/>
      <c r="L3016" s="33"/>
      <c r="M3016" s="33"/>
    </row>
    <row r="3017">
      <c r="A3017" s="32" t="s">
        <v>7716</v>
      </c>
      <c r="B3017" s="32" t="s">
        <v>7717</v>
      </c>
      <c r="C3017" s="35">
        <v>39.895308</v>
      </c>
      <c r="D3017" s="35">
        <v>8.642661</v>
      </c>
      <c r="E3017" s="32" t="s">
        <v>103</v>
      </c>
      <c r="F3017" s="32" t="s">
        <v>7718</v>
      </c>
      <c r="G3017" s="39" t="s">
        <v>104</v>
      </c>
      <c r="H3017" s="33"/>
      <c r="I3017" s="33"/>
      <c r="J3017" s="33"/>
      <c r="K3017" s="33"/>
      <c r="L3017" s="33"/>
      <c r="M3017" s="33"/>
    </row>
    <row r="3018">
      <c r="A3018" s="32" t="s">
        <v>7719</v>
      </c>
      <c r="B3018" s="32" t="s">
        <v>7720</v>
      </c>
      <c r="C3018" s="35">
        <v>25.93510056</v>
      </c>
      <c r="D3018" s="35">
        <v>119.663002</v>
      </c>
      <c r="E3018" s="32" t="s">
        <v>205</v>
      </c>
      <c r="F3018" s="32" t="s">
        <v>7721</v>
      </c>
      <c r="G3018" s="39" t="s">
        <v>206</v>
      </c>
      <c r="H3018" s="33"/>
      <c r="I3018" s="33"/>
      <c r="J3018" s="33"/>
      <c r="K3018" s="33"/>
      <c r="L3018" s="33"/>
      <c r="M3018" s="33"/>
    </row>
    <row r="3019">
      <c r="A3019" s="32" t="s">
        <v>7722</v>
      </c>
      <c r="B3019" s="32" t="s">
        <v>7723</v>
      </c>
      <c r="C3019" s="35">
        <v>42.55149841</v>
      </c>
      <c r="D3019" s="35">
        <v>-94.19259644</v>
      </c>
      <c r="E3019" s="32" t="s">
        <v>180</v>
      </c>
      <c r="F3019" s="32" t="s">
        <v>7724</v>
      </c>
      <c r="G3019" s="39" t="s">
        <v>181</v>
      </c>
      <c r="H3019" s="33"/>
      <c r="I3019" s="33"/>
      <c r="J3019" s="33"/>
      <c r="K3019" s="33"/>
      <c r="L3019" s="33"/>
      <c r="M3019" s="33"/>
    </row>
    <row r="3020">
      <c r="A3020" s="32" t="s">
        <v>7725</v>
      </c>
      <c r="B3020" s="32" t="s">
        <v>7726</v>
      </c>
      <c r="C3020" s="35">
        <v>38.95090103</v>
      </c>
      <c r="D3020" s="35">
        <v>-95.66359711</v>
      </c>
      <c r="E3020" s="32" t="s">
        <v>180</v>
      </c>
      <c r="F3020" s="32" t="s">
        <v>7727</v>
      </c>
      <c r="G3020" s="39" t="s">
        <v>181</v>
      </c>
      <c r="H3020" s="33"/>
      <c r="I3020" s="33"/>
      <c r="J3020" s="33"/>
      <c r="K3020" s="33"/>
      <c r="L3020" s="33"/>
      <c r="M3020" s="33"/>
    </row>
    <row r="3021">
      <c r="A3021" s="32" t="s">
        <v>7728</v>
      </c>
      <c r="B3021" s="32" t="s">
        <v>7729</v>
      </c>
      <c r="C3021" s="35">
        <v>41.432899</v>
      </c>
      <c r="D3021" s="35">
        <v>15.535</v>
      </c>
      <c r="E3021" s="32" t="s">
        <v>103</v>
      </c>
      <c r="F3021" s="32" t="s">
        <v>7730</v>
      </c>
      <c r="G3021" s="39" t="s">
        <v>104</v>
      </c>
      <c r="H3021" s="33"/>
      <c r="I3021" s="33"/>
      <c r="J3021" s="33"/>
      <c r="K3021" s="33"/>
      <c r="L3021" s="33"/>
      <c r="M3021" s="33"/>
    </row>
    <row r="3022">
      <c r="A3022" s="32" t="s">
        <v>7731</v>
      </c>
      <c r="B3022" s="32" t="s">
        <v>7732</v>
      </c>
      <c r="C3022" s="35">
        <v>40.84370041</v>
      </c>
      <c r="D3022" s="35">
        <v>-72.63179779</v>
      </c>
      <c r="E3022" s="32" t="s">
        <v>180</v>
      </c>
      <c r="F3022" s="32" t="s">
        <v>7733</v>
      </c>
      <c r="G3022" s="39" t="s">
        <v>181</v>
      </c>
      <c r="H3022" s="33"/>
      <c r="I3022" s="33"/>
      <c r="J3022" s="33"/>
      <c r="K3022" s="33"/>
      <c r="L3022" s="33"/>
      <c r="M3022" s="33"/>
    </row>
    <row r="3023">
      <c r="A3023" s="32" t="s">
        <v>7734</v>
      </c>
      <c r="B3023" s="32" t="s">
        <v>7735</v>
      </c>
      <c r="C3023" s="35">
        <v>5.636919975</v>
      </c>
      <c r="D3023" s="35">
        <v>10.75080013</v>
      </c>
      <c r="E3023" s="32" t="s">
        <v>32</v>
      </c>
      <c r="F3023" s="32" t="s">
        <v>7736</v>
      </c>
      <c r="G3023" s="36" t="e">
        <v>#N/A</v>
      </c>
      <c r="H3023" s="33"/>
      <c r="I3023" s="33"/>
      <c r="J3023" s="33"/>
      <c r="K3023" s="33"/>
      <c r="L3023" s="33"/>
      <c r="M3023" s="33"/>
    </row>
    <row r="3024">
      <c r="A3024" s="32" t="s">
        <v>7737</v>
      </c>
      <c r="B3024" s="32" t="s">
        <v>7738</v>
      </c>
      <c r="C3024" s="35">
        <v>10.47799969</v>
      </c>
      <c r="D3024" s="35">
        <v>-84.6344986</v>
      </c>
      <c r="E3024" s="32" t="s">
        <v>1267</v>
      </c>
      <c r="F3024" s="32" t="s">
        <v>7739</v>
      </c>
      <c r="G3024" s="36" t="e">
        <v>#N/A</v>
      </c>
      <c r="H3024" s="33"/>
      <c r="I3024" s="33"/>
      <c r="J3024" s="33"/>
      <c r="K3024" s="33"/>
      <c r="L3024" s="33"/>
      <c r="M3024" s="33"/>
    </row>
    <row r="3025">
      <c r="A3025" s="32" t="s">
        <v>7740</v>
      </c>
      <c r="B3025" s="32" t="s">
        <v>7741</v>
      </c>
      <c r="C3025" s="35">
        <v>-3.776279926</v>
      </c>
      <c r="D3025" s="35">
        <v>-38.5326004</v>
      </c>
      <c r="E3025" s="32" t="s">
        <v>288</v>
      </c>
      <c r="F3025" s="32" t="s">
        <v>7742</v>
      </c>
      <c r="G3025" s="36" t="e">
        <v>#N/A</v>
      </c>
      <c r="H3025" s="33"/>
      <c r="I3025" s="33"/>
      <c r="J3025" s="33"/>
      <c r="K3025" s="33"/>
      <c r="L3025" s="33"/>
      <c r="M3025" s="33"/>
    </row>
    <row r="3026">
      <c r="A3026" s="32" t="s">
        <v>7743</v>
      </c>
      <c r="B3026" s="32" t="s">
        <v>7744</v>
      </c>
      <c r="C3026" s="35">
        <v>26.55870056</v>
      </c>
      <c r="D3026" s="35">
        <v>-78.69560242</v>
      </c>
      <c r="E3026" s="32" t="s">
        <v>319</v>
      </c>
      <c r="F3026" s="32" t="s">
        <v>7745</v>
      </c>
      <c r="G3026" s="36" t="e">
        <v>#N/A</v>
      </c>
      <c r="H3026" s="33"/>
      <c r="I3026" s="33"/>
      <c r="J3026" s="33"/>
      <c r="K3026" s="33"/>
      <c r="L3026" s="33"/>
      <c r="M3026" s="33"/>
    </row>
    <row r="3027">
      <c r="A3027" s="32" t="s">
        <v>7746</v>
      </c>
      <c r="B3027" s="32" t="s">
        <v>7747</v>
      </c>
      <c r="C3027" s="35">
        <v>50.0333333</v>
      </c>
      <c r="D3027" s="35">
        <v>8.5705556</v>
      </c>
      <c r="E3027" s="32" t="s">
        <v>109</v>
      </c>
      <c r="F3027" s="32" t="s">
        <v>7748</v>
      </c>
      <c r="G3027" s="39" t="s">
        <v>110</v>
      </c>
      <c r="H3027" s="33"/>
      <c r="I3027" s="33"/>
      <c r="J3027" s="33"/>
      <c r="K3027" s="33"/>
      <c r="L3027" s="33"/>
      <c r="M3027" s="33"/>
    </row>
    <row r="3028">
      <c r="A3028" s="32" t="s">
        <v>7749</v>
      </c>
      <c r="B3028" s="32" t="s">
        <v>7750</v>
      </c>
      <c r="C3028" s="35">
        <v>-33.363602</v>
      </c>
      <c r="D3028" s="35">
        <v>147.934998</v>
      </c>
      <c r="E3028" s="32" t="s">
        <v>1968</v>
      </c>
      <c r="F3028" s="32" t="s">
        <v>7751</v>
      </c>
      <c r="G3028" s="36" t="e">
        <v>#N/A</v>
      </c>
      <c r="H3028" s="33"/>
      <c r="I3028" s="33"/>
      <c r="J3028" s="33"/>
      <c r="K3028" s="33"/>
      <c r="L3028" s="33"/>
      <c r="M3028" s="33"/>
    </row>
    <row r="3029">
      <c r="A3029" s="32" t="s">
        <v>7752</v>
      </c>
      <c r="B3029" s="32" t="s">
        <v>7753</v>
      </c>
      <c r="C3029" s="35">
        <v>-20.59219933</v>
      </c>
      <c r="D3029" s="35">
        <v>-47.38290024</v>
      </c>
      <c r="E3029" s="32" t="s">
        <v>288</v>
      </c>
      <c r="F3029" s="32" t="s">
        <v>7754</v>
      </c>
      <c r="G3029" s="36" t="e">
        <v>#N/A</v>
      </c>
      <c r="H3029" s="33"/>
      <c r="I3029" s="33"/>
      <c r="J3029" s="33"/>
      <c r="K3029" s="33"/>
      <c r="L3029" s="33"/>
      <c r="M3029" s="33"/>
    </row>
    <row r="3030">
      <c r="A3030" s="32" t="s">
        <v>7755</v>
      </c>
      <c r="B3030" s="32" t="s">
        <v>7756</v>
      </c>
      <c r="C3030" s="35">
        <v>48.52199936</v>
      </c>
      <c r="D3030" s="35">
        <v>-123.0240021</v>
      </c>
      <c r="E3030" s="32" t="s">
        <v>180</v>
      </c>
      <c r="F3030" s="32" t="s">
        <v>7757</v>
      </c>
      <c r="G3030" s="39" t="s">
        <v>181</v>
      </c>
      <c r="H3030" s="33"/>
      <c r="I3030" s="33"/>
      <c r="J3030" s="33"/>
      <c r="K3030" s="33"/>
      <c r="L3030" s="33"/>
      <c r="M3030" s="33"/>
    </row>
    <row r="3031">
      <c r="A3031" s="32" t="s">
        <v>7758</v>
      </c>
      <c r="B3031" s="32" t="s">
        <v>7759</v>
      </c>
      <c r="C3031" s="35">
        <v>-8.1075</v>
      </c>
      <c r="D3031" s="35">
        <v>159.576996</v>
      </c>
      <c r="E3031" s="32" t="s">
        <v>3666</v>
      </c>
      <c r="F3031" s="32" t="s">
        <v>7760</v>
      </c>
      <c r="G3031" s="36" t="e">
        <v>#N/A</v>
      </c>
      <c r="H3031" s="33"/>
      <c r="I3031" s="33"/>
      <c r="J3031" s="33"/>
      <c r="K3031" s="33"/>
      <c r="L3031" s="33"/>
      <c r="M3031" s="33"/>
    </row>
    <row r="3032">
      <c r="A3032" s="32" t="s">
        <v>7761</v>
      </c>
      <c r="B3032" s="32" t="s">
        <v>7762</v>
      </c>
      <c r="C3032" s="35">
        <v>39.05530167</v>
      </c>
      <c r="D3032" s="35">
        <v>-96.76450348</v>
      </c>
      <c r="E3032" s="32" t="s">
        <v>180</v>
      </c>
      <c r="F3032" s="32" t="s">
        <v>7763</v>
      </c>
      <c r="G3032" s="39" t="s">
        <v>181</v>
      </c>
      <c r="H3032" s="33"/>
      <c r="I3032" s="33"/>
      <c r="J3032" s="33"/>
      <c r="K3032" s="33"/>
      <c r="L3032" s="33"/>
      <c r="M3032" s="33"/>
    </row>
    <row r="3033">
      <c r="A3033" s="32" t="s">
        <v>7764</v>
      </c>
      <c r="B3033" s="32" t="s">
        <v>7765</v>
      </c>
      <c r="C3033" s="35">
        <v>43.4175</v>
      </c>
      <c r="D3033" s="35">
        <v>6.7357</v>
      </c>
      <c r="E3033" s="32" t="s">
        <v>96</v>
      </c>
      <c r="F3033" s="32" t="s">
        <v>7766</v>
      </c>
      <c r="G3033" s="39" t="s">
        <v>97</v>
      </c>
      <c r="H3033" s="33"/>
      <c r="I3033" s="33"/>
      <c r="J3033" s="33"/>
      <c r="K3033" s="33"/>
      <c r="L3033" s="33"/>
      <c r="M3033" s="33"/>
    </row>
    <row r="3034">
      <c r="A3034" s="32" t="s">
        <v>7767</v>
      </c>
      <c r="B3034" s="32" t="s">
        <v>7768</v>
      </c>
      <c r="C3034" s="35">
        <v>44.194801</v>
      </c>
      <c r="D3034" s="35">
        <v>12.0701</v>
      </c>
      <c r="E3034" s="32" t="s">
        <v>103</v>
      </c>
      <c r="F3034" s="32" t="s">
        <v>7769</v>
      </c>
      <c r="G3034" s="39" t="s">
        <v>104</v>
      </c>
      <c r="H3034" s="33"/>
      <c r="I3034" s="33"/>
      <c r="J3034" s="33"/>
      <c r="K3034" s="33"/>
      <c r="L3034" s="33"/>
      <c r="M3034" s="33"/>
    </row>
    <row r="3035">
      <c r="A3035" s="32" t="s">
        <v>7770</v>
      </c>
      <c r="B3035" s="32" t="s">
        <v>7771</v>
      </c>
      <c r="C3035" s="35">
        <v>61.26639938</v>
      </c>
      <c r="D3035" s="35">
        <v>-149.6529999</v>
      </c>
      <c r="E3035" s="32" t="s">
        <v>180</v>
      </c>
      <c r="F3035" s="32" t="s">
        <v>7772</v>
      </c>
      <c r="G3035" s="39" t="s">
        <v>181</v>
      </c>
      <c r="H3035" s="33"/>
      <c r="I3035" s="33"/>
      <c r="J3035" s="33"/>
      <c r="K3035" s="33"/>
      <c r="L3035" s="33"/>
      <c r="M3035" s="33"/>
    </row>
    <row r="3036">
      <c r="A3036" s="32" t="s">
        <v>7773</v>
      </c>
      <c r="B3036" s="32" t="s">
        <v>7774</v>
      </c>
      <c r="C3036" s="35">
        <v>61.58359909</v>
      </c>
      <c r="D3036" s="35">
        <v>5.024720192</v>
      </c>
      <c r="E3036" s="32" t="s">
        <v>343</v>
      </c>
      <c r="F3036" s="32" t="s">
        <v>7775</v>
      </c>
      <c r="G3036" s="36" t="e">
        <v>#N/A</v>
      </c>
      <c r="H3036" s="33"/>
      <c r="I3036" s="33"/>
      <c r="J3036" s="33"/>
      <c r="K3036" s="33"/>
      <c r="L3036" s="33"/>
      <c r="M3036" s="33"/>
    </row>
    <row r="3037">
      <c r="A3037" s="32" t="s">
        <v>7776</v>
      </c>
      <c r="B3037" s="32" t="s">
        <v>7777</v>
      </c>
      <c r="C3037" s="35">
        <v>27.49510002</v>
      </c>
      <c r="D3037" s="35">
        <v>-80.36830139</v>
      </c>
      <c r="E3037" s="32" t="s">
        <v>180</v>
      </c>
      <c r="F3037" s="32" t="s">
        <v>7778</v>
      </c>
      <c r="G3037" s="39" t="s">
        <v>181</v>
      </c>
      <c r="H3037" s="33"/>
      <c r="I3037" s="33"/>
      <c r="J3037" s="33"/>
      <c r="K3037" s="33"/>
      <c r="L3037" s="33"/>
      <c r="M3037" s="33"/>
    </row>
    <row r="3038">
      <c r="A3038" s="32" t="s">
        <v>7779</v>
      </c>
      <c r="B3038" s="32" t="s">
        <v>7780</v>
      </c>
      <c r="C3038" s="35">
        <v>16.91379929</v>
      </c>
      <c r="D3038" s="35">
        <v>-89.86640167</v>
      </c>
      <c r="E3038" s="32" t="s">
        <v>1238</v>
      </c>
      <c r="F3038" s="32" t="s">
        <v>7670</v>
      </c>
      <c r="G3038" s="36" t="e">
        <v>#N/A</v>
      </c>
      <c r="H3038" s="33"/>
      <c r="I3038" s="33"/>
      <c r="J3038" s="33"/>
      <c r="K3038" s="33"/>
      <c r="L3038" s="33"/>
      <c r="M3038" s="33"/>
    </row>
    <row r="3039">
      <c r="A3039" s="32" t="s">
        <v>7781</v>
      </c>
      <c r="B3039" s="32" t="s">
        <v>7782</v>
      </c>
      <c r="C3039" s="35">
        <v>43.06129837</v>
      </c>
      <c r="D3039" s="35">
        <v>74.4776001</v>
      </c>
      <c r="E3039" s="32" t="s">
        <v>2342</v>
      </c>
      <c r="F3039" s="32" t="s">
        <v>7783</v>
      </c>
      <c r="G3039" s="36" t="e">
        <v>#N/A</v>
      </c>
      <c r="H3039" s="33"/>
      <c r="I3039" s="33"/>
      <c r="J3039" s="33"/>
      <c r="K3039" s="33"/>
      <c r="L3039" s="33"/>
      <c r="M3039" s="33"/>
    </row>
    <row r="3040">
      <c r="A3040" s="32" t="s">
        <v>7784</v>
      </c>
      <c r="B3040" s="32" t="s">
        <v>7785</v>
      </c>
      <c r="C3040" s="35">
        <v>-21.1595993</v>
      </c>
      <c r="D3040" s="35">
        <v>27.47450066</v>
      </c>
      <c r="E3040" s="32" t="s">
        <v>2285</v>
      </c>
      <c r="F3040" s="32" t="s">
        <v>7786</v>
      </c>
      <c r="G3040" s="36" t="e">
        <v>#N/A</v>
      </c>
      <c r="H3040" s="33"/>
      <c r="I3040" s="33"/>
      <c r="J3040" s="33"/>
      <c r="K3040" s="33"/>
      <c r="L3040" s="33"/>
      <c r="M3040" s="33"/>
    </row>
    <row r="3041">
      <c r="A3041" s="32" t="s">
        <v>7787</v>
      </c>
      <c r="B3041" s="32" t="s">
        <v>7788</v>
      </c>
      <c r="C3041" s="35">
        <v>41.50059891</v>
      </c>
      <c r="D3041" s="35">
        <v>9.097780228</v>
      </c>
      <c r="E3041" s="32" t="s">
        <v>96</v>
      </c>
      <c r="F3041" s="32" t="s">
        <v>7789</v>
      </c>
      <c r="G3041" s="39" t="s">
        <v>97</v>
      </c>
      <c r="H3041" s="33"/>
      <c r="I3041" s="33"/>
      <c r="J3041" s="33"/>
      <c r="K3041" s="33"/>
      <c r="L3041" s="33"/>
      <c r="M3041" s="33"/>
    </row>
    <row r="3042">
      <c r="A3042" s="32" t="s">
        <v>7790</v>
      </c>
      <c r="B3042" s="32" t="s">
        <v>7791</v>
      </c>
      <c r="C3042" s="35">
        <v>43.58200073</v>
      </c>
      <c r="D3042" s="35">
        <v>-96.74189758</v>
      </c>
      <c r="E3042" s="32" t="s">
        <v>180</v>
      </c>
      <c r="F3042" s="32" t="s">
        <v>7792</v>
      </c>
      <c r="G3042" s="39" t="s">
        <v>181</v>
      </c>
      <c r="H3042" s="33"/>
      <c r="I3042" s="33"/>
      <c r="J3042" s="33"/>
      <c r="K3042" s="33"/>
      <c r="L3042" s="33"/>
      <c r="M3042" s="33"/>
    </row>
    <row r="3043">
      <c r="A3043" s="32" t="s">
        <v>7793</v>
      </c>
      <c r="B3043" s="32" t="s">
        <v>7794</v>
      </c>
      <c r="C3043" s="35">
        <v>34.64979935</v>
      </c>
      <c r="D3043" s="35">
        <v>-98.40219879</v>
      </c>
      <c r="E3043" s="32" t="s">
        <v>180</v>
      </c>
      <c r="F3043" s="32" t="s">
        <v>7795</v>
      </c>
      <c r="G3043" s="39" t="s">
        <v>181</v>
      </c>
      <c r="H3043" s="33"/>
      <c r="I3043" s="33"/>
      <c r="J3043" s="33"/>
      <c r="K3043" s="33"/>
      <c r="L3043" s="33"/>
      <c r="M3043" s="33"/>
    </row>
    <row r="3044">
      <c r="A3044" s="32" t="s">
        <v>7796</v>
      </c>
      <c r="B3044" s="32" t="s">
        <v>7797</v>
      </c>
      <c r="C3044" s="35">
        <v>35.33660126</v>
      </c>
      <c r="D3044" s="35">
        <v>-94.36740112</v>
      </c>
      <c r="E3044" s="32" t="s">
        <v>180</v>
      </c>
      <c r="F3044" s="32" t="s">
        <v>7798</v>
      </c>
      <c r="G3044" s="39" t="s">
        <v>181</v>
      </c>
      <c r="H3044" s="33"/>
      <c r="I3044" s="33"/>
      <c r="J3044" s="33"/>
      <c r="K3044" s="33"/>
      <c r="L3044" s="33"/>
      <c r="M3044" s="33"/>
    </row>
    <row r="3045">
      <c r="A3045" s="32" t="s">
        <v>7799</v>
      </c>
      <c r="B3045" s="32" t="s">
        <v>7800</v>
      </c>
      <c r="C3045" s="35">
        <v>46.76290131</v>
      </c>
      <c r="D3045" s="35">
        <v>-56.17309952</v>
      </c>
      <c r="E3045" s="32" t="s">
        <v>7801</v>
      </c>
      <c r="F3045" s="32" t="s">
        <v>7802</v>
      </c>
      <c r="G3045" s="36" t="e">
        <v>#N/A</v>
      </c>
      <c r="H3045" s="33"/>
      <c r="I3045" s="33"/>
      <c r="J3045" s="33"/>
      <c r="K3045" s="33"/>
      <c r="L3045" s="33"/>
      <c r="M3045" s="33"/>
    </row>
    <row r="3046">
      <c r="A3046" s="32" t="s">
        <v>7803</v>
      </c>
      <c r="B3046" s="32" t="s">
        <v>7804</v>
      </c>
      <c r="C3046" s="35">
        <v>57.6493988</v>
      </c>
      <c r="D3046" s="35">
        <v>-3.560640097</v>
      </c>
      <c r="E3046" s="32" t="s">
        <v>90</v>
      </c>
      <c r="F3046" s="32" t="s">
        <v>7805</v>
      </c>
      <c r="G3046" s="39" t="s">
        <v>91</v>
      </c>
      <c r="H3046" s="33"/>
      <c r="I3046" s="33"/>
      <c r="J3046" s="33"/>
      <c r="K3046" s="33"/>
      <c r="L3046" s="33"/>
      <c r="M3046" s="33"/>
    </row>
    <row r="3047">
      <c r="A3047" s="32" t="s">
        <v>7806</v>
      </c>
      <c r="B3047" s="32" t="s">
        <v>7807</v>
      </c>
      <c r="C3047" s="35">
        <v>30.91570091</v>
      </c>
      <c r="D3047" s="35">
        <v>-102.9160004</v>
      </c>
      <c r="E3047" s="32" t="s">
        <v>180</v>
      </c>
      <c r="F3047" s="32" t="s">
        <v>7808</v>
      </c>
      <c r="G3047" s="39" t="s">
        <v>181</v>
      </c>
      <c r="H3047" s="33"/>
      <c r="I3047" s="33"/>
      <c r="J3047" s="33"/>
      <c r="K3047" s="33"/>
      <c r="L3047" s="33"/>
      <c r="M3047" s="33"/>
    </row>
    <row r="3048">
      <c r="A3048" s="32" t="s">
        <v>7809</v>
      </c>
      <c r="B3048" s="32" t="s">
        <v>7810</v>
      </c>
      <c r="C3048" s="35">
        <v>-19.51639938</v>
      </c>
      <c r="D3048" s="35">
        <v>170.2319946</v>
      </c>
      <c r="E3048" s="32" t="s">
        <v>4279</v>
      </c>
      <c r="F3048" s="32" t="s">
        <v>7811</v>
      </c>
      <c r="G3048" s="36" t="e">
        <v>#N/A</v>
      </c>
      <c r="H3048" s="33"/>
      <c r="I3048" s="33"/>
      <c r="J3048" s="33"/>
      <c r="K3048" s="33"/>
      <c r="L3048" s="33"/>
      <c r="M3048" s="33"/>
    </row>
    <row r="3049">
      <c r="A3049" s="32" t="s">
        <v>7812</v>
      </c>
      <c r="B3049" s="32" t="s">
        <v>7813</v>
      </c>
      <c r="C3049" s="35">
        <v>-50.2803</v>
      </c>
      <c r="D3049" s="35">
        <v>-72.053101</v>
      </c>
      <c r="E3049" s="32" t="s">
        <v>296</v>
      </c>
      <c r="F3049" s="32" t="s">
        <v>7814</v>
      </c>
      <c r="G3049" s="36" t="e">
        <v>#N/A</v>
      </c>
      <c r="H3049" s="33"/>
      <c r="I3049" s="33"/>
      <c r="J3049" s="33"/>
      <c r="K3049" s="33"/>
      <c r="L3049" s="33"/>
      <c r="M3049" s="33"/>
    </row>
    <row r="3050">
      <c r="A3050" s="32" t="s">
        <v>7815</v>
      </c>
      <c r="B3050" s="32" t="s">
        <v>7816</v>
      </c>
      <c r="C3050" s="35">
        <v>39.78530121</v>
      </c>
      <c r="D3050" s="35">
        <v>-104.5429993</v>
      </c>
      <c r="E3050" s="32" t="s">
        <v>180</v>
      </c>
      <c r="F3050" s="32" t="s">
        <v>4035</v>
      </c>
      <c r="G3050" s="39" t="s">
        <v>181</v>
      </c>
      <c r="H3050" s="33"/>
      <c r="I3050" s="33"/>
      <c r="J3050" s="33"/>
      <c r="K3050" s="33"/>
      <c r="L3050" s="33"/>
      <c r="M3050" s="33"/>
    </row>
    <row r="3051">
      <c r="A3051" s="32" t="s">
        <v>7817</v>
      </c>
      <c r="B3051" s="32" t="s">
        <v>7818</v>
      </c>
      <c r="C3051" s="35">
        <v>-14.2172</v>
      </c>
      <c r="D3051" s="35">
        <v>-169.425003</v>
      </c>
      <c r="E3051" s="32" t="s">
        <v>7819</v>
      </c>
      <c r="F3051" s="32" t="s">
        <v>7820</v>
      </c>
      <c r="G3051" s="36" t="e">
        <v>#N/A</v>
      </c>
      <c r="H3051" s="33"/>
      <c r="I3051" s="33"/>
      <c r="J3051" s="33"/>
      <c r="K3051" s="33"/>
      <c r="L3051" s="33"/>
      <c r="M3051" s="33"/>
    </row>
    <row r="3052">
      <c r="A3052" s="32" t="s">
        <v>7821</v>
      </c>
      <c r="B3052" s="32" t="s">
        <v>7822</v>
      </c>
      <c r="C3052" s="35">
        <v>37.90710068</v>
      </c>
      <c r="D3052" s="35">
        <v>-85.9720993</v>
      </c>
      <c r="E3052" s="32" t="s">
        <v>180</v>
      </c>
      <c r="F3052" s="32" t="s">
        <v>7823</v>
      </c>
      <c r="G3052" s="39" t="s">
        <v>181</v>
      </c>
      <c r="H3052" s="33"/>
      <c r="I3052" s="33"/>
      <c r="J3052" s="33"/>
      <c r="K3052" s="33"/>
      <c r="L3052" s="33"/>
      <c r="M3052" s="33"/>
    </row>
    <row r="3053">
      <c r="A3053" s="32" t="s">
        <v>7824</v>
      </c>
      <c r="B3053" s="32" t="s">
        <v>7825</v>
      </c>
      <c r="C3053" s="35">
        <v>-25.03809929</v>
      </c>
      <c r="D3053" s="35">
        <v>46.95610046</v>
      </c>
      <c r="E3053" s="32" t="s">
        <v>384</v>
      </c>
      <c r="F3053" s="32" t="s">
        <v>7826</v>
      </c>
      <c r="G3053" s="36" t="e">
        <v>#N/A</v>
      </c>
      <c r="H3053" s="33"/>
      <c r="I3053" s="33"/>
      <c r="J3053" s="33"/>
      <c r="K3053" s="33"/>
      <c r="L3053" s="33"/>
      <c r="M3053" s="33"/>
    </row>
    <row r="3054">
      <c r="A3054" s="32" t="s">
        <v>7827</v>
      </c>
      <c r="B3054" s="32" t="s">
        <v>7828</v>
      </c>
      <c r="C3054" s="35">
        <v>32.81980133</v>
      </c>
      <c r="D3054" s="35">
        <v>-97.36239624</v>
      </c>
      <c r="E3054" s="32" t="s">
        <v>180</v>
      </c>
      <c r="F3054" s="32" t="s">
        <v>3670</v>
      </c>
      <c r="G3054" s="39" t="s">
        <v>181</v>
      </c>
      <c r="H3054" s="33"/>
      <c r="I3054" s="33"/>
      <c r="J3054" s="33"/>
      <c r="K3054" s="33"/>
      <c r="L3054" s="33"/>
      <c r="M3054" s="33"/>
    </row>
    <row r="3055">
      <c r="A3055" s="32" t="s">
        <v>7829</v>
      </c>
      <c r="B3055" s="32" t="s">
        <v>7830</v>
      </c>
      <c r="C3055" s="35">
        <v>-0.531350017</v>
      </c>
      <c r="D3055" s="35">
        <v>15.95009995</v>
      </c>
      <c r="E3055" s="32" t="s">
        <v>800</v>
      </c>
      <c r="F3055" s="32" t="s">
        <v>7831</v>
      </c>
      <c r="G3055" s="36" t="e">
        <v>#N/A</v>
      </c>
      <c r="H3055" s="33"/>
      <c r="I3055" s="33"/>
      <c r="J3055" s="33"/>
      <c r="K3055" s="33"/>
      <c r="L3055" s="33"/>
      <c r="M3055" s="33"/>
    </row>
    <row r="3056">
      <c r="A3056" s="32" t="s">
        <v>7832</v>
      </c>
      <c r="B3056" s="32" t="s">
        <v>7833</v>
      </c>
      <c r="C3056" s="35">
        <v>33.77909851</v>
      </c>
      <c r="D3056" s="35">
        <v>-84.52140045</v>
      </c>
      <c r="E3056" s="32" t="s">
        <v>180</v>
      </c>
      <c r="F3056" s="32" t="s">
        <v>4222</v>
      </c>
      <c r="G3056" s="39" t="s">
        <v>181</v>
      </c>
      <c r="H3056" s="33"/>
      <c r="I3056" s="33"/>
      <c r="J3056" s="33"/>
      <c r="K3056" s="33"/>
      <c r="L3056" s="33"/>
      <c r="M3056" s="33"/>
    </row>
    <row r="3057">
      <c r="A3057" s="32" t="s">
        <v>7834</v>
      </c>
      <c r="B3057" s="32" t="s">
        <v>7835</v>
      </c>
      <c r="C3057" s="35">
        <v>28.45269966</v>
      </c>
      <c r="D3057" s="35">
        <v>-13.86380005</v>
      </c>
      <c r="E3057" s="32" t="s">
        <v>115</v>
      </c>
      <c r="F3057" s="32" t="s">
        <v>7836</v>
      </c>
      <c r="G3057" s="39" t="s">
        <v>116</v>
      </c>
      <c r="H3057" s="33"/>
      <c r="I3057" s="33"/>
      <c r="J3057" s="33"/>
      <c r="K3057" s="33"/>
      <c r="L3057" s="33"/>
      <c r="M3057" s="33"/>
    </row>
    <row r="3058">
      <c r="A3058" s="32" t="s">
        <v>7837</v>
      </c>
      <c r="B3058" s="32" t="s">
        <v>7838</v>
      </c>
      <c r="C3058" s="35">
        <v>32.882157</v>
      </c>
      <c r="D3058" s="35">
        <v>115.734364</v>
      </c>
      <c r="E3058" s="32" t="s">
        <v>205</v>
      </c>
      <c r="F3058" s="32" t="s">
        <v>7839</v>
      </c>
      <c r="G3058" s="39" t="s">
        <v>206</v>
      </c>
      <c r="H3058" s="33"/>
      <c r="I3058" s="33"/>
      <c r="J3058" s="33"/>
      <c r="K3058" s="33"/>
      <c r="L3058" s="33"/>
      <c r="M3058" s="33"/>
    </row>
    <row r="3059">
      <c r="A3059" s="32" t="s">
        <v>7840</v>
      </c>
      <c r="B3059" s="32" t="s">
        <v>7841</v>
      </c>
      <c r="C3059" s="35">
        <v>32.66630173</v>
      </c>
      <c r="D3059" s="35">
        <v>128.8329926</v>
      </c>
      <c r="E3059" s="32" t="s">
        <v>170</v>
      </c>
      <c r="F3059" s="32" t="s">
        <v>7842</v>
      </c>
      <c r="G3059" s="39" t="s">
        <v>171</v>
      </c>
      <c r="H3059" s="33"/>
      <c r="I3059" s="33"/>
      <c r="J3059" s="33"/>
      <c r="K3059" s="33"/>
      <c r="L3059" s="33"/>
      <c r="M3059" s="33"/>
    </row>
    <row r="3060">
      <c r="A3060" s="32" t="s">
        <v>7843</v>
      </c>
      <c r="B3060" s="32" t="s">
        <v>7844</v>
      </c>
      <c r="C3060" s="35">
        <v>33.58589935</v>
      </c>
      <c r="D3060" s="35">
        <v>130.451004</v>
      </c>
      <c r="E3060" s="32" t="s">
        <v>170</v>
      </c>
      <c r="F3060" s="32" t="s">
        <v>7845</v>
      </c>
      <c r="G3060" s="39" t="s">
        <v>171</v>
      </c>
      <c r="H3060" s="33"/>
      <c r="I3060" s="33"/>
      <c r="J3060" s="33"/>
      <c r="K3060" s="33"/>
      <c r="L3060" s="33"/>
      <c r="M3060" s="33"/>
    </row>
    <row r="3061">
      <c r="A3061" s="32" t="s">
        <v>7846</v>
      </c>
      <c r="B3061" s="32" t="s">
        <v>7847</v>
      </c>
      <c r="C3061" s="35">
        <v>33.87200165</v>
      </c>
      <c r="D3061" s="35">
        <v>-117.9800034</v>
      </c>
      <c r="E3061" s="32" t="s">
        <v>180</v>
      </c>
      <c r="F3061" s="32" t="s">
        <v>7848</v>
      </c>
      <c r="G3061" s="39" t="s">
        <v>181</v>
      </c>
      <c r="H3061" s="33"/>
      <c r="I3061" s="33"/>
      <c r="J3061" s="33"/>
      <c r="K3061" s="33"/>
      <c r="L3061" s="33"/>
      <c r="M3061" s="33"/>
    </row>
    <row r="3062">
      <c r="A3062" s="32" t="s">
        <v>7849</v>
      </c>
      <c r="B3062" s="32" t="s">
        <v>7850</v>
      </c>
      <c r="C3062" s="35">
        <v>-8.525</v>
      </c>
      <c r="D3062" s="35">
        <v>179.195999</v>
      </c>
      <c r="E3062" s="32" t="s">
        <v>7851</v>
      </c>
      <c r="F3062" s="32" t="s">
        <v>7852</v>
      </c>
      <c r="G3062" s="36" t="e">
        <v>#N/A</v>
      </c>
      <c r="H3062" s="33"/>
      <c r="I3062" s="33"/>
      <c r="J3062" s="33"/>
      <c r="K3062" s="33"/>
      <c r="L3062" s="33"/>
      <c r="M3062" s="33"/>
    </row>
    <row r="3063">
      <c r="A3063" s="32" t="s">
        <v>7853</v>
      </c>
      <c r="B3063" s="32" t="s">
        <v>7854</v>
      </c>
      <c r="C3063" s="35">
        <v>-14.31140041</v>
      </c>
      <c r="D3063" s="35">
        <v>-178.0659943</v>
      </c>
      <c r="E3063" s="32" t="s">
        <v>7855</v>
      </c>
      <c r="F3063" s="32" t="s">
        <v>7811</v>
      </c>
      <c r="G3063" s="36" t="e">
        <v>#N/A</v>
      </c>
      <c r="H3063" s="33"/>
      <c r="I3063" s="33"/>
      <c r="J3063" s="33"/>
      <c r="K3063" s="33"/>
      <c r="L3063" s="33"/>
      <c r="M3063" s="33"/>
    </row>
    <row r="3064">
      <c r="A3064" s="32" t="s">
        <v>7856</v>
      </c>
      <c r="B3064" s="32" t="s">
        <v>7857</v>
      </c>
      <c r="C3064" s="35">
        <v>40.97850037</v>
      </c>
      <c r="D3064" s="35">
        <v>-85.19509888</v>
      </c>
      <c r="E3064" s="32" t="s">
        <v>180</v>
      </c>
      <c r="F3064" s="32" t="s">
        <v>7858</v>
      </c>
      <c r="G3064" s="39" t="s">
        <v>181</v>
      </c>
      <c r="H3064" s="33"/>
      <c r="I3064" s="33"/>
      <c r="J3064" s="33"/>
      <c r="K3064" s="33"/>
      <c r="L3064" s="33"/>
      <c r="M3064" s="33"/>
    </row>
    <row r="3065">
      <c r="A3065" s="32" t="s">
        <v>7859</v>
      </c>
      <c r="B3065" s="32" t="s">
        <v>7860</v>
      </c>
      <c r="C3065" s="35">
        <v>26.19729996</v>
      </c>
      <c r="D3065" s="35">
        <v>-80.17070007</v>
      </c>
      <c r="E3065" s="32" t="s">
        <v>180</v>
      </c>
      <c r="F3065" s="32" t="s">
        <v>7654</v>
      </c>
      <c r="G3065" s="39" t="s">
        <v>181</v>
      </c>
      <c r="H3065" s="33"/>
      <c r="I3065" s="33"/>
      <c r="J3065" s="33"/>
      <c r="K3065" s="33"/>
      <c r="L3065" s="33"/>
      <c r="M3065" s="33"/>
    </row>
    <row r="3066">
      <c r="A3066" s="32" t="s">
        <v>7861</v>
      </c>
      <c r="B3066" s="32" t="s">
        <v>7862</v>
      </c>
      <c r="C3066" s="35">
        <v>-14.815</v>
      </c>
      <c r="D3066" s="35">
        <v>36.529999</v>
      </c>
      <c r="E3066" s="32" t="s">
        <v>767</v>
      </c>
      <c r="F3066" s="32" t="s">
        <v>7863</v>
      </c>
      <c r="G3066" s="36" t="e">
        <v>#N/A</v>
      </c>
      <c r="H3066" s="33"/>
      <c r="I3066" s="33"/>
      <c r="J3066" s="33"/>
      <c r="K3066" s="33"/>
      <c r="L3066" s="33"/>
      <c r="M3066" s="33"/>
    </row>
    <row r="3067">
      <c r="A3067" s="32" t="s">
        <v>7864</v>
      </c>
      <c r="B3067" s="32" t="s">
        <v>7865</v>
      </c>
      <c r="C3067" s="35">
        <v>48.199494</v>
      </c>
      <c r="D3067" s="35">
        <v>134.366447</v>
      </c>
      <c r="E3067" s="32" t="s">
        <v>205</v>
      </c>
      <c r="F3067" s="32" t="s">
        <v>7866</v>
      </c>
      <c r="G3067" s="39" t="s">
        <v>206</v>
      </c>
      <c r="H3067" s="33"/>
      <c r="I3067" s="33"/>
      <c r="J3067" s="33"/>
      <c r="K3067" s="33"/>
      <c r="L3067" s="33"/>
      <c r="M3067" s="33"/>
    </row>
    <row r="3068">
      <c r="A3068" s="32" t="s">
        <v>7867</v>
      </c>
      <c r="B3068" s="32" t="s">
        <v>7868</v>
      </c>
      <c r="C3068" s="35">
        <v>17.91710091</v>
      </c>
      <c r="D3068" s="35">
        <v>19.11109924</v>
      </c>
      <c r="E3068" s="32" t="s">
        <v>3634</v>
      </c>
      <c r="F3068" s="32" t="s">
        <v>7869</v>
      </c>
      <c r="G3068" s="36" t="e">
        <v>#N/A</v>
      </c>
      <c r="H3068" s="33"/>
      <c r="I3068" s="33"/>
      <c r="J3068" s="33"/>
      <c r="K3068" s="33"/>
      <c r="L3068" s="33"/>
      <c r="M3068" s="33"/>
    </row>
    <row r="3069">
      <c r="A3069" s="32" t="s">
        <v>7870</v>
      </c>
      <c r="B3069" s="32" t="s">
        <v>7871</v>
      </c>
      <c r="C3069" s="35">
        <v>66.57150269</v>
      </c>
      <c r="D3069" s="35">
        <v>-145.25</v>
      </c>
      <c r="E3069" s="32" t="s">
        <v>180</v>
      </c>
      <c r="F3069" s="32" t="s">
        <v>7872</v>
      </c>
      <c r="G3069" s="39" t="s">
        <v>181</v>
      </c>
      <c r="H3069" s="33"/>
      <c r="I3069" s="33"/>
      <c r="J3069" s="33"/>
      <c r="K3069" s="33"/>
      <c r="L3069" s="33"/>
      <c r="M3069" s="33"/>
    </row>
    <row r="3070">
      <c r="A3070" s="32" t="s">
        <v>7873</v>
      </c>
      <c r="B3070" s="32" t="s">
        <v>7874</v>
      </c>
      <c r="C3070" s="35">
        <v>36.00510025</v>
      </c>
      <c r="D3070" s="35">
        <v>-94.17009735</v>
      </c>
      <c r="E3070" s="32" t="s">
        <v>180</v>
      </c>
      <c r="F3070" s="32" t="s">
        <v>7516</v>
      </c>
      <c r="G3070" s="39" t="s">
        <v>181</v>
      </c>
      <c r="H3070" s="33"/>
      <c r="I3070" s="33"/>
      <c r="J3070" s="33"/>
      <c r="K3070" s="33"/>
      <c r="L3070" s="33"/>
      <c r="M3070" s="33"/>
    </row>
    <row r="3071">
      <c r="A3071" s="32" t="s">
        <v>7875</v>
      </c>
      <c r="B3071" s="32" t="s">
        <v>7876</v>
      </c>
      <c r="C3071" s="35">
        <v>31.68370056</v>
      </c>
      <c r="D3071" s="35">
        <v>-83.27050018</v>
      </c>
      <c r="E3071" s="32" t="s">
        <v>180</v>
      </c>
      <c r="F3071" s="32" t="s">
        <v>7877</v>
      </c>
      <c r="G3071" s="39" t="s">
        <v>181</v>
      </c>
      <c r="H3071" s="33"/>
      <c r="I3071" s="33"/>
      <c r="J3071" s="33"/>
      <c r="K3071" s="33"/>
      <c r="L3071" s="33"/>
      <c r="M3071" s="33"/>
    </row>
    <row r="3072">
      <c r="A3072" s="32" t="s">
        <v>7878</v>
      </c>
      <c r="B3072" s="32" t="s">
        <v>7879</v>
      </c>
      <c r="C3072" s="35">
        <v>41.19079971</v>
      </c>
      <c r="D3072" s="35">
        <v>-83.39450073</v>
      </c>
      <c r="E3072" s="32" t="s">
        <v>180</v>
      </c>
      <c r="F3072" s="32" t="s">
        <v>7880</v>
      </c>
      <c r="G3072" s="39" t="s">
        <v>181</v>
      </c>
      <c r="H3072" s="33"/>
      <c r="I3072" s="33"/>
      <c r="J3072" s="33"/>
      <c r="K3072" s="33"/>
      <c r="L3072" s="33"/>
      <c r="M3072" s="33"/>
    </row>
    <row r="3073">
      <c r="A3073" s="32" t="s">
        <v>7881</v>
      </c>
      <c r="B3073" s="32" t="s">
        <v>7882</v>
      </c>
      <c r="C3073" s="35">
        <v>51.51940155</v>
      </c>
      <c r="D3073" s="35">
        <v>-2.590830088</v>
      </c>
      <c r="E3073" s="32" t="s">
        <v>90</v>
      </c>
      <c r="F3073" s="32" t="s">
        <v>5192</v>
      </c>
      <c r="G3073" s="39" t="s">
        <v>91</v>
      </c>
      <c r="H3073" s="33"/>
      <c r="I3073" s="33"/>
      <c r="J3073" s="33"/>
      <c r="K3073" s="33"/>
      <c r="L3073" s="33"/>
      <c r="M3073" s="33"/>
    </row>
    <row r="3074">
      <c r="A3074" s="32" t="s">
        <v>7883</v>
      </c>
      <c r="B3074" s="32" t="s">
        <v>7884</v>
      </c>
      <c r="C3074" s="35">
        <v>33.972599</v>
      </c>
      <c r="D3074" s="35">
        <v>-86.088996</v>
      </c>
      <c r="E3074" s="32" t="s">
        <v>180</v>
      </c>
      <c r="F3074" s="32" t="s">
        <v>7885</v>
      </c>
      <c r="G3074" s="39" t="s">
        <v>181</v>
      </c>
      <c r="H3074" s="33"/>
      <c r="I3074" s="33"/>
      <c r="J3074" s="33"/>
      <c r="K3074" s="33"/>
      <c r="L3074" s="33"/>
      <c r="M3074" s="33"/>
    </row>
    <row r="3075">
      <c r="A3075" s="32" t="s">
        <v>7886</v>
      </c>
      <c r="B3075" s="32" t="s">
        <v>7887</v>
      </c>
      <c r="C3075" s="35">
        <v>33.87689972</v>
      </c>
      <c r="D3075" s="35">
        <v>10.10330009</v>
      </c>
      <c r="E3075" s="32" t="s">
        <v>22</v>
      </c>
      <c r="F3075" s="32" t="s">
        <v>7888</v>
      </c>
      <c r="G3075" s="36" t="e">
        <v>#N/A</v>
      </c>
      <c r="H3075" s="33"/>
      <c r="I3075" s="33"/>
      <c r="J3075" s="33"/>
      <c r="K3075" s="33"/>
      <c r="L3075" s="33"/>
      <c r="M3075" s="33"/>
    </row>
    <row r="3076">
      <c r="A3076" s="32" t="s">
        <v>7889</v>
      </c>
      <c r="B3076" s="32" t="s">
        <v>7890</v>
      </c>
      <c r="C3076" s="35">
        <v>34.42200089</v>
      </c>
      <c r="D3076" s="35">
        <v>8.822500229</v>
      </c>
      <c r="E3076" s="32" t="s">
        <v>22</v>
      </c>
      <c r="F3076" s="32" t="s">
        <v>7891</v>
      </c>
      <c r="G3076" s="36" t="e">
        <v>#N/A</v>
      </c>
      <c r="H3076" s="33"/>
      <c r="I3076" s="33"/>
      <c r="J3076" s="33"/>
      <c r="K3076" s="33"/>
      <c r="L3076" s="33"/>
      <c r="M3076" s="33"/>
    </row>
    <row r="3077">
      <c r="A3077" s="32" t="s">
        <v>7892</v>
      </c>
      <c r="B3077" s="32" t="s">
        <v>7893</v>
      </c>
      <c r="C3077" s="35">
        <v>-25.61440086</v>
      </c>
      <c r="D3077" s="35">
        <v>151.6190033</v>
      </c>
      <c r="E3077" s="32" t="s">
        <v>1968</v>
      </c>
      <c r="F3077" s="32" t="s">
        <v>7894</v>
      </c>
      <c r="G3077" s="36" t="e">
        <v>#N/A</v>
      </c>
      <c r="H3077" s="33"/>
      <c r="I3077" s="33"/>
      <c r="J3077" s="33"/>
      <c r="K3077" s="33"/>
      <c r="L3077" s="33"/>
      <c r="M3077" s="33"/>
    </row>
    <row r="3078">
      <c r="A3078" s="32" t="s">
        <v>7895</v>
      </c>
      <c r="B3078" s="32" t="s">
        <v>7896</v>
      </c>
      <c r="C3078" s="35">
        <v>39.16830063</v>
      </c>
      <c r="D3078" s="35">
        <v>-77.16600037</v>
      </c>
      <c r="E3078" s="32" t="s">
        <v>180</v>
      </c>
      <c r="F3078" s="32" t="s">
        <v>7897</v>
      </c>
      <c r="G3078" s="39" t="s">
        <v>181</v>
      </c>
      <c r="H3078" s="33"/>
      <c r="I3078" s="33"/>
      <c r="J3078" s="33"/>
      <c r="K3078" s="33"/>
      <c r="L3078" s="33"/>
      <c r="M3078" s="33"/>
    </row>
    <row r="3079">
      <c r="A3079" s="32" t="s">
        <v>7898</v>
      </c>
      <c r="B3079" s="32" t="s">
        <v>7899</v>
      </c>
      <c r="C3079" s="35">
        <v>38.41189957</v>
      </c>
      <c r="D3079" s="35">
        <v>140.3710022</v>
      </c>
      <c r="E3079" s="32" t="s">
        <v>170</v>
      </c>
      <c r="F3079" s="32" t="s">
        <v>7900</v>
      </c>
      <c r="G3079" s="39" t="s">
        <v>171</v>
      </c>
      <c r="H3079" s="33"/>
      <c r="I3079" s="33"/>
      <c r="J3079" s="33"/>
      <c r="K3079" s="33"/>
      <c r="L3079" s="33"/>
      <c r="M3079" s="33"/>
    </row>
    <row r="3080">
      <c r="A3080" s="32" t="s">
        <v>7901</v>
      </c>
      <c r="B3080" s="32" t="s">
        <v>7902</v>
      </c>
      <c r="C3080" s="35">
        <v>64.73619843</v>
      </c>
      <c r="D3080" s="35">
        <v>-156.9369965</v>
      </c>
      <c r="E3080" s="32" t="s">
        <v>180</v>
      </c>
      <c r="F3080" s="32" t="s">
        <v>7903</v>
      </c>
      <c r="G3080" s="39" t="s">
        <v>181</v>
      </c>
      <c r="H3080" s="33"/>
      <c r="I3080" s="33"/>
      <c r="J3080" s="33"/>
      <c r="K3080" s="33"/>
      <c r="L3080" s="33"/>
      <c r="M3080" s="33"/>
    </row>
    <row r="3081">
      <c r="A3081" s="32" t="s">
        <v>7904</v>
      </c>
      <c r="B3081" s="32" t="s">
        <v>7905</v>
      </c>
      <c r="C3081" s="35">
        <v>63.76679993</v>
      </c>
      <c r="D3081" s="35">
        <v>-171.7330017</v>
      </c>
      <c r="E3081" s="32" t="s">
        <v>180</v>
      </c>
      <c r="F3081" s="32" t="s">
        <v>7906</v>
      </c>
      <c r="G3081" s="39" t="s">
        <v>181</v>
      </c>
      <c r="H3081" s="33"/>
      <c r="I3081" s="33"/>
      <c r="J3081" s="33"/>
      <c r="K3081" s="33"/>
      <c r="L3081" s="33"/>
      <c r="M3081" s="33"/>
    </row>
    <row r="3082">
      <c r="A3082" s="32" t="s">
        <v>7907</v>
      </c>
      <c r="B3082" s="32" t="s">
        <v>7908</v>
      </c>
      <c r="C3082" s="35">
        <v>-0.69334197</v>
      </c>
      <c r="D3082" s="35">
        <v>73.1556015</v>
      </c>
      <c r="E3082" s="32" t="s">
        <v>6888</v>
      </c>
      <c r="F3082" s="32" t="s">
        <v>7909</v>
      </c>
      <c r="G3082" s="36" t="e">
        <v>#N/A</v>
      </c>
      <c r="H3082" s="33"/>
      <c r="I3082" s="33"/>
      <c r="J3082" s="33"/>
      <c r="K3082" s="33"/>
      <c r="L3082" s="33"/>
      <c r="M3082" s="33"/>
    </row>
    <row r="3083">
      <c r="A3083" s="32" t="s">
        <v>7910</v>
      </c>
      <c r="B3083" s="32" t="s">
        <v>7911</v>
      </c>
      <c r="C3083" s="35">
        <v>20.08530045</v>
      </c>
      <c r="D3083" s="35">
        <v>-75.15830231</v>
      </c>
      <c r="E3083" s="32" t="s">
        <v>1294</v>
      </c>
      <c r="F3083" s="32" t="s">
        <v>1297</v>
      </c>
      <c r="G3083" s="36" t="e">
        <v>#N/A</v>
      </c>
      <c r="H3083" s="33"/>
      <c r="I3083" s="33"/>
      <c r="J3083" s="33"/>
      <c r="K3083" s="33"/>
      <c r="L3083" s="33"/>
      <c r="M3083" s="33"/>
    </row>
    <row r="3084">
      <c r="A3084" s="32" t="s">
        <v>7912</v>
      </c>
      <c r="B3084" s="32" t="s">
        <v>7913</v>
      </c>
      <c r="C3084" s="35">
        <v>16.24839973</v>
      </c>
      <c r="D3084" s="35">
        <v>-0.005456</v>
      </c>
      <c r="E3084" s="32" t="s">
        <v>807</v>
      </c>
      <c r="F3084" s="32" t="s">
        <v>7914</v>
      </c>
      <c r="G3084" s="36" t="e">
        <v>#N/A</v>
      </c>
      <c r="H3084" s="33"/>
      <c r="I3084" s="33"/>
      <c r="J3084" s="33"/>
      <c r="K3084" s="33"/>
      <c r="L3084" s="33"/>
      <c r="M3084" s="33"/>
    </row>
    <row r="3085">
      <c r="A3085" s="32" t="s">
        <v>7915</v>
      </c>
      <c r="B3085" s="32" t="s">
        <v>7916</v>
      </c>
      <c r="C3085" s="35">
        <v>-0.46350801</v>
      </c>
      <c r="D3085" s="35">
        <v>39.64830017</v>
      </c>
      <c r="E3085" s="32" t="s">
        <v>21</v>
      </c>
      <c r="F3085" s="32" t="s">
        <v>7917</v>
      </c>
      <c r="G3085" s="36" t="e">
        <v>#N/A</v>
      </c>
      <c r="H3085" s="33"/>
      <c r="I3085" s="33"/>
      <c r="J3085" s="33"/>
      <c r="K3085" s="33"/>
      <c r="L3085" s="33"/>
      <c r="M3085" s="33"/>
    </row>
    <row r="3086">
      <c r="A3086" s="32" t="s">
        <v>7918</v>
      </c>
      <c r="B3086" s="32" t="s">
        <v>7919</v>
      </c>
      <c r="C3086" s="35">
        <v>26.10610008</v>
      </c>
      <c r="D3086" s="35">
        <v>91.58589935</v>
      </c>
      <c r="E3086" s="32" t="s">
        <v>217</v>
      </c>
      <c r="F3086" s="32" t="s">
        <v>7920</v>
      </c>
      <c r="G3086" s="39" t="s">
        <v>218</v>
      </c>
      <c r="H3086" s="33"/>
      <c r="I3086" s="33"/>
      <c r="J3086" s="33"/>
      <c r="K3086" s="33"/>
      <c r="L3086" s="33"/>
      <c r="M3086" s="33"/>
    </row>
    <row r="3087">
      <c r="A3087" s="32" t="s">
        <v>7921</v>
      </c>
      <c r="B3087" s="32" t="s">
        <v>7922</v>
      </c>
      <c r="C3087" s="35">
        <v>24.74430084</v>
      </c>
      <c r="D3087" s="35">
        <v>84.95120239</v>
      </c>
      <c r="E3087" s="32" t="s">
        <v>217</v>
      </c>
      <c r="F3087" s="32" t="s">
        <v>7923</v>
      </c>
      <c r="G3087" s="39" t="s">
        <v>218</v>
      </c>
      <c r="H3087" s="33"/>
      <c r="I3087" s="33"/>
      <c r="J3087" s="33"/>
      <c r="K3087" s="33"/>
      <c r="L3087" s="33"/>
      <c r="M3087" s="33"/>
    </row>
    <row r="3088">
      <c r="A3088" s="32" t="s">
        <v>7924</v>
      </c>
      <c r="B3088" s="32" t="s">
        <v>7925</v>
      </c>
      <c r="C3088" s="35">
        <v>40.826667</v>
      </c>
      <c r="D3088" s="35">
        <v>47.7125</v>
      </c>
      <c r="E3088" s="32" t="s">
        <v>2259</v>
      </c>
      <c r="F3088" s="32" t="s">
        <v>7926</v>
      </c>
      <c r="G3088" s="36" t="e">
        <v>#N/A</v>
      </c>
      <c r="H3088" s="33"/>
      <c r="I3088" s="33"/>
      <c r="J3088" s="33"/>
      <c r="K3088" s="33"/>
      <c r="L3088" s="33"/>
      <c r="M3088" s="33"/>
    </row>
    <row r="3089">
      <c r="A3089" s="32" t="s">
        <v>7927</v>
      </c>
      <c r="B3089" s="32" t="s">
        <v>7928</v>
      </c>
      <c r="C3089" s="35">
        <v>-24.55520058</v>
      </c>
      <c r="D3089" s="35">
        <v>25.91819954</v>
      </c>
      <c r="E3089" s="32" t="s">
        <v>2285</v>
      </c>
      <c r="F3089" s="32" t="s">
        <v>7929</v>
      </c>
      <c r="G3089" s="36" t="e">
        <v>#N/A</v>
      </c>
      <c r="H3089" s="33"/>
      <c r="I3089" s="33"/>
      <c r="J3089" s="33"/>
      <c r="K3089" s="33"/>
      <c r="L3089" s="33"/>
      <c r="M3089" s="33"/>
    </row>
    <row r="3090">
      <c r="A3090" s="32" t="s">
        <v>7930</v>
      </c>
      <c r="B3090" s="32" t="s">
        <v>7931</v>
      </c>
      <c r="C3090" s="35">
        <v>40.93799973</v>
      </c>
      <c r="D3090" s="35">
        <v>-90.43109894</v>
      </c>
      <c r="E3090" s="32" t="s">
        <v>180</v>
      </c>
      <c r="F3090" s="32" t="s">
        <v>7932</v>
      </c>
      <c r="G3090" s="39" t="s">
        <v>181</v>
      </c>
      <c r="H3090" s="33"/>
      <c r="I3090" s="33"/>
      <c r="J3090" s="33"/>
      <c r="K3090" s="33"/>
      <c r="L3090" s="33"/>
      <c r="M3090" s="33"/>
    </row>
    <row r="3091">
      <c r="A3091" s="32" t="s">
        <v>7933</v>
      </c>
      <c r="B3091" s="32" t="s">
        <v>7934</v>
      </c>
      <c r="C3091" s="35">
        <v>15.86870003</v>
      </c>
      <c r="D3091" s="35">
        <v>-61.27000046</v>
      </c>
      <c r="E3091" s="32" t="s">
        <v>4470</v>
      </c>
      <c r="F3091" s="32" t="s">
        <v>7935</v>
      </c>
      <c r="G3091" s="36" t="e">
        <v>#N/A</v>
      </c>
      <c r="H3091" s="33"/>
      <c r="I3091" s="33"/>
      <c r="J3091" s="33"/>
      <c r="K3091" s="33"/>
      <c r="L3091" s="33"/>
      <c r="M3091" s="33"/>
    </row>
    <row r="3092">
      <c r="A3092" s="32" t="s">
        <v>7936</v>
      </c>
      <c r="B3092" s="32" t="s">
        <v>7937</v>
      </c>
      <c r="C3092" s="35">
        <v>7.767000198</v>
      </c>
      <c r="D3092" s="35">
        <v>-12.38300037</v>
      </c>
      <c r="E3092" s="32" t="s">
        <v>5250</v>
      </c>
      <c r="F3092" s="32" t="s">
        <v>7938</v>
      </c>
      <c r="G3092" s="36" t="e">
        <v>#N/A</v>
      </c>
      <c r="H3092" s="33"/>
      <c r="I3092" s="33"/>
      <c r="J3092" s="33"/>
      <c r="K3092" s="33"/>
      <c r="L3092" s="33"/>
      <c r="M3092" s="33"/>
    </row>
    <row r="3093">
      <c r="A3093" s="32" t="s">
        <v>7939</v>
      </c>
      <c r="B3093" s="32" t="s">
        <v>7940</v>
      </c>
      <c r="C3093" s="35">
        <v>38.34429932</v>
      </c>
      <c r="D3093" s="35">
        <v>-98.85919952</v>
      </c>
      <c r="E3093" s="32" t="s">
        <v>180</v>
      </c>
      <c r="F3093" s="32" t="s">
        <v>7941</v>
      </c>
      <c r="G3093" s="39" t="s">
        <v>181</v>
      </c>
      <c r="H3093" s="33"/>
      <c r="I3093" s="33"/>
      <c r="J3093" s="33"/>
      <c r="K3093" s="33"/>
      <c r="L3093" s="33"/>
      <c r="M3093" s="33"/>
    </row>
    <row r="3094">
      <c r="A3094" s="32" t="s">
        <v>7942</v>
      </c>
      <c r="B3094" s="32" t="s">
        <v>7943</v>
      </c>
      <c r="C3094" s="35">
        <v>36.90940094</v>
      </c>
      <c r="D3094" s="35">
        <v>54.40129852</v>
      </c>
      <c r="E3094" s="32" t="s">
        <v>1378</v>
      </c>
      <c r="F3094" s="32" t="s">
        <v>7944</v>
      </c>
      <c r="G3094" s="36" t="e">
        <v>#N/A</v>
      </c>
      <c r="H3094" s="33"/>
      <c r="I3094" s="33"/>
      <c r="J3094" s="33"/>
      <c r="K3094" s="33"/>
      <c r="L3094" s="33"/>
      <c r="M3094" s="33"/>
    </row>
    <row r="3095">
      <c r="A3095" s="32" t="s">
        <v>7945</v>
      </c>
      <c r="B3095" s="32" t="s">
        <v>7946</v>
      </c>
      <c r="C3095" s="35">
        <v>-36.24140167</v>
      </c>
      <c r="D3095" s="35">
        <v>175.4720001</v>
      </c>
      <c r="E3095" s="32" t="s">
        <v>1328</v>
      </c>
      <c r="F3095" s="32" t="s">
        <v>7947</v>
      </c>
      <c r="G3095" s="36" t="e">
        <v>#N/A</v>
      </c>
      <c r="H3095" s="33"/>
      <c r="I3095" s="33"/>
      <c r="J3095" s="33"/>
      <c r="K3095" s="33"/>
      <c r="L3095" s="33"/>
      <c r="M3095" s="33"/>
    </row>
    <row r="3096">
      <c r="A3096" s="32" t="s">
        <v>7948</v>
      </c>
      <c r="B3096" s="32" t="s">
        <v>7949</v>
      </c>
      <c r="C3096" s="35">
        <v>44.34889984</v>
      </c>
      <c r="D3096" s="35">
        <v>-105.5390015</v>
      </c>
      <c r="E3096" s="32" t="s">
        <v>180</v>
      </c>
      <c r="F3096" s="32" t="s">
        <v>7950</v>
      </c>
      <c r="G3096" s="39" t="s">
        <v>181</v>
      </c>
      <c r="H3096" s="33"/>
      <c r="I3096" s="33"/>
      <c r="J3096" s="33"/>
      <c r="K3096" s="33"/>
      <c r="L3096" s="33"/>
      <c r="M3096" s="33"/>
    </row>
    <row r="3097">
      <c r="A3097" s="32" t="s">
        <v>7951</v>
      </c>
      <c r="B3097" s="32" t="s">
        <v>7952</v>
      </c>
      <c r="C3097" s="35">
        <v>49.43500137</v>
      </c>
      <c r="D3097" s="35">
        <v>-2.601969957</v>
      </c>
      <c r="E3097" s="32" t="s">
        <v>3547</v>
      </c>
      <c r="F3097" s="32" t="s">
        <v>3547</v>
      </c>
      <c r="G3097" s="36" t="e">
        <v>#N/A</v>
      </c>
      <c r="H3097" s="33"/>
      <c r="I3097" s="33"/>
      <c r="J3097" s="33"/>
      <c r="K3097" s="33"/>
      <c r="L3097" s="33"/>
      <c r="M3097" s="33"/>
    </row>
    <row r="3098">
      <c r="A3098" s="32" t="s">
        <v>7953</v>
      </c>
      <c r="B3098" s="32" t="s">
        <v>7954</v>
      </c>
      <c r="C3098" s="35">
        <v>-25.98629951</v>
      </c>
      <c r="D3098" s="35">
        <v>28.14010048</v>
      </c>
      <c r="E3098" s="32" t="s">
        <v>16</v>
      </c>
      <c r="F3098" s="32" t="s">
        <v>7955</v>
      </c>
      <c r="G3098" s="36" t="e">
        <v>#N/A</v>
      </c>
      <c r="H3098" s="33"/>
      <c r="I3098" s="33"/>
      <c r="J3098" s="33"/>
      <c r="K3098" s="33"/>
      <c r="L3098" s="33"/>
      <c r="M3098" s="33"/>
    </row>
    <row r="3099">
      <c r="A3099" s="32" t="s">
        <v>7956</v>
      </c>
      <c r="B3099" s="32" t="s">
        <v>7957</v>
      </c>
      <c r="C3099" s="35">
        <v>37.92750168</v>
      </c>
      <c r="D3099" s="35">
        <v>-100.723999</v>
      </c>
      <c r="E3099" s="32" t="s">
        <v>180</v>
      </c>
      <c r="F3099" s="32" t="s">
        <v>7958</v>
      </c>
      <c r="G3099" s="39" t="s">
        <v>181</v>
      </c>
      <c r="H3099" s="33"/>
      <c r="I3099" s="33"/>
      <c r="J3099" s="33"/>
      <c r="K3099" s="33"/>
      <c r="L3099" s="33"/>
      <c r="M3099" s="33"/>
    </row>
    <row r="3100">
      <c r="A3100" s="32" t="s">
        <v>7959</v>
      </c>
      <c r="B3100" s="32" t="s">
        <v>7960</v>
      </c>
      <c r="C3100" s="35">
        <v>19.2928009</v>
      </c>
      <c r="D3100" s="35">
        <v>-81.35769653</v>
      </c>
      <c r="E3100" s="32" t="s">
        <v>6442</v>
      </c>
      <c r="F3100" s="32" t="s">
        <v>2120</v>
      </c>
      <c r="G3100" s="36" t="e">
        <v>#N/A</v>
      </c>
      <c r="H3100" s="33"/>
      <c r="I3100" s="33"/>
      <c r="J3100" s="33"/>
      <c r="K3100" s="33"/>
      <c r="L3100" s="33"/>
      <c r="M3100" s="33"/>
    </row>
    <row r="3101">
      <c r="A3101" s="32" t="s">
        <v>7961</v>
      </c>
      <c r="B3101" s="32" t="s">
        <v>7962</v>
      </c>
      <c r="C3101" s="35">
        <v>35.95240021</v>
      </c>
      <c r="D3101" s="35">
        <v>-112.1470032</v>
      </c>
      <c r="E3101" s="32" t="s">
        <v>180</v>
      </c>
      <c r="F3101" s="32" t="s">
        <v>7963</v>
      </c>
      <c r="G3101" s="39" t="s">
        <v>181</v>
      </c>
      <c r="H3101" s="33"/>
      <c r="I3101" s="33"/>
      <c r="J3101" s="33"/>
      <c r="K3101" s="33"/>
      <c r="L3101" s="33"/>
      <c r="M3101" s="33"/>
    </row>
    <row r="3102">
      <c r="A3102" s="32" t="s">
        <v>7964</v>
      </c>
      <c r="B3102" s="32" t="s">
        <v>7965</v>
      </c>
      <c r="C3102" s="35">
        <v>5.935130119</v>
      </c>
      <c r="D3102" s="35">
        <v>43.57860184</v>
      </c>
      <c r="E3102" s="32" t="s">
        <v>18</v>
      </c>
      <c r="F3102" s="32" t="s">
        <v>7966</v>
      </c>
      <c r="G3102" s="36" t="e">
        <v>#N/A</v>
      </c>
      <c r="H3102" s="33"/>
      <c r="I3102" s="33"/>
      <c r="J3102" s="33"/>
      <c r="K3102" s="33"/>
      <c r="L3102" s="33"/>
      <c r="M3102" s="33"/>
    </row>
    <row r="3103">
      <c r="A3103" s="32" t="s">
        <v>7967</v>
      </c>
      <c r="B3103" s="32" t="s">
        <v>7968</v>
      </c>
      <c r="C3103" s="35">
        <v>20.52179909</v>
      </c>
      <c r="D3103" s="35">
        <v>-103.310997</v>
      </c>
      <c r="E3103" s="32" t="s">
        <v>186</v>
      </c>
      <c r="F3103" s="32" t="s">
        <v>7969</v>
      </c>
      <c r="G3103" s="39" t="s">
        <v>187</v>
      </c>
      <c r="H3103" s="33"/>
      <c r="I3103" s="33"/>
      <c r="J3103" s="33"/>
      <c r="K3103" s="33"/>
      <c r="L3103" s="33"/>
      <c r="M3103" s="33"/>
    </row>
    <row r="3104">
      <c r="A3104" s="32" t="s">
        <v>7970</v>
      </c>
      <c r="B3104" s="32" t="s">
        <v>7971</v>
      </c>
      <c r="C3104" s="35">
        <v>54.37760162</v>
      </c>
      <c r="D3104" s="35">
        <v>18.46619987</v>
      </c>
      <c r="E3104" s="32" t="s">
        <v>192</v>
      </c>
      <c r="F3104" s="32" t="s">
        <v>7972</v>
      </c>
      <c r="G3104" s="39" t="s">
        <v>193</v>
      </c>
      <c r="H3104" s="33"/>
      <c r="I3104" s="33"/>
      <c r="J3104" s="33"/>
      <c r="K3104" s="33"/>
      <c r="L3104" s="33"/>
      <c r="M3104" s="33"/>
    </row>
    <row r="3105">
      <c r="A3105" s="32" t="s">
        <v>7973</v>
      </c>
      <c r="B3105" s="32" t="s">
        <v>7974</v>
      </c>
      <c r="C3105" s="35">
        <v>12.51990032</v>
      </c>
      <c r="D3105" s="35">
        <v>37.43399811</v>
      </c>
      <c r="E3105" s="32" t="s">
        <v>18</v>
      </c>
      <c r="F3105" s="32" t="s">
        <v>7975</v>
      </c>
      <c r="G3105" s="36" t="e">
        <v>#N/A</v>
      </c>
      <c r="H3105" s="33"/>
      <c r="I3105" s="33"/>
      <c r="J3105" s="33"/>
      <c r="K3105" s="33"/>
      <c r="L3105" s="33"/>
      <c r="M3105" s="33"/>
    </row>
    <row r="3106">
      <c r="A3106" s="32" t="s">
        <v>7976</v>
      </c>
      <c r="B3106" s="32" t="s">
        <v>7977</v>
      </c>
      <c r="C3106" s="35">
        <v>21.44449997</v>
      </c>
      <c r="D3106" s="35">
        <v>-71.14230347</v>
      </c>
      <c r="E3106" s="32" t="s">
        <v>7978</v>
      </c>
      <c r="F3106" s="32" t="s">
        <v>7979</v>
      </c>
      <c r="G3106" s="36" t="e">
        <v>#N/A</v>
      </c>
      <c r="H3106" s="33"/>
      <c r="I3106" s="33"/>
      <c r="J3106" s="33"/>
      <c r="K3106" s="33"/>
      <c r="L3106" s="33"/>
      <c r="M3106" s="33"/>
    </row>
    <row r="3107">
      <c r="A3107" s="32" t="s">
        <v>7980</v>
      </c>
      <c r="B3107" s="32" t="s">
        <v>7981</v>
      </c>
      <c r="C3107" s="35">
        <v>47.13869858</v>
      </c>
      <c r="D3107" s="35">
        <v>-104.8069992</v>
      </c>
      <c r="E3107" s="32" t="s">
        <v>180</v>
      </c>
      <c r="F3107" s="32" t="s">
        <v>7982</v>
      </c>
      <c r="G3107" s="39" t="s">
        <v>181</v>
      </c>
      <c r="H3107" s="33"/>
      <c r="I3107" s="33"/>
      <c r="J3107" s="33"/>
      <c r="K3107" s="33"/>
      <c r="L3107" s="33"/>
      <c r="M3107" s="33"/>
    </row>
    <row r="3108">
      <c r="A3108" s="32" t="s">
        <v>7983</v>
      </c>
      <c r="B3108" s="32" t="s">
        <v>7984</v>
      </c>
      <c r="C3108" s="35">
        <v>43.97060013</v>
      </c>
      <c r="D3108" s="35">
        <v>-84.47499847</v>
      </c>
      <c r="E3108" s="32" t="s">
        <v>180</v>
      </c>
      <c r="F3108" s="32" t="s">
        <v>7985</v>
      </c>
      <c r="G3108" s="39" t="s">
        <v>181</v>
      </c>
      <c r="H3108" s="33"/>
      <c r="I3108" s="33"/>
      <c r="J3108" s="33"/>
      <c r="K3108" s="33"/>
      <c r="L3108" s="33"/>
      <c r="M3108" s="33"/>
    </row>
    <row r="3109">
      <c r="A3109" s="32" t="s">
        <v>7986</v>
      </c>
      <c r="B3109" s="32" t="s">
        <v>7987</v>
      </c>
      <c r="C3109" s="35">
        <v>59.9109993</v>
      </c>
      <c r="D3109" s="35">
        <v>150.7200012</v>
      </c>
      <c r="E3109" s="32" t="s">
        <v>2040</v>
      </c>
      <c r="F3109" s="32" t="s">
        <v>3287</v>
      </c>
      <c r="G3109" s="36" t="e">
        <v>#N/A</v>
      </c>
      <c r="H3109" s="33"/>
      <c r="I3109" s="33"/>
      <c r="J3109" s="33"/>
      <c r="K3109" s="33"/>
      <c r="L3109" s="33"/>
      <c r="M3109" s="33"/>
    </row>
    <row r="3110">
      <c r="A3110" s="32" t="s">
        <v>7988</v>
      </c>
      <c r="B3110" s="32" t="s">
        <v>7989</v>
      </c>
      <c r="C3110" s="35">
        <v>44.58209263</v>
      </c>
      <c r="D3110" s="35">
        <v>38.01248074</v>
      </c>
      <c r="E3110" s="32" t="s">
        <v>2040</v>
      </c>
      <c r="F3110" s="32" t="s">
        <v>7990</v>
      </c>
      <c r="G3110" s="36" t="e">
        <v>#N/A</v>
      </c>
      <c r="H3110" s="33"/>
      <c r="I3110" s="33"/>
      <c r="J3110" s="33"/>
      <c r="K3110" s="33"/>
      <c r="L3110" s="33"/>
      <c r="M3110" s="33"/>
    </row>
    <row r="3111">
      <c r="A3111" s="32" t="s">
        <v>7991</v>
      </c>
      <c r="B3111" s="32" t="s">
        <v>7992</v>
      </c>
      <c r="C3111" s="35">
        <v>-22.25830078</v>
      </c>
      <c r="D3111" s="35">
        <v>166.4730072</v>
      </c>
      <c r="E3111" s="32" t="s">
        <v>5002</v>
      </c>
      <c r="F3111" s="32" t="s">
        <v>7993</v>
      </c>
      <c r="G3111" s="36" t="e">
        <v>#N/A</v>
      </c>
      <c r="H3111" s="33"/>
      <c r="I3111" s="33"/>
      <c r="J3111" s="33"/>
      <c r="K3111" s="33"/>
      <c r="L3111" s="33"/>
      <c r="M3111" s="33"/>
    </row>
    <row r="3112">
      <c r="A3112" s="32" t="s">
        <v>7994</v>
      </c>
      <c r="B3112" s="32" t="s">
        <v>7995</v>
      </c>
      <c r="C3112" s="35">
        <v>38.68920135</v>
      </c>
      <c r="D3112" s="35">
        <v>-75.35890198</v>
      </c>
      <c r="E3112" s="32" t="s">
        <v>180</v>
      </c>
      <c r="F3112" s="32" t="s">
        <v>2120</v>
      </c>
      <c r="G3112" s="39" t="s">
        <v>181</v>
      </c>
      <c r="H3112" s="33"/>
      <c r="I3112" s="33"/>
      <c r="J3112" s="33"/>
      <c r="K3112" s="33"/>
      <c r="L3112" s="33"/>
      <c r="M3112" s="33"/>
    </row>
    <row r="3113">
      <c r="A3113" s="32" t="s">
        <v>7996</v>
      </c>
      <c r="B3113" s="32" t="s">
        <v>7997</v>
      </c>
      <c r="C3113" s="35">
        <v>47.61989975</v>
      </c>
      <c r="D3113" s="35">
        <v>-117.5339966</v>
      </c>
      <c r="E3113" s="32" t="s">
        <v>180</v>
      </c>
      <c r="F3113" s="32" t="s">
        <v>7998</v>
      </c>
      <c r="G3113" s="39" t="s">
        <v>181</v>
      </c>
      <c r="H3113" s="33"/>
      <c r="I3113" s="33"/>
      <c r="J3113" s="33"/>
      <c r="K3113" s="33"/>
      <c r="L3113" s="33"/>
      <c r="M3113" s="33"/>
    </row>
    <row r="3114">
      <c r="A3114" s="32" t="s">
        <v>7999</v>
      </c>
      <c r="B3114" s="32" t="s">
        <v>8000</v>
      </c>
      <c r="C3114" s="35">
        <v>-28.28170013</v>
      </c>
      <c r="D3114" s="35">
        <v>-54.16910172</v>
      </c>
      <c r="E3114" s="32" t="s">
        <v>288</v>
      </c>
      <c r="F3114" s="32" t="s">
        <v>8001</v>
      </c>
      <c r="G3114" s="36" t="e">
        <v>#N/A</v>
      </c>
      <c r="H3114" s="33"/>
      <c r="I3114" s="33"/>
      <c r="J3114" s="33"/>
      <c r="K3114" s="33"/>
      <c r="L3114" s="33"/>
      <c r="M3114" s="33"/>
    </row>
    <row r="3115">
      <c r="A3115" s="32" t="s">
        <v>8002</v>
      </c>
      <c r="B3115" s="32" t="s">
        <v>8003</v>
      </c>
      <c r="C3115" s="35">
        <v>6.498549938</v>
      </c>
      <c r="D3115" s="35">
        <v>-58.2541008</v>
      </c>
      <c r="E3115" s="32" t="s">
        <v>1822</v>
      </c>
      <c r="F3115" s="32" t="s">
        <v>2120</v>
      </c>
      <c r="G3115" s="36" t="e">
        <v>#N/A</v>
      </c>
      <c r="H3115" s="33"/>
      <c r="I3115" s="33"/>
      <c r="J3115" s="33"/>
      <c r="K3115" s="33"/>
      <c r="L3115" s="33"/>
      <c r="M3115" s="33"/>
    </row>
    <row r="3116">
      <c r="A3116" s="32" t="s">
        <v>8004</v>
      </c>
      <c r="B3116" s="32" t="s">
        <v>8005</v>
      </c>
      <c r="C3116" s="35">
        <v>21.83469963</v>
      </c>
      <c r="D3116" s="35">
        <v>-82.78379822</v>
      </c>
      <c r="E3116" s="32" t="s">
        <v>1294</v>
      </c>
      <c r="F3116" s="32" t="s">
        <v>8006</v>
      </c>
      <c r="G3116" s="36" t="e">
        <v>#N/A</v>
      </c>
      <c r="H3116" s="33"/>
      <c r="I3116" s="33"/>
      <c r="J3116" s="33"/>
      <c r="K3116" s="33"/>
      <c r="L3116" s="33"/>
      <c r="M3116" s="33"/>
    </row>
    <row r="3117">
      <c r="A3117" s="32" t="s">
        <v>8007</v>
      </c>
      <c r="B3117" s="32" t="s">
        <v>8008</v>
      </c>
      <c r="C3117" s="35">
        <v>6.058000088</v>
      </c>
      <c r="D3117" s="35">
        <v>125.0960007</v>
      </c>
      <c r="E3117" s="32" t="s">
        <v>270</v>
      </c>
      <c r="F3117" s="32" t="s">
        <v>8009</v>
      </c>
      <c r="G3117" s="36" t="e">
        <v>#N/A</v>
      </c>
      <c r="H3117" s="33"/>
      <c r="I3117" s="33"/>
      <c r="J3117" s="33"/>
      <c r="K3117" s="33"/>
      <c r="L3117" s="33"/>
      <c r="M3117" s="33"/>
    </row>
    <row r="3118">
      <c r="A3118" s="32" t="s">
        <v>8010</v>
      </c>
      <c r="B3118" s="32" t="s">
        <v>8011</v>
      </c>
      <c r="C3118" s="35">
        <v>-28.796101</v>
      </c>
      <c r="D3118" s="35">
        <v>114.707001</v>
      </c>
      <c r="E3118" s="32" t="s">
        <v>1968</v>
      </c>
      <c r="F3118" s="32" t="s">
        <v>8012</v>
      </c>
      <c r="G3118" s="36" t="e">
        <v>#N/A</v>
      </c>
      <c r="H3118" s="33"/>
      <c r="I3118" s="33"/>
      <c r="J3118" s="33"/>
      <c r="K3118" s="33"/>
      <c r="L3118" s="33"/>
      <c r="M3118" s="33"/>
    </row>
    <row r="3119">
      <c r="A3119" s="32" t="s">
        <v>8013</v>
      </c>
      <c r="B3119" s="32" t="s">
        <v>8014</v>
      </c>
      <c r="C3119" s="35">
        <v>33.52690125</v>
      </c>
      <c r="D3119" s="35">
        <v>-112.2949982</v>
      </c>
      <c r="E3119" s="32" t="s">
        <v>180</v>
      </c>
      <c r="F3119" s="32" t="s">
        <v>8015</v>
      </c>
      <c r="G3119" s="39" t="s">
        <v>181</v>
      </c>
      <c r="H3119" s="33"/>
      <c r="I3119" s="33"/>
      <c r="J3119" s="33"/>
      <c r="K3119" s="33"/>
      <c r="L3119" s="33"/>
      <c r="M3119" s="33"/>
    </row>
    <row r="3120">
      <c r="A3120" s="32" t="s">
        <v>8016</v>
      </c>
      <c r="B3120" s="32" t="s">
        <v>8017</v>
      </c>
      <c r="C3120" s="35">
        <v>67.13240051</v>
      </c>
      <c r="D3120" s="35">
        <v>20.81459999</v>
      </c>
      <c r="E3120" s="32" t="s">
        <v>347</v>
      </c>
      <c r="F3120" s="32" t="s">
        <v>8018</v>
      </c>
      <c r="G3120" s="36" t="e">
        <v>#N/A</v>
      </c>
      <c r="H3120" s="33"/>
      <c r="I3120" s="33"/>
      <c r="J3120" s="33"/>
      <c r="K3120" s="33"/>
      <c r="L3120" s="33"/>
      <c r="M3120" s="33"/>
    </row>
    <row r="3121">
      <c r="A3121" s="32" t="s">
        <v>8019</v>
      </c>
      <c r="B3121" s="32" t="s">
        <v>8020</v>
      </c>
      <c r="C3121" s="35">
        <v>-38.22499847</v>
      </c>
      <c r="D3121" s="35">
        <v>144.3329926</v>
      </c>
      <c r="E3121" s="32" t="s">
        <v>1968</v>
      </c>
      <c r="F3121" s="32" t="s">
        <v>8021</v>
      </c>
      <c r="G3121" s="36" t="e">
        <v>#N/A</v>
      </c>
      <c r="H3121" s="33"/>
      <c r="I3121" s="33"/>
      <c r="J3121" s="33"/>
      <c r="K3121" s="33"/>
      <c r="L3121" s="33"/>
      <c r="M3121" s="33"/>
    </row>
    <row r="3122">
      <c r="A3122" s="32" t="s">
        <v>8022</v>
      </c>
      <c r="B3122" s="32" t="s">
        <v>8023</v>
      </c>
      <c r="C3122" s="35">
        <v>-34.25080109</v>
      </c>
      <c r="D3122" s="35">
        <v>146.0670013</v>
      </c>
      <c r="E3122" s="32" t="s">
        <v>1968</v>
      </c>
      <c r="F3122" s="32" t="s">
        <v>8024</v>
      </c>
      <c r="G3122" s="36" t="e">
        <v>#N/A</v>
      </c>
      <c r="H3122" s="33"/>
      <c r="I3122" s="33"/>
      <c r="J3122" s="33"/>
      <c r="K3122" s="33"/>
      <c r="L3122" s="33"/>
      <c r="M3122" s="33"/>
    </row>
    <row r="3123">
      <c r="A3123" s="32" t="s">
        <v>8025</v>
      </c>
      <c r="B3123" s="32" t="s">
        <v>8026</v>
      </c>
      <c r="C3123" s="35">
        <v>47.949299</v>
      </c>
      <c r="D3123" s="35">
        <v>-97.176102</v>
      </c>
      <c r="E3123" s="32" t="s">
        <v>180</v>
      </c>
      <c r="F3123" s="32" t="s">
        <v>8027</v>
      </c>
      <c r="G3123" s="39" t="s">
        <v>181</v>
      </c>
      <c r="H3123" s="33"/>
      <c r="I3123" s="33"/>
      <c r="J3123" s="33"/>
      <c r="K3123" s="33"/>
      <c r="L3123" s="33"/>
      <c r="M3123" s="33"/>
    </row>
    <row r="3124">
      <c r="A3124" s="32" t="s">
        <v>8028</v>
      </c>
      <c r="B3124" s="32" t="s">
        <v>8029</v>
      </c>
      <c r="C3124" s="35">
        <v>43.34120178</v>
      </c>
      <c r="D3124" s="35">
        <v>-73.61029816</v>
      </c>
      <c r="E3124" s="32" t="s">
        <v>180</v>
      </c>
      <c r="F3124" s="32" t="s">
        <v>8030</v>
      </c>
      <c r="G3124" s="39" t="s">
        <v>181</v>
      </c>
      <c r="H3124" s="33"/>
      <c r="I3124" s="33"/>
      <c r="J3124" s="33"/>
      <c r="K3124" s="33"/>
      <c r="L3124" s="33"/>
      <c r="M3124" s="33"/>
    </row>
    <row r="3125">
      <c r="A3125" s="32" t="s">
        <v>8031</v>
      </c>
      <c r="B3125" s="32" t="s">
        <v>8032</v>
      </c>
      <c r="C3125" s="35">
        <v>-29.75939941</v>
      </c>
      <c r="D3125" s="35">
        <v>153.0299988</v>
      </c>
      <c r="E3125" s="32" t="s">
        <v>1968</v>
      </c>
      <c r="F3125" s="32" t="s">
        <v>8033</v>
      </c>
      <c r="G3125" s="36" t="e">
        <v>#N/A</v>
      </c>
      <c r="H3125" s="33"/>
      <c r="I3125" s="33"/>
      <c r="J3125" s="33"/>
      <c r="K3125" s="33"/>
      <c r="L3125" s="33"/>
      <c r="M3125" s="33"/>
    </row>
    <row r="3126">
      <c r="A3126" s="32" t="s">
        <v>8034</v>
      </c>
      <c r="B3126" s="32" t="s">
        <v>8035</v>
      </c>
      <c r="C3126" s="35">
        <v>6.374770164</v>
      </c>
      <c r="D3126" s="35">
        <v>-58.63809967</v>
      </c>
      <c r="E3126" s="32" t="s">
        <v>1822</v>
      </c>
      <c r="F3126" s="32" t="s">
        <v>8036</v>
      </c>
      <c r="G3126" s="36" t="e">
        <v>#N/A</v>
      </c>
      <c r="H3126" s="33"/>
      <c r="I3126" s="33"/>
      <c r="J3126" s="33"/>
      <c r="K3126" s="33"/>
      <c r="L3126" s="33"/>
      <c r="M3126" s="33"/>
    </row>
    <row r="3127">
      <c r="A3127" s="32" t="s">
        <v>8037</v>
      </c>
      <c r="B3127" s="32" t="s">
        <v>8038</v>
      </c>
      <c r="C3127" s="35">
        <v>48.8830986</v>
      </c>
      <c r="D3127" s="35">
        <v>-1.564170003</v>
      </c>
      <c r="E3127" s="32" t="s">
        <v>96</v>
      </c>
      <c r="F3127" s="32" t="s">
        <v>8039</v>
      </c>
      <c r="G3127" s="39" t="s">
        <v>97</v>
      </c>
      <c r="H3127" s="33"/>
      <c r="I3127" s="33"/>
      <c r="J3127" s="33"/>
      <c r="K3127" s="33"/>
      <c r="L3127" s="33"/>
      <c r="M3127" s="33"/>
    </row>
    <row r="3128">
      <c r="A3128" s="32" t="s">
        <v>8040</v>
      </c>
      <c r="B3128" s="32" t="s">
        <v>8041</v>
      </c>
      <c r="C3128" s="35">
        <v>-19.60219955</v>
      </c>
      <c r="D3128" s="35">
        <v>18.12269974</v>
      </c>
      <c r="E3128" s="32" t="s">
        <v>3193</v>
      </c>
      <c r="F3128" s="32" t="s">
        <v>8042</v>
      </c>
      <c r="G3128" s="36" t="e">
        <v>#N/A</v>
      </c>
      <c r="H3128" s="33"/>
      <c r="I3128" s="33"/>
      <c r="J3128" s="33"/>
      <c r="K3128" s="33"/>
      <c r="L3128" s="33"/>
      <c r="M3128" s="33"/>
    </row>
    <row r="3129">
      <c r="A3129" s="32" t="s">
        <v>8043</v>
      </c>
      <c r="B3129" s="32" t="s">
        <v>8044</v>
      </c>
      <c r="C3129" s="35">
        <v>33.31169891</v>
      </c>
      <c r="D3129" s="35">
        <v>-79.31960297</v>
      </c>
      <c r="E3129" s="32" t="s">
        <v>180</v>
      </c>
      <c r="F3129" s="32" t="s">
        <v>2120</v>
      </c>
      <c r="G3129" s="39" t="s">
        <v>181</v>
      </c>
      <c r="H3129" s="33"/>
      <c r="I3129" s="33"/>
      <c r="J3129" s="33"/>
      <c r="K3129" s="33"/>
      <c r="L3129" s="33"/>
      <c r="M3129" s="33"/>
    </row>
    <row r="3130">
      <c r="A3130" s="32" t="s">
        <v>8045</v>
      </c>
      <c r="B3130" s="32" t="s">
        <v>8046</v>
      </c>
      <c r="C3130" s="35">
        <v>32.38399887</v>
      </c>
      <c r="D3130" s="35">
        <v>-94.71150208</v>
      </c>
      <c r="E3130" s="32" t="s">
        <v>180</v>
      </c>
      <c r="F3130" s="32" t="s">
        <v>2752</v>
      </c>
      <c r="G3130" s="39" t="s">
        <v>181</v>
      </c>
      <c r="H3130" s="33"/>
      <c r="I3130" s="33"/>
      <c r="J3130" s="33"/>
      <c r="K3130" s="33"/>
      <c r="L3130" s="33"/>
      <c r="M3130" s="33"/>
    </row>
    <row r="3131">
      <c r="A3131" s="32" t="s">
        <v>8047</v>
      </c>
      <c r="B3131" s="32" t="s">
        <v>8048</v>
      </c>
      <c r="C3131" s="35">
        <v>-48.78310013</v>
      </c>
      <c r="D3131" s="35">
        <v>-70.15000153</v>
      </c>
      <c r="E3131" s="32" t="s">
        <v>296</v>
      </c>
      <c r="F3131" s="32" t="s">
        <v>8049</v>
      </c>
      <c r="G3131" s="36" t="e">
        <v>#N/A</v>
      </c>
      <c r="H3131" s="33"/>
      <c r="I3131" s="33"/>
      <c r="J3131" s="33"/>
      <c r="K3131" s="33"/>
      <c r="L3131" s="33"/>
      <c r="M3131" s="33"/>
    </row>
    <row r="3132">
      <c r="A3132" s="32" t="s">
        <v>8050</v>
      </c>
      <c r="B3132" s="32" t="s">
        <v>8051</v>
      </c>
      <c r="C3132" s="35">
        <v>23.56259918</v>
      </c>
      <c r="D3132" s="35">
        <v>-75.87799835</v>
      </c>
      <c r="E3132" s="32" t="s">
        <v>319</v>
      </c>
      <c r="F3132" s="32" t="s">
        <v>8052</v>
      </c>
      <c r="G3132" s="36" t="e">
        <v>#N/A</v>
      </c>
      <c r="H3132" s="33"/>
      <c r="I3132" s="33"/>
      <c r="J3132" s="33"/>
      <c r="K3132" s="33"/>
      <c r="L3132" s="33"/>
      <c r="M3132" s="33"/>
    </row>
    <row r="3133">
      <c r="A3133" s="32" t="s">
        <v>8053</v>
      </c>
      <c r="B3133" s="32" t="s">
        <v>8054</v>
      </c>
      <c r="C3133" s="35">
        <v>48.21250153</v>
      </c>
      <c r="D3133" s="35">
        <v>-106.6149979</v>
      </c>
      <c r="E3133" s="32" t="s">
        <v>180</v>
      </c>
      <c r="F3133" s="32" t="s">
        <v>2564</v>
      </c>
      <c r="G3133" s="39" t="s">
        <v>181</v>
      </c>
      <c r="H3133" s="33"/>
      <c r="I3133" s="33"/>
      <c r="J3133" s="33"/>
      <c r="K3133" s="33"/>
      <c r="L3133" s="33"/>
      <c r="M3133" s="33"/>
    </row>
    <row r="3134">
      <c r="A3134" s="32" t="s">
        <v>8055</v>
      </c>
      <c r="B3134" s="32" t="s">
        <v>8056</v>
      </c>
      <c r="C3134" s="35">
        <v>32.38410187</v>
      </c>
      <c r="D3134" s="35">
        <v>3.79411006</v>
      </c>
      <c r="E3134" s="32" t="s">
        <v>20</v>
      </c>
      <c r="F3134" s="32" t="s">
        <v>8057</v>
      </c>
      <c r="G3134" s="36" t="e">
        <v>#N/A</v>
      </c>
      <c r="H3134" s="33"/>
      <c r="I3134" s="33"/>
      <c r="J3134" s="33"/>
      <c r="K3134" s="33"/>
      <c r="L3134" s="33"/>
      <c r="M3134" s="33"/>
    </row>
    <row r="3135">
      <c r="A3135" s="32" t="s">
        <v>8058</v>
      </c>
      <c r="B3135" s="32" t="s">
        <v>8059</v>
      </c>
      <c r="C3135" s="35">
        <v>25.28470039</v>
      </c>
      <c r="D3135" s="35">
        <v>-76.33100128</v>
      </c>
      <c r="E3135" s="32" t="s">
        <v>319</v>
      </c>
      <c r="F3135" s="32" t="s">
        <v>8060</v>
      </c>
      <c r="G3135" s="36" t="e">
        <v>#N/A</v>
      </c>
      <c r="H3135" s="33"/>
      <c r="I3135" s="33"/>
      <c r="J3135" s="33"/>
      <c r="K3135" s="33"/>
      <c r="L3135" s="33"/>
      <c r="M3135" s="33"/>
    </row>
    <row r="3136">
      <c r="A3136" s="32" t="s">
        <v>8061</v>
      </c>
      <c r="B3136" s="32" t="s">
        <v>8062</v>
      </c>
      <c r="C3136" s="35">
        <v>49.64810181</v>
      </c>
      <c r="D3136" s="35">
        <v>9.966489792</v>
      </c>
      <c r="E3136" s="32" t="s">
        <v>109</v>
      </c>
      <c r="F3136" s="32" t="s">
        <v>8063</v>
      </c>
      <c r="G3136" s="39" t="s">
        <v>110</v>
      </c>
      <c r="H3136" s="33"/>
      <c r="I3136" s="33"/>
      <c r="J3136" s="33"/>
      <c r="K3136" s="33"/>
      <c r="L3136" s="33"/>
      <c r="M3136" s="33"/>
    </row>
    <row r="3137">
      <c r="A3137" s="32" t="s">
        <v>8064</v>
      </c>
      <c r="B3137" s="32" t="s">
        <v>8065</v>
      </c>
      <c r="C3137" s="35">
        <v>42.09830093</v>
      </c>
      <c r="D3137" s="35">
        <v>-70.67220306</v>
      </c>
      <c r="E3137" s="32" t="s">
        <v>180</v>
      </c>
      <c r="F3137" s="32" t="s">
        <v>8066</v>
      </c>
      <c r="G3137" s="39" t="s">
        <v>181</v>
      </c>
      <c r="H3137" s="33"/>
      <c r="I3137" s="33"/>
      <c r="J3137" s="33"/>
      <c r="K3137" s="33"/>
      <c r="L3137" s="33"/>
      <c r="M3137" s="33"/>
    </row>
    <row r="3138">
      <c r="A3138" s="32" t="s">
        <v>8067</v>
      </c>
      <c r="B3138" s="32" t="s">
        <v>8068</v>
      </c>
      <c r="C3138" s="35">
        <v>25.14559937</v>
      </c>
      <c r="D3138" s="35">
        <v>10.14260006</v>
      </c>
      <c r="E3138" s="32" t="s">
        <v>829</v>
      </c>
      <c r="F3138" s="32" t="s">
        <v>8069</v>
      </c>
      <c r="G3138" s="36" t="e">
        <v>#N/A</v>
      </c>
      <c r="H3138" s="33"/>
      <c r="I3138" s="33"/>
      <c r="J3138" s="33"/>
      <c r="K3138" s="33"/>
      <c r="L3138" s="33"/>
      <c r="M3138" s="33"/>
    </row>
    <row r="3139">
      <c r="A3139" s="32" t="s">
        <v>8070</v>
      </c>
      <c r="B3139" s="32" t="s">
        <v>8071</v>
      </c>
      <c r="C3139" s="35">
        <v>-33.0103</v>
      </c>
      <c r="D3139" s="35">
        <v>-58.6131</v>
      </c>
      <c r="E3139" s="32" t="s">
        <v>296</v>
      </c>
      <c r="F3139" s="32" t="s">
        <v>8072</v>
      </c>
      <c r="G3139" s="36" t="e">
        <v>#N/A</v>
      </c>
      <c r="H3139" s="33"/>
      <c r="I3139" s="33"/>
      <c r="J3139" s="33"/>
      <c r="K3139" s="33"/>
      <c r="L3139" s="33"/>
      <c r="M3139" s="33"/>
    </row>
    <row r="3140">
      <c r="A3140" s="32" t="s">
        <v>8073</v>
      </c>
      <c r="B3140" s="32" t="s">
        <v>8074</v>
      </c>
      <c r="C3140" s="35">
        <v>36.15119934</v>
      </c>
      <c r="D3140" s="35">
        <v>-5.34965992</v>
      </c>
      <c r="E3140" s="32" t="s">
        <v>8075</v>
      </c>
      <c r="F3140" s="32" t="s">
        <v>8075</v>
      </c>
      <c r="G3140" s="36" t="e">
        <v>#N/A</v>
      </c>
      <c r="H3140" s="33"/>
      <c r="I3140" s="33"/>
      <c r="J3140" s="33"/>
      <c r="K3140" s="33"/>
      <c r="L3140" s="33"/>
      <c r="M3140" s="33"/>
    </row>
    <row r="3141">
      <c r="A3141" s="32" t="s">
        <v>8076</v>
      </c>
      <c r="B3141" s="32" t="s">
        <v>8077</v>
      </c>
      <c r="C3141" s="35">
        <v>-9.232780457</v>
      </c>
      <c r="D3141" s="35">
        <v>142.2180023</v>
      </c>
      <c r="E3141" s="32" t="s">
        <v>1968</v>
      </c>
      <c r="F3141" s="32" t="s">
        <v>8078</v>
      </c>
      <c r="G3141" s="36" t="e">
        <v>#N/A</v>
      </c>
      <c r="H3141" s="33"/>
      <c r="I3141" s="33"/>
      <c r="J3141" s="33"/>
      <c r="K3141" s="33"/>
      <c r="L3141" s="33"/>
      <c r="M3141" s="33"/>
    </row>
    <row r="3142">
      <c r="A3142" s="32" t="s">
        <v>8079</v>
      </c>
      <c r="B3142" s="32" t="s">
        <v>8080</v>
      </c>
      <c r="C3142" s="35">
        <v>28.06290054</v>
      </c>
      <c r="D3142" s="35">
        <v>-81.75330353</v>
      </c>
      <c r="E3142" s="32" t="s">
        <v>180</v>
      </c>
      <c r="F3142" s="32" t="s">
        <v>8081</v>
      </c>
      <c r="G3142" s="39" t="s">
        <v>181</v>
      </c>
      <c r="H3142" s="33"/>
      <c r="I3142" s="33"/>
      <c r="J3142" s="33"/>
      <c r="K3142" s="33"/>
      <c r="L3142" s="33"/>
      <c r="M3142" s="33"/>
    </row>
    <row r="3143">
      <c r="A3143" s="32" t="s">
        <v>8082</v>
      </c>
      <c r="B3143" s="32" t="s">
        <v>8083</v>
      </c>
      <c r="C3143" s="35">
        <v>-22.80999947</v>
      </c>
      <c r="D3143" s="35">
        <v>-43.250556950000004</v>
      </c>
      <c r="E3143" s="32" t="s">
        <v>288</v>
      </c>
      <c r="F3143" s="32" t="s">
        <v>1634</v>
      </c>
      <c r="G3143" s="36" t="e">
        <v>#N/A</v>
      </c>
      <c r="H3143" s="33"/>
      <c r="I3143" s="33"/>
      <c r="J3143" s="33"/>
      <c r="K3143" s="33"/>
      <c r="L3143" s="33"/>
      <c r="M3143" s="33"/>
    </row>
    <row r="3144">
      <c r="A3144" s="32" t="s">
        <v>8084</v>
      </c>
      <c r="B3144" s="32" t="s">
        <v>8085</v>
      </c>
      <c r="C3144" s="35">
        <v>35.91880035</v>
      </c>
      <c r="D3144" s="35">
        <v>74.33360291</v>
      </c>
      <c r="E3144" s="32" t="s">
        <v>1470</v>
      </c>
      <c r="F3144" s="32" t="s">
        <v>8086</v>
      </c>
      <c r="G3144" s="36" t="e">
        <v>#N/A</v>
      </c>
      <c r="H3144" s="33"/>
      <c r="I3144" s="33"/>
      <c r="J3144" s="33"/>
      <c r="K3144" s="33"/>
      <c r="L3144" s="33"/>
      <c r="M3144" s="33"/>
    </row>
    <row r="3145">
      <c r="A3145" s="32" t="s">
        <v>8087</v>
      </c>
      <c r="B3145" s="32" t="s">
        <v>8088</v>
      </c>
      <c r="C3145" s="35">
        <v>-38.66329956</v>
      </c>
      <c r="D3145" s="35">
        <v>177.9779968</v>
      </c>
      <c r="E3145" s="32" t="s">
        <v>1328</v>
      </c>
      <c r="F3145" s="32" t="s">
        <v>8089</v>
      </c>
      <c r="G3145" s="36" t="e">
        <v>#N/A</v>
      </c>
      <c r="H3145" s="33"/>
      <c r="I3145" s="33"/>
      <c r="J3145" s="33"/>
      <c r="K3145" s="33"/>
      <c r="L3145" s="33"/>
      <c r="M3145" s="33"/>
    </row>
    <row r="3146">
      <c r="A3146" s="32" t="s">
        <v>8090</v>
      </c>
      <c r="B3146" s="32" t="s">
        <v>8091</v>
      </c>
      <c r="C3146" s="35">
        <v>7.956669807</v>
      </c>
      <c r="D3146" s="35">
        <v>80.72850037</v>
      </c>
      <c r="E3146" s="32" t="s">
        <v>1829</v>
      </c>
      <c r="F3146" s="32" t="s">
        <v>8092</v>
      </c>
      <c r="G3146" s="36" t="e">
        <v>#N/A</v>
      </c>
      <c r="H3146" s="33"/>
      <c r="I3146" s="33"/>
      <c r="J3146" s="33"/>
      <c r="K3146" s="33"/>
      <c r="L3146" s="33"/>
      <c r="M3146" s="33"/>
    </row>
    <row r="3147">
      <c r="A3147" s="32" t="s">
        <v>8093</v>
      </c>
      <c r="B3147" s="32" t="s">
        <v>8094</v>
      </c>
      <c r="C3147" s="35">
        <v>16.90110016</v>
      </c>
      <c r="D3147" s="35">
        <v>42.58580017</v>
      </c>
      <c r="E3147" s="32" t="s">
        <v>223</v>
      </c>
      <c r="F3147" s="32" t="s">
        <v>8095</v>
      </c>
      <c r="G3147" s="36" t="e">
        <v>#N/A</v>
      </c>
      <c r="H3147" s="33"/>
      <c r="I3147" s="33"/>
      <c r="J3147" s="33"/>
      <c r="K3147" s="33"/>
      <c r="L3147" s="33"/>
      <c r="M3147" s="33"/>
    </row>
    <row r="3148">
      <c r="A3148" s="32" t="s">
        <v>8096</v>
      </c>
      <c r="B3148" s="32" t="s">
        <v>8097</v>
      </c>
      <c r="C3148" s="35">
        <v>16.4454</v>
      </c>
      <c r="D3148" s="35">
        <v>-85.906601</v>
      </c>
      <c r="E3148" s="32" t="s">
        <v>1245</v>
      </c>
      <c r="F3148" s="32" t="s">
        <v>8098</v>
      </c>
      <c r="G3148" s="36" t="e">
        <v>#N/A</v>
      </c>
      <c r="H3148" s="33"/>
      <c r="I3148" s="33"/>
      <c r="J3148" s="33"/>
      <c r="K3148" s="33"/>
      <c r="L3148" s="33"/>
      <c r="M3148" s="33"/>
    </row>
    <row r="3149">
      <c r="A3149" s="32" t="s">
        <v>8099</v>
      </c>
      <c r="B3149" s="32" t="s">
        <v>8100</v>
      </c>
      <c r="C3149" s="35">
        <v>36.79510117</v>
      </c>
      <c r="D3149" s="35">
        <v>5.87361002</v>
      </c>
      <c r="E3149" s="32" t="s">
        <v>20</v>
      </c>
      <c r="F3149" s="32" t="s">
        <v>8101</v>
      </c>
      <c r="G3149" s="36" t="e">
        <v>#N/A</v>
      </c>
      <c r="H3149" s="33"/>
      <c r="I3149" s="33"/>
      <c r="J3149" s="33"/>
      <c r="K3149" s="33"/>
      <c r="L3149" s="33"/>
      <c r="M3149" s="33"/>
    </row>
    <row r="3150">
      <c r="A3150" s="32" t="s">
        <v>8102</v>
      </c>
      <c r="B3150" s="32" t="s">
        <v>8103</v>
      </c>
      <c r="C3150" s="35">
        <v>65.99530029</v>
      </c>
      <c r="D3150" s="35">
        <v>-21.32690048</v>
      </c>
      <c r="E3150" s="32" t="s">
        <v>2037</v>
      </c>
      <c r="F3150" s="32" t="s">
        <v>8104</v>
      </c>
      <c r="G3150" s="36" t="e">
        <v>#N/A</v>
      </c>
      <c r="H3150" s="33"/>
      <c r="I3150" s="33"/>
      <c r="J3150" s="33"/>
      <c r="K3150" s="33"/>
      <c r="L3150" s="33"/>
      <c r="M3150" s="33"/>
    </row>
    <row r="3151">
      <c r="A3151" s="32" t="s">
        <v>8105</v>
      </c>
      <c r="B3151" s="32" t="s">
        <v>8106</v>
      </c>
      <c r="C3151" s="35">
        <v>39.12239838</v>
      </c>
      <c r="D3151" s="35">
        <v>-108.5270004</v>
      </c>
      <c r="E3151" s="32" t="s">
        <v>180</v>
      </c>
      <c r="F3151" s="32" t="s">
        <v>8107</v>
      </c>
      <c r="G3151" s="39" t="s">
        <v>181</v>
      </c>
      <c r="H3151" s="33"/>
      <c r="I3151" s="33"/>
      <c r="J3151" s="33"/>
      <c r="K3151" s="33"/>
      <c r="L3151" s="33"/>
      <c r="M3151" s="33"/>
    </row>
    <row r="3152">
      <c r="A3152" s="32" t="s">
        <v>8108</v>
      </c>
      <c r="B3152" s="32" t="s">
        <v>8109</v>
      </c>
      <c r="C3152" s="35">
        <v>-6.081689835</v>
      </c>
      <c r="D3152" s="35">
        <v>145.3919983</v>
      </c>
      <c r="E3152" s="32" t="s">
        <v>5289</v>
      </c>
      <c r="F3152" s="32" t="s">
        <v>8110</v>
      </c>
      <c r="G3152" s="36" t="e">
        <v>#N/A</v>
      </c>
      <c r="H3152" s="33"/>
      <c r="I3152" s="33"/>
      <c r="J3152" s="33"/>
      <c r="K3152" s="33"/>
      <c r="L3152" s="33"/>
      <c r="M3152" s="33"/>
    </row>
    <row r="3153">
      <c r="A3153" s="32" t="s">
        <v>8111</v>
      </c>
      <c r="B3153" s="32" t="s">
        <v>8112</v>
      </c>
      <c r="C3153" s="35">
        <v>50.9608</v>
      </c>
      <c r="D3153" s="35">
        <v>6.04242</v>
      </c>
      <c r="E3153" s="32" t="s">
        <v>109</v>
      </c>
      <c r="F3153" s="32" t="s">
        <v>8113</v>
      </c>
      <c r="G3153" s="39" t="s">
        <v>110</v>
      </c>
      <c r="H3153" s="33"/>
      <c r="I3153" s="33"/>
      <c r="J3153" s="33"/>
      <c r="K3153" s="33"/>
      <c r="L3153" s="33"/>
      <c r="M3153" s="33"/>
    </row>
    <row r="3154">
      <c r="A3154" s="32" t="s">
        <v>8114</v>
      </c>
      <c r="B3154" s="32" t="s">
        <v>8115</v>
      </c>
      <c r="C3154" s="35">
        <v>0.7324</v>
      </c>
      <c r="D3154" s="35">
        <v>73.4336</v>
      </c>
      <c r="E3154" s="32" t="s">
        <v>6888</v>
      </c>
      <c r="F3154" s="32" t="s">
        <v>8116</v>
      </c>
      <c r="G3154" s="36" t="e">
        <v>#N/A</v>
      </c>
      <c r="H3154" s="33"/>
      <c r="I3154" s="33"/>
      <c r="J3154" s="33"/>
      <c r="K3154" s="33"/>
      <c r="L3154" s="33"/>
      <c r="M3154" s="33"/>
    </row>
    <row r="3155">
      <c r="A3155" s="32" t="s">
        <v>8117</v>
      </c>
      <c r="B3155" s="32" t="s">
        <v>8118</v>
      </c>
      <c r="C3155" s="35">
        <v>-23.18330002</v>
      </c>
      <c r="D3155" s="35">
        <v>150.9420013</v>
      </c>
      <c r="E3155" s="32" t="s">
        <v>1968</v>
      </c>
      <c r="F3155" s="32" t="s">
        <v>8119</v>
      </c>
      <c r="G3155" s="36" t="e">
        <v>#N/A</v>
      </c>
      <c r="H3155" s="33"/>
      <c r="I3155" s="33"/>
      <c r="J3155" s="33"/>
      <c r="K3155" s="33"/>
      <c r="L3155" s="33"/>
      <c r="M3155" s="33"/>
    </row>
    <row r="3156">
      <c r="A3156" s="32" t="s">
        <v>8120</v>
      </c>
      <c r="B3156" s="32" t="s">
        <v>8121</v>
      </c>
      <c r="C3156" s="35">
        <v>62.1548996</v>
      </c>
      <c r="D3156" s="35">
        <v>-145.4570007</v>
      </c>
      <c r="E3156" s="32" t="s">
        <v>180</v>
      </c>
      <c r="F3156" s="32" t="s">
        <v>8122</v>
      </c>
      <c r="G3156" s="39" t="s">
        <v>181</v>
      </c>
      <c r="H3156" s="33"/>
      <c r="I3156" s="33"/>
      <c r="J3156" s="33"/>
      <c r="K3156" s="33"/>
      <c r="L3156" s="33"/>
      <c r="M3156" s="33"/>
    </row>
    <row r="3157">
      <c r="A3157" s="32" t="s">
        <v>8123</v>
      </c>
      <c r="B3157" s="32" t="s">
        <v>4323</v>
      </c>
      <c r="C3157" s="35">
        <v>32.66389847</v>
      </c>
      <c r="D3157" s="35">
        <v>-97.09429932</v>
      </c>
      <c r="E3157" s="32" t="s">
        <v>180</v>
      </c>
      <c r="F3157" s="32" t="s">
        <v>4324</v>
      </c>
      <c r="G3157" s="39" t="s">
        <v>181</v>
      </c>
      <c r="H3157" s="33"/>
      <c r="I3157" s="33"/>
      <c r="J3157" s="33"/>
      <c r="K3157" s="33"/>
      <c r="L3157" s="33"/>
      <c r="M3157" s="33"/>
    </row>
    <row r="3158">
      <c r="A3158" s="32" t="s">
        <v>8124</v>
      </c>
      <c r="B3158" s="32" t="s">
        <v>8125</v>
      </c>
      <c r="C3158" s="35">
        <v>55.87189865</v>
      </c>
      <c r="D3158" s="35">
        <v>-4.433060169</v>
      </c>
      <c r="E3158" s="32" t="s">
        <v>90</v>
      </c>
      <c r="F3158" s="32" t="s">
        <v>2564</v>
      </c>
      <c r="G3158" s="39" t="s">
        <v>91</v>
      </c>
      <c r="H3158" s="33"/>
      <c r="I3158" s="33"/>
      <c r="J3158" s="33"/>
      <c r="K3158" s="33"/>
      <c r="L3158" s="33"/>
      <c r="M3158" s="33"/>
    </row>
    <row r="3159">
      <c r="A3159" s="32" t="s">
        <v>8126</v>
      </c>
      <c r="B3159" s="32" t="s">
        <v>8127</v>
      </c>
      <c r="C3159" s="35">
        <v>39.37060165</v>
      </c>
      <c r="D3159" s="35">
        <v>-101.6989975</v>
      </c>
      <c r="E3159" s="32" t="s">
        <v>180</v>
      </c>
      <c r="F3159" s="32" t="s">
        <v>8128</v>
      </c>
      <c r="G3159" s="39" t="s">
        <v>181</v>
      </c>
      <c r="H3159" s="33"/>
      <c r="I3159" s="33"/>
      <c r="J3159" s="33"/>
      <c r="K3159" s="33"/>
      <c r="L3159" s="33"/>
      <c r="M3159" s="33"/>
    </row>
    <row r="3160">
      <c r="A3160" s="32" t="s">
        <v>8129</v>
      </c>
      <c r="B3160" s="32" t="s">
        <v>8130</v>
      </c>
      <c r="C3160" s="35">
        <v>8.654009819</v>
      </c>
      <c r="D3160" s="35">
        <v>-83.18219757</v>
      </c>
      <c r="E3160" s="32" t="s">
        <v>1267</v>
      </c>
      <c r="F3160" s="32" t="s">
        <v>8131</v>
      </c>
      <c r="G3160" s="36" t="e">
        <v>#N/A</v>
      </c>
      <c r="H3160" s="33"/>
      <c r="I3160" s="33"/>
      <c r="J3160" s="33"/>
      <c r="K3160" s="33"/>
      <c r="L3160" s="33"/>
      <c r="M3160" s="33"/>
    </row>
    <row r="3161">
      <c r="A3161" s="32" t="s">
        <v>8132</v>
      </c>
      <c r="B3161" s="32" t="s">
        <v>8133</v>
      </c>
      <c r="C3161" s="35">
        <v>33.48289871</v>
      </c>
      <c r="D3161" s="35">
        <v>-90.98560333</v>
      </c>
      <c r="E3161" s="32" t="s">
        <v>180</v>
      </c>
      <c r="F3161" s="32" t="s">
        <v>6164</v>
      </c>
      <c r="G3161" s="39" t="s">
        <v>181</v>
      </c>
      <c r="H3161" s="33"/>
      <c r="I3161" s="33"/>
      <c r="J3161" s="33"/>
      <c r="K3161" s="33"/>
      <c r="L3161" s="33"/>
      <c r="M3161" s="33"/>
    </row>
    <row r="3162">
      <c r="A3162" s="32" t="s">
        <v>8134</v>
      </c>
      <c r="B3162" s="32" t="s">
        <v>8135</v>
      </c>
      <c r="C3162" s="35">
        <v>-29.67499924</v>
      </c>
      <c r="D3162" s="35">
        <v>151.6889954</v>
      </c>
      <c r="E3162" s="32" t="s">
        <v>1968</v>
      </c>
      <c r="F3162" s="32" t="s">
        <v>8136</v>
      </c>
      <c r="G3162" s="36" t="e">
        <v>#N/A</v>
      </c>
      <c r="H3162" s="33"/>
      <c r="I3162" s="33"/>
      <c r="J3162" s="33"/>
      <c r="K3162" s="33"/>
      <c r="L3162" s="33"/>
      <c r="M3162" s="33"/>
    </row>
    <row r="3163">
      <c r="A3163" s="32" t="s">
        <v>8137</v>
      </c>
      <c r="B3163" s="32" t="s">
        <v>8138</v>
      </c>
      <c r="C3163" s="35">
        <v>2.1464</v>
      </c>
      <c r="D3163" s="35">
        <v>-75.6944</v>
      </c>
      <c r="E3163" s="32" t="s">
        <v>292</v>
      </c>
      <c r="F3163" s="32" t="s">
        <v>8139</v>
      </c>
      <c r="G3163" s="36" t="e">
        <v>#N/A</v>
      </c>
      <c r="H3163" s="33"/>
      <c r="I3163" s="33"/>
      <c r="J3163" s="33"/>
      <c r="K3163" s="33"/>
      <c r="L3163" s="33"/>
      <c r="M3163" s="33"/>
    </row>
    <row r="3164">
      <c r="A3164" s="32" t="s">
        <v>8140</v>
      </c>
      <c r="B3164" s="32" t="s">
        <v>8141</v>
      </c>
      <c r="C3164" s="35">
        <v>6.780829906</v>
      </c>
      <c r="D3164" s="35">
        <v>47.45470047</v>
      </c>
      <c r="E3164" s="32" t="s">
        <v>3906</v>
      </c>
      <c r="F3164" s="32" t="s">
        <v>8142</v>
      </c>
      <c r="G3164" s="36" t="e">
        <v>#N/A</v>
      </c>
      <c r="H3164" s="33"/>
      <c r="I3164" s="33"/>
      <c r="J3164" s="33"/>
      <c r="K3164" s="33"/>
      <c r="L3164" s="33"/>
      <c r="M3164" s="33"/>
    </row>
    <row r="3165">
      <c r="A3165" s="32" t="s">
        <v>8143</v>
      </c>
      <c r="B3165" s="32" t="s">
        <v>8144</v>
      </c>
      <c r="C3165" s="35">
        <v>51.89419937</v>
      </c>
      <c r="D3165" s="35">
        <v>-2.167220116</v>
      </c>
      <c r="E3165" s="32" t="s">
        <v>90</v>
      </c>
      <c r="F3165" s="32" t="s">
        <v>8145</v>
      </c>
      <c r="G3165" s="39" t="s">
        <v>91</v>
      </c>
      <c r="H3165" s="33"/>
      <c r="I3165" s="33"/>
      <c r="J3165" s="33"/>
      <c r="K3165" s="33"/>
      <c r="L3165" s="33"/>
      <c r="M3165" s="33"/>
    </row>
    <row r="3166">
      <c r="A3166" s="32" t="s">
        <v>8146</v>
      </c>
      <c r="B3166" s="32" t="s">
        <v>8147</v>
      </c>
      <c r="C3166" s="35">
        <v>29.26530075</v>
      </c>
      <c r="D3166" s="35">
        <v>-94.86039734</v>
      </c>
      <c r="E3166" s="32" t="s">
        <v>180</v>
      </c>
      <c r="F3166" s="32" t="s">
        <v>8148</v>
      </c>
      <c r="G3166" s="39" t="s">
        <v>181</v>
      </c>
      <c r="H3166" s="33"/>
      <c r="I3166" s="33"/>
      <c r="J3166" s="33"/>
      <c r="K3166" s="33"/>
      <c r="L3166" s="33"/>
      <c r="M3166" s="33"/>
    </row>
    <row r="3167">
      <c r="A3167" s="32" t="s">
        <v>8149</v>
      </c>
      <c r="B3167" s="32" t="s">
        <v>8150</v>
      </c>
      <c r="C3167" s="35">
        <v>-23.869699</v>
      </c>
      <c r="D3167" s="35">
        <v>151.223007</v>
      </c>
      <c r="E3167" s="32" t="s">
        <v>1968</v>
      </c>
      <c r="F3167" s="32" t="s">
        <v>8151</v>
      </c>
      <c r="G3167" s="36" t="e">
        <v>#N/A</v>
      </c>
      <c r="H3167" s="33"/>
      <c r="I3167" s="33"/>
      <c r="J3167" s="33"/>
      <c r="K3167" s="33"/>
      <c r="L3167" s="33"/>
      <c r="M3167" s="33"/>
    </row>
    <row r="3168">
      <c r="A3168" s="32" t="s">
        <v>8152</v>
      </c>
      <c r="B3168" s="32" t="s">
        <v>8153</v>
      </c>
      <c r="C3168" s="35">
        <v>26.88456</v>
      </c>
      <c r="D3168" s="35">
        <v>90.46412</v>
      </c>
      <c r="E3168" s="32" t="s">
        <v>5322</v>
      </c>
      <c r="F3168" s="32" t="s">
        <v>8154</v>
      </c>
      <c r="G3168" s="36" t="e">
        <v>#N/A</v>
      </c>
      <c r="H3168" s="33"/>
      <c r="I3168" s="33"/>
      <c r="J3168" s="33"/>
      <c r="K3168" s="33"/>
      <c r="L3168" s="33"/>
      <c r="M3168" s="33"/>
    </row>
    <row r="3169">
      <c r="A3169" s="32" t="s">
        <v>8155</v>
      </c>
      <c r="B3169" s="32" t="s">
        <v>8156</v>
      </c>
      <c r="C3169" s="35">
        <v>64.55049896</v>
      </c>
      <c r="D3169" s="35">
        <v>-163.0070038</v>
      </c>
      <c r="E3169" s="32" t="s">
        <v>180</v>
      </c>
      <c r="F3169" s="32" t="s">
        <v>8157</v>
      </c>
      <c r="G3169" s="39" t="s">
        <v>181</v>
      </c>
      <c r="H3169" s="33"/>
      <c r="I3169" s="33"/>
      <c r="J3169" s="33"/>
      <c r="K3169" s="33"/>
      <c r="L3169" s="33"/>
      <c r="M3169" s="33"/>
    </row>
    <row r="3170">
      <c r="A3170" s="32" t="s">
        <v>8158</v>
      </c>
      <c r="B3170" s="32" t="s">
        <v>8159</v>
      </c>
      <c r="C3170" s="35">
        <v>3.235369921</v>
      </c>
      <c r="D3170" s="35">
        <v>19.77129936</v>
      </c>
      <c r="E3170" s="32" t="s">
        <v>800</v>
      </c>
      <c r="F3170" s="32" t="s">
        <v>8160</v>
      </c>
      <c r="G3170" s="36" t="e">
        <v>#N/A</v>
      </c>
      <c r="H3170" s="33"/>
      <c r="I3170" s="33"/>
      <c r="J3170" s="33"/>
      <c r="K3170" s="33"/>
      <c r="L3170" s="33"/>
      <c r="M3170" s="33"/>
    </row>
    <row r="3171">
      <c r="A3171" s="32" t="s">
        <v>8161</v>
      </c>
      <c r="B3171" s="32" t="s">
        <v>8162</v>
      </c>
      <c r="C3171" s="35">
        <v>8.128760338</v>
      </c>
      <c r="D3171" s="35">
        <v>34.56309891</v>
      </c>
      <c r="E3171" s="32" t="s">
        <v>18</v>
      </c>
      <c r="F3171" s="32" t="s">
        <v>8163</v>
      </c>
      <c r="G3171" s="36" t="e">
        <v>#N/A</v>
      </c>
      <c r="H3171" s="33"/>
      <c r="I3171" s="33"/>
      <c r="J3171" s="33"/>
      <c r="K3171" s="33"/>
      <c r="L3171" s="33"/>
      <c r="M3171" s="33"/>
    </row>
    <row r="3172">
      <c r="A3172" s="32" t="s">
        <v>8164</v>
      </c>
      <c r="B3172" s="32" t="s">
        <v>8165</v>
      </c>
      <c r="C3172" s="35">
        <v>52.52700043</v>
      </c>
      <c r="D3172" s="35">
        <v>31.01670074</v>
      </c>
      <c r="E3172" s="32" t="s">
        <v>2097</v>
      </c>
      <c r="F3172" s="32" t="s">
        <v>8166</v>
      </c>
      <c r="G3172" s="36" t="e">
        <v>#N/A</v>
      </c>
      <c r="H3172" s="33"/>
      <c r="I3172" s="33"/>
      <c r="J3172" s="33"/>
      <c r="K3172" s="33"/>
      <c r="L3172" s="33"/>
      <c r="M3172" s="33"/>
    </row>
    <row r="3173">
      <c r="A3173" s="32" t="s">
        <v>8167</v>
      </c>
      <c r="B3173" s="32" t="s">
        <v>8168</v>
      </c>
      <c r="C3173" s="35">
        <v>36.60680008</v>
      </c>
      <c r="D3173" s="35">
        <v>-94.73860168</v>
      </c>
      <c r="E3173" s="32" t="s">
        <v>180</v>
      </c>
      <c r="F3173" s="32" t="s">
        <v>8169</v>
      </c>
      <c r="G3173" s="39" t="s">
        <v>181</v>
      </c>
      <c r="H3173" s="33"/>
      <c r="I3173" s="33"/>
      <c r="J3173" s="33"/>
      <c r="K3173" s="33"/>
      <c r="L3173" s="33"/>
      <c r="M3173" s="33"/>
    </row>
    <row r="3174">
      <c r="A3174" s="32" t="s">
        <v>8170</v>
      </c>
      <c r="B3174" s="32" t="s">
        <v>8171</v>
      </c>
      <c r="C3174" s="35">
        <v>50.60350037</v>
      </c>
      <c r="D3174" s="35">
        <v>30.19190025</v>
      </c>
      <c r="E3174" s="32" t="s">
        <v>3293</v>
      </c>
      <c r="F3174" s="32" t="s">
        <v>8172</v>
      </c>
      <c r="G3174" s="36" t="e">
        <v>#N/A</v>
      </c>
      <c r="H3174" s="33"/>
      <c r="I3174" s="33"/>
      <c r="J3174" s="33"/>
      <c r="K3174" s="33"/>
      <c r="L3174" s="33"/>
      <c r="M3174" s="33"/>
    </row>
    <row r="3175">
      <c r="A3175" s="32" t="s">
        <v>8173</v>
      </c>
      <c r="B3175" s="32" t="s">
        <v>8174</v>
      </c>
      <c r="C3175" s="35">
        <v>37.55830002</v>
      </c>
      <c r="D3175" s="35">
        <v>126.7910004</v>
      </c>
      <c r="E3175" s="32" t="s">
        <v>151</v>
      </c>
      <c r="F3175" s="32" t="s">
        <v>8175</v>
      </c>
      <c r="G3175" s="39" t="s">
        <v>152</v>
      </c>
      <c r="H3175" s="33"/>
      <c r="I3175" s="33"/>
      <c r="J3175" s="33"/>
      <c r="K3175" s="33"/>
      <c r="L3175" s="33"/>
      <c r="M3175" s="33"/>
    </row>
    <row r="3176">
      <c r="A3176" s="32" t="s">
        <v>8176</v>
      </c>
      <c r="B3176" s="32" t="s">
        <v>8177</v>
      </c>
      <c r="C3176" s="35">
        <v>-23.07990074</v>
      </c>
      <c r="D3176" s="35">
        <v>-134.8899994</v>
      </c>
      <c r="E3176" s="32" t="s">
        <v>1325</v>
      </c>
      <c r="F3176" s="32" t="s">
        <v>8178</v>
      </c>
      <c r="G3176" s="36" t="e">
        <v>#N/A</v>
      </c>
      <c r="H3176" s="33"/>
      <c r="I3176" s="33"/>
      <c r="J3176" s="33"/>
      <c r="K3176" s="33"/>
      <c r="L3176" s="33"/>
      <c r="M3176" s="33"/>
    </row>
    <row r="3177">
      <c r="A3177" s="32" t="s">
        <v>8179</v>
      </c>
      <c r="B3177" s="32" t="s">
        <v>8180</v>
      </c>
      <c r="C3177" s="35">
        <v>34.84790039</v>
      </c>
      <c r="D3177" s="35">
        <v>-82.34999847</v>
      </c>
      <c r="E3177" s="32" t="s">
        <v>180</v>
      </c>
      <c r="F3177" s="32" t="s">
        <v>6164</v>
      </c>
      <c r="G3177" s="39" t="s">
        <v>181</v>
      </c>
      <c r="H3177" s="33"/>
      <c r="I3177" s="33"/>
      <c r="J3177" s="33"/>
      <c r="K3177" s="33"/>
      <c r="L3177" s="33"/>
      <c r="M3177" s="33"/>
    </row>
    <row r="3178">
      <c r="A3178" s="32" t="s">
        <v>8181</v>
      </c>
      <c r="B3178" s="32" t="s">
        <v>8182</v>
      </c>
      <c r="C3178" s="35">
        <v>28.02960014</v>
      </c>
      <c r="D3178" s="35">
        <v>-17.21459961</v>
      </c>
      <c r="E3178" s="32" t="s">
        <v>115</v>
      </c>
      <c r="F3178" s="32" t="s">
        <v>8183</v>
      </c>
      <c r="G3178" s="39" t="s">
        <v>116</v>
      </c>
      <c r="H3178" s="33"/>
      <c r="I3178" s="33"/>
      <c r="J3178" s="33"/>
      <c r="K3178" s="33"/>
      <c r="L3178" s="33"/>
      <c r="M3178" s="33"/>
    </row>
    <row r="3179">
      <c r="A3179" s="32" t="s">
        <v>8184</v>
      </c>
      <c r="B3179" s="32" t="s">
        <v>8185</v>
      </c>
      <c r="C3179" s="35">
        <v>53.60200119</v>
      </c>
      <c r="D3179" s="35">
        <v>24.05380058</v>
      </c>
      <c r="E3179" s="32" t="s">
        <v>2097</v>
      </c>
      <c r="F3179" s="32" t="s">
        <v>8186</v>
      </c>
      <c r="G3179" s="36" t="e">
        <v>#N/A</v>
      </c>
      <c r="H3179" s="33"/>
      <c r="I3179" s="33"/>
      <c r="J3179" s="33"/>
      <c r="K3179" s="33"/>
      <c r="L3179" s="33"/>
      <c r="M3179" s="33"/>
    </row>
    <row r="3180">
      <c r="A3180" s="32" t="s">
        <v>8187</v>
      </c>
      <c r="B3180" s="32" t="s">
        <v>8188</v>
      </c>
      <c r="C3180" s="35">
        <v>45.36289978</v>
      </c>
      <c r="D3180" s="35">
        <v>5.329370022</v>
      </c>
      <c r="E3180" s="32" t="s">
        <v>96</v>
      </c>
      <c r="F3180" s="32" t="s">
        <v>8189</v>
      </c>
      <c r="G3180" s="39" t="s">
        <v>97</v>
      </c>
      <c r="H3180" s="33"/>
      <c r="I3180" s="33"/>
      <c r="J3180" s="33"/>
      <c r="K3180" s="33"/>
      <c r="L3180" s="33"/>
      <c r="M3180" s="33"/>
    </row>
    <row r="3181">
      <c r="A3181" s="32" t="s">
        <v>8190</v>
      </c>
      <c r="B3181" s="32" t="s">
        <v>8191</v>
      </c>
      <c r="C3181" s="35">
        <v>12.00419998</v>
      </c>
      <c r="D3181" s="35">
        <v>-61.78620148</v>
      </c>
      <c r="E3181" s="32" t="s">
        <v>8192</v>
      </c>
      <c r="F3181" s="32" t="s">
        <v>8193</v>
      </c>
      <c r="G3181" s="36" t="e">
        <v>#N/A</v>
      </c>
      <c r="H3181" s="33"/>
      <c r="I3181" s="33"/>
      <c r="J3181" s="33"/>
      <c r="K3181" s="33"/>
      <c r="L3181" s="33"/>
      <c r="M3181" s="33"/>
    </row>
    <row r="3182">
      <c r="A3182" s="32" t="s">
        <v>8194</v>
      </c>
      <c r="B3182" s="32" t="s">
        <v>8195</v>
      </c>
      <c r="C3182" s="35">
        <v>22.6739006</v>
      </c>
      <c r="D3182" s="35">
        <v>121.4660034</v>
      </c>
      <c r="E3182" s="32" t="s">
        <v>1497</v>
      </c>
      <c r="F3182" s="32" t="s">
        <v>8196</v>
      </c>
      <c r="G3182" s="36" t="e">
        <v>#N/A</v>
      </c>
      <c r="H3182" s="33"/>
      <c r="I3182" s="33"/>
      <c r="J3182" s="33"/>
      <c r="K3182" s="33"/>
      <c r="L3182" s="33"/>
      <c r="M3182" s="33"/>
    </row>
    <row r="3183">
      <c r="A3183" s="32" t="s">
        <v>8197</v>
      </c>
      <c r="B3183" s="32" t="s">
        <v>8198</v>
      </c>
      <c r="C3183" s="35">
        <v>-14.20820045</v>
      </c>
      <c r="D3183" s="35">
        <v>-42.74610138</v>
      </c>
      <c r="E3183" s="32" t="s">
        <v>288</v>
      </c>
      <c r="F3183" s="32" t="s">
        <v>8199</v>
      </c>
      <c r="G3183" s="36" t="e">
        <v>#N/A</v>
      </c>
      <c r="H3183" s="33"/>
      <c r="I3183" s="33"/>
      <c r="J3183" s="33"/>
      <c r="K3183" s="33"/>
      <c r="L3183" s="33"/>
      <c r="M3183" s="33"/>
    </row>
    <row r="3184">
      <c r="A3184" s="32" t="s">
        <v>8200</v>
      </c>
      <c r="B3184" s="32" t="s">
        <v>8201</v>
      </c>
      <c r="C3184" s="35">
        <v>1.166380048</v>
      </c>
      <c r="D3184" s="35">
        <v>97.70469666</v>
      </c>
      <c r="E3184" s="32" t="s">
        <v>280</v>
      </c>
      <c r="F3184" s="32" t="s">
        <v>8202</v>
      </c>
      <c r="G3184" s="36" t="e">
        <v>#N/A</v>
      </c>
      <c r="H3184" s="33"/>
      <c r="I3184" s="33"/>
      <c r="J3184" s="33"/>
      <c r="K3184" s="33"/>
      <c r="L3184" s="33"/>
      <c r="M3184" s="33"/>
    </row>
    <row r="3185">
      <c r="A3185" s="32" t="s">
        <v>8203</v>
      </c>
      <c r="B3185" s="32" t="s">
        <v>8204</v>
      </c>
      <c r="C3185" s="35">
        <v>35.16730118</v>
      </c>
      <c r="D3185" s="35">
        <v>-107.9020004</v>
      </c>
      <c r="E3185" s="32" t="s">
        <v>180</v>
      </c>
      <c r="F3185" s="32" t="s">
        <v>8205</v>
      </c>
      <c r="G3185" s="39" t="s">
        <v>181</v>
      </c>
      <c r="H3185" s="33"/>
      <c r="I3185" s="33"/>
      <c r="J3185" s="33"/>
      <c r="K3185" s="33"/>
      <c r="L3185" s="33"/>
      <c r="M3185" s="33"/>
    </row>
    <row r="3186">
      <c r="A3186" s="32" t="s">
        <v>8206</v>
      </c>
      <c r="B3186" s="32" t="s">
        <v>8207</v>
      </c>
      <c r="C3186" s="35">
        <v>29.69009972</v>
      </c>
      <c r="D3186" s="35">
        <v>-82.27179718</v>
      </c>
      <c r="E3186" s="32" t="s">
        <v>180</v>
      </c>
      <c r="F3186" s="32" t="s">
        <v>8208</v>
      </c>
      <c r="G3186" s="39" t="s">
        <v>181</v>
      </c>
      <c r="H3186" s="33"/>
      <c r="I3186" s="33"/>
      <c r="J3186" s="33"/>
      <c r="K3186" s="33"/>
      <c r="L3186" s="33"/>
      <c r="M3186" s="33"/>
    </row>
    <row r="3187">
      <c r="A3187" s="32" t="s">
        <v>8209</v>
      </c>
      <c r="B3187" s="32" t="s">
        <v>8210</v>
      </c>
      <c r="C3187" s="35">
        <v>37.44566345</v>
      </c>
      <c r="D3187" s="35">
        <v>38.89559174</v>
      </c>
      <c r="E3187" s="32" t="s">
        <v>133</v>
      </c>
      <c r="F3187" s="32" t="s">
        <v>8211</v>
      </c>
      <c r="G3187" s="39" t="s">
        <v>134</v>
      </c>
      <c r="H3187" s="33"/>
      <c r="I3187" s="33"/>
      <c r="J3187" s="33"/>
      <c r="K3187" s="33"/>
      <c r="L3187" s="33"/>
      <c r="M3187" s="33"/>
    </row>
    <row r="3188">
      <c r="A3188" s="32" t="s">
        <v>8212</v>
      </c>
      <c r="B3188" s="32" t="s">
        <v>8213</v>
      </c>
      <c r="C3188" s="35">
        <v>-21.69249916</v>
      </c>
      <c r="D3188" s="35">
        <v>21.65810013</v>
      </c>
      <c r="E3188" s="32" t="s">
        <v>2285</v>
      </c>
      <c r="F3188" s="32" t="s">
        <v>8214</v>
      </c>
      <c r="G3188" s="36" t="e">
        <v>#N/A</v>
      </c>
      <c r="H3188" s="33"/>
      <c r="I3188" s="33"/>
      <c r="J3188" s="33"/>
      <c r="K3188" s="33"/>
      <c r="L3188" s="33"/>
      <c r="M3188" s="33"/>
    </row>
    <row r="3189">
      <c r="A3189" s="32" t="s">
        <v>8215</v>
      </c>
      <c r="B3189" s="32" t="s">
        <v>8216</v>
      </c>
      <c r="C3189" s="35">
        <v>44.4133</v>
      </c>
      <c r="D3189" s="35">
        <v>8.8375</v>
      </c>
      <c r="E3189" s="32" t="s">
        <v>103</v>
      </c>
      <c r="F3189" s="32" t="s">
        <v>8217</v>
      </c>
      <c r="G3189" s="39" t="s">
        <v>104</v>
      </c>
      <c r="H3189" s="33"/>
      <c r="I3189" s="33"/>
      <c r="J3189" s="33"/>
      <c r="K3189" s="33"/>
      <c r="L3189" s="33"/>
      <c r="M3189" s="33"/>
    </row>
    <row r="3190">
      <c r="A3190" s="32" t="s">
        <v>8218</v>
      </c>
      <c r="B3190" s="32" t="s">
        <v>8219</v>
      </c>
      <c r="C3190" s="35">
        <v>7.1160634</v>
      </c>
      <c r="D3190" s="35">
        <v>40.0463033</v>
      </c>
      <c r="E3190" s="32" t="s">
        <v>18</v>
      </c>
      <c r="F3190" s="32" t="s">
        <v>8220</v>
      </c>
      <c r="G3190" s="36" t="e">
        <v>#N/A</v>
      </c>
      <c r="H3190" s="33"/>
      <c r="I3190" s="33"/>
      <c r="J3190" s="33"/>
      <c r="K3190" s="33"/>
      <c r="L3190" s="33"/>
      <c r="M3190" s="33"/>
    </row>
    <row r="3191">
      <c r="A3191" s="32" t="s">
        <v>8221</v>
      </c>
      <c r="B3191" s="32" t="s">
        <v>8222</v>
      </c>
      <c r="C3191" s="35">
        <v>64.19090271</v>
      </c>
      <c r="D3191" s="35">
        <v>-51.67810059</v>
      </c>
      <c r="E3191" s="32" t="s">
        <v>3703</v>
      </c>
      <c r="F3191" s="32" t="s">
        <v>8223</v>
      </c>
      <c r="G3191" s="36" t="e">
        <v>#N/A</v>
      </c>
      <c r="H3191" s="33"/>
      <c r="I3191" s="33"/>
      <c r="J3191" s="33"/>
      <c r="K3191" s="33"/>
      <c r="L3191" s="33"/>
      <c r="M3191" s="33"/>
    </row>
    <row r="3192">
      <c r="A3192" s="32" t="s">
        <v>8224</v>
      </c>
      <c r="B3192" s="32" t="s">
        <v>8225</v>
      </c>
      <c r="C3192" s="35">
        <v>15.38080025</v>
      </c>
      <c r="D3192" s="35">
        <v>73.83139801</v>
      </c>
      <c r="E3192" s="32" t="s">
        <v>217</v>
      </c>
      <c r="F3192" s="32" t="s">
        <v>8226</v>
      </c>
      <c r="G3192" s="39" t="s">
        <v>218</v>
      </c>
      <c r="H3192" s="33"/>
      <c r="I3192" s="33"/>
      <c r="J3192" s="33"/>
      <c r="K3192" s="33"/>
      <c r="L3192" s="33"/>
      <c r="M3192" s="33"/>
    </row>
    <row r="3193">
      <c r="A3193" s="32" t="s">
        <v>8227</v>
      </c>
      <c r="B3193" s="32" t="s">
        <v>8228</v>
      </c>
      <c r="C3193" s="35">
        <v>56.23009872</v>
      </c>
      <c r="D3193" s="35">
        <v>43.7840004</v>
      </c>
      <c r="E3193" s="32" t="s">
        <v>2040</v>
      </c>
      <c r="F3193" s="32" t="s">
        <v>8229</v>
      </c>
      <c r="G3193" s="36" t="e">
        <v>#N/A</v>
      </c>
      <c r="H3193" s="33"/>
      <c r="I3193" s="33"/>
      <c r="J3193" s="33"/>
      <c r="K3193" s="33"/>
      <c r="L3193" s="33"/>
      <c r="M3193" s="33"/>
    </row>
    <row r="3194">
      <c r="A3194" s="32" t="s">
        <v>8230</v>
      </c>
      <c r="B3194" s="32" t="s">
        <v>8231</v>
      </c>
      <c r="C3194" s="35">
        <v>-1.670809984</v>
      </c>
      <c r="D3194" s="35">
        <v>29.2385006</v>
      </c>
      <c r="E3194" s="32" t="s">
        <v>800</v>
      </c>
      <c r="F3194" s="32" t="s">
        <v>8232</v>
      </c>
      <c r="G3194" s="36" t="e">
        <v>#N/A</v>
      </c>
      <c r="H3194" s="33"/>
      <c r="I3194" s="33"/>
      <c r="J3194" s="33"/>
      <c r="K3194" s="33"/>
      <c r="L3194" s="33"/>
      <c r="M3194" s="33"/>
    </row>
    <row r="3195">
      <c r="A3195" s="32" t="s">
        <v>8233</v>
      </c>
      <c r="B3195" s="32" t="s">
        <v>8234</v>
      </c>
      <c r="C3195" s="35">
        <v>41.33010101</v>
      </c>
      <c r="D3195" s="35">
        <v>-72.04509735</v>
      </c>
      <c r="E3195" s="32" t="s">
        <v>180</v>
      </c>
      <c r="F3195" s="32" t="s">
        <v>8235</v>
      </c>
      <c r="G3195" s="39" t="s">
        <v>181</v>
      </c>
      <c r="H3195" s="33"/>
      <c r="I3195" s="33"/>
      <c r="J3195" s="33"/>
      <c r="K3195" s="33"/>
      <c r="L3195" s="33"/>
      <c r="M3195" s="33"/>
    </row>
    <row r="3196">
      <c r="A3196" s="32" t="s">
        <v>8236</v>
      </c>
      <c r="B3196" s="32" t="s">
        <v>8237</v>
      </c>
      <c r="C3196" s="35">
        <v>26.73970032</v>
      </c>
      <c r="D3196" s="35">
        <v>83.4496994</v>
      </c>
      <c r="E3196" s="32" t="s">
        <v>217</v>
      </c>
      <c r="F3196" s="32" t="s">
        <v>8238</v>
      </c>
      <c r="G3196" s="39" t="s">
        <v>218</v>
      </c>
      <c r="H3196" s="33"/>
      <c r="I3196" s="33"/>
      <c r="J3196" s="33"/>
      <c r="K3196" s="33"/>
      <c r="L3196" s="33"/>
      <c r="M3196" s="33"/>
    </row>
    <row r="3197">
      <c r="A3197" s="32" t="s">
        <v>8239</v>
      </c>
      <c r="B3197" s="32" t="s">
        <v>8240</v>
      </c>
      <c r="C3197" s="35">
        <v>36.4006</v>
      </c>
      <c r="D3197" s="35">
        <v>94.786102</v>
      </c>
      <c r="E3197" s="32" t="s">
        <v>205</v>
      </c>
      <c r="F3197" s="32" t="s">
        <v>8241</v>
      </c>
      <c r="G3197" s="39" t="s">
        <v>206</v>
      </c>
      <c r="H3197" s="33"/>
      <c r="I3197" s="33"/>
      <c r="J3197" s="33"/>
      <c r="K3197" s="33"/>
      <c r="L3197" s="33"/>
      <c r="M3197" s="33"/>
    </row>
    <row r="3198">
      <c r="A3198" s="32" t="s">
        <v>8242</v>
      </c>
      <c r="B3198" s="32" t="s">
        <v>8243</v>
      </c>
      <c r="C3198" s="35">
        <v>8.1614</v>
      </c>
      <c r="D3198" s="35">
        <v>35.5529</v>
      </c>
      <c r="E3198" s="32" t="s">
        <v>18</v>
      </c>
      <c r="F3198" s="32" t="s">
        <v>8244</v>
      </c>
      <c r="G3198" s="36" t="e">
        <v>#N/A</v>
      </c>
      <c r="H3198" s="33"/>
      <c r="I3198" s="33"/>
      <c r="J3198" s="33"/>
      <c r="K3198" s="33"/>
      <c r="L3198" s="33"/>
      <c r="M3198" s="33"/>
    </row>
    <row r="3199">
      <c r="A3199" s="32" t="s">
        <v>8245</v>
      </c>
      <c r="B3199" s="32" t="s">
        <v>8246</v>
      </c>
      <c r="C3199" s="35">
        <v>57.66279984</v>
      </c>
      <c r="D3199" s="35">
        <v>12.27980042</v>
      </c>
      <c r="E3199" s="32" t="s">
        <v>347</v>
      </c>
      <c r="F3199" s="32" t="s">
        <v>8247</v>
      </c>
      <c r="G3199" s="36" t="e">
        <v>#N/A</v>
      </c>
      <c r="H3199" s="33"/>
      <c r="I3199" s="33"/>
      <c r="J3199" s="33"/>
      <c r="K3199" s="33"/>
      <c r="L3199" s="33"/>
      <c r="M3199" s="33"/>
    </row>
    <row r="3200">
      <c r="A3200" s="32" t="s">
        <v>8248</v>
      </c>
      <c r="B3200" s="32" t="s">
        <v>8249</v>
      </c>
      <c r="C3200" s="35">
        <v>9.335889816</v>
      </c>
      <c r="D3200" s="35">
        <v>13.37010002</v>
      </c>
      <c r="E3200" s="32" t="s">
        <v>32</v>
      </c>
      <c r="F3200" s="32" t="s">
        <v>8250</v>
      </c>
      <c r="G3200" s="36" t="e">
        <v>#N/A</v>
      </c>
      <c r="H3200" s="33"/>
      <c r="I3200" s="33"/>
      <c r="J3200" s="33"/>
      <c r="K3200" s="33"/>
      <c r="L3200" s="33"/>
      <c r="M3200" s="33"/>
    </row>
    <row r="3201">
      <c r="A3201" s="32" t="s">
        <v>8251</v>
      </c>
      <c r="B3201" s="32" t="s">
        <v>8252</v>
      </c>
      <c r="C3201" s="35">
        <v>-12.26939964</v>
      </c>
      <c r="D3201" s="35">
        <v>136.8179932</v>
      </c>
      <c r="E3201" s="32" t="s">
        <v>1968</v>
      </c>
      <c r="F3201" s="32" t="s">
        <v>8253</v>
      </c>
      <c r="G3201" s="36" t="e">
        <v>#N/A</v>
      </c>
      <c r="H3201" s="33"/>
      <c r="I3201" s="33"/>
      <c r="J3201" s="33"/>
      <c r="K3201" s="33"/>
      <c r="L3201" s="33"/>
      <c r="M3201" s="33"/>
    </row>
    <row r="3202">
      <c r="A3202" s="32" t="s">
        <v>8254</v>
      </c>
      <c r="B3202" s="32" t="s">
        <v>8255</v>
      </c>
      <c r="C3202" s="35">
        <v>7.33776</v>
      </c>
      <c r="D3202" s="35">
        <v>81.62594</v>
      </c>
      <c r="E3202" s="32" t="s">
        <v>1829</v>
      </c>
      <c r="F3202" s="32" t="s">
        <v>8256</v>
      </c>
      <c r="G3202" s="36" t="e">
        <v>#N/A</v>
      </c>
      <c r="H3202" s="33"/>
      <c r="I3202" s="33"/>
      <c r="J3202" s="33"/>
      <c r="K3202" s="33"/>
      <c r="L3202" s="33"/>
      <c r="M3202" s="33"/>
    </row>
    <row r="3203">
      <c r="A3203" s="32" t="s">
        <v>8257</v>
      </c>
      <c r="B3203" s="32" t="s">
        <v>8258</v>
      </c>
      <c r="C3203" s="35">
        <v>43.15140152</v>
      </c>
      <c r="D3203" s="35">
        <v>25.71290016</v>
      </c>
      <c r="E3203" s="32" t="s">
        <v>849</v>
      </c>
      <c r="F3203" s="32" t="s">
        <v>8259</v>
      </c>
      <c r="G3203" s="36" t="e">
        <v>#N/A</v>
      </c>
      <c r="H3203" s="33"/>
      <c r="I3203" s="33"/>
      <c r="J3203" s="33"/>
      <c r="K3203" s="33"/>
      <c r="L3203" s="33"/>
      <c r="M3203" s="33"/>
    </row>
    <row r="3204">
      <c r="A3204" s="32" t="s">
        <v>8260</v>
      </c>
      <c r="B3204" s="32" t="s">
        <v>8261</v>
      </c>
      <c r="C3204" s="35">
        <v>38.1511</v>
      </c>
      <c r="D3204" s="35">
        <v>21.4256</v>
      </c>
      <c r="E3204" s="32" t="s">
        <v>339</v>
      </c>
      <c r="F3204" s="32" t="s">
        <v>8262</v>
      </c>
      <c r="G3204" s="36" t="e">
        <v>#N/A</v>
      </c>
      <c r="H3204" s="33"/>
      <c r="I3204" s="33"/>
      <c r="J3204" s="33"/>
      <c r="K3204" s="33"/>
      <c r="L3204" s="33"/>
      <c r="M3204" s="33"/>
    </row>
    <row r="3205">
      <c r="A3205" s="32" t="s">
        <v>8263</v>
      </c>
      <c r="B3205" s="32" t="s">
        <v>8264</v>
      </c>
      <c r="C3205" s="35">
        <v>-25.38750076</v>
      </c>
      <c r="D3205" s="35">
        <v>-51.52019882</v>
      </c>
      <c r="E3205" s="32" t="s">
        <v>288</v>
      </c>
      <c r="F3205" s="32" t="s">
        <v>8265</v>
      </c>
      <c r="G3205" s="36" t="e">
        <v>#N/A</v>
      </c>
      <c r="H3205" s="33"/>
      <c r="I3205" s="33"/>
      <c r="J3205" s="33"/>
      <c r="K3205" s="33"/>
      <c r="L3205" s="33"/>
      <c r="M3205" s="33"/>
    </row>
    <row r="3206">
      <c r="A3206" s="32" t="s">
        <v>8266</v>
      </c>
      <c r="B3206" s="32" t="s">
        <v>8267</v>
      </c>
      <c r="C3206" s="35">
        <v>2.57013</v>
      </c>
      <c r="D3206" s="35">
        <v>-77.8986</v>
      </c>
      <c r="E3206" s="32" t="s">
        <v>292</v>
      </c>
      <c r="F3206" s="32" t="s">
        <v>8268</v>
      </c>
      <c r="G3206" s="36" t="e">
        <v>#N/A</v>
      </c>
      <c r="H3206" s="33"/>
      <c r="I3206" s="33"/>
      <c r="J3206" s="33"/>
      <c r="K3206" s="33"/>
      <c r="L3206" s="33"/>
      <c r="M3206" s="33"/>
    </row>
    <row r="3207">
      <c r="A3207" s="32" t="s">
        <v>8269</v>
      </c>
      <c r="B3207" s="32" t="s">
        <v>8270</v>
      </c>
      <c r="C3207" s="35">
        <v>-11.40250015</v>
      </c>
      <c r="D3207" s="35">
        <v>130.4219971</v>
      </c>
      <c r="E3207" s="32" t="s">
        <v>1968</v>
      </c>
      <c r="F3207" s="32" t="s">
        <v>8271</v>
      </c>
      <c r="G3207" s="36" t="e">
        <v>#N/A</v>
      </c>
      <c r="H3207" s="33"/>
      <c r="I3207" s="33"/>
      <c r="J3207" s="33"/>
      <c r="K3207" s="33"/>
      <c r="L3207" s="33"/>
      <c r="M3207" s="33"/>
    </row>
    <row r="3208">
      <c r="A3208" s="32" t="s">
        <v>8272</v>
      </c>
      <c r="B3208" s="32" t="s">
        <v>8273</v>
      </c>
      <c r="C3208" s="35">
        <v>-0.453758001</v>
      </c>
      <c r="D3208" s="35">
        <v>-90.26589966</v>
      </c>
      <c r="E3208" s="32" t="s">
        <v>311</v>
      </c>
      <c r="F3208" s="32" t="s">
        <v>8274</v>
      </c>
      <c r="G3208" s="36" t="e">
        <v>#N/A</v>
      </c>
      <c r="H3208" s="33"/>
      <c r="I3208" s="33"/>
      <c r="J3208" s="33"/>
      <c r="K3208" s="33"/>
      <c r="L3208" s="33"/>
      <c r="M3208" s="33"/>
    </row>
    <row r="3209">
      <c r="A3209" s="32" t="s">
        <v>8275</v>
      </c>
      <c r="B3209" s="32" t="s">
        <v>8276</v>
      </c>
      <c r="C3209" s="35">
        <v>30.40730095</v>
      </c>
      <c r="D3209" s="35">
        <v>-89.07009888</v>
      </c>
      <c r="E3209" s="32" t="s">
        <v>180</v>
      </c>
      <c r="F3209" s="32" t="s">
        <v>8277</v>
      </c>
      <c r="G3209" s="39" t="s">
        <v>181</v>
      </c>
      <c r="H3209" s="33"/>
      <c r="I3209" s="33"/>
      <c r="J3209" s="33"/>
      <c r="K3209" s="33"/>
      <c r="L3209" s="33"/>
      <c r="M3209" s="33"/>
    </row>
    <row r="3210">
      <c r="A3210" s="32" t="s">
        <v>8278</v>
      </c>
      <c r="B3210" s="32" t="s">
        <v>8279</v>
      </c>
      <c r="C3210" s="35">
        <v>47.21110153</v>
      </c>
      <c r="D3210" s="35">
        <v>-93.50980377</v>
      </c>
      <c r="E3210" s="32" t="s">
        <v>180</v>
      </c>
      <c r="F3210" s="32" t="s">
        <v>8280</v>
      </c>
      <c r="G3210" s="39" t="s">
        <v>181</v>
      </c>
      <c r="H3210" s="33"/>
      <c r="I3210" s="33"/>
      <c r="J3210" s="33"/>
      <c r="K3210" s="33"/>
      <c r="L3210" s="33"/>
      <c r="M3210" s="33"/>
    </row>
    <row r="3211">
      <c r="A3211" s="32" t="s">
        <v>8281</v>
      </c>
      <c r="B3211" s="32" t="s">
        <v>8282</v>
      </c>
      <c r="C3211" s="35">
        <v>40.7533989</v>
      </c>
      <c r="D3211" s="35">
        <v>-82.72380066</v>
      </c>
      <c r="E3211" s="32" t="s">
        <v>180</v>
      </c>
      <c r="F3211" s="32" t="s">
        <v>8283</v>
      </c>
      <c r="G3211" s="39" t="s">
        <v>181</v>
      </c>
      <c r="H3211" s="33"/>
      <c r="I3211" s="33"/>
      <c r="J3211" s="33"/>
      <c r="K3211" s="33"/>
      <c r="L3211" s="33"/>
      <c r="M3211" s="33"/>
    </row>
    <row r="3212">
      <c r="A3212" s="32" t="s">
        <v>8284</v>
      </c>
      <c r="B3212" s="32" t="s">
        <v>8285</v>
      </c>
      <c r="C3212" s="35">
        <v>44.48509979</v>
      </c>
      <c r="D3212" s="35">
        <v>-88.12960052</v>
      </c>
      <c r="E3212" s="32" t="s">
        <v>180</v>
      </c>
      <c r="F3212" s="32" t="s">
        <v>8286</v>
      </c>
      <c r="G3212" s="39" t="s">
        <v>181</v>
      </c>
      <c r="H3212" s="33"/>
      <c r="I3212" s="33"/>
      <c r="J3212" s="33"/>
      <c r="K3212" s="33"/>
      <c r="L3212" s="33"/>
      <c r="M3212" s="33"/>
    </row>
    <row r="3213">
      <c r="A3213" s="32" t="s">
        <v>8287</v>
      </c>
      <c r="B3213" s="32" t="s">
        <v>8288</v>
      </c>
      <c r="C3213" s="35">
        <v>47.07920074</v>
      </c>
      <c r="D3213" s="35">
        <v>-122.5810013</v>
      </c>
      <c r="E3213" s="32" t="s">
        <v>180</v>
      </c>
      <c r="F3213" s="32" t="s">
        <v>8289</v>
      </c>
      <c r="G3213" s="39" t="s">
        <v>181</v>
      </c>
      <c r="H3213" s="33"/>
      <c r="I3213" s="33"/>
      <c r="J3213" s="33"/>
      <c r="K3213" s="33"/>
      <c r="L3213" s="33"/>
      <c r="M3213" s="33"/>
    </row>
    <row r="3214">
      <c r="A3214" s="32" t="s">
        <v>8290</v>
      </c>
      <c r="B3214" s="32" t="s">
        <v>8291</v>
      </c>
      <c r="C3214" s="35">
        <v>40.96749878</v>
      </c>
      <c r="D3214" s="35">
        <v>-98.30960083</v>
      </c>
      <c r="E3214" s="32" t="s">
        <v>180</v>
      </c>
      <c r="F3214" s="32" t="s">
        <v>8292</v>
      </c>
      <c r="G3214" s="39" t="s">
        <v>181</v>
      </c>
      <c r="H3214" s="33"/>
      <c r="I3214" s="33"/>
      <c r="J3214" s="33"/>
      <c r="K3214" s="33"/>
      <c r="L3214" s="33"/>
      <c r="M3214" s="33"/>
    </row>
    <row r="3215">
      <c r="A3215" s="32" t="s">
        <v>8293</v>
      </c>
      <c r="B3215" s="32" t="s">
        <v>8294</v>
      </c>
      <c r="C3215" s="35">
        <v>-34.00559998</v>
      </c>
      <c r="D3215" s="35">
        <v>22.37890053</v>
      </c>
      <c r="E3215" s="32" t="s">
        <v>16</v>
      </c>
      <c r="F3215" s="32" t="s">
        <v>8295</v>
      </c>
      <c r="G3215" s="36" t="e">
        <v>#N/A</v>
      </c>
      <c r="H3215" s="33"/>
      <c r="I3215" s="33"/>
      <c r="J3215" s="33"/>
      <c r="K3215" s="33"/>
      <c r="L3215" s="33"/>
      <c r="M3215" s="33"/>
    </row>
    <row r="3216">
      <c r="A3216" s="32" t="s">
        <v>8296</v>
      </c>
      <c r="B3216" s="32" t="s">
        <v>8297</v>
      </c>
      <c r="C3216" s="35">
        <v>31.06719971</v>
      </c>
      <c r="D3216" s="35">
        <v>-97.8289032</v>
      </c>
      <c r="E3216" s="32" t="s">
        <v>180</v>
      </c>
      <c r="F3216" s="32" t="s">
        <v>8298</v>
      </c>
      <c r="G3216" s="39" t="s">
        <v>181</v>
      </c>
      <c r="H3216" s="33"/>
      <c r="I3216" s="33"/>
      <c r="J3216" s="33"/>
      <c r="K3216" s="33"/>
      <c r="L3216" s="33"/>
      <c r="M3216" s="33"/>
    </row>
    <row r="3217">
      <c r="A3217" s="32" t="s">
        <v>8299</v>
      </c>
      <c r="B3217" s="32" t="s">
        <v>8300</v>
      </c>
      <c r="C3217" s="35">
        <v>47.8382988</v>
      </c>
      <c r="D3217" s="35">
        <v>-90.38289642</v>
      </c>
      <c r="E3217" s="32" t="s">
        <v>180</v>
      </c>
      <c r="F3217" s="32" t="s">
        <v>8301</v>
      </c>
      <c r="G3217" s="39" t="s">
        <v>181</v>
      </c>
      <c r="H3217" s="33"/>
      <c r="I3217" s="33"/>
      <c r="J3217" s="33"/>
      <c r="K3217" s="33"/>
      <c r="L3217" s="33"/>
      <c r="M3217" s="33"/>
    </row>
    <row r="3218">
      <c r="A3218" s="32" t="s">
        <v>8302</v>
      </c>
      <c r="B3218" s="32" t="s">
        <v>8303</v>
      </c>
      <c r="C3218" s="35">
        <v>41.90100098</v>
      </c>
      <c r="D3218" s="35">
        <v>2.760550022</v>
      </c>
      <c r="E3218" s="32" t="s">
        <v>115</v>
      </c>
      <c r="F3218" s="32" t="s">
        <v>8304</v>
      </c>
      <c r="G3218" s="39" t="s">
        <v>116</v>
      </c>
      <c r="H3218" s="33"/>
      <c r="I3218" s="33"/>
      <c r="J3218" s="33"/>
      <c r="K3218" s="33"/>
      <c r="L3218" s="33"/>
      <c r="M3218" s="33"/>
    </row>
    <row r="3219">
      <c r="A3219" s="32" t="s">
        <v>8305</v>
      </c>
      <c r="B3219" s="32" t="s">
        <v>8306</v>
      </c>
      <c r="C3219" s="35">
        <v>-11.73960018</v>
      </c>
      <c r="D3219" s="35">
        <v>-49.13219833</v>
      </c>
      <c r="E3219" s="32" t="s">
        <v>288</v>
      </c>
      <c r="F3219" s="32" t="s">
        <v>8307</v>
      </c>
      <c r="G3219" s="36" t="e">
        <v>#N/A</v>
      </c>
      <c r="H3219" s="33"/>
      <c r="I3219" s="33"/>
      <c r="J3219" s="33"/>
      <c r="K3219" s="33"/>
      <c r="L3219" s="33"/>
      <c r="M3219" s="33"/>
    </row>
    <row r="3220">
      <c r="A3220" s="32" t="s">
        <v>8308</v>
      </c>
      <c r="B3220" s="32" t="s">
        <v>8309</v>
      </c>
      <c r="C3220" s="35">
        <v>53.11970139</v>
      </c>
      <c r="D3220" s="35">
        <v>6.579440117</v>
      </c>
      <c r="E3220" s="32" t="s">
        <v>127</v>
      </c>
      <c r="F3220" s="32" t="s">
        <v>8310</v>
      </c>
      <c r="G3220" s="39" t="s">
        <v>128</v>
      </c>
      <c r="H3220" s="33"/>
      <c r="I3220" s="33"/>
      <c r="J3220" s="33"/>
      <c r="K3220" s="33"/>
      <c r="L3220" s="33"/>
      <c r="M3220" s="33"/>
    </row>
    <row r="3221">
      <c r="A3221" s="32" t="s">
        <v>8311</v>
      </c>
      <c r="B3221" s="32" t="s">
        <v>8312</v>
      </c>
      <c r="C3221" s="35">
        <v>42.88079834</v>
      </c>
      <c r="D3221" s="35">
        <v>-85.52279663</v>
      </c>
      <c r="E3221" s="32" t="s">
        <v>180</v>
      </c>
      <c r="F3221" s="32" t="s">
        <v>8313</v>
      </c>
      <c r="G3221" s="39" t="s">
        <v>181</v>
      </c>
      <c r="H3221" s="33"/>
      <c r="I3221" s="33"/>
      <c r="J3221" s="33"/>
      <c r="K3221" s="33"/>
      <c r="L3221" s="33"/>
      <c r="M3221" s="33"/>
    </row>
    <row r="3222">
      <c r="A3222" s="32" t="s">
        <v>8314</v>
      </c>
      <c r="B3222" s="32" t="s">
        <v>8315</v>
      </c>
      <c r="C3222" s="35">
        <v>42.759701</v>
      </c>
      <c r="D3222" s="35">
        <v>11.0719</v>
      </c>
      <c r="E3222" s="32" t="s">
        <v>103</v>
      </c>
      <c r="F3222" s="32" t="s">
        <v>8316</v>
      </c>
      <c r="G3222" s="39" t="s">
        <v>104</v>
      </c>
      <c r="H3222" s="33"/>
      <c r="I3222" s="33"/>
      <c r="J3222" s="33"/>
      <c r="K3222" s="33"/>
      <c r="L3222" s="33"/>
      <c r="M3222" s="33"/>
    </row>
    <row r="3223">
      <c r="A3223" s="32" t="s">
        <v>8317</v>
      </c>
      <c r="B3223" s="32" t="s">
        <v>8318</v>
      </c>
      <c r="C3223" s="35">
        <v>-23.43555641</v>
      </c>
      <c r="D3223" s="35">
        <v>-46.47305679</v>
      </c>
      <c r="E3223" s="32" t="s">
        <v>288</v>
      </c>
      <c r="F3223" s="32" t="s">
        <v>1669</v>
      </c>
      <c r="G3223" s="36" t="e">
        <v>#N/A</v>
      </c>
      <c r="H3223" s="33"/>
      <c r="I3223" s="33"/>
      <c r="J3223" s="33"/>
      <c r="K3223" s="33"/>
      <c r="L3223" s="33"/>
      <c r="M3223" s="33"/>
    </row>
    <row r="3224">
      <c r="A3224" s="32" t="s">
        <v>8319</v>
      </c>
      <c r="B3224" s="32" t="s">
        <v>8320</v>
      </c>
      <c r="C3224" s="35">
        <v>43.29809952</v>
      </c>
      <c r="D3224" s="35">
        <v>45.78409958</v>
      </c>
      <c r="E3224" s="32" t="s">
        <v>2040</v>
      </c>
      <c r="F3224" s="32" t="s">
        <v>8321</v>
      </c>
      <c r="G3224" s="36" t="e">
        <v>#N/A</v>
      </c>
      <c r="H3224" s="33"/>
      <c r="I3224" s="33"/>
      <c r="J3224" s="33"/>
      <c r="K3224" s="33"/>
      <c r="L3224" s="33"/>
      <c r="M3224" s="33"/>
    </row>
    <row r="3225">
      <c r="A3225" s="32" t="s">
        <v>8322</v>
      </c>
      <c r="B3225" s="32" t="s">
        <v>8323</v>
      </c>
      <c r="C3225" s="35">
        <v>39.09220123</v>
      </c>
      <c r="D3225" s="35">
        <v>-28.02980042</v>
      </c>
      <c r="E3225" s="32" t="s">
        <v>121</v>
      </c>
      <c r="F3225" s="32" t="s">
        <v>8324</v>
      </c>
      <c r="G3225" s="39" t="s">
        <v>122</v>
      </c>
      <c r="H3225" s="33"/>
      <c r="I3225" s="33"/>
      <c r="J3225" s="33"/>
      <c r="K3225" s="33"/>
      <c r="L3225" s="33"/>
      <c r="M3225" s="33"/>
    </row>
    <row r="3226">
      <c r="A3226" s="32" t="s">
        <v>8325</v>
      </c>
      <c r="B3226" s="32" t="s">
        <v>8326</v>
      </c>
      <c r="C3226" s="35">
        <v>37.18870163</v>
      </c>
      <c r="D3226" s="35">
        <v>-3.777359962</v>
      </c>
      <c r="E3226" s="32" t="s">
        <v>115</v>
      </c>
      <c r="F3226" s="32" t="s">
        <v>862</v>
      </c>
      <c r="G3226" s="39" t="s">
        <v>116</v>
      </c>
      <c r="H3226" s="33"/>
      <c r="I3226" s="33"/>
      <c r="J3226" s="33"/>
      <c r="K3226" s="33"/>
      <c r="L3226" s="33"/>
      <c r="M3226" s="33"/>
    </row>
    <row r="3227">
      <c r="A3227" s="32" t="s">
        <v>8327</v>
      </c>
      <c r="B3227" s="32" t="s">
        <v>8328</v>
      </c>
      <c r="C3227" s="35">
        <v>66.5458</v>
      </c>
      <c r="D3227" s="35">
        <v>-18.0173</v>
      </c>
      <c r="E3227" s="32" t="s">
        <v>2037</v>
      </c>
      <c r="F3227" s="32" t="s">
        <v>8329</v>
      </c>
      <c r="G3227" s="36" t="e">
        <v>#N/A</v>
      </c>
      <c r="H3227" s="33"/>
      <c r="I3227" s="33"/>
      <c r="J3227" s="33"/>
      <c r="K3227" s="33"/>
      <c r="L3227" s="33"/>
      <c r="M3227" s="33"/>
    </row>
    <row r="3228">
      <c r="A3228" s="32" t="s">
        <v>8330</v>
      </c>
      <c r="B3228" s="32" t="s">
        <v>8331</v>
      </c>
      <c r="C3228" s="35">
        <v>46.99110031</v>
      </c>
      <c r="D3228" s="35">
        <v>15.43959999</v>
      </c>
      <c r="E3228" s="32" t="s">
        <v>1145</v>
      </c>
      <c r="F3228" s="32" t="s">
        <v>8332</v>
      </c>
      <c r="G3228" s="36" t="e">
        <v>#N/A</v>
      </c>
      <c r="H3228" s="33"/>
      <c r="I3228" s="33"/>
      <c r="J3228" s="33"/>
      <c r="K3228" s="33"/>
      <c r="L3228" s="33"/>
      <c r="M3228" s="33"/>
    </row>
    <row r="3229">
      <c r="A3229" s="32" t="s">
        <v>8333</v>
      </c>
      <c r="B3229" s="32" t="s">
        <v>8334</v>
      </c>
      <c r="C3229" s="35">
        <v>35.33940125</v>
      </c>
      <c r="D3229" s="35">
        <v>-77.96060181</v>
      </c>
      <c r="E3229" s="32" t="s">
        <v>180</v>
      </c>
      <c r="F3229" s="32" t="s">
        <v>8335</v>
      </c>
      <c r="G3229" s="39" t="s">
        <v>181</v>
      </c>
      <c r="H3229" s="33"/>
      <c r="I3229" s="33"/>
      <c r="J3229" s="33"/>
      <c r="K3229" s="33"/>
      <c r="L3229" s="33"/>
      <c r="M3229" s="33"/>
    </row>
    <row r="3230">
      <c r="A3230" s="32" t="s">
        <v>8336</v>
      </c>
      <c r="B3230" s="32" t="s">
        <v>8337</v>
      </c>
      <c r="C3230" s="35">
        <v>57.77470016</v>
      </c>
      <c r="D3230" s="35">
        <v>11.87040043</v>
      </c>
      <c r="E3230" s="32" t="s">
        <v>347</v>
      </c>
      <c r="F3230" s="32" t="s">
        <v>8247</v>
      </c>
      <c r="G3230" s="36" t="e">
        <v>#N/A</v>
      </c>
      <c r="H3230" s="33"/>
      <c r="I3230" s="33"/>
      <c r="J3230" s="33"/>
      <c r="K3230" s="33"/>
      <c r="L3230" s="33"/>
      <c r="M3230" s="33"/>
    </row>
    <row r="3231">
      <c r="A3231" s="32" t="s">
        <v>8338</v>
      </c>
      <c r="B3231" s="32" t="s">
        <v>8339</v>
      </c>
      <c r="C3231" s="35">
        <v>36.09780121</v>
      </c>
      <c r="D3231" s="35">
        <v>-79.93730164</v>
      </c>
      <c r="E3231" s="32" t="s">
        <v>180</v>
      </c>
      <c r="F3231" s="32" t="s">
        <v>8340</v>
      </c>
      <c r="G3231" s="39" t="s">
        <v>181</v>
      </c>
      <c r="H3231" s="33"/>
      <c r="I3231" s="33"/>
      <c r="J3231" s="33"/>
      <c r="K3231" s="33"/>
      <c r="L3231" s="33"/>
      <c r="M3231" s="33"/>
    </row>
    <row r="3232">
      <c r="A3232" s="32" t="s">
        <v>8341</v>
      </c>
      <c r="B3232" s="32" t="s">
        <v>8342</v>
      </c>
      <c r="C3232" s="35">
        <v>34.89569855</v>
      </c>
      <c r="D3232" s="35">
        <v>-82.21890259</v>
      </c>
      <c r="E3232" s="32" t="s">
        <v>180</v>
      </c>
      <c r="F3232" s="32" t="s">
        <v>6164</v>
      </c>
      <c r="G3232" s="39" t="s">
        <v>181</v>
      </c>
      <c r="H3232" s="33"/>
      <c r="I3232" s="33"/>
      <c r="J3232" s="33"/>
      <c r="K3232" s="33"/>
      <c r="L3232" s="33"/>
      <c r="M3232" s="33"/>
    </row>
    <row r="3233">
      <c r="A3233" s="32" t="s">
        <v>8343</v>
      </c>
      <c r="B3233" s="32" t="s">
        <v>8344</v>
      </c>
      <c r="C3233" s="35">
        <v>22.58569908</v>
      </c>
      <c r="D3233" s="35">
        <v>28.71660042</v>
      </c>
      <c r="E3233" s="32" t="s">
        <v>15</v>
      </c>
      <c r="F3233" s="32" t="s">
        <v>8345</v>
      </c>
      <c r="G3233" s="36" t="e">
        <v>#N/A</v>
      </c>
      <c r="H3233" s="33"/>
      <c r="I3233" s="33"/>
      <c r="J3233" s="33"/>
      <c r="K3233" s="33"/>
      <c r="L3233" s="33"/>
      <c r="M3233" s="33"/>
    </row>
    <row r="3234">
      <c r="A3234" s="32" t="s">
        <v>8346</v>
      </c>
      <c r="B3234" s="32" t="s">
        <v>8347</v>
      </c>
      <c r="C3234" s="35">
        <v>58.4253006</v>
      </c>
      <c r="D3234" s="35">
        <v>-135.7070007</v>
      </c>
      <c r="E3234" s="32" t="s">
        <v>180</v>
      </c>
      <c r="F3234" s="32" t="s">
        <v>8348</v>
      </c>
      <c r="G3234" s="39" t="s">
        <v>181</v>
      </c>
      <c r="H3234" s="33"/>
      <c r="I3234" s="33"/>
      <c r="J3234" s="33"/>
      <c r="K3234" s="33"/>
      <c r="L3234" s="33"/>
      <c r="M3234" s="33"/>
    </row>
    <row r="3235">
      <c r="A3235" s="32" t="s">
        <v>8349</v>
      </c>
      <c r="B3235" s="32" t="s">
        <v>8350</v>
      </c>
      <c r="C3235" s="35">
        <v>44.05559921</v>
      </c>
      <c r="D3235" s="35">
        <v>-75.71949768</v>
      </c>
      <c r="E3235" s="32" t="s">
        <v>180</v>
      </c>
      <c r="F3235" s="32" t="s">
        <v>8351</v>
      </c>
      <c r="G3235" s="39" t="s">
        <v>181</v>
      </c>
      <c r="H3235" s="33"/>
      <c r="I3235" s="33"/>
      <c r="J3235" s="33"/>
      <c r="K3235" s="33"/>
      <c r="L3235" s="33"/>
      <c r="M3235" s="33"/>
    </row>
    <row r="3236">
      <c r="A3236" s="32" t="s">
        <v>8352</v>
      </c>
      <c r="B3236" s="32" t="s">
        <v>8353</v>
      </c>
      <c r="C3236" s="35">
        <v>-13.97500038</v>
      </c>
      <c r="D3236" s="35">
        <v>136.4600067</v>
      </c>
      <c r="E3236" s="32" t="s">
        <v>1968</v>
      </c>
      <c r="F3236" s="32" t="s">
        <v>8354</v>
      </c>
      <c r="G3236" s="36" t="e">
        <v>#N/A</v>
      </c>
      <c r="H3236" s="33"/>
      <c r="I3236" s="33"/>
      <c r="J3236" s="33"/>
      <c r="K3236" s="33"/>
      <c r="L3236" s="33"/>
      <c r="M3236" s="33"/>
    </row>
    <row r="3237">
      <c r="A3237" s="32" t="s">
        <v>8355</v>
      </c>
      <c r="B3237" s="32" t="s">
        <v>8356</v>
      </c>
      <c r="C3237" s="35">
        <v>47.48199844</v>
      </c>
      <c r="D3237" s="35">
        <v>-111.3710022</v>
      </c>
      <c r="E3237" s="32" t="s">
        <v>180</v>
      </c>
      <c r="F3237" s="32" t="s">
        <v>8357</v>
      </c>
      <c r="G3237" s="39" t="s">
        <v>181</v>
      </c>
      <c r="H3237" s="33"/>
      <c r="I3237" s="33"/>
      <c r="J3237" s="33"/>
      <c r="K3237" s="33"/>
      <c r="L3237" s="33"/>
      <c r="M3237" s="33"/>
    </row>
    <row r="3238">
      <c r="A3238" s="32" t="s">
        <v>8358</v>
      </c>
      <c r="B3238" s="32" t="s">
        <v>8359</v>
      </c>
      <c r="C3238" s="35">
        <v>54.3833313</v>
      </c>
      <c r="D3238" s="35">
        <v>13.3255558</v>
      </c>
      <c r="E3238" s="32" t="s">
        <v>109</v>
      </c>
      <c r="F3238" s="32" t="s">
        <v>8360</v>
      </c>
      <c r="G3238" s="39" t="s">
        <v>110</v>
      </c>
      <c r="H3238" s="33"/>
      <c r="I3238" s="33"/>
      <c r="J3238" s="33"/>
      <c r="K3238" s="33"/>
      <c r="L3238" s="33"/>
      <c r="M3238" s="33"/>
    </row>
    <row r="3239">
      <c r="A3239" s="32" t="s">
        <v>8361</v>
      </c>
      <c r="B3239" s="32" t="s">
        <v>8362</v>
      </c>
      <c r="C3239" s="35">
        <v>0.637118995</v>
      </c>
      <c r="D3239" s="35">
        <v>122.8499985</v>
      </c>
      <c r="E3239" s="32" t="s">
        <v>280</v>
      </c>
      <c r="F3239" s="32" t="s">
        <v>8363</v>
      </c>
      <c r="G3239" s="36" t="e">
        <v>#N/A</v>
      </c>
      <c r="H3239" s="33"/>
      <c r="I3239" s="33"/>
      <c r="J3239" s="33"/>
      <c r="K3239" s="33"/>
      <c r="L3239" s="33"/>
      <c r="M3239" s="33"/>
    </row>
    <row r="3240">
      <c r="A3240" s="32" t="s">
        <v>8364</v>
      </c>
      <c r="B3240" s="32" t="s">
        <v>8365</v>
      </c>
      <c r="C3240" s="35">
        <v>33.45029831</v>
      </c>
      <c r="D3240" s="35">
        <v>-88.59140015</v>
      </c>
      <c r="E3240" s="32" t="s">
        <v>180</v>
      </c>
      <c r="F3240" s="32" t="s">
        <v>8366</v>
      </c>
      <c r="G3240" s="39" t="s">
        <v>181</v>
      </c>
      <c r="H3240" s="33"/>
      <c r="I3240" s="33"/>
      <c r="J3240" s="33"/>
      <c r="K3240" s="33"/>
      <c r="L3240" s="33"/>
      <c r="M3240" s="33"/>
    </row>
    <row r="3241">
      <c r="A3241" s="32" t="s">
        <v>8367</v>
      </c>
      <c r="B3241" s="32" t="s">
        <v>8368</v>
      </c>
      <c r="C3241" s="35">
        <v>30.67880058</v>
      </c>
      <c r="D3241" s="35">
        <v>-97.67939758</v>
      </c>
      <c r="E3241" s="32" t="s">
        <v>180</v>
      </c>
      <c r="F3241" s="32" t="s">
        <v>2120</v>
      </c>
      <c r="G3241" s="39" t="s">
        <v>181</v>
      </c>
      <c r="H3241" s="33"/>
      <c r="I3241" s="33"/>
      <c r="J3241" s="33"/>
      <c r="K3241" s="33"/>
      <c r="L3241" s="33"/>
      <c r="M3241" s="33"/>
    </row>
    <row r="3242">
      <c r="A3242" s="32" t="s">
        <v>8369</v>
      </c>
      <c r="B3242" s="32" t="s">
        <v>8370</v>
      </c>
      <c r="C3242" s="35">
        <v>14.58329964</v>
      </c>
      <c r="D3242" s="35">
        <v>-90.52749634</v>
      </c>
      <c r="E3242" s="32" t="s">
        <v>1238</v>
      </c>
      <c r="F3242" s="32" t="s">
        <v>8371</v>
      </c>
      <c r="G3242" s="36" t="e">
        <v>#N/A</v>
      </c>
      <c r="H3242" s="33"/>
      <c r="I3242" s="33"/>
      <c r="J3242" s="33"/>
      <c r="K3242" s="33"/>
      <c r="L3242" s="33"/>
      <c r="M3242" s="33"/>
    </row>
    <row r="3243">
      <c r="A3243" s="32" t="s">
        <v>8372</v>
      </c>
      <c r="B3243" s="32" t="s">
        <v>8373</v>
      </c>
      <c r="C3243" s="35">
        <v>28.02610016</v>
      </c>
      <c r="D3243" s="35">
        <v>-114.0240021</v>
      </c>
      <c r="E3243" s="32" t="s">
        <v>186</v>
      </c>
      <c r="F3243" s="32" t="s">
        <v>8374</v>
      </c>
      <c r="G3243" s="39" t="s">
        <v>187</v>
      </c>
      <c r="H3243" s="33"/>
      <c r="I3243" s="33"/>
      <c r="J3243" s="33"/>
      <c r="K3243" s="33"/>
      <c r="L3243" s="33"/>
      <c r="M3243" s="33"/>
    </row>
    <row r="3244">
      <c r="A3244" s="32" t="s">
        <v>8375</v>
      </c>
      <c r="B3244" s="32" t="s">
        <v>8376</v>
      </c>
      <c r="C3244" s="35">
        <v>38.53390121</v>
      </c>
      <c r="D3244" s="35">
        <v>-106.9329987</v>
      </c>
      <c r="E3244" s="32" t="s">
        <v>180</v>
      </c>
      <c r="F3244" s="32" t="s">
        <v>8377</v>
      </c>
      <c r="G3244" s="39" t="s">
        <v>181</v>
      </c>
      <c r="H3244" s="33"/>
      <c r="I3244" s="33"/>
      <c r="J3244" s="33"/>
      <c r="K3244" s="33"/>
      <c r="L3244" s="33"/>
      <c r="M3244" s="33"/>
    </row>
    <row r="3245">
      <c r="A3245" s="32" t="s">
        <v>8378</v>
      </c>
      <c r="B3245" s="32" t="s">
        <v>8379</v>
      </c>
      <c r="C3245" s="35">
        <v>-30.96109962</v>
      </c>
      <c r="D3245" s="35">
        <v>150.2510071</v>
      </c>
      <c r="E3245" s="32" t="s">
        <v>1968</v>
      </c>
      <c r="F3245" s="33"/>
      <c r="G3245" s="36" t="e">
        <v>#N/A</v>
      </c>
      <c r="H3245" s="33"/>
      <c r="I3245" s="33"/>
      <c r="J3245" s="33"/>
      <c r="K3245" s="33"/>
      <c r="L3245" s="33"/>
      <c r="M3245" s="33"/>
    </row>
    <row r="3246">
      <c r="A3246" s="32" t="s">
        <v>8380</v>
      </c>
      <c r="B3246" s="32" t="s">
        <v>8381</v>
      </c>
      <c r="C3246" s="35">
        <v>10.57407761</v>
      </c>
      <c r="D3246" s="35">
        <v>-62.31266785</v>
      </c>
      <c r="E3246" s="32" t="s">
        <v>315</v>
      </c>
      <c r="F3246" s="32" t="s">
        <v>8382</v>
      </c>
      <c r="G3246" s="36" t="e">
        <v>#N/A</v>
      </c>
      <c r="H3246" s="33"/>
      <c r="I3246" s="33"/>
      <c r="J3246" s="33"/>
      <c r="K3246" s="33"/>
      <c r="L3246" s="33"/>
      <c r="M3246" s="33"/>
    </row>
    <row r="3247">
      <c r="A3247" s="32" t="s">
        <v>8383</v>
      </c>
      <c r="B3247" s="32" t="s">
        <v>8384</v>
      </c>
      <c r="C3247" s="35">
        <v>-34.81029892</v>
      </c>
      <c r="D3247" s="35">
        <v>149.7259979</v>
      </c>
      <c r="E3247" s="32" t="s">
        <v>1968</v>
      </c>
      <c r="F3247" s="32" t="s">
        <v>8385</v>
      </c>
      <c r="G3247" s="36" t="e">
        <v>#N/A</v>
      </c>
      <c r="H3247" s="33"/>
      <c r="I3247" s="33"/>
      <c r="J3247" s="33"/>
      <c r="K3247" s="33"/>
      <c r="L3247" s="33"/>
      <c r="M3247" s="33"/>
    </row>
    <row r="3248">
      <c r="A3248" s="32" t="s">
        <v>8386</v>
      </c>
      <c r="B3248" s="32" t="s">
        <v>8387</v>
      </c>
      <c r="C3248" s="35">
        <v>13.48340034</v>
      </c>
      <c r="D3248" s="35">
        <v>144.7960052</v>
      </c>
      <c r="E3248" s="32" t="s">
        <v>8388</v>
      </c>
      <c r="F3248" s="32" t="s">
        <v>8389</v>
      </c>
      <c r="G3248" s="36" t="e">
        <v>#N/A</v>
      </c>
      <c r="H3248" s="33"/>
      <c r="I3248" s="33"/>
      <c r="J3248" s="33"/>
      <c r="K3248" s="33"/>
      <c r="L3248" s="33"/>
      <c r="M3248" s="33"/>
    </row>
    <row r="3249">
      <c r="A3249" s="32" t="s">
        <v>8390</v>
      </c>
      <c r="B3249" s="32" t="s">
        <v>8391</v>
      </c>
      <c r="C3249" s="35">
        <v>35.51110077</v>
      </c>
      <c r="D3249" s="35">
        <v>-108.7890015</v>
      </c>
      <c r="E3249" s="32" t="s">
        <v>180</v>
      </c>
      <c r="F3249" s="32" t="s">
        <v>8392</v>
      </c>
      <c r="G3249" s="39" t="s">
        <v>181</v>
      </c>
      <c r="H3249" s="33"/>
      <c r="I3249" s="33"/>
      <c r="J3249" s="33"/>
      <c r="K3249" s="33"/>
      <c r="L3249" s="33"/>
      <c r="M3249" s="33"/>
    </row>
    <row r="3250">
      <c r="A3250" s="32" t="s">
        <v>8393</v>
      </c>
      <c r="B3250" s="32" t="s">
        <v>8394</v>
      </c>
      <c r="C3250" s="35">
        <v>9.02694416</v>
      </c>
      <c r="D3250" s="35">
        <v>-69.75514984</v>
      </c>
      <c r="E3250" s="32" t="s">
        <v>315</v>
      </c>
      <c r="F3250" s="32" t="s">
        <v>8395</v>
      </c>
      <c r="G3250" s="36" t="e">
        <v>#N/A</v>
      </c>
      <c r="H3250" s="33"/>
      <c r="I3250" s="33"/>
      <c r="J3250" s="33"/>
      <c r="K3250" s="33"/>
      <c r="L3250" s="33"/>
      <c r="M3250" s="33"/>
    </row>
    <row r="3251">
      <c r="A3251" s="32" t="s">
        <v>8396</v>
      </c>
      <c r="B3251" s="32" t="s">
        <v>8397</v>
      </c>
      <c r="C3251" s="35">
        <v>-10.3114996</v>
      </c>
      <c r="D3251" s="35">
        <v>150.3339996</v>
      </c>
      <c r="E3251" s="32" t="s">
        <v>5289</v>
      </c>
      <c r="F3251" s="32" t="s">
        <v>8398</v>
      </c>
      <c r="G3251" s="36" t="e">
        <v>#N/A</v>
      </c>
      <c r="H3251" s="33"/>
      <c r="I3251" s="33"/>
      <c r="J3251" s="33"/>
      <c r="K3251" s="33"/>
      <c r="L3251" s="33"/>
      <c r="M3251" s="33"/>
    </row>
    <row r="3252">
      <c r="A3252" s="32" t="s">
        <v>8399</v>
      </c>
      <c r="B3252" s="32" t="s">
        <v>8400</v>
      </c>
      <c r="C3252" s="35">
        <v>40.64810181</v>
      </c>
      <c r="D3252" s="35">
        <v>-86.15209961</v>
      </c>
      <c r="E3252" s="32" t="s">
        <v>180</v>
      </c>
      <c r="F3252" s="32" t="s">
        <v>307</v>
      </c>
      <c r="G3252" s="39" t="s">
        <v>181</v>
      </c>
      <c r="H3252" s="33"/>
      <c r="I3252" s="33"/>
      <c r="J3252" s="33"/>
      <c r="K3252" s="33"/>
      <c r="L3252" s="33"/>
      <c r="M3252" s="33"/>
    </row>
    <row r="3253">
      <c r="A3253" s="32" t="s">
        <v>8401</v>
      </c>
      <c r="B3253" s="32" t="s">
        <v>8402</v>
      </c>
      <c r="C3253" s="35">
        <v>51.922798</v>
      </c>
      <c r="D3253" s="35">
        <v>8.30633</v>
      </c>
      <c r="E3253" s="32" t="s">
        <v>109</v>
      </c>
      <c r="F3253" s="32" t="s">
        <v>8403</v>
      </c>
      <c r="G3253" s="39" t="s">
        <v>110</v>
      </c>
      <c r="H3253" s="33"/>
      <c r="I3253" s="33"/>
      <c r="J3253" s="33"/>
      <c r="K3253" s="33"/>
      <c r="L3253" s="33"/>
      <c r="M3253" s="33"/>
    </row>
    <row r="3254">
      <c r="A3254" s="32" t="s">
        <v>8404</v>
      </c>
      <c r="B3254" s="32" t="s">
        <v>8405</v>
      </c>
      <c r="C3254" s="35">
        <v>47.12189865</v>
      </c>
      <c r="D3254" s="35">
        <v>51.82139969</v>
      </c>
      <c r="E3254" s="32" t="s">
        <v>2817</v>
      </c>
      <c r="F3254" s="32" t="s">
        <v>8406</v>
      </c>
      <c r="G3254" s="36" t="e">
        <v>#N/A</v>
      </c>
      <c r="H3254" s="33"/>
      <c r="I3254" s="33"/>
      <c r="J3254" s="33"/>
      <c r="K3254" s="33"/>
      <c r="L3254" s="33"/>
      <c r="M3254" s="33"/>
    </row>
    <row r="3255">
      <c r="A3255" s="32" t="s">
        <v>8407</v>
      </c>
      <c r="B3255" s="32" t="s">
        <v>8408</v>
      </c>
      <c r="C3255" s="35">
        <v>36.68510056</v>
      </c>
      <c r="D3255" s="35">
        <v>-101.5080032</v>
      </c>
      <c r="E3255" s="32" t="s">
        <v>180</v>
      </c>
      <c r="F3255" s="32" t="s">
        <v>8409</v>
      </c>
      <c r="G3255" s="39" t="s">
        <v>181</v>
      </c>
      <c r="H3255" s="33"/>
      <c r="I3255" s="33"/>
      <c r="J3255" s="33"/>
      <c r="K3255" s="33"/>
      <c r="L3255" s="33"/>
      <c r="M3255" s="33"/>
    </row>
    <row r="3256">
      <c r="A3256" s="32" t="s">
        <v>8410</v>
      </c>
      <c r="B3256" s="32" t="s">
        <v>8411</v>
      </c>
      <c r="C3256" s="35">
        <v>-20.64649963</v>
      </c>
      <c r="D3256" s="35">
        <v>-40.4919014</v>
      </c>
      <c r="E3256" s="32" t="s">
        <v>288</v>
      </c>
      <c r="F3256" s="32" t="s">
        <v>8412</v>
      </c>
      <c r="G3256" s="36" t="e">
        <v>#N/A</v>
      </c>
      <c r="H3256" s="33"/>
      <c r="I3256" s="33"/>
      <c r="J3256" s="33"/>
      <c r="K3256" s="33"/>
      <c r="L3256" s="33"/>
      <c r="M3256" s="33"/>
    </row>
    <row r="3257">
      <c r="A3257" s="32" t="s">
        <v>8413</v>
      </c>
      <c r="B3257" s="32" t="s">
        <v>8414</v>
      </c>
      <c r="C3257" s="35">
        <v>46.23809814</v>
      </c>
      <c r="D3257" s="35">
        <v>6.108950138</v>
      </c>
      <c r="E3257" s="32" t="s">
        <v>1180</v>
      </c>
      <c r="F3257" s="32" t="s">
        <v>8415</v>
      </c>
      <c r="G3257" s="36" t="e">
        <v>#N/A</v>
      </c>
      <c r="H3257" s="33"/>
      <c r="I3257" s="33"/>
      <c r="J3257" s="33"/>
      <c r="K3257" s="33"/>
      <c r="L3257" s="33"/>
      <c r="M3257" s="33"/>
    </row>
    <row r="3258">
      <c r="A3258" s="32" t="s">
        <v>8416</v>
      </c>
      <c r="B3258" s="32" t="s">
        <v>8417</v>
      </c>
      <c r="C3258" s="35">
        <v>34.27259827</v>
      </c>
      <c r="D3258" s="35">
        <v>-83.8302002</v>
      </c>
      <c r="E3258" s="32" t="s">
        <v>180</v>
      </c>
      <c r="F3258" s="32" t="s">
        <v>8208</v>
      </c>
      <c r="G3258" s="39" t="s">
        <v>181</v>
      </c>
      <c r="H3258" s="33"/>
      <c r="I3258" s="33"/>
      <c r="J3258" s="33"/>
      <c r="K3258" s="33"/>
      <c r="L3258" s="33"/>
      <c r="M3258" s="33"/>
    </row>
    <row r="3259">
      <c r="A3259" s="32" t="s">
        <v>8418</v>
      </c>
      <c r="B3259" s="32" t="s">
        <v>8419</v>
      </c>
      <c r="C3259" s="35">
        <v>48.92699814</v>
      </c>
      <c r="D3259" s="35">
        <v>140.0339966</v>
      </c>
      <c r="E3259" s="32" t="s">
        <v>2040</v>
      </c>
      <c r="F3259" s="32" t="s">
        <v>3279</v>
      </c>
      <c r="G3259" s="36" t="e">
        <v>#N/A</v>
      </c>
      <c r="H3259" s="33"/>
      <c r="I3259" s="33"/>
      <c r="J3259" s="33"/>
      <c r="K3259" s="33"/>
      <c r="L3259" s="33"/>
      <c r="M3259" s="33"/>
    </row>
    <row r="3260">
      <c r="A3260" s="32" t="s">
        <v>8420</v>
      </c>
      <c r="B3260" s="32" t="s">
        <v>8421</v>
      </c>
      <c r="C3260" s="35">
        <v>43.03170013</v>
      </c>
      <c r="D3260" s="35">
        <v>-78.16760254</v>
      </c>
      <c r="E3260" s="32" t="s">
        <v>180</v>
      </c>
      <c r="F3260" s="32" t="s">
        <v>8422</v>
      </c>
      <c r="G3260" s="39" t="s">
        <v>181</v>
      </c>
      <c r="H3260" s="33"/>
      <c r="I3260" s="33"/>
      <c r="J3260" s="33"/>
      <c r="K3260" s="33"/>
      <c r="L3260" s="33"/>
      <c r="M3260" s="33"/>
    </row>
    <row r="3261">
      <c r="A3261" s="32" t="s">
        <v>8423</v>
      </c>
      <c r="B3261" s="32" t="s">
        <v>8424</v>
      </c>
      <c r="C3261" s="35">
        <v>-18.89520073</v>
      </c>
      <c r="D3261" s="35">
        <v>-41.98220062</v>
      </c>
      <c r="E3261" s="32" t="s">
        <v>288</v>
      </c>
      <c r="F3261" s="32" t="s">
        <v>8425</v>
      </c>
      <c r="G3261" s="36" t="e">
        <v>#N/A</v>
      </c>
      <c r="H3261" s="33"/>
      <c r="I3261" s="33"/>
      <c r="J3261" s="33"/>
      <c r="K3261" s="33"/>
      <c r="L3261" s="33"/>
      <c r="M3261" s="33"/>
    </row>
    <row r="3262">
      <c r="A3262" s="32" t="s">
        <v>8426</v>
      </c>
      <c r="B3262" s="32" t="s">
        <v>8427</v>
      </c>
      <c r="C3262" s="35">
        <v>33.06779861</v>
      </c>
      <c r="D3262" s="35">
        <v>-96.06529999</v>
      </c>
      <c r="E3262" s="32" t="s">
        <v>180</v>
      </c>
      <c r="F3262" s="32" t="s">
        <v>8428</v>
      </c>
      <c r="G3262" s="39" t="s">
        <v>181</v>
      </c>
      <c r="H3262" s="33"/>
      <c r="I3262" s="33"/>
      <c r="J3262" s="33"/>
      <c r="K3262" s="33"/>
      <c r="L3262" s="33"/>
      <c r="M3262" s="33"/>
    </row>
    <row r="3263">
      <c r="A3263" s="32" t="s">
        <v>8429</v>
      </c>
      <c r="B3263" s="32" t="s">
        <v>8430</v>
      </c>
      <c r="C3263" s="35">
        <v>60.59329987</v>
      </c>
      <c r="D3263" s="35">
        <v>16.95140076</v>
      </c>
      <c r="E3263" s="32" t="s">
        <v>347</v>
      </c>
      <c r="F3263" s="32" t="s">
        <v>8431</v>
      </c>
      <c r="G3263" s="36" t="e">
        <v>#N/A</v>
      </c>
      <c r="H3263" s="33"/>
      <c r="I3263" s="33"/>
      <c r="J3263" s="33"/>
      <c r="K3263" s="33"/>
      <c r="L3263" s="33"/>
      <c r="M3263" s="33"/>
    </row>
    <row r="3264">
      <c r="A3264" s="32" t="s">
        <v>8432</v>
      </c>
      <c r="B3264" s="32" t="s">
        <v>8433</v>
      </c>
      <c r="C3264" s="35">
        <v>25.23329926</v>
      </c>
      <c r="D3264" s="35">
        <v>62.32949829</v>
      </c>
      <c r="E3264" s="32" t="s">
        <v>1470</v>
      </c>
      <c r="F3264" s="32" t="s">
        <v>8434</v>
      </c>
      <c r="G3264" s="36" t="e">
        <v>#N/A</v>
      </c>
      <c r="H3264" s="33"/>
      <c r="I3264" s="33"/>
      <c r="J3264" s="33"/>
      <c r="K3264" s="33"/>
      <c r="L3264" s="33"/>
      <c r="M3264" s="33"/>
    </row>
    <row r="3265">
      <c r="A3265" s="32" t="s">
        <v>8435</v>
      </c>
      <c r="B3265" s="32" t="s">
        <v>8436</v>
      </c>
      <c r="C3265" s="35">
        <v>-19.43639946</v>
      </c>
      <c r="D3265" s="35">
        <v>29.86190033</v>
      </c>
      <c r="E3265" s="32" t="s">
        <v>785</v>
      </c>
      <c r="F3265" s="32" t="s">
        <v>8437</v>
      </c>
      <c r="G3265" s="36" t="e">
        <v>#N/A</v>
      </c>
      <c r="H3265" s="33"/>
      <c r="I3265" s="33"/>
      <c r="J3265" s="33"/>
      <c r="K3265" s="33"/>
      <c r="L3265" s="33"/>
      <c r="M3265" s="33"/>
    </row>
    <row r="3266">
      <c r="A3266" s="32" t="s">
        <v>8438</v>
      </c>
      <c r="B3266" s="32" t="s">
        <v>8439</v>
      </c>
      <c r="C3266" s="35">
        <v>26.29330063</v>
      </c>
      <c r="D3266" s="35">
        <v>78.22779846</v>
      </c>
      <c r="E3266" s="32" t="s">
        <v>217</v>
      </c>
      <c r="F3266" s="32" t="s">
        <v>8440</v>
      </c>
      <c r="G3266" s="39" t="s">
        <v>218</v>
      </c>
      <c r="H3266" s="33"/>
      <c r="I3266" s="33"/>
      <c r="J3266" s="33"/>
      <c r="K3266" s="33"/>
      <c r="L3266" s="33"/>
      <c r="M3266" s="33"/>
    </row>
    <row r="3267">
      <c r="A3267" s="32" t="s">
        <v>8441</v>
      </c>
      <c r="B3267" s="32" t="s">
        <v>8442</v>
      </c>
      <c r="C3267" s="35">
        <v>33.49430084</v>
      </c>
      <c r="D3267" s="35">
        <v>-90.08470154</v>
      </c>
      <c r="E3267" s="32" t="s">
        <v>180</v>
      </c>
      <c r="F3267" s="32" t="s">
        <v>8443</v>
      </c>
      <c r="G3267" s="39" t="s">
        <v>181</v>
      </c>
      <c r="H3267" s="33"/>
      <c r="I3267" s="33"/>
      <c r="J3267" s="33"/>
      <c r="K3267" s="33"/>
      <c r="L3267" s="33"/>
      <c r="M3267" s="33"/>
    </row>
    <row r="3268">
      <c r="A3268" s="32" t="s">
        <v>8444</v>
      </c>
      <c r="B3268" s="32" t="s">
        <v>8445</v>
      </c>
      <c r="C3268" s="35">
        <v>54.91320038</v>
      </c>
      <c r="D3268" s="35">
        <v>8.340470314</v>
      </c>
      <c r="E3268" s="32" t="s">
        <v>109</v>
      </c>
      <c r="F3268" s="32" t="s">
        <v>8446</v>
      </c>
      <c r="G3268" s="39" t="s">
        <v>110</v>
      </c>
      <c r="H3268" s="33"/>
      <c r="I3268" s="33"/>
      <c r="J3268" s="33"/>
      <c r="K3268" s="33"/>
      <c r="L3268" s="33"/>
      <c r="M3268" s="33"/>
    </row>
    <row r="3269">
      <c r="A3269" s="32" t="s">
        <v>8447</v>
      </c>
      <c r="B3269" s="32" t="s">
        <v>8448</v>
      </c>
      <c r="C3269" s="35">
        <v>53.30020142</v>
      </c>
      <c r="D3269" s="35">
        <v>-8.941590309</v>
      </c>
      <c r="E3269" s="32" t="s">
        <v>199</v>
      </c>
      <c r="F3269" s="32" t="s">
        <v>8449</v>
      </c>
      <c r="G3269" s="39" t="s">
        <v>200</v>
      </c>
      <c r="H3269" s="33"/>
      <c r="I3269" s="33"/>
      <c r="J3269" s="33"/>
      <c r="K3269" s="33"/>
      <c r="L3269" s="33"/>
      <c r="M3269" s="33"/>
    </row>
    <row r="3270">
      <c r="A3270" s="32" t="s">
        <v>8450</v>
      </c>
      <c r="B3270" s="32" t="s">
        <v>8451</v>
      </c>
      <c r="C3270" s="35">
        <v>15.96609974</v>
      </c>
      <c r="D3270" s="35">
        <v>48.78829956</v>
      </c>
      <c r="E3270" s="32" t="s">
        <v>2020</v>
      </c>
      <c r="F3270" s="32" t="s">
        <v>8452</v>
      </c>
      <c r="G3270" s="36" t="e">
        <v>#N/A</v>
      </c>
      <c r="H3270" s="33"/>
      <c r="I3270" s="33"/>
      <c r="J3270" s="33"/>
      <c r="K3270" s="33"/>
      <c r="L3270" s="33"/>
      <c r="M3270" s="33"/>
    </row>
    <row r="3271">
      <c r="A3271" s="32" t="s">
        <v>8453</v>
      </c>
      <c r="B3271" s="32" t="s">
        <v>8454</v>
      </c>
      <c r="C3271" s="35">
        <v>-7.754509926</v>
      </c>
      <c r="D3271" s="35">
        <v>15.2876997</v>
      </c>
      <c r="E3271" s="32" t="s">
        <v>764</v>
      </c>
      <c r="F3271" s="32" t="s">
        <v>8455</v>
      </c>
      <c r="G3271" s="36" t="e">
        <v>#N/A</v>
      </c>
      <c r="H3271" s="33"/>
      <c r="I3271" s="33"/>
      <c r="J3271" s="33"/>
      <c r="K3271" s="33"/>
      <c r="L3271" s="33"/>
      <c r="M3271" s="33"/>
    </row>
    <row r="3272">
      <c r="A3272" s="32" t="s">
        <v>8456</v>
      </c>
      <c r="B3272" s="32" t="s">
        <v>8457</v>
      </c>
      <c r="C3272" s="35">
        <v>34.8105</v>
      </c>
      <c r="D3272" s="35">
        <v>102.6447</v>
      </c>
      <c r="E3272" s="32" t="s">
        <v>205</v>
      </c>
      <c r="F3272" s="32" t="s">
        <v>8458</v>
      </c>
      <c r="G3272" s="39" t="s">
        <v>206</v>
      </c>
      <c r="H3272" s="33"/>
      <c r="I3272" s="33"/>
      <c r="J3272" s="33"/>
      <c r="K3272" s="33"/>
      <c r="L3272" s="33"/>
      <c r="M3272" s="33"/>
    </row>
    <row r="3273">
      <c r="A3273" s="32" t="s">
        <v>8459</v>
      </c>
      <c r="B3273" s="32" t="s">
        <v>8460</v>
      </c>
      <c r="C3273" s="35">
        <v>-45.59420013</v>
      </c>
      <c r="D3273" s="35">
        <v>-72.10610199</v>
      </c>
      <c r="E3273" s="32" t="s">
        <v>300</v>
      </c>
      <c r="F3273" s="32" t="s">
        <v>8461</v>
      </c>
      <c r="G3273" s="36" t="e">
        <v>#N/A</v>
      </c>
      <c r="H3273" s="33"/>
      <c r="I3273" s="33"/>
      <c r="J3273" s="33"/>
      <c r="K3273" s="33"/>
      <c r="L3273" s="33"/>
      <c r="M3273" s="33"/>
    </row>
    <row r="3274">
      <c r="A3274" s="32" t="s">
        <v>8462</v>
      </c>
      <c r="B3274" s="32" t="s">
        <v>8463</v>
      </c>
      <c r="C3274" s="35">
        <v>40.43740082</v>
      </c>
      <c r="D3274" s="35">
        <v>-104.6330032</v>
      </c>
      <c r="E3274" s="32" t="s">
        <v>180</v>
      </c>
      <c r="F3274" s="32" t="s">
        <v>8464</v>
      </c>
      <c r="G3274" s="39" t="s">
        <v>181</v>
      </c>
      <c r="H3274" s="33"/>
      <c r="I3274" s="33"/>
      <c r="J3274" s="33"/>
      <c r="K3274" s="33"/>
      <c r="L3274" s="33"/>
      <c r="M3274" s="33"/>
    </row>
    <row r="3275">
      <c r="A3275" s="32" t="s">
        <v>8465</v>
      </c>
      <c r="B3275" s="32" t="s">
        <v>8466</v>
      </c>
      <c r="C3275" s="35">
        <v>-10.82059956</v>
      </c>
      <c r="D3275" s="35">
        <v>-65.34559631</v>
      </c>
      <c r="E3275" s="32" t="s">
        <v>323</v>
      </c>
      <c r="F3275" s="32" t="s">
        <v>8467</v>
      </c>
      <c r="G3275" s="36" t="e">
        <v>#N/A</v>
      </c>
      <c r="H3275" s="33"/>
      <c r="I3275" s="33"/>
      <c r="J3275" s="33"/>
      <c r="K3275" s="33"/>
      <c r="L3275" s="33"/>
      <c r="M3275" s="33"/>
    </row>
    <row r="3276">
      <c r="A3276" s="32" t="s">
        <v>8468</v>
      </c>
      <c r="B3276" s="32" t="s">
        <v>8469</v>
      </c>
      <c r="C3276" s="35">
        <v>40.46749878</v>
      </c>
      <c r="D3276" s="35">
        <v>50.04669952</v>
      </c>
      <c r="E3276" s="32" t="s">
        <v>2259</v>
      </c>
      <c r="F3276" s="32" t="s">
        <v>8470</v>
      </c>
      <c r="G3276" s="36" t="e">
        <v>#N/A</v>
      </c>
      <c r="H3276" s="33"/>
      <c r="I3276" s="33"/>
      <c r="J3276" s="33"/>
      <c r="K3276" s="33"/>
      <c r="L3276" s="33"/>
      <c r="M3276" s="33"/>
    </row>
    <row r="3277">
      <c r="A3277" s="32" t="s">
        <v>8471</v>
      </c>
      <c r="B3277" s="32" t="s">
        <v>8472</v>
      </c>
      <c r="C3277" s="35">
        <v>-2.15741992</v>
      </c>
      <c r="D3277" s="35">
        <v>-79.88359833</v>
      </c>
      <c r="E3277" s="32" t="s">
        <v>311</v>
      </c>
      <c r="F3277" s="32" t="s">
        <v>8473</v>
      </c>
      <c r="G3277" s="36" t="e">
        <v>#N/A</v>
      </c>
      <c r="H3277" s="33"/>
      <c r="I3277" s="33"/>
      <c r="J3277" s="33"/>
      <c r="K3277" s="33"/>
      <c r="L3277" s="33"/>
      <c r="M3277" s="33"/>
    </row>
    <row r="3278">
      <c r="A3278" s="32" t="s">
        <v>8474</v>
      </c>
      <c r="B3278" s="32" t="s">
        <v>8475</v>
      </c>
      <c r="C3278" s="35">
        <v>34.75830078</v>
      </c>
      <c r="D3278" s="35">
        <v>-82.37640381</v>
      </c>
      <c r="E3278" s="32" t="s">
        <v>180</v>
      </c>
      <c r="F3278" s="32" t="s">
        <v>6164</v>
      </c>
      <c r="G3278" s="39" t="s">
        <v>181</v>
      </c>
      <c r="H3278" s="33"/>
      <c r="I3278" s="33"/>
      <c r="J3278" s="33"/>
      <c r="K3278" s="33"/>
      <c r="L3278" s="33"/>
      <c r="M3278" s="33"/>
    </row>
    <row r="3279">
      <c r="A3279" s="32" t="s">
        <v>8476</v>
      </c>
      <c r="B3279" s="32" t="s">
        <v>8477</v>
      </c>
      <c r="C3279" s="35">
        <v>-1.67719996</v>
      </c>
      <c r="D3279" s="35">
        <v>29.25889969</v>
      </c>
      <c r="E3279" s="32" t="s">
        <v>8478</v>
      </c>
      <c r="F3279" s="32" t="s">
        <v>8479</v>
      </c>
      <c r="G3279" s="36" t="e">
        <v>#N/A</v>
      </c>
      <c r="H3279" s="33"/>
      <c r="I3279" s="33"/>
      <c r="J3279" s="33"/>
      <c r="K3279" s="33"/>
      <c r="L3279" s="33"/>
      <c r="M3279" s="33"/>
    </row>
    <row r="3280">
      <c r="A3280" s="32" t="s">
        <v>8480</v>
      </c>
      <c r="B3280" s="32" t="s">
        <v>8481</v>
      </c>
      <c r="C3280" s="35">
        <v>-16.6369</v>
      </c>
      <c r="D3280" s="35">
        <v>128.451004</v>
      </c>
      <c r="E3280" s="32" t="s">
        <v>1968</v>
      </c>
      <c r="F3280" s="32" t="s">
        <v>8482</v>
      </c>
      <c r="G3280" s="36" t="e">
        <v>#N/A</v>
      </c>
      <c r="H3280" s="33"/>
      <c r="I3280" s="33"/>
      <c r="J3280" s="33"/>
      <c r="K3280" s="33"/>
      <c r="L3280" s="33"/>
      <c r="M3280" s="33"/>
    </row>
    <row r="3281">
      <c r="A3281" s="32" t="s">
        <v>8483</v>
      </c>
      <c r="B3281" s="32" t="s">
        <v>8484</v>
      </c>
      <c r="C3281" s="35">
        <v>27.96899986</v>
      </c>
      <c r="D3281" s="35">
        <v>-110.9250031</v>
      </c>
      <c r="E3281" s="32" t="s">
        <v>186</v>
      </c>
      <c r="F3281" s="32" t="s">
        <v>8485</v>
      </c>
      <c r="G3281" s="39" t="s">
        <v>187</v>
      </c>
      <c r="H3281" s="33"/>
      <c r="I3281" s="33"/>
      <c r="J3281" s="33"/>
      <c r="K3281" s="33"/>
      <c r="L3281" s="33"/>
      <c r="M3281" s="33"/>
    </row>
    <row r="3282">
      <c r="A3282" s="32" t="s">
        <v>8486</v>
      </c>
      <c r="B3282" s="32" t="s">
        <v>8487</v>
      </c>
      <c r="C3282" s="35">
        <v>-16.63199997</v>
      </c>
      <c r="D3282" s="35">
        <v>-49.22069931</v>
      </c>
      <c r="E3282" s="32" t="s">
        <v>288</v>
      </c>
      <c r="F3282" s="32" t="s">
        <v>8488</v>
      </c>
      <c r="G3282" s="36" t="e">
        <v>#N/A</v>
      </c>
      <c r="H3282" s="33"/>
      <c r="I3282" s="33"/>
      <c r="J3282" s="33"/>
      <c r="K3282" s="33"/>
      <c r="L3282" s="33"/>
      <c r="M3282" s="33"/>
    </row>
    <row r="3283">
      <c r="A3283" s="32" t="s">
        <v>8489</v>
      </c>
      <c r="B3283" s="32" t="s">
        <v>8490</v>
      </c>
      <c r="C3283" s="35">
        <v>32.39110184</v>
      </c>
      <c r="D3283" s="35">
        <v>105.7020035</v>
      </c>
      <c r="E3283" s="32" t="s">
        <v>205</v>
      </c>
      <c r="F3283" s="32" t="s">
        <v>8491</v>
      </c>
      <c r="G3283" s="39" t="s">
        <v>206</v>
      </c>
      <c r="H3283" s="33"/>
      <c r="I3283" s="33"/>
      <c r="J3283" s="33"/>
      <c r="K3283" s="33"/>
      <c r="L3283" s="33"/>
      <c r="M3283" s="33"/>
    </row>
    <row r="3284">
      <c r="A3284" s="32" t="s">
        <v>8492</v>
      </c>
      <c r="B3284" s="32" t="s">
        <v>8493</v>
      </c>
      <c r="C3284" s="35">
        <v>36.07888889</v>
      </c>
      <c r="D3284" s="35">
        <v>106.2169444</v>
      </c>
      <c r="E3284" s="32" t="s">
        <v>205</v>
      </c>
      <c r="F3284" s="32" t="s">
        <v>8494</v>
      </c>
      <c r="G3284" s="39" t="s">
        <v>206</v>
      </c>
      <c r="H3284" s="33"/>
      <c r="I3284" s="33"/>
      <c r="J3284" s="33"/>
      <c r="K3284" s="33"/>
      <c r="L3284" s="33"/>
      <c r="M3284" s="33"/>
    </row>
    <row r="3285">
      <c r="A3285" s="32" t="s">
        <v>8495</v>
      </c>
      <c r="B3285" s="32" t="s">
        <v>8496</v>
      </c>
      <c r="C3285" s="35">
        <v>41.61629868</v>
      </c>
      <c r="D3285" s="35">
        <v>-87.41280365</v>
      </c>
      <c r="E3285" s="32" t="s">
        <v>180</v>
      </c>
      <c r="F3285" s="32" t="s">
        <v>8497</v>
      </c>
      <c r="G3285" s="39" t="s">
        <v>181</v>
      </c>
      <c r="H3285" s="33"/>
      <c r="I3285" s="33"/>
      <c r="J3285" s="33"/>
      <c r="K3285" s="33"/>
      <c r="L3285" s="33"/>
      <c r="M3285" s="33"/>
    </row>
    <row r="3286">
      <c r="A3286" s="32" t="s">
        <v>8498</v>
      </c>
      <c r="B3286" s="32" t="s">
        <v>8499</v>
      </c>
      <c r="C3286" s="35">
        <v>31.24640083</v>
      </c>
      <c r="D3286" s="35">
        <v>34.27610016</v>
      </c>
      <c r="E3286" s="32" t="s">
        <v>8500</v>
      </c>
      <c r="F3286" s="32" t="s">
        <v>8501</v>
      </c>
      <c r="G3286" s="36" t="e">
        <v>#N/A</v>
      </c>
      <c r="H3286" s="33"/>
      <c r="I3286" s="33"/>
      <c r="J3286" s="33"/>
      <c r="K3286" s="33"/>
      <c r="L3286" s="33"/>
      <c r="M3286" s="33"/>
    </row>
    <row r="3287">
      <c r="A3287" s="32" t="s">
        <v>8502</v>
      </c>
      <c r="B3287" s="32" t="s">
        <v>8503</v>
      </c>
      <c r="C3287" s="35">
        <v>36.027199</v>
      </c>
      <c r="D3287" s="35">
        <v>14.2728</v>
      </c>
      <c r="E3287" s="32" t="s">
        <v>8504</v>
      </c>
      <c r="F3287" s="32" t="s">
        <v>8505</v>
      </c>
      <c r="G3287" s="36" t="e">
        <v>#N/A</v>
      </c>
      <c r="H3287" s="33"/>
      <c r="I3287" s="33"/>
      <c r="J3287" s="33"/>
      <c r="K3287" s="33"/>
      <c r="L3287" s="33"/>
      <c r="M3287" s="33"/>
    </row>
    <row r="3288">
      <c r="A3288" s="32" t="s">
        <v>8506</v>
      </c>
      <c r="B3288" s="32" t="s">
        <v>8507</v>
      </c>
      <c r="C3288" s="35">
        <v>-8.097780228</v>
      </c>
      <c r="D3288" s="35">
        <v>156.8639984</v>
      </c>
      <c r="E3288" s="32" t="s">
        <v>3666</v>
      </c>
      <c r="F3288" s="32" t="s">
        <v>8508</v>
      </c>
      <c r="G3288" s="36" t="e">
        <v>#N/A</v>
      </c>
      <c r="H3288" s="33"/>
      <c r="I3288" s="33"/>
      <c r="J3288" s="33"/>
      <c r="K3288" s="33"/>
      <c r="L3288" s="33"/>
      <c r="M3288" s="33"/>
    </row>
    <row r="3289">
      <c r="A3289" s="32" t="s">
        <v>8509</v>
      </c>
      <c r="B3289" s="32" t="s">
        <v>8510</v>
      </c>
      <c r="C3289" s="35">
        <v>36.29921722</v>
      </c>
      <c r="D3289" s="35">
        <v>32.30059814</v>
      </c>
      <c r="E3289" s="32" t="s">
        <v>133</v>
      </c>
      <c r="F3289" s="32" t="s">
        <v>8511</v>
      </c>
      <c r="G3289" s="39" t="s">
        <v>134</v>
      </c>
      <c r="H3289" s="33"/>
      <c r="I3289" s="33"/>
      <c r="J3289" s="33"/>
      <c r="K3289" s="33"/>
      <c r="L3289" s="33"/>
      <c r="M3289" s="33"/>
    </row>
    <row r="3290">
      <c r="A3290" s="32" t="s">
        <v>8512</v>
      </c>
      <c r="B3290" s="32" t="s">
        <v>8513</v>
      </c>
      <c r="C3290" s="35">
        <v>36.94720078</v>
      </c>
      <c r="D3290" s="35">
        <v>37.47869873</v>
      </c>
      <c r="E3290" s="32" t="s">
        <v>133</v>
      </c>
      <c r="F3290" s="32" t="s">
        <v>8514</v>
      </c>
      <c r="G3290" s="39" t="s">
        <v>134</v>
      </c>
      <c r="H3290" s="33"/>
      <c r="I3290" s="33"/>
      <c r="J3290" s="33"/>
      <c r="K3290" s="33"/>
      <c r="L3290" s="33"/>
      <c r="M3290" s="33"/>
    </row>
    <row r="3291">
      <c r="A3291" s="32" t="s">
        <v>8515</v>
      </c>
      <c r="B3291" s="32" t="s">
        <v>8516</v>
      </c>
      <c r="C3291" s="35">
        <v>70.48670197</v>
      </c>
      <c r="D3291" s="35">
        <v>22.13969994</v>
      </c>
      <c r="E3291" s="32" t="s">
        <v>343</v>
      </c>
      <c r="F3291" s="32" t="s">
        <v>8517</v>
      </c>
      <c r="G3291" s="36" t="e">
        <v>#N/A</v>
      </c>
      <c r="H3291" s="33"/>
      <c r="I3291" s="33"/>
      <c r="J3291" s="33"/>
      <c r="K3291" s="33"/>
      <c r="L3291" s="33"/>
      <c r="M3291" s="33"/>
    </row>
    <row r="3292">
      <c r="A3292" s="32" t="s">
        <v>8518</v>
      </c>
      <c r="B3292" s="32" t="s">
        <v>8519</v>
      </c>
      <c r="C3292" s="35">
        <v>33.11500168</v>
      </c>
      <c r="D3292" s="35">
        <v>139.7859955</v>
      </c>
      <c r="E3292" s="32" t="s">
        <v>170</v>
      </c>
      <c r="F3292" s="32" t="s">
        <v>8520</v>
      </c>
      <c r="G3292" s="39" t="s">
        <v>171</v>
      </c>
      <c r="H3292" s="33"/>
      <c r="I3292" s="33"/>
      <c r="J3292" s="33"/>
      <c r="K3292" s="33"/>
      <c r="L3292" s="33"/>
      <c r="M3292" s="33"/>
    </row>
    <row r="3293">
      <c r="A3293" s="32" t="s">
        <v>8521</v>
      </c>
      <c r="B3293" s="32" t="s">
        <v>8522</v>
      </c>
      <c r="C3293" s="35">
        <v>56.69110107</v>
      </c>
      <c r="D3293" s="35">
        <v>12.820199970000001</v>
      </c>
      <c r="E3293" s="32" t="s">
        <v>347</v>
      </c>
      <c r="F3293" s="32" t="s">
        <v>8523</v>
      </c>
      <c r="G3293" s="36" t="e">
        <v>#N/A</v>
      </c>
      <c r="H3293" s="33"/>
      <c r="I3293" s="33"/>
      <c r="J3293" s="33"/>
      <c r="K3293" s="33"/>
      <c r="L3293" s="33"/>
      <c r="M3293" s="33"/>
    </row>
    <row r="3294">
      <c r="A3294" s="32" t="s">
        <v>8524</v>
      </c>
      <c r="B3294" s="32" t="s">
        <v>8525</v>
      </c>
      <c r="C3294" s="35">
        <v>37.51340103</v>
      </c>
      <c r="D3294" s="35">
        <v>-122.5009995</v>
      </c>
      <c r="E3294" s="32" t="s">
        <v>180</v>
      </c>
      <c r="F3294" s="32" t="s">
        <v>8526</v>
      </c>
      <c r="G3294" s="39" t="s">
        <v>181</v>
      </c>
      <c r="H3294" s="33"/>
      <c r="I3294" s="33"/>
      <c r="J3294" s="33"/>
      <c r="K3294" s="33"/>
      <c r="L3294" s="33"/>
      <c r="M3294" s="33"/>
    </row>
    <row r="3295">
      <c r="A3295" s="32" t="s">
        <v>8527</v>
      </c>
      <c r="B3295" s="32" t="s">
        <v>8528</v>
      </c>
      <c r="C3295" s="35">
        <v>-11.5337</v>
      </c>
      <c r="D3295" s="35">
        <v>43.2719</v>
      </c>
      <c r="E3295" s="32" t="s">
        <v>3794</v>
      </c>
      <c r="F3295" s="32" t="s">
        <v>8529</v>
      </c>
      <c r="G3295" s="36" t="e">
        <v>#N/A</v>
      </c>
      <c r="H3295" s="33"/>
      <c r="I3295" s="33"/>
      <c r="J3295" s="33"/>
      <c r="K3295" s="33"/>
      <c r="L3295" s="33"/>
      <c r="M3295" s="33"/>
    </row>
    <row r="3296">
      <c r="A3296" s="32" t="s">
        <v>8530</v>
      </c>
      <c r="B3296" s="32" t="s">
        <v>8531</v>
      </c>
      <c r="C3296" s="35">
        <v>52.46110153</v>
      </c>
      <c r="D3296" s="35">
        <v>9.685079575</v>
      </c>
      <c r="E3296" s="32" t="s">
        <v>109</v>
      </c>
      <c r="F3296" s="32" t="s">
        <v>8532</v>
      </c>
      <c r="G3296" s="39" t="s">
        <v>110</v>
      </c>
      <c r="H3296" s="33"/>
      <c r="I3296" s="33"/>
      <c r="J3296" s="33"/>
      <c r="K3296" s="33"/>
      <c r="L3296" s="33"/>
      <c r="M3296" s="33"/>
    </row>
    <row r="3297">
      <c r="A3297" s="32" t="s">
        <v>8533</v>
      </c>
      <c r="B3297" s="32" t="s">
        <v>8534</v>
      </c>
      <c r="C3297" s="35">
        <v>19.93490028</v>
      </c>
      <c r="D3297" s="35">
        <v>110.4589996</v>
      </c>
      <c r="E3297" s="32" t="s">
        <v>205</v>
      </c>
      <c r="F3297" s="32" t="s">
        <v>8535</v>
      </c>
      <c r="G3297" s="39" t="s">
        <v>206</v>
      </c>
      <c r="H3297" s="33"/>
      <c r="I3297" s="33"/>
      <c r="J3297" s="33"/>
      <c r="K3297" s="33"/>
      <c r="L3297" s="33"/>
      <c r="M3297" s="33"/>
    </row>
    <row r="3298">
      <c r="A3298" s="32" t="s">
        <v>8536</v>
      </c>
      <c r="B3298" s="32" t="s">
        <v>8537</v>
      </c>
      <c r="C3298" s="35">
        <v>53.63040161</v>
      </c>
      <c r="D3298" s="35">
        <v>9.988229752</v>
      </c>
      <c r="E3298" s="32" t="s">
        <v>109</v>
      </c>
      <c r="F3298" s="32" t="s">
        <v>8538</v>
      </c>
      <c r="G3298" s="39" t="s">
        <v>110</v>
      </c>
      <c r="H3298" s="33"/>
      <c r="I3298" s="33"/>
      <c r="J3298" s="33"/>
      <c r="K3298" s="33"/>
      <c r="L3298" s="33"/>
      <c r="M3298" s="33"/>
    </row>
    <row r="3299">
      <c r="A3299" s="32" t="s">
        <v>8539</v>
      </c>
      <c r="B3299" s="32" t="s">
        <v>8540</v>
      </c>
      <c r="C3299" s="35">
        <v>21.22120094</v>
      </c>
      <c r="D3299" s="35">
        <v>105.8069992</v>
      </c>
      <c r="E3299" s="32" t="s">
        <v>1913</v>
      </c>
      <c r="F3299" s="32" t="s">
        <v>1914</v>
      </c>
      <c r="G3299" s="36" t="e">
        <v>#N/A</v>
      </c>
      <c r="H3299" s="33"/>
      <c r="I3299" s="33"/>
      <c r="J3299" s="33"/>
      <c r="K3299" s="33"/>
      <c r="L3299" s="33"/>
      <c r="M3299" s="33"/>
    </row>
    <row r="3300">
      <c r="A3300" s="32" t="s">
        <v>8541</v>
      </c>
      <c r="B3300" s="32" t="s">
        <v>8542</v>
      </c>
      <c r="C3300" s="35">
        <v>6.744229794</v>
      </c>
      <c r="D3300" s="35">
        <v>73.17050171</v>
      </c>
      <c r="E3300" s="32" t="s">
        <v>6888</v>
      </c>
      <c r="F3300" s="32" t="s">
        <v>8543</v>
      </c>
      <c r="G3300" s="36" t="e">
        <v>#N/A</v>
      </c>
      <c r="H3300" s="33"/>
      <c r="I3300" s="33"/>
      <c r="J3300" s="33"/>
      <c r="K3300" s="33"/>
      <c r="L3300" s="33"/>
      <c r="M3300" s="33"/>
    </row>
    <row r="3301">
      <c r="A3301" s="32" t="s">
        <v>8544</v>
      </c>
      <c r="B3301" s="32" t="s">
        <v>8545</v>
      </c>
      <c r="C3301" s="35">
        <v>27.437901</v>
      </c>
      <c r="D3301" s="35">
        <v>41.686298</v>
      </c>
      <c r="E3301" s="32" t="s">
        <v>223</v>
      </c>
      <c r="F3301" s="32" t="s">
        <v>8546</v>
      </c>
      <c r="G3301" s="36" t="e">
        <v>#N/A</v>
      </c>
      <c r="H3301" s="33"/>
      <c r="I3301" s="33"/>
      <c r="J3301" s="33"/>
      <c r="K3301" s="33"/>
      <c r="L3301" s="33"/>
      <c r="M3301" s="33"/>
    </row>
    <row r="3302">
      <c r="A3302" s="32" t="s">
        <v>8547</v>
      </c>
      <c r="B3302" s="32" t="s">
        <v>8548</v>
      </c>
      <c r="C3302" s="35">
        <v>59.34529877</v>
      </c>
      <c r="D3302" s="35">
        <v>5.208360195</v>
      </c>
      <c r="E3302" s="32" t="s">
        <v>343</v>
      </c>
      <c r="F3302" s="32" t="s">
        <v>8549</v>
      </c>
      <c r="G3302" s="36" t="e">
        <v>#N/A</v>
      </c>
      <c r="H3302" s="33"/>
      <c r="I3302" s="33"/>
      <c r="J3302" s="33"/>
      <c r="K3302" s="33"/>
      <c r="L3302" s="33"/>
      <c r="M3302" s="33"/>
    </row>
    <row r="3303">
      <c r="A3303" s="32" t="s">
        <v>8550</v>
      </c>
      <c r="B3303" s="32" t="s">
        <v>8551</v>
      </c>
      <c r="C3303" s="35">
        <v>22.98920059</v>
      </c>
      <c r="D3303" s="35">
        <v>-82.40910339</v>
      </c>
      <c r="E3303" s="32" t="s">
        <v>1294</v>
      </c>
      <c r="F3303" s="32" t="s">
        <v>8552</v>
      </c>
      <c r="G3303" s="36" t="e">
        <v>#N/A</v>
      </c>
      <c r="H3303" s="33"/>
      <c r="I3303" s="33"/>
      <c r="J3303" s="33"/>
      <c r="K3303" s="33"/>
      <c r="L3303" s="33"/>
      <c r="M3303" s="33"/>
    </row>
    <row r="3304">
      <c r="A3304" s="32" t="s">
        <v>8553</v>
      </c>
      <c r="B3304" s="32" t="s">
        <v>8554</v>
      </c>
      <c r="C3304" s="35">
        <v>-42.83610153</v>
      </c>
      <c r="D3304" s="35">
        <v>147.5099945</v>
      </c>
      <c r="E3304" s="32" t="s">
        <v>1968</v>
      </c>
      <c r="F3304" s="32" t="s">
        <v>8555</v>
      </c>
      <c r="G3304" s="36" t="e">
        <v>#N/A</v>
      </c>
      <c r="H3304" s="33"/>
      <c r="I3304" s="33"/>
      <c r="J3304" s="33"/>
      <c r="K3304" s="33"/>
      <c r="L3304" s="33"/>
      <c r="M3304" s="33"/>
    </row>
    <row r="3305">
      <c r="A3305" s="32" t="s">
        <v>8556</v>
      </c>
      <c r="B3305" s="32" t="s">
        <v>8557</v>
      </c>
      <c r="C3305" s="35">
        <v>30.91769981</v>
      </c>
      <c r="D3305" s="35">
        <v>29.69639969</v>
      </c>
      <c r="E3305" s="32" t="s">
        <v>15</v>
      </c>
      <c r="F3305" s="32" t="s">
        <v>1034</v>
      </c>
      <c r="G3305" s="36" t="e">
        <v>#N/A</v>
      </c>
      <c r="H3305" s="33"/>
      <c r="I3305" s="33"/>
      <c r="J3305" s="33"/>
      <c r="K3305" s="33"/>
      <c r="L3305" s="33"/>
      <c r="M3305" s="33"/>
    </row>
    <row r="3306">
      <c r="A3306" s="32" t="s">
        <v>8558</v>
      </c>
      <c r="B3306" s="32" t="s">
        <v>8559</v>
      </c>
      <c r="C3306" s="35">
        <v>31.26479912</v>
      </c>
      <c r="D3306" s="35">
        <v>-89.25279999</v>
      </c>
      <c r="E3306" s="32" t="s">
        <v>180</v>
      </c>
      <c r="F3306" s="32" t="s">
        <v>8560</v>
      </c>
      <c r="G3306" s="39" t="s">
        <v>181</v>
      </c>
      <c r="H3306" s="33"/>
      <c r="I3306" s="33"/>
      <c r="J3306" s="33"/>
      <c r="K3306" s="33"/>
      <c r="L3306" s="33"/>
      <c r="M3306" s="33"/>
    </row>
    <row r="3307">
      <c r="A3307" s="32" t="s">
        <v>8561</v>
      </c>
      <c r="B3307" s="32" t="s">
        <v>8562</v>
      </c>
      <c r="C3307" s="35">
        <v>35.65449905</v>
      </c>
      <c r="D3307" s="35">
        <v>-79.8946991</v>
      </c>
      <c r="E3307" s="32" t="s">
        <v>180</v>
      </c>
      <c r="F3307" s="32" t="s">
        <v>8563</v>
      </c>
      <c r="G3307" s="39" t="s">
        <v>181</v>
      </c>
      <c r="H3307" s="33"/>
      <c r="I3307" s="33"/>
      <c r="J3307" s="33"/>
      <c r="K3307" s="33"/>
      <c r="L3307" s="33"/>
      <c r="M3307" s="33"/>
    </row>
    <row r="3308">
      <c r="A3308" s="32" t="s">
        <v>8564</v>
      </c>
      <c r="B3308" s="32" t="s">
        <v>8565</v>
      </c>
      <c r="C3308" s="35">
        <v>34.991317</v>
      </c>
      <c r="D3308" s="35">
        <v>-99.051313</v>
      </c>
      <c r="E3308" s="32" t="s">
        <v>180</v>
      </c>
      <c r="F3308" s="32" t="s">
        <v>8555</v>
      </c>
      <c r="G3308" s="39" t="s">
        <v>181</v>
      </c>
      <c r="H3308" s="33"/>
      <c r="I3308" s="33"/>
      <c r="J3308" s="33"/>
      <c r="K3308" s="33"/>
      <c r="L3308" s="33"/>
      <c r="M3308" s="33"/>
    </row>
    <row r="3309">
      <c r="A3309" s="32" t="s">
        <v>8566</v>
      </c>
      <c r="B3309" s="32" t="s">
        <v>8567</v>
      </c>
      <c r="C3309" s="35">
        <v>27.9009</v>
      </c>
      <c r="D3309" s="35">
        <v>45.528198</v>
      </c>
      <c r="E3309" s="32" t="s">
        <v>223</v>
      </c>
      <c r="F3309" s="32" t="s">
        <v>8568</v>
      </c>
      <c r="G3309" s="36" t="e">
        <v>#N/A</v>
      </c>
      <c r="H3309" s="33"/>
      <c r="I3309" s="33"/>
      <c r="J3309" s="33"/>
      <c r="K3309" s="33"/>
      <c r="L3309" s="33"/>
      <c r="M3309" s="33"/>
    </row>
    <row r="3310">
      <c r="A3310" s="32" t="s">
        <v>8569</v>
      </c>
      <c r="B3310" s="32" t="s">
        <v>8570</v>
      </c>
      <c r="C3310" s="35">
        <v>15.36170006</v>
      </c>
      <c r="D3310" s="35">
        <v>75.0848999</v>
      </c>
      <c r="E3310" s="32" t="s">
        <v>217</v>
      </c>
      <c r="F3310" s="32" t="s">
        <v>8571</v>
      </c>
      <c r="G3310" s="39" t="s">
        <v>218</v>
      </c>
      <c r="H3310" s="33"/>
      <c r="I3310" s="33"/>
      <c r="J3310" s="33"/>
      <c r="K3310" s="33"/>
      <c r="L3310" s="33"/>
      <c r="M3310" s="33"/>
    </row>
    <row r="3311">
      <c r="A3311" s="32" t="s">
        <v>8572</v>
      </c>
      <c r="B3311" s="32" t="s">
        <v>8573</v>
      </c>
      <c r="C3311" s="35">
        <v>24.805</v>
      </c>
      <c r="D3311" s="35">
        <v>107.6997</v>
      </c>
      <c r="E3311" s="32" t="s">
        <v>205</v>
      </c>
      <c r="F3311" s="32" t="s">
        <v>8574</v>
      </c>
      <c r="G3311" s="39" t="s">
        <v>206</v>
      </c>
      <c r="H3311" s="33"/>
      <c r="I3311" s="33"/>
      <c r="J3311" s="33"/>
      <c r="K3311" s="33"/>
      <c r="L3311" s="33"/>
      <c r="M3311" s="33"/>
    </row>
    <row r="3312">
      <c r="A3312" s="32" t="s">
        <v>8575</v>
      </c>
      <c r="B3312" s="32" t="s">
        <v>8576</v>
      </c>
      <c r="C3312" s="35">
        <v>22.04109955</v>
      </c>
      <c r="D3312" s="35">
        <v>120.7300034</v>
      </c>
      <c r="E3312" s="32" t="s">
        <v>1497</v>
      </c>
      <c r="F3312" s="32" t="s">
        <v>8577</v>
      </c>
      <c r="G3312" s="36" t="e">
        <v>#N/A</v>
      </c>
      <c r="H3312" s="33"/>
      <c r="I3312" s="33"/>
      <c r="J3312" s="33"/>
      <c r="K3312" s="33"/>
      <c r="L3312" s="33"/>
      <c r="M3312" s="33"/>
    </row>
    <row r="3313">
      <c r="A3313" s="32" t="s">
        <v>8578</v>
      </c>
      <c r="B3313" s="32" t="s">
        <v>8579</v>
      </c>
      <c r="C3313" s="35">
        <v>-18.23390007</v>
      </c>
      <c r="D3313" s="35">
        <v>127.6699982</v>
      </c>
      <c r="E3313" s="32" t="s">
        <v>1968</v>
      </c>
      <c r="F3313" s="32" t="s">
        <v>8580</v>
      </c>
      <c r="G3313" s="36" t="e">
        <v>#N/A</v>
      </c>
      <c r="H3313" s="33"/>
      <c r="I3313" s="33"/>
      <c r="J3313" s="33"/>
      <c r="K3313" s="33"/>
      <c r="L3313" s="33"/>
      <c r="M3313" s="33"/>
    </row>
    <row r="3314">
      <c r="A3314" s="32" t="s">
        <v>8581</v>
      </c>
      <c r="B3314" s="32" t="s">
        <v>8582</v>
      </c>
      <c r="C3314" s="35">
        <v>62.18830109</v>
      </c>
      <c r="D3314" s="35">
        <v>-159.7749939</v>
      </c>
      <c r="E3314" s="32" t="s">
        <v>180</v>
      </c>
      <c r="F3314" s="32" t="s">
        <v>8583</v>
      </c>
      <c r="G3314" s="39" t="s">
        <v>181</v>
      </c>
      <c r="H3314" s="33"/>
      <c r="I3314" s="33"/>
      <c r="J3314" s="33"/>
      <c r="K3314" s="33"/>
      <c r="L3314" s="33"/>
      <c r="M3314" s="33"/>
    </row>
    <row r="3315">
      <c r="A3315" s="32" t="s">
        <v>8584</v>
      </c>
      <c r="B3315" s="32" t="s">
        <v>8585</v>
      </c>
      <c r="C3315" s="35">
        <v>25.31809998</v>
      </c>
      <c r="D3315" s="35">
        <v>68.3660965</v>
      </c>
      <c r="E3315" s="32" t="s">
        <v>1470</v>
      </c>
      <c r="F3315" s="32" t="s">
        <v>5110</v>
      </c>
      <c r="G3315" s="36" t="e">
        <v>#N/A</v>
      </c>
      <c r="H3315" s="33"/>
      <c r="I3315" s="33"/>
      <c r="J3315" s="33"/>
      <c r="K3315" s="33"/>
      <c r="L3315" s="33"/>
      <c r="M3315" s="33"/>
    </row>
    <row r="3316">
      <c r="A3316" s="32" t="s">
        <v>8586</v>
      </c>
      <c r="B3316" s="32" t="s">
        <v>8587</v>
      </c>
      <c r="C3316" s="35">
        <v>40.452099</v>
      </c>
      <c r="D3316" s="35">
        <v>-99.336502</v>
      </c>
      <c r="E3316" s="32" t="s">
        <v>180</v>
      </c>
      <c r="F3316" s="32" t="s">
        <v>8588</v>
      </c>
      <c r="G3316" s="39" t="s">
        <v>181</v>
      </c>
      <c r="H3316" s="33"/>
      <c r="I3316" s="33"/>
      <c r="J3316" s="33"/>
      <c r="K3316" s="33"/>
      <c r="L3316" s="33"/>
      <c r="M3316" s="33"/>
    </row>
    <row r="3317">
      <c r="A3317" s="32" t="s">
        <v>8589</v>
      </c>
      <c r="B3317" s="32" t="s">
        <v>8590</v>
      </c>
      <c r="C3317" s="35">
        <v>53.87870026</v>
      </c>
      <c r="D3317" s="35">
        <v>14.15229988</v>
      </c>
      <c r="E3317" s="32" t="s">
        <v>109</v>
      </c>
      <c r="F3317" s="32" t="s">
        <v>8591</v>
      </c>
      <c r="G3317" s="39" t="s">
        <v>110</v>
      </c>
      <c r="H3317" s="33"/>
      <c r="I3317" s="33"/>
      <c r="J3317" s="33"/>
      <c r="K3317" s="33"/>
      <c r="L3317" s="33"/>
      <c r="M3317" s="33"/>
    </row>
    <row r="3318">
      <c r="A3318" s="32" t="s">
        <v>8592</v>
      </c>
      <c r="B3318" s="32" t="s">
        <v>8593</v>
      </c>
      <c r="C3318" s="35">
        <v>36.52583333</v>
      </c>
      <c r="D3318" s="35">
        <v>114.4255556</v>
      </c>
      <c r="E3318" s="32" t="s">
        <v>205</v>
      </c>
      <c r="F3318" s="32" t="s">
        <v>8594</v>
      </c>
      <c r="G3318" s="39" t="s">
        <v>206</v>
      </c>
      <c r="H3318" s="33"/>
      <c r="I3318" s="33"/>
      <c r="J3318" s="33"/>
      <c r="K3318" s="33"/>
      <c r="L3318" s="33"/>
      <c r="M3318" s="33"/>
    </row>
    <row r="3319">
      <c r="A3319" s="32" t="s">
        <v>8595</v>
      </c>
      <c r="B3319" s="32" t="s">
        <v>8596</v>
      </c>
      <c r="C3319" s="35">
        <v>21.5795002</v>
      </c>
      <c r="D3319" s="35">
        <v>-158.1970062</v>
      </c>
      <c r="E3319" s="32" t="s">
        <v>180</v>
      </c>
      <c r="F3319" s="32" t="s">
        <v>6741</v>
      </c>
      <c r="G3319" s="39" t="s">
        <v>181</v>
      </c>
      <c r="H3319" s="33"/>
      <c r="I3319" s="33"/>
      <c r="J3319" s="33"/>
      <c r="K3319" s="33"/>
      <c r="L3319" s="33"/>
      <c r="M3319" s="33"/>
    </row>
    <row r="3320">
      <c r="A3320" s="32" t="s">
        <v>8597</v>
      </c>
      <c r="B3320" s="32" t="s">
        <v>8598</v>
      </c>
      <c r="C3320" s="35">
        <v>35.2201004</v>
      </c>
      <c r="D3320" s="35">
        <v>-84.83239746</v>
      </c>
      <c r="E3320" s="32" t="s">
        <v>180</v>
      </c>
      <c r="F3320" s="32" t="s">
        <v>4883</v>
      </c>
      <c r="G3320" s="39" t="s">
        <v>181</v>
      </c>
      <c r="H3320" s="33"/>
      <c r="I3320" s="33"/>
      <c r="J3320" s="33"/>
      <c r="K3320" s="33"/>
      <c r="L3320" s="33"/>
      <c r="M3320" s="33"/>
    </row>
    <row r="3321">
      <c r="A3321" s="32" t="s">
        <v>8599</v>
      </c>
      <c r="B3321" s="32" t="s">
        <v>8600</v>
      </c>
      <c r="C3321" s="35">
        <v>34.86920166</v>
      </c>
      <c r="D3321" s="35">
        <v>48.55250168</v>
      </c>
      <c r="E3321" s="32" t="s">
        <v>1378</v>
      </c>
      <c r="F3321" s="32" t="s">
        <v>3246</v>
      </c>
      <c r="G3321" s="36" t="e">
        <v>#N/A</v>
      </c>
      <c r="H3321" s="33"/>
      <c r="I3321" s="33"/>
      <c r="J3321" s="33"/>
      <c r="K3321" s="33"/>
      <c r="L3321" s="33"/>
      <c r="M3321" s="33"/>
    </row>
    <row r="3322">
      <c r="A3322" s="32" t="s">
        <v>8601</v>
      </c>
      <c r="B3322" s="32" t="s">
        <v>8602</v>
      </c>
      <c r="C3322" s="35">
        <v>40.48120117</v>
      </c>
      <c r="D3322" s="35">
        <v>-107.2180023</v>
      </c>
      <c r="E3322" s="32" t="s">
        <v>180</v>
      </c>
      <c r="F3322" s="32" t="s">
        <v>8603</v>
      </c>
      <c r="G3322" s="39" t="s">
        <v>181</v>
      </c>
      <c r="H3322" s="33"/>
      <c r="I3322" s="33"/>
      <c r="J3322" s="33"/>
      <c r="K3322" s="33"/>
      <c r="L3322" s="33"/>
      <c r="M3322" s="33"/>
    </row>
    <row r="3323">
      <c r="A3323" s="32" t="s">
        <v>8604</v>
      </c>
      <c r="B3323" s="32" t="s">
        <v>8605</v>
      </c>
      <c r="C3323" s="35">
        <v>29.35950089</v>
      </c>
      <c r="D3323" s="35">
        <v>-99.17669678</v>
      </c>
      <c r="E3323" s="32" t="s">
        <v>180</v>
      </c>
      <c r="F3323" s="32" t="s">
        <v>8606</v>
      </c>
      <c r="G3323" s="39" t="s">
        <v>181</v>
      </c>
      <c r="H3323" s="33"/>
      <c r="I3323" s="33"/>
      <c r="J3323" s="33"/>
      <c r="K3323" s="33"/>
      <c r="L3323" s="33"/>
      <c r="M3323" s="33"/>
    </row>
    <row r="3324">
      <c r="A3324" s="32" t="s">
        <v>8607</v>
      </c>
      <c r="B3324" s="32" t="s">
        <v>8608</v>
      </c>
      <c r="C3324" s="35">
        <v>-24.36860085</v>
      </c>
      <c r="D3324" s="35">
        <v>31.04870033</v>
      </c>
      <c r="E3324" s="32" t="s">
        <v>16</v>
      </c>
      <c r="F3324" s="32" t="s">
        <v>8609</v>
      </c>
      <c r="G3324" s="36" t="e">
        <v>#N/A</v>
      </c>
      <c r="H3324" s="33"/>
      <c r="I3324" s="33"/>
      <c r="J3324" s="33"/>
      <c r="K3324" s="33"/>
      <c r="L3324" s="33"/>
      <c r="M3324" s="33"/>
    </row>
    <row r="3325">
      <c r="A3325" s="32" t="s">
        <v>8610</v>
      </c>
      <c r="B3325" s="32" t="s">
        <v>8611</v>
      </c>
      <c r="C3325" s="35">
        <v>6.933209896</v>
      </c>
      <c r="D3325" s="35">
        <v>100.3929977</v>
      </c>
      <c r="E3325" s="32" t="s">
        <v>175</v>
      </c>
      <c r="F3325" s="32" t="s">
        <v>8612</v>
      </c>
      <c r="G3325" s="39" t="s">
        <v>176</v>
      </c>
      <c r="H3325" s="33"/>
      <c r="I3325" s="33"/>
      <c r="J3325" s="33"/>
      <c r="K3325" s="33"/>
      <c r="L3325" s="33"/>
      <c r="M3325" s="33"/>
    </row>
    <row r="3326">
      <c r="A3326" s="32" t="s">
        <v>8613</v>
      </c>
      <c r="B3326" s="32" t="s">
        <v>8614</v>
      </c>
      <c r="C3326" s="35">
        <v>34.20999908</v>
      </c>
      <c r="D3326" s="35">
        <v>62.22829819</v>
      </c>
      <c r="E3326" s="32" t="s">
        <v>1350</v>
      </c>
      <c r="F3326" s="32" t="s">
        <v>8615</v>
      </c>
      <c r="G3326" s="36" t="e">
        <v>#N/A</v>
      </c>
      <c r="H3326" s="33"/>
      <c r="I3326" s="33"/>
      <c r="J3326" s="33"/>
      <c r="K3326" s="33"/>
      <c r="L3326" s="33"/>
      <c r="M3326" s="33"/>
    </row>
    <row r="3327">
      <c r="A3327" s="32" t="s">
        <v>8616</v>
      </c>
      <c r="B3327" s="32" t="s">
        <v>8617</v>
      </c>
      <c r="C3327" s="35">
        <v>20.74699974</v>
      </c>
      <c r="D3327" s="35">
        <v>96.79199982</v>
      </c>
      <c r="E3327" s="32" t="s">
        <v>1918</v>
      </c>
      <c r="F3327" s="32" t="s">
        <v>8618</v>
      </c>
      <c r="G3327" s="36" t="e">
        <v>#N/A</v>
      </c>
      <c r="H3327" s="33"/>
      <c r="I3327" s="33"/>
      <c r="J3327" s="33"/>
      <c r="K3327" s="33"/>
      <c r="L3327" s="33"/>
      <c r="M3327" s="33"/>
    </row>
    <row r="3328">
      <c r="A3328" s="32" t="s">
        <v>8619</v>
      </c>
      <c r="B3328" s="32" t="s">
        <v>8620</v>
      </c>
      <c r="C3328" s="35">
        <v>54.15333176</v>
      </c>
      <c r="D3328" s="35">
        <v>8.901666641</v>
      </c>
      <c r="E3328" s="32" t="s">
        <v>109</v>
      </c>
      <c r="F3328" s="32" t="s">
        <v>8621</v>
      </c>
      <c r="G3328" s="39" t="s">
        <v>110</v>
      </c>
      <c r="H3328" s="33"/>
      <c r="I3328" s="33"/>
      <c r="J3328" s="33"/>
      <c r="K3328" s="33"/>
      <c r="L3328" s="33"/>
      <c r="M3328" s="33"/>
    </row>
    <row r="3329">
      <c r="A3329" s="32" t="s">
        <v>8622</v>
      </c>
      <c r="B3329" s="32" t="s">
        <v>8623</v>
      </c>
      <c r="C3329" s="35">
        <v>50.17162094</v>
      </c>
      <c r="D3329" s="35">
        <v>127.3088837</v>
      </c>
      <c r="E3329" s="32" t="s">
        <v>205</v>
      </c>
      <c r="F3329" s="32" t="s">
        <v>8624</v>
      </c>
      <c r="G3329" s="39" t="s">
        <v>206</v>
      </c>
      <c r="H3329" s="33"/>
      <c r="I3329" s="33"/>
      <c r="J3329" s="33"/>
      <c r="K3329" s="33"/>
      <c r="L3329" s="33"/>
      <c r="M3329" s="33"/>
    </row>
    <row r="3330">
      <c r="A3330" s="32" t="s">
        <v>8625</v>
      </c>
      <c r="B3330" s="32" t="s">
        <v>8626</v>
      </c>
      <c r="C3330" s="35">
        <v>60.31719971</v>
      </c>
      <c r="D3330" s="35">
        <v>24.9633007</v>
      </c>
      <c r="E3330" s="32" t="s">
        <v>408</v>
      </c>
      <c r="F3330" s="32" t="s">
        <v>8627</v>
      </c>
      <c r="G3330" s="36" t="e">
        <v>#N/A</v>
      </c>
      <c r="H3330" s="33"/>
      <c r="I3330" s="33"/>
      <c r="J3330" s="33"/>
      <c r="K3330" s="33"/>
      <c r="L3330" s="33"/>
      <c r="M3330" s="33"/>
    </row>
    <row r="3331">
      <c r="A3331" s="32" t="s">
        <v>8628</v>
      </c>
      <c r="B3331" s="32" t="s">
        <v>8629</v>
      </c>
      <c r="C3331" s="35">
        <v>60.25460052</v>
      </c>
      <c r="D3331" s="35">
        <v>25.0428009</v>
      </c>
      <c r="E3331" s="32" t="s">
        <v>408</v>
      </c>
      <c r="F3331" s="32" t="s">
        <v>8627</v>
      </c>
      <c r="G3331" s="36" t="e">
        <v>#N/A</v>
      </c>
      <c r="H3331" s="33"/>
      <c r="I3331" s="33"/>
      <c r="J3331" s="33"/>
      <c r="K3331" s="33"/>
      <c r="L3331" s="33"/>
      <c r="M3331" s="33"/>
    </row>
    <row r="3332">
      <c r="A3332" s="32" t="s">
        <v>8630</v>
      </c>
      <c r="B3332" s="32" t="s">
        <v>8631</v>
      </c>
      <c r="C3332" s="35">
        <v>60.14777756</v>
      </c>
      <c r="D3332" s="35">
        <v>24.9244442</v>
      </c>
      <c r="E3332" s="32" t="s">
        <v>408</v>
      </c>
      <c r="F3332" s="32" t="s">
        <v>8627</v>
      </c>
      <c r="G3332" s="36" t="e">
        <v>#N/A</v>
      </c>
      <c r="H3332" s="33"/>
      <c r="I3332" s="33"/>
      <c r="J3332" s="33"/>
      <c r="K3332" s="33"/>
      <c r="L3332" s="33"/>
      <c r="M3332" s="33"/>
    </row>
    <row r="3333">
      <c r="A3333" s="32" t="s">
        <v>8632</v>
      </c>
      <c r="B3333" s="32" t="s">
        <v>8633</v>
      </c>
      <c r="C3333" s="35">
        <v>35.33969879</v>
      </c>
      <c r="D3333" s="35">
        <v>25.18029976</v>
      </c>
      <c r="E3333" s="32" t="s">
        <v>339</v>
      </c>
      <c r="F3333" s="32" t="s">
        <v>8634</v>
      </c>
      <c r="G3333" s="36" t="e">
        <v>#N/A</v>
      </c>
      <c r="H3333" s="33"/>
      <c r="I3333" s="33"/>
      <c r="J3333" s="33"/>
      <c r="K3333" s="33"/>
      <c r="L3333" s="33"/>
      <c r="M3333" s="33"/>
    </row>
    <row r="3334">
      <c r="A3334" s="32" t="s">
        <v>8635</v>
      </c>
      <c r="B3334" s="32" t="s">
        <v>8636</v>
      </c>
      <c r="C3334" s="35">
        <v>40.85139847</v>
      </c>
      <c r="D3334" s="35">
        <v>111.8239975</v>
      </c>
      <c r="E3334" s="32" t="s">
        <v>205</v>
      </c>
      <c r="F3334" s="32" t="s">
        <v>8637</v>
      </c>
      <c r="G3334" s="39" t="s">
        <v>206</v>
      </c>
      <c r="H3334" s="33"/>
      <c r="I3334" s="33"/>
      <c r="J3334" s="33"/>
      <c r="K3334" s="33"/>
      <c r="L3334" s="33"/>
      <c r="M3334" s="33"/>
    </row>
    <row r="3335">
      <c r="A3335" s="32" t="s">
        <v>8638</v>
      </c>
      <c r="B3335" s="32" t="s">
        <v>8639</v>
      </c>
      <c r="C3335" s="35">
        <v>37.893299</v>
      </c>
      <c r="D3335" s="35">
        <v>23.726101</v>
      </c>
      <c r="E3335" s="32" t="s">
        <v>339</v>
      </c>
      <c r="F3335" s="32" t="s">
        <v>2377</v>
      </c>
      <c r="G3335" s="36" t="e">
        <v>#N/A</v>
      </c>
      <c r="H3335" s="33"/>
      <c r="I3335" s="33"/>
      <c r="J3335" s="33"/>
      <c r="K3335" s="33"/>
      <c r="L3335" s="33"/>
      <c r="M3335" s="33"/>
    </row>
    <row r="3336">
      <c r="A3336" s="32" t="s">
        <v>8640</v>
      </c>
      <c r="B3336" s="32" t="s">
        <v>8641</v>
      </c>
      <c r="C3336" s="35">
        <v>18.46969986</v>
      </c>
      <c r="D3336" s="35">
        <v>-69.9693985</v>
      </c>
      <c r="E3336" s="32" t="s">
        <v>335</v>
      </c>
      <c r="F3336" s="32" t="s">
        <v>1717</v>
      </c>
      <c r="G3336" s="36" t="e">
        <v>#N/A</v>
      </c>
      <c r="H3336" s="33"/>
      <c r="I3336" s="33"/>
      <c r="J3336" s="33"/>
      <c r="K3336" s="33"/>
      <c r="L3336" s="33"/>
      <c r="M3336" s="33"/>
    </row>
    <row r="3337">
      <c r="A3337" s="32" t="s">
        <v>8642</v>
      </c>
      <c r="B3337" s="32" t="s">
        <v>8643</v>
      </c>
      <c r="C3337" s="35">
        <v>32.80939865</v>
      </c>
      <c r="D3337" s="35">
        <v>35.04309845</v>
      </c>
      <c r="E3337" s="32" t="s">
        <v>243</v>
      </c>
      <c r="F3337" s="32" t="s">
        <v>8644</v>
      </c>
      <c r="G3337" s="36" t="e">
        <v>#N/A</v>
      </c>
      <c r="H3337" s="33"/>
      <c r="I3337" s="33"/>
      <c r="J3337" s="33"/>
      <c r="K3337" s="33"/>
      <c r="L3337" s="33"/>
      <c r="M3337" s="33"/>
    </row>
    <row r="3338">
      <c r="A3338" s="32" t="s">
        <v>8645</v>
      </c>
      <c r="B3338" s="32" t="s">
        <v>8646</v>
      </c>
      <c r="C3338" s="35">
        <v>41.73669815</v>
      </c>
      <c r="D3338" s="35">
        <v>-72.6493988</v>
      </c>
      <c r="E3338" s="32" t="s">
        <v>180</v>
      </c>
      <c r="F3338" s="32" t="s">
        <v>8647</v>
      </c>
      <c r="G3338" s="39" t="s">
        <v>181</v>
      </c>
      <c r="H3338" s="33"/>
      <c r="I3338" s="33"/>
      <c r="J3338" s="33"/>
      <c r="K3338" s="33"/>
      <c r="L3338" s="33"/>
      <c r="M3338" s="33"/>
    </row>
    <row r="3339">
      <c r="A3339" s="32" t="s">
        <v>8648</v>
      </c>
      <c r="B3339" s="32" t="s">
        <v>8649</v>
      </c>
      <c r="C3339" s="35">
        <v>31.78000069</v>
      </c>
      <c r="D3339" s="35">
        <v>117.2979965</v>
      </c>
      <c r="E3339" s="32" t="s">
        <v>205</v>
      </c>
      <c r="F3339" s="32" t="s">
        <v>8650</v>
      </c>
      <c r="G3339" s="39" t="s">
        <v>206</v>
      </c>
      <c r="H3339" s="33"/>
      <c r="I3339" s="33"/>
      <c r="J3339" s="33"/>
      <c r="K3339" s="33"/>
      <c r="L3339" s="33"/>
      <c r="M3339" s="33"/>
    </row>
    <row r="3340">
      <c r="A3340" s="32" t="s">
        <v>8651</v>
      </c>
      <c r="B3340" s="32" t="s">
        <v>8652</v>
      </c>
      <c r="C3340" s="35">
        <v>64.295601</v>
      </c>
      <c r="D3340" s="35">
        <v>-15.2272</v>
      </c>
      <c r="E3340" s="32" t="s">
        <v>2037</v>
      </c>
      <c r="F3340" s="32" t="s">
        <v>8653</v>
      </c>
      <c r="G3340" s="36" t="e">
        <v>#N/A</v>
      </c>
      <c r="H3340" s="33"/>
      <c r="I3340" s="33"/>
      <c r="J3340" s="33"/>
      <c r="K3340" s="33"/>
      <c r="L3340" s="33"/>
      <c r="M3340" s="33"/>
    </row>
    <row r="3341">
      <c r="A3341" s="32" t="s">
        <v>8654</v>
      </c>
      <c r="B3341" s="32" t="s">
        <v>8655</v>
      </c>
      <c r="C3341" s="35">
        <v>60.02009964</v>
      </c>
      <c r="D3341" s="35">
        <v>13.57890034</v>
      </c>
      <c r="E3341" s="32" t="s">
        <v>347</v>
      </c>
      <c r="F3341" s="32" t="s">
        <v>8656</v>
      </c>
      <c r="G3341" s="36" t="e">
        <v>#N/A</v>
      </c>
      <c r="H3341" s="33"/>
      <c r="I3341" s="33"/>
      <c r="J3341" s="33"/>
      <c r="K3341" s="33"/>
      <c r="L3341" s="33"/>
      <c r="M3341" s="33"/>
    </row>
    <row r="3342">
      <c r="A3342" s="32" t="s">
        <v>8657</v>
      </c>
      <c r="B3342" s="32" t="s">
        <v>8658</v>
      </c>
      <c r="C3342" s="35">
        <v>70.67970276</v>
      </c>
      <c r="D3342" s="35">
        <v>23.66860008</v>
      </c>
      <c r="E3342" s="32" t="s">
        <v>343</v>
      </c>
      <c r="F3342" s="32" t="s">
        <v>8659</v>
      </c>
      <c r="G3342" s="36" t="e">
        <v>#N/A</v>
      </c>
      <c r="H3342" s="33"/>
      <c r="I3342" s="33"/>
      <c r="J3342" s="33"/>
      <c r="K3342" s="33"/>
      <c r="L3342" s="33"/>
      <c r="M3342" s="33"/>
    </row>
    <row r="3343">
      <c r="A3343" s="32" t="s">
        <v>8660</v>
      </c>
      <c r="B3343" s="32" t="s">
        <v>8661</v>
      </c>
      <c r="C3343" s="35">
        <v>9.518170357</v>
      </c>
      <c r="D3343" s="35">
        <v>44.08879852</v>
      </c>
      <c r="E3343" s="32" t="s">
        <v>3906</v>
      </c>
      <c r="F3343" s="32" t="s">
        <v>8662</v>
      </c>
      <c r="G3343" s="36" t="e">
        <v>#N/A</v>
      </c>
      <c r="H3343" s="33"/>
      <c r="I3343" s="33"/>
      <c r="J3343" s="33"/>
      <c r="K3343" s="33"/>
      <c r="L3343" s="33"/>
      <c r="M3343" s="33"/>
    </row>
    <row r="3344">
      <c r="A3344" s="32" t="s">
        <v>8663</v>
      </c>
      <c r="B3344" s="32" t="s">
        <v>8664</v>
      </c>
      <c r="C3344" s="35">
        <v>-20.81500053</v>
      </c>
      <c r="D3344" s="35">
        <v>144.2250061</v>
      </c>
      <c r="E3344" s="32" t="s">
        <v>1968</v>
      </c>
      <c r="F3344" s="32" t="s">
        <v>8665</v>
      </c>
      <c r="G3344" s="36" t="e">
        <v>#N/A</v>
      </c>
      <c r="H3344" s="33"/>
      <c r="I3344" s="33"/>
      <c r="J3344" s="33"/>
      <c r="K3344" s="33"/>
      <c r="L3344" s="33"/>
      <c r="M3344" s="33"/>
    </row>
    <row r="3345">
      <c r="A3345" s="32" t="s">
        <v>8666</v>
      </c>
      <c r="B3345" s="32" t="s">
        <v>8667</v>
      </c>
      <c r="C3345" s="35">
        <v>30.22949982</v>
      </c>
      <c r="D3345" s="35">
        <v>120.4339981</v>
      </c>
      <c r="E3345" s="32" t="s">
        <v>205</v>
      </c>
      <c r="F3345" s="32" t="s">
        <v>8668</v>
      </c>
      <c r="G3345" s="39" t="s">
        <v>206</v>
      </c>
      <c r="H3345" s="33"/>
      <c r="I3345" s="33"/>
      <c r="J3345" s="33"/>
      <c r="K3345" s="33"/>
      <c r="L3345" s="33"/>
      <c r="M3345" s="33"/>
    </row>
    <row r="3346">
      <c r="A3346" s="32" t="s">
        <v>8669</v>
      </c>
      <c r="B3346" s="32" t="s">
        <v>8670</v>
      </c>
      <c r="C3346" s="35">
        <v>54.18527985</v>
      </c>
      <c r="D3346" s="35">
        <v>7.915832996</v>
      </c>
      <c r="E3346" s="32" t="s">
        <v>109</v>
      </c>
      <c r="F3346" s="32" t="s">
        <v>8671</v>
      </c>
      <c r="G3346" s="39" t="s">
        <v>110</v>
      </c>
      <c r="H3346" s="33"/>
      <c r="I3346" s="33"/>
      <c r="J3346" s="33"/>
      <c r="K3346" s="33"/>
      <c r="L3346" s="33"/>
      <c r="M3346" s="33"/>
    </row>
    <row r="3347">
      <c r="A3347" s="32" t="s">
        <v>8672</v>
      </c>
      <c r="B3347" s="32" t="s">
        <v>8673</v>
      </c>
      <c r="C3347" s="35">
        <v>19.30130005</v>
      </c>
      <c r="D3347" s="35">
        <v>97.97579956</v>
      </c>
      <c r="E3347" s="32" t="s">
        <v>175</v>
      </c>
      <c r="F3347" s="32" t="s">
        <v>8674</v>
      </c>
      <c r="G3347" s="39" t="s">
        <v>176</v>
      </c>
      <c r="H3347" s="33"/>
      <c r="I3347" s="33"/>
      <c r="J3347" s="33"/>
      <c r="K3347" s="33"/>
      <c r="L3347" s="33"/>
      <c r="M3347" s="33"/>
    </row>
    <row r="3348">
      <c r="A3348" s="32" t="s">
        <v>8675</v>
      </c>
      <c r="B3348" s="32" t="s">
        <v>8676</v>
      </c>
      <c r="C3348" s="35">
        <v>9.387180328</v>
      </c>
      <c r="D3348" s="35">
        <v>-5.556660175</v>
      </c>
      <c r="E3348" s="32" t="s">
        <v>3494</v>
      </c>
      <c r="F3348" s="32" t="s">
        <v>8677</v>
      </c>
      <c r="G3348" s="36" t="e">
        <v>#N/A</v>
      </c>
      <c r="H3348" s="33"/>
      <c r="I3348" s="33"/>
      <c r="J3348" s="33"/>
      <c r="K3348" s="33"/>
      <c r="L3348" s="33"/>
      <c r="M3348" s="33"/>
    </row>
    <row r="3349">
      <c r="A3349" s="32" t="s">
        <v>8678</v>
      </c>
      <c r="B3349" s="32" t="s">
        <v>8679</v>
      </c>
      <c r="C3349" s="35">
        <v>39.707901</v>
      </c>
      <c r="D3349" s="35">
        <v>-77.72949982</v>
      </c>
      <c r="E3349" s="32" t="s">
        <v>180</v>
      </c>
      <c r="F3349" s="32" t="s">
        <v>8680</v>
      </c>
      <c r="G3349" s="39" t="s">
        <v>181</v>
      </c>
      <c r="H3349" s="33"/>
      <c r="I3349" s="33"/>
      <c r="J3349" s="33"/>
      <c r="K3349" s="33"/>
      <c r="L3349" s="33"/>
      <c r="M3349" s="33"/>
    </row>
    <row r="3350">
      <c r="A3350" s="32" t="s">
        <v>8681</v>
      </c>
      <c r="B3350" s="32" t="s">
        <v>8682</v>
      </c>
      <c r="C3350" s="35">
        <v>8.397130013</v>
      </c>
      <c r="D3350" s="35">
        <v>-13.12909985</v>
      </c>
      <c r="E3350" s="32" t="s">
        <v>5250</v>
      </c>
      <c r="F3350" s="32" t="s">
        <v>7694</v>
      </c>
      <c r="G3350" s="36" t="e">
        <v>#N/A</v>
      </c>
      <c r="H3350" s="33"/>
      <c r="I3350" s="33"/>
      <c r="J3350" s="33"/>
      <c r="K3350" s="33"/>
      <c r="L3350" s="33"/>
      <c r="M3350" s="33"/>
    </row>
    <row r="3351">
      <c r="A3351" s="32" t="s">
        <v>8683</v>
      </c>
      <c r="B3351" s="32" t="s">
        <v>8684</v>
      </c>
      <c r="C3351" s="35">
        <v>-5.826789856</v>
      </c>
      <c r="D3351" s="35">
        <v>144.2960052</v>
      </c>
      <c r="E3351" s="32" t="s">
        <v>5289</v>
      </c>
      <c r="F3351" s="32" t="s">
        <v>8685</v>
      </c>
      <c r="G3351" s="36" t="e">
        <v>#N/A</v>
      </c>
      <c r="H3351" s="33"/>
      <c r="I3351" s="33"/>
      <c r="J3351" s="33"/>
      <c r="K3351" s="33"/>
      <c r="L3351" s="33"/>
      <c r="M3351" s="33"/>
    </row>
    <row r="3352">
      <c r="A3352" s="32" t="s">
        <v>8686</v>
      </c>
      <c r="B3352" s="32" t="s">
        <v>8687</v>
      </c>
      <c r="C3352" s="35">
        <v>32.22439957</v>
      </c>
      <c r="D3352" s="35">
        <v>-80.69750214</v>
      </c>
      <c r="E3352" s="32" t="s">
        <v>180</v>
      </c>
      <c r="F3352" s="32" t="s">
        <v>8688</v>
      </c>
      <c r="G3352" s="39" t="s">
        <v>181</v>
      </c>
      <c r="H3352" s="33"/>
      <c r="I3352" s="33"/>
      <c r="J3352" s="33"/>
      <c r="K3352" s="33"/>
      <c r="L3352" s="33"/>
      <c r="M3352" s="33"/>
    </row>
    <row r="3353">
      <c r="A3353" s="32" t="s">
        <v>8689</v>
      </c>
      <c r="B3353" s="32" t="s">
        <v>8690</v>
      </c>
      <c r="C3353" s="35">
        <v>21.48349953</v>
      </c>
      <c r="D3353" s="35">
        <v>-158.0399933</v>
      </c>
      <c r="E3353" s="32" t="s">
        <v>180</v>
      </c>
      <c r="F3353" s="32" t="s">
        <v>8691</v>
      </c>
      <c r="G3353" s="39" t="s">
        <v>181</v>
      </c>
      <c r="H3353" s="33"/>
      <c r="I3353" s="33"/>
      <c r="J3353" s="33"/>
      <c r="K3353" s="33"/>
      <c r="L3353" s="33"/>
      <c r="M3353" s="33"/>
    </row>
    <row r="3354">
      <c r="A3354" s="32" t="s">
        <v>8692</v>
      </c>
      <c r="B3354" s="32" t="s">
        <v>8693</v>
      </c>
      <c r="C3354" s="35">
        <v>49.94869995</v>
      </c>
      <c r="D3354" s="35">
        <v>7.26388979</v>
      </c>
      <c r="E3354" s="32" t="s">
        <v>109</v>
      </c>
      <c r="F3354" s="32" t="s">
        <v>8694</v>
      </c>
      <c r="G3354" s="39" t="s">
        <v>110</v>
      </c>
      <c r="H3354" s="33"/>
      <c r="I3354" s="33"/>
      <c r="J3354" s="33"/>
      <c r="K3354" s="33"/>
      <c r="L3354" s="33"/>
      <c r="M3354" s="33"/>
    </row>
    <row r="3355">
      <c r="A3355" s="32" t="s">
        <v>8695</v>
      </c>
      <c r="B3355" s="32" t="s">
        <v>8696</v>
      </c>
      <c r="C3355" s="35">
        <v>12.63619995</v>
      </c>
      <c r="D3355" s="35">
        <v>99.95149994</v>
      </c>
      <c r="E3355" s="32" t="s">
        <v>175</v>
      </c>
      <c r="F3355" s="32" t="s">
        <v>8697</v>
      </c>
      <c r="G3355" s="39" t="s">
        <v>176</v>
      </c>
      <c r="H3355" s="33"/>
      <c r="I3355" s="33"/>
      <c r="J3355" s="33"/>
      <c r="K3355" s="33"/>
      <c r="L3355" s="33"/>
      <c r="M3355" s="33"/>
    </row>
    <row r="3356">
      <c r="A3356" s="32" t="s">
        <v>8698</v>
      </c>
      <c r="B3356" s="32" t="s">
        <v>8699</v>
      </c>
      <c r="C3356" s="35">
        <v>33.922798</v>
      </c>
      <c r="D3356" s="35">
        <v>-118.334999</v>
      </c>
      <c r="E3356" s="32" t="s">
        <v>180</v>
      </c>
      <c r="F3356" s="32" t="s">
        <v>8700</v>
      </c>
      <c r="G3356" s="39" t="s">
        <v>181</v>
      </c>
      <c r="H3356" s="33"/>
      <c r="I3356" s="33"/>
      <c r="J3356" s="33"/>
      <c r="K3356" s="33"/>
      <c r="L3356" s="33"/>
      <c r="M3356" s="33"/>
    </row>
    <row r="3357">
      <c r="A3357" s="32" t="s">
        <v>8701</v>
      </c>
      <c r="B3357" s="32" t="s">
        <v>8702</v>
      </c>
      <c r="C3357" s="35">
        <v>47.38660049</v>
      </c>
      <c r="D3357" s="35">
        <v>-92.83899689</v>
      </c>
      <c r="E3357" s="32" t="s">
        <v>180</v>
      </c>
      <c r="F3357" s="32" t="s">
        <v>8703</v>
      </c>
      <c r="G3357" s="39" t="s">
        <v>181</v>
      </c>
      <c r="H3357" s="33"/>
      <c r="I3357" s="33"/>
      <c r="J3357" s="33"/>
      <c r="K3357" s="33"/>
      <c r="L3357" s="33"/>
      <c r="M3357" s="33"/>
    </row>
    <row r="3358">
      <c r="A3358" s="32" t="s">
        <v>8704</v>
      </c>
      <c r="B3358" s="32" t="s">
        <v>8705</v>
      </c>
      <c r="C3358" s="35">
        <v>-10.58640003</v>
      </c>
      <c r="D3358" s="35">
        <v>142.2899933</v>
      </c>
      <c r="E3358" s="32" t="s">
        <v>1968</v>
      </c>
      <c r="F3358" s="32" t="s">
        <v>8706</v>
      </c>
      <c r="G3358" s="36" t="e">
        <v>#N/A</v>
      </c>
      <c r="H3358" s="33"/>
      <c r="I3358" s="33"/>
      <c r="J3358" s="33"/>
      <c r="K3358" s="33"/>
      <c r="L3358" s="33"/>
      <c r="M3358" s="33"/>
    </row>
    <row r="3359">
      <c r="A3359" s="32" t="s">
        <v>8707</v>
      </c>
      <c r="B3359" s="32" t="s">
        <v>8708</v>
      </c>
      <c r="C3359" s="35">
        <v>41.12403</v>
      </c>
      <c r="D3359" s="35">
        <v>-111.973086</v>
      </c>
      <c r="E3359" s="32" t="s">
        <v>180</v>
      </c>
      <c r="F3359" s="32" t="s">
        <v>8709</v>
      </c>
      <c r="G3359" s="39" t="s">
        <v>181</v>
      </c>
      <c r="H3359" s="33"/>
      <c r="I3359" s="33"/>
      <c r="J3359" s="33"/>
      <c r="K3359" s="33"/>
      <c r="L3359" s="33"/>
      <c r="M3359" s="33"/>
    </row>
    <row r="3360">
      <c r="A3360" s="32" t="s">
        <v>8710</v>
      </c>
      <c r="B3360" s="32" t="s">
        <v>8711</v>
      </c>
      <c r="C3360" s="35">
        <v>34.571098</v>
      </c>
      <c r="D3360" s="35">
        <v>-114.358002</v>
      </c>
      <c r="E3360" s="32" t="s">
        <v>180</v>
      </c>
      <c r="F3360" s="32" t="s">
        <v>8712</v>
      </c>
      <c r="G3360" s="39" t="s">
        <v>181</v>
      </c>
      <c r="H3360" s="33"/>
      <c r="I3360" s="33"/>
      <c r="J3360" s="33"/>
      <c r="K3360" s="33"/>
      <c r="L3360" s="33"/>
      <c r="M3360" s="33"/>
    </row>
    <row r="3361">
      <c r="A3361" s="32" t="s">
        <v>8713</v>
      </c>
      <c r="B3361" s="32" t="s">
        <v>8714</v>
      </c>
      <c r="C3361" s="35">
        <v>34.43610001</v>
      </c>
      <c r="D3361" s="35">
        <v>132.9190063</v>
      </c>
      <c r="E3361" s="32" t="s">
        <v>170</v>
      </c>
      <c r="F3361" s="32" t="s">
        <v>8715</v>
      </c>
      <c r="G3361" s="39" t="s">
        <v>171</v>
      </c>
      <c r="H3361" s="33"/>
      <c r="I3361" s="33"/>
      <c r="J3361" s="33"/>
      <c r="K3361" s="33"/>
      <c r="L3361" s="33"/>
      <c r="M3361" s="33"/>
    </row>
    <row r="3362">
      <c r="A3362" s="32" t="s">
        <v>8716</v>
      </c>
      <c r="B3362" s="32" t="s">
        <v>8717</v>
      </c>
      <c r="C3362" s="35">
        <v>8.04981</v>
      </c>
      <c r="D3362" s="35">
        <v>80.9814</v>
      </c>
      <c r="E3362" s="32" t="s">
        <v>1829</v>
      </c>
      <c r="F3362" s="32" t="s">
        <v>8718</v>
      </c>
      <c r="G3362" s="36" t="e">
        <v>#N/A</v>
      </c>
      <c r="H3362" s="33"/>
      <c r="I3362" s="33"/>
      <c r="J3362" s="33"/>
      <c r="K3362" s="33"/>
      <c r="L3362" s="33"/>
      <c r="M3362" s="33"/>
    </row>
    <row r="3363">
      <c r="A3363" s="32" t="s">
        <v>8719</v>
      </c>
      <c r="B3363" s="32" t="s">
        <v>8720</v>
      </c>
      <c r="C3363" s="35">
        <v>35.08850098</v>
      </c>
      <c r="D3363" s="35">
        <v>128.0700073</v>
      </c>
      <c r="E3363" s="32" t="s">
        <v>151</v>
      </c>
      <c r="F3363" s="32" t="s">
        <v>8721</v>
      </c>
      <c r="G3363" s="39" t="s">
        <v>152</v>
      </c>
      <c r="H3363" s="33"/>
      <c r="I3363" s="33"/>
      <c r="J3363" s="33"/>
      <c r="K3363" s="33"/>
      <c r="L3363" s="33"/>
      <c r="M3363" s="33"/>
    </row>
    <row r="3364">
      <c r="A3364" s="32" t="s">
        <v>8722</v>
      </c>
      <c r="B3364" s="32" t="s">
        <v>8723</v>
      </c>
      <c r="C3364" s="35">
        <v>45.540401</v>
      </c>
      <c r="D3364" s="35">
        <v>-122.949997</v>
      </c>
      <c r="E3364" s="32" t="s">
        <v>180</v>
      </c>
      <c r="F3364" s="32" t="s">
        <v>8724</v>
      </c>
      <c r="G3364" s="39" t="s">
        <v>181</v>
      </c>
      <c r="H3364" s="33"/>
      <c r="I3364" s="33"/>
      <c r="J3364" s="33"/>
      <c r="K3364" s="33"/>
      <c r="L3364" s="33"/>
      <c r="M3364" s="33"/>
    </row>
    <row r="3365">
      <c r="A3365" s="32" t="s">
        <v>8725</v>
      </c>
      <c r="B3365" s="32" t="s">
        <v>8726</v>
      </c>
      <c r="C3365" s="35">
        <v>-9.42800045</v>
      </c>
      <c r="D3365" s="35">
        <v>160.0549927</v>
      </c>
      <c r="E3365" s="32" t="s">
        <v>3666</v>
      </c>
      <c r="F3365" s="32" t="s">
        <v>8727</v>
      </c>
      <c r="G3365" s="36" t="e">
        <v>#N/A</v>
      </c>
      <c r="H3365" s="33"/>
      <c r="I3365" s="33"/>
      <c r="J3365" s="33"/>
      <c r="K3365" s="33"/>
      <c r="L3365" s="33"/>
      <c r="M3365" s="33"/>
    </row>
    <row r="3366">
      <c r="A3366" s="32" t="s">
        <v>8728</v>
      </c>
      <c r="B3366" s="32" t="s">
        <v>8729</v>
      </c>
      <c r="C3366" s="35">
        <v>-20.0599</v>
      </c>
      <c r="D3366" s="35">
        <v>148.8834</v>
      </c>
      <c r="E3366" s="32" t="s">
        <v>1968</v>
      </c>
      <c r="F3366" s="32" t="s">
        <v>8730</v>
      </c>
      <c r="G3366" s="36" t="e">
        <v>#N/A</v>
      </c>
      <c r="H3366" s="33"/>
      <c r="I3366" s="33"/>
      <c r="J3366" s="33"/>
      <c r="K3366" s="33"/>
      <c r="L3366" s="33"/>
      <c r="M3366" s="33"/>
    </row>
    <row r="3367">
      <c r="A3367" s="32" t="s">
        <v>8731</v>
      </c>
      <c r="B3367" s="32" t="s">
        <v>8732</v>
      </c>
      <c r="C3367" s="35">
        <v>34.3669014</v>
      </c>
      <c r="D3367" s="35">
        <v>132.4140015</v>
      </c>
      <c r="E3367" s="32" t="s">
        <v>170</v>
      </c>
      <c r="F3367" s="32" t="s">
        <v>8715</v>
      </c>
      <c r="G3367" s="39" t="s">
        <v>171</v>
      </c>
      <c r="H3367" s="33"/>
      <c r="I3367" s="33"/>
      <c r="J3367" s="33"/>
      <c r="K3367" s="33"/>
      <c r="L3367" s="33"/>
      <c r="M3367" s="33"/>
    </row>
    <row r="3368">
      <c r="A3368" s="32" t="s">
        <v>8733</v>
      </c>
      <c r="B3368" s="32" t="s">
        <v>8734</v>
      </c>
      <c r="C3368" s="35">
        <v>27.44111111</v>
      </c>
      <c r="D3368" s="35">
        <v>109.7</v>
      </c>
      <c r="E3368" s="32" t="s">
        <v>205</v>
      </c>
      <c r="F3368" s="32" t="s">
        <v>8735</v>
      </c>
      <c r="G3368" s="39" t="s">
        <v>206</v>
      </c>
      <c r="H3368" s="33"/>
      <c r="I3368" s="33"/>
      <c r="J3368" s="33"/>
      <c r="K3368" s="33"/>
      <c r="L3368" s="33"/>
      <c r="M3368" s="33"/>
    </row>
    <row r="3369">
      <c r="A3369" s="32" t="s">
        <v>8736</v>
      </c>
      <c r="B3369" s="32" t="s">
        <v>8737</v>
      </c>
      <c r="C3369" s="35">
        <v>24.81719971</v>
      </c>
      <c r="D3369" s="35">
        <v>79.91860199</v>
      </c>
      <c r="E3369" s="32" t="s">
        <v>217</v>
      </c>
      <c r="F3369" s="32" t="s">
        <v>8738</v>
      </c>
      <c r="G3369" s="39" t="s">
        <v>218</v>
      </c>
      <c r="H3369" s="33"/>
      <c r="I3369" s="33"/>
      <c r="J3369" s="33"/>
      <c r="K3369" s="33"/>
      <c r="L3369" s="33"/>
      <c r="M3369" s="33"/>
    </row>
    <row r="3370">
      <c r="A3370" s="32" t="s">
        <v>8739</v>
      </c>
      <c r="B3370" s="32" t="s">
        <v>8740</v>
      </c>
      <c r="C3370" s="35">
        <v>63.86619949</v>
      </c>
      <c r="D3370" s="35">
        <v>-148.9689941</v>
      </c>
      <c r="E3370" s="32" t="s">
        <v>180</v>
      </c>
      <c r="F3370" s="32" t="s">
        <v>8741</v>
      </c>
      <c r="G3370" s="39" t="s">
        <v>181</v>
      </c>
      <c r="H3370" s="33"/>
      <c r="I3370" s="33"/>
      <c r="J3370" s="33"/>
      <c r="K3370" s="33"/>
      <c r="L3370" s="33"/>
      <c r="M3370" s="33"/>
    </row>
    <row r="3371">
      <c r="A3371" s="32" t="s">
        <v>8742</v>
      </c>
      <c r="B3371" s="32" t="s">
        <v>8743</v>
      </c>
      <c r="C3371" s="35">
        <v>41.77000046</v>
      </c>
      <c r="D3371" s="35">
        <v>140.8220062</v>
      </c>
      <c r="E3371" s="32" t="s">
        <v>170</v>
      </c>
      <c r="F3371" s="32" t="s">
        <v>8744</v>
      </c>
      <c r="G3371" s="39" t="s">
        <v>171</v>
      </c>
      <c r="H3371" s="33"/>
      <c r="I3371" s="33"/>
      <c r="J3371" s="33"/>
      <c r="K3371" s="33"/>
      <c r="L3371" s="33"/>
      <c r="M3371" s="33"/>
    </row>
    <row r="3372">
      <c r="A3372" s="32" t="s">
        <v>8745</v>
      </c>
      <c r="B3372" s="32" t="s">
        <v>8746</v>
      </c>
      <c r="C3372" s="35">
        <v>22.30890083</v>
      </c>
      <c r="D3372" s="35">
        <v>113.9150009</v>
      </c>
      <c r="E3372" s="32" t="s">
        <v>163</v>
      </c>
      <c r="F3372" s="32" t="s">
        <v>163</v>
      </c>
      <c r="G3372" s="39" t="s">
        <v>164</v>
      </c>
      <c r="H3372" s="33"/>
      <c r="I3372" s="33"/>
      <c r="J3372" s="33"/>
      <c r="K3372" s="33"/>
      <c r="L3372" s="33"/>
      <c r="M3372" s="33"/>
    </row>
    <row r="3373">
      <c r="A3373" s="32" t="s">
        <v>8747</v>
      </c>
      <c r="B3373" s="32" t="s">
        <v>8748</v>
      </c>
      <c r="C3373" s="35">
        <v>-42.71360016</v>
      </c>
      <c r="D3373" s="35">
        <v>170.9850006</v>
      </c>
      <c r="E3373" s="32" t="s">
        <v>1328</v>
      </c>
      <c r="F3373" s="32" t="s">
        <v>8749</v>
      </c>
      <c r="G3373" s="36" t="e">
        <v>#N/A</v>
      </c>
      <c r="H3373" s="33"/>
      <c r="I3373" s="33"/>
      <c r="J3373" s="33"/>
      <c r="K3373" s="33"/>
      <c r="L3373" s="33"/>
      <c r="M3373" s="33"/>
    </row>
    <row r="3374">
      <c r="A3374" s="32" t="s">
        <v>8750</v>
      </c>
      <c r="B3374" s="32" t="s">
        <v>8751</v>
      </c>
      <c r="C3374" s="35">
        <v>-5.462170124</v>
      </c>
      <c r="D3374" s="35">
        <v>150.4049988</v>
      </c>
      <c r="E3374" s="32" t="s">
        <v>5289</v>
      </c>
      <c r="F3374" s="32" t="s">
        <v>8752</v>
      </c>
      <c r="G3374" s="36" t="e">
        <v>#N/A</v>
      </c>
      <c r="H3374" s="33"/>
      <c r="I3374" s="33"/>
      <c r="J3374" s="33"/>
      <c r="K3374" s="33"/>
      <c r="L3374" s="33"/>
      <c r="M3374" s="33"/>
    </row>
    <row r="3375">
      <c r="A3375" s="32" t="s">
        <v>8753</v>
      </c>
      <c r="B3375" s="32" t="s">
        <v>8754</v>
      </c>
      <c r="C3375" s="35">
        <v>8.113200188</v>
      </c>
      <c r="D3375" s="35">
        <v>98.31690216</v>
      </c>
      <c r="E3375" s="32" t="s">
        <v>175</v>
      </c>
      <c r="F3375" s="32" t="s">
        <v>8755</v>
      </c>
      <c r="G3375" s="39" t="s">
        <v>176</v>
      </c>
      <c r="H3375" s="33"/>
      <c r="I3375" s="33"/>
      <c r="J3375" s="33"/>
      <c r="K3375" s="33"/>
      <c r="L3375" s="33"/>
      <c r="M3375" s="33"/>
    </row>
    <row r="3376">
      <c r="A3376" s="32" t="s">
        <v>8756</v>
      </c>
      <c r="B3376" s="32" t="s">
        <v>8757</v>
      </c>
      <c r="C3376" s="35">
        <v>35.74110031</v>
      </c>
      <c r="D3376" s="35">
        <v>-81.38950348</v>
      </c>
      <c r="E3376" s="32" t="s">
        <v>180</v>
      </c>
      <c r="F3376" s="32" t="s">
        <v>8758</v>
      </c>
      <c r="G3376" s="39" t="s">
        <v>181</v>
      </c>
      <c r="H3376" s="33"/>
      <c r="I3376" s="33"/>
      <c r="J3376" s="33"/>
      <c r="K3376" s="33"/>
      <c r="L3376" s="33"/>
      <c r="M3376" s="33"/>
    </row>
    <row r="3377">
      <c r="A3377" s="32" t="s">
        <v>8759</v>
      </c>
      <c r="B3377" s="32" t="s">
        <v>8760</v>
      </c>
      <c r="C3377" s="35">
        <v>-25.93849945</v>
      </c>
      <c r="D3377" s="35">
        <v>27.92609978</v>
      </c>
      <c r="E3377" s="32" t="s">
        <v>16</v>
      </c>
      <c r="F3377" s="32" t="s">
        <v>7955</v>
      </c>
      <c r="G3377" s="36" t="e">
        <v>#N/A</v>
      </c>
      <c r="H3377" s="33"/>
      <c r="I3377" s="33"/>
      <c r="J3377" s="33"/>
      <c r="K3377" s="33"/>
      <c r="L3377" s="33"/>
      <c r="M3377" s="33"/>
    </row>
    <row r="3378">
      <c r="A3378" s="32" t="s">
        <v>8761</v>
      </c>
      <c r="B3378" s="32" t="s">
        <v>8762</v>
      </c>
      <c r="C3378" s="35">
        <v>49.20500183</v>
      </c>
      <c r="D3378" s="35">
        <v>119.8249969</v>
      </c>
      <c r="E3378" s="32" t="s">
        <v>205</v>
      </c>
      <c r="F3378" s="32" t="s">
        <v>8763</v>
      </c>
      <c r="G3378" s="39" t="s">
        <v>206</v>
      </c>
      <c r="H3378" s="33"/>
      <c r="I3378" s="33"/>
      <c r="J3378" s="33"/>
      <c r="K3378" s="33"/>
      <c r="L3378" s="33"/>
      <c r="M3378" s="33"/>
    </row>
    <row r="3379">
      <c r="A3379" s="32" t="s">
        <v>8764</v>
      </c>
      <c r="B3379" s="32" t="s">
        <v>8765</v>
      </c>
      <c r="C3379" s="35">
        <v>57.5257988</v>
      </c>
      <c r="D3379" s="35">
        <v>15.82330036</v>
      </c>
      <c r="E3379" s="32" t="s">
        <v>347</v>
      </c>
      <c r="F3379" s="32" t="s">
        <v>8766</v>
      </c>
      <c r="G3379" s="36" t="e">
        <v>#N/A</v>
      </c>
      <c r="H3379" s="33"/>
      <c r="I3379" s="33"/>
      <c r="J3379" s="33"/>
      <c r="K3379" s="33"/>
      <c r="L3379" s="33"/>
      <c r="M3379" s="33"/>
    </row>
    <row r="3380">
      <c r="A3380" s="32" t="s">
        <v>8767</v>
      </c>
      <c r="B3380" s="32" t="s">
        <v>8768</v>
      </c>
      <c r="C3380" s="35">
        <v>40.17499924</v>
      </c>
      <c r="D3380" s="35">
        <v>-80.64630127</v>
      </c>
      <c r="E3380" s="32" t="s">
        <v>180</v>
      </c>
      <c r="F3380" s="32" t="s">
        <v>8769</v>
      </c>
      <c r="G3380" s="39" t="s">
        <v>181</v>
      </c>
      <c r="H3380" s="33"/>
      <c r="I3380" s="33"/>
      <c r="J3380" s="33"/>
      <c r="K3380" s="33"/>
      <c r="L3380" s="33"/>
      <c r="M3380" s="33"/>
    </row>
    <row r="3381">
      <c r="A3381" s="32" t="s">
        <v>8770</v>
      </c>
      <c r="B3381" s="32" t="s">
        <v>8771</v>
      </c>
      <c r="C3381" s="35">
        <v>46.195333</v>
      </c>
      <c r="D3381" s="35">
        <v>122.008333</v>
      </c>
      <c r="E3381" s="32" t="s">
        <v>205</v>
      </c>
      <c r="F3381" s="32" t="s">
        <v>8772</v>
      </c>
      <c r="G3381" s="39" t="s">
        <v>206</v>
      </c>
      <c r="H3381" s="33"/>
      <c r="I3381" s="33"/>
      <c r="J3381" s="33"/>
      <c r="K3381" s="33"/>
      <c r="L3381" s="33"/>
      <c r="M3381" s="33"/>
    </row>
    <row r="3382">
      <c r="A3382" s="32" t="s">
        <v>8773</v>
      </c>
      <c r="B3382" s="32" t="s">
        <v>8774</v>
      </c>
      <c r="C3382" s="35">
        <v>56.0705986</v>
      </c>
      <c r="D3382" s="35">
        <v>23.55809975</v>
      </c>
      <c r="E3382" s="32" t="s">
        <v>2012</v>
      </c>
      <c r="F3382" s="32" t="s">
        <v>8775</v>
      </c>
      <c r="G3382" s="36" t="e">
        <v>#N/A</v>
      </c>
      <c r="H3382" s="33"/>
      <c r="I3382" s="33"/>
      <c r="J3382" s="33"/>
      <c r="K3382" s="33"/>
      <c r="L3382" s="33"/>
      <c r="M3382" s="33"/>
    </row>
    <row r="3383">
      <c r="A3383" s="32" t="s">
        <v>8776</v>
      </c>
      <c r="B3383" s="32" t="s">
        <v>8777</v>
      </c>
      <c r="C3383" s="35">
        <v>46.60680008</v>
      </c>
      <c r="D3383" s="35">
        <v>-111.9830017</v>
      </c>
      <c r="E3383" s="32" t="s">
        <v>180</v>
      </c>
      <c r="F3383" s="32" t="s">
        <v>8778</v>
      </c>
      <c r="G3383" s="39" t="s">
        <v>181</v>
      </c>
      <c r="H3383" s="33"/>
      <c r="I3383" s="33"/>
      <c r="J3383" s="33"/>
      <c r="K3383" s="33"/>
      <c r="L3383" s="33"/>
      <c r="M3383" s="33"/>
    </row>
    <row r="3384">
      <c r="A3384" s="32" t="s">
        <v>8779</v>
      </c>
      <c r="B3384" s="32" t="s">
        <v>8780</v>
      </c>
      <c r="C3384" s="35">
        <v>-6.266610146</v>
      </c>
      <c r="D3384" s="35">
        <v>106.8909988</v>
      </c>
      <c r="E3384" s="32" t="s">
        <v>280</v>
      </c>
      <c r="F3384" s="32" t="s">
        <v>5803</v>
      </c>
      <c r="G3384" s="36" t="e">
        <v>#N/A</v>
      </c>
      <c r="H3384" s="33"/>
      <c r="I3384" s="33"/>
      <c r="J3384" s="33"/>
      <c r="K3384" s="33"/>
      <c r="L3384" s="33"/>
      <c r="M3384" s="33"/>
    </row>
    <row r="3385">
      <c r="A3385" s="32" t="s">
        <v>8781</v>
      </c>
      <c r="B3385" s="32" t="s">
        <v>8782</v>
      </c>
      <c r="C3385" s="35">
        <v>31.13870049</v>
      </c>
      <c r="D3385" s="35">
        <v>-97.71450043</v>
      </c>
      <c r="E3385" s="32" t="s">
        <v>180</v>
      </c>
      <c r="F3385" s="32" t="s">
        <v>8783</v>
      </c>
      <c r="G3385" s="39" t="s">
        <v>181</v>
      </c>
      <c r="H3385" s="33"/>
      <c r="I3385" s="33"/>
      <c r="J3385" s="33"/>
      <c r="K3385" s="33"/>
      <c r="L3385" s="33"/>
      <c r="M3385" s="33"/>
    </row>
    <row r="3386">
      <c r="A3386" s="32" t="s">
        <v>8784</v>
      </c>
      <c r="B3386" s="32" t="s">
        <v>8785</v>
      </c>
      <c r="C3386" s="35">
        <v>-37.64889908</v>
      </c>
      <c r="D3386" s="35">
        <v>142.0650024</v>
      </c>
      <c r="E3386" s="32" t="s">
        <v>1968</v>
      </c>
      <c r="F3386" s="32" t="s">
        <v>2683</v>
      </c>
      <c r="G3386" s="36" t="e">
        <v>#N/A</v>
      </c>
      <c r="H3386" s="33"/>
      <c r="I3386" s="33"/>
      <c r="J3386" s="33"/>
      <c r="K3386" s="33"/>
      <c r="L3386" s="33"/>
      <c r="M3386" s="33"/>
    </row>
    <row r="3387">
      <c r="A3387" s="32" t="s">
        <v>8786</v>
      </c>
      <c r="B3387" s="32" t="s">
        <v>8787</v>
      </c>
      <c r="C3387" s="35">
        <v>-37.86669922</v>
      </c>
      <c r="D3387" s="35">
        <v>175.3320007</v>
      </c>
      <c r="E3387" s="32" t="s">
        <v>1328</v>
      </c>
      <c r="F3387" s="32" t="s">
        <v>2683</v>
      </c>
      <c r="G3387" s="36" t="e">
        <v>#N/A</v>
      </c>
      <c r="H3387" s="33"/>
      <c r="I3387" s="33"/>
      <c r="J3387" s="33"/>
      <c r="K3387" s="33"/>
      <c r="L3387" s="33"/>
      <c r="M3387" s="33"/>
    </row>
    <row r="3388">
      <c r="A3388" s="32" t="s">
        <v>8788</v>
      </c>
      <c r="B3388" s="32" t="s">
        <v>8789</v>
      </c>
      <c r="C3388" s="35">
        <v>61.0284996</v>
      </c>
      <c r="D3388" s="35">
        <v>69.08609772</v>
      </c>
      <c r="E3388" s="32" t="s">
        <v>2040</v>
      </c>
      <c r="F3388" s="32" t="s">
        <v>8790</v>
      </c>
      <c r="G3388" s="36" t="e">
        <v>#N/A</v>
      </c>
      <c r="H3388" s="33"/>
      <c r="I3388" s="33"/>
      <c r="J3388" s="33"/>
      <c r="K3388" s="33"/>
      <c r="L3388" s="33"/>
      <c r="M3388" s="33"/>
    </row>
    <row r="3389">
      <c r="A3389" s="32" t="s">
        <v>8791</v>
      </c>
      <c r="B3389" s="32" t="s">
        <v>8792</v>
      </c>
      <c r="C3389" s="35">
        <v>26.342778</v>
      </c>
      <c r="D3389" s="35">
        <v>31.742778</v>
      </c>
      <c r="E3389" s="32" t="s">
        <v>15</v>
      </c>
      <c r="F3389" s="32" t="s">
        <v>8793</v>
      </c>
      <c r="G3389" s="36" t="e">
        <v>#N/A</v>
      </c>
      <c r="H3389" s="33"/>
      <c r="I3389" s="33"/>
      <c r="J3389" s="33"/>
      <c r="K3389" s="33"/>
      <c r="L3389" s="33"/>
      <c r="M3389" s="33"/>
    </row>
    <row r="3390">
      <c r="A3390" s="32" t="s">
        <v>8794</v>
      </c>
      <c r="B3390" s="32" t="s">
        <v>8795</v>
      </c>
      <c r="C3390" s="35">
        <v>31.67300034</v>
      </c>
      <c r="D3390" s="35">
        <v>6.140439987</v>
      </c>
      <c r="E3390" s="32" t="s">
        <v>20</v>
      </c>
      <c r="F3390" s="32" t="s">
        <v>8796</v>
      </c>
      <c r="G3390" s="36" t="e">
        <v>#N/A</v>
      </c>
      <c r="H3390" s="33"/>
      <c r="I3390" s="33"/>
      <c r="J3390" s="33"/>
      <c r="K3390" s="33"/>
      <c r="L3390" s="33"/>
      <c r="M3390" s="33"/>
    </row>
    <row r="3391">
      <c r="A3391" s="32" t="s">
        <v>8797</v>
      </c>
      <c r="B3391" s="32" t="s">
        <v>8798</v>
      </c>
      <c r="C3391" s="35">
        <v>42.84140015</v>
      </c>
      <c r="D3391" s="35">
        <v>93.66919708</v>
      </c>
      <c r="E3391" s="32" t="s">
        <v>205</v>
      </c>
      <c r="F3391" s="32" t="s">
        <v>8799</v>
      </c>
      <c r="G3391" s="39" t="s">
        <v>206</v>
      </c>
      <c r="H3391" s="33"/>
      <c r="I3391" s="33"/>
      <c r="J3391" s="33"/>
      <c r="K3391" s="33"/>
      <c r="L3391" s="33"/>
      <c r="M3391" s="33"/>
    </row>
    <row r="3392">
      <c r="A3392" s="32" t="s">
        <v>8800</v>
      </c>
      <c r="B3392" s="32" t="s">
        <v>8801</v>
      </c>
      <c r="C3392" s="35">
        <v>49.35969925</v>
      </c>
      <c r="D3392" s="35">
        <v>26.9333992</v>
      </c>
      <c r="E3392" s="32" t="s">
        <v>3293</v>
      </c>
      <c r="F3392" s="32" t="s">
        <v>8802</v>
      </c>
      <c r="G3392" s="36" t="e">
        <v>#N/A</v>
      </c>
      <c r="H3392" s="33"/>
      <c r="I3392" s="33"/>
      <c r="J3392" s="33"/>
      <c r="K3392" s="33"/>
      <c r="L3392" s="33"/>
      <c r="M3392" s="33"/>
    </row>
    <row r="3393">
      <c r="A3393" s="32" t="s">
        <v>8803</v>
      </c>
      <c r="B3393" s="32" t="s">
        <v>8804</v>
      </c>
      <c r="C3393" s="35">
        <v>32.85250092</v>
      </c>
      <c r="D3393" s="35">
        <v>-106.1070023</v>
      </c>
      <c r="E3393" s="32" t="s">
        <v>180</v>
      </c>
      <c r="F3393" s="32" t="s">
        <v>3887</v>
      </c>
      <c r="G3393" s="39" t="s">
        <v>181</v>
      </c>
      <c r="H3393" s="33"/>
      <c r="I3393" s="33"/>
      <c r="J3393" s="33"/>
      <c r="K3393" s="33"/>
      <c r="L3393" s="33"/>
      <c r="M3393" s="33"/>
    </row>
    <row r="3394">
      <c r="A3394" s="32" t="s">
        <v>8805</v>
      </c>
      <c r="B3394" s="32" t="s">
        <v>8806</v>
      </c>
      <c r="C3394" s="35">
        <v>29.09589958</v>
      </c>
      <c r="D3394" s="35">
        <v>-111.0479965</v>
      </c>
      <c r="E3394" s="32" t="s">
        <v>186</v>
      </c>
      <c r="F3394" s="32" t="s">
        <v>8807</v>
      </c>
      <c r="G3394" s="39" t="s">
        <v>187</v>
      </c>
      <c r="H3394" s="33"/>
      <c r="I3394" s="33"/>
      <c r="J3394" s="33"/>
      <c r="K3394" s="33"/>
      <c r="L3394" s="33"/>
      <c r="M3394" s="33"/>
    </row>
    <row r="3395">
      <c r="A3395" s="32" t="s">
        <v>8808</v>
      </c>
      <c r="B3395" s="32" t="s">
        <v>8809</v>
      </c>
      <c r="C3395" s="35">
        <v>60.81809998</v>
      </c>
      <c r="D3395" s="35">
        <v>11.06799984</v>
      </c>
      <c r="E3395" s="32" t="s">
        <v>343</v>
      </c>
      <c r="F3395" s="32" t="s">
        <v>8810</v>
      </c>
      <c r="G3395" s="36" t="e">
        <v>#N/A</v>
      </c>
      <c r="H3395" s="33"/>
      <c r="I3395" s="33"/>
      <c r="J3395" s="33"/>
      <c r="K3395" s="33"/>
      <c r="L3395" s="33"/>
      <c r="M3395" s="33"/>
    </row>
    <row r="3396">
      <c r="A3396" s="32" t="s">
        <v>8811</v>
      </c>
      <c r="B3396" s="32" t="s">
        <v>8812</v>
      </c>
      <c r="C3396" s="35">
        <v>65.80609894</v>
      </c>
      <c r="D3396" s="35">
        <v>15.08279991</v>
      </c>
      <c r="E3396" s="32" t="s">
        <v>347</v>
      </c>
      <c r="F3396" s="32" t="s">
        <v>8813</v>
      </c>
      <c r="G3396" s="36" t="e">
        <v>#N/A</v>
      </c>
      <c r="H3396" s="33"/>
      <c r="I3396" s="33"/>
      <c r="J3396" s="33"/>
      <c r="K3396" s="33"/>
      <c r="L3396" s="33"/>
      <c r="M3396" s="33"/>
    </row>
    <row r="3397">
      <c r="A3397" s="32" t="s">
        <v>8814</v>
      </c>
      <c r="B3397" s="32" t="s">
        <v>8815</v>
      </c>
      <c r="C3397" s="35">
        <v>39.42860031</v>
      </c>
      <c r="D3397" s="35">
        <v>141.1349945</v>
      </c>
      <c r="E3397" s="32" t="s">
        <v>170</v>
      </c>
      <c r="F3397" s="32" t="s">
        <v>8816</v>
      </c>
      <c r="G3397" s="39" t="s">
        <v>171</v>
      </c>
      <c r="H3397" s="33"/>
      <c r="I3397" s="33"/>
      <c r="J3397" s="33"/>
      <c r="K3397" s="33"/>
      <c r="L3397" s="33"/>
      <c r="M3397" s="33"/>
    </row>
    <row r="3398">
      <c r="A3398" s="32" t="s">
        <v>8817</v>
      </c>
      <c r="B3398" s="32" t="s">
        <v>8818</v>
      </c>
      <c r="C3398" s="35">
        <v>35.552299</v>
      </c>
      <c r="D3398" s="35">
        <v>139.779999</v>
      </c>
      <c r="E3398" s="32" t="s">
        <v>170</v>
      </c>
      <c r="F3398" s="32" t="s">
        <v>2993</v>
      </c>
      <c r="G3398" s="39" t="s">
        <v>171</v>
      </c>
      <c r="H3398" s="33"/>
      <c r="I3398" s="33"/>
      <c r="J3398" s="33"/>
      <c r="K3398" s="33"/>
      <c r="L3398" s="33"/>
      <c r="M3398" s="33"/>
    </row>
    <row r="3399">
      <c r="A3399" s="32" t="s">
        <v>8819</v>
      </c>
      <c r="B3399" s="32" t="s">
        <v>8820</v>
      </c>
      <c r="C3399" s="35">
        <v>58.0961</v>
      </c>
      <c r="D3399" s="35">
        <v>-135.410111</v>
      </c>
      <c r="E3399" s="32" t="s">
        <v>180</v>
      </c>
      <c r="F3399" s="32" t="s">
        <v>8821</v>
      </c>
      <c r="G3399" s="39" t="s">
        <v>181</v>
      </c>
      <c r="H3399" s="33"/>
      <c r="I3399" s="33"/>
      <c r="J3399" s="33"/>
      <c r="K3399" s="33"/>
      <c r="L3399" s="33"/>
      <c r="M3399" s="33"/>
    </row>
    <row r="3400">
      <c r="A3400" s="32" t="s">
        <v>8822</v>
      </c>
      <c r="B3400" s="32" t="s">
        <v>8823</v>
      </c>
      <c r="C3400" s="35">
        <v>21.31870079</v>
      </c>
      <c r="D3400" s="35">
        <v>-157.9219971</v>
      </c>
      <c r="E3400" s="32" t="s">
        <v>180</v>
      </c>
      <c r="F3400" s="32" t="s">
        <v>8824</v>
      </c>
      <c r="G3400" s="39" t="s">
        <v>181</v>
      </c>
      <c r="H3400" s="33"/>
      <c r="I3400" s="33"/>
      <c r="J3400" s="33"/>
      <c r="K3400" s="33"/>
      <c r="L3400" s="33"/>
      <c r="M3400" s="33"/>
    </row>
    <row r="3401">
      <c r="A3401" s="32" t="s">
        <v>8825</v>
      </c>
      <c r="B3401" s="32" t="s">
        <v>8826</v>
      </c>
      <c r="C3401" s="35">
        <v>20.79560089</v>
      </c>
      <c r="D3401" s="35">
        <v>-156.0140076</v>
      </c>
      <c r="E3401" s="32" t="s">
        <v>180</v>
      </c>
      <c r="F3401" s="32" t="s">
        <v>8827</v>
      </c>
      <c r="G3401" s="39" t="s">
        <v>181</v>
      </c>
      <c r="H3401" s="33"/>
      <c r="I3401" s="33"/>
      <c r="J3401" s="33"/>
      <c r="K3401" s="33"/>
      <c r="L3401" s="33"/>
      <c r="M3401" s="33"/>
    </row>
    <row r="3402">
      <c r="A3402" s="32" t="s">
        <v>8828</v>
      </c>
      <c r="B3402" s="32" t="s">
        <v>8829</v>
      </c>
      <c r="C3402" s="35">
        <v>59.24380112</v>
      </c>
      <c r="D3402" s="35">
        <v>-135.5240021</v>
      </c>
      <c r="E3402" s="32" t="s">
        <v>180</v>
      </c>
      <c r="F3402" s="32" t="s">
        <v>8830</v>
      </c>
      <c r="G3402" s="39" t="s">
        <v>181</v>
      </c>
      <c r="H3402" s="33"/>
      <c r="I3402" s="33"/>
      <c r="J3402" s="33"/>
      <c r="K3402" s="33"/>
      <c r="L3402" s="33"/>
      <c r="M3402" s="33"/>
    </row>
    <row r="3403">
      <c r="A3403" s="32" t="s">
        <v>8831</v>
      </c>
      <c r="B3403" s="32" t="s">
        <v>8832</v>
      </c>
      <c r="C3403" s="35">
        <v>26.9053</v>
      </c>
      <c r="D3403" s="35">
        <v>112.627998</v>
      </c>
      <c r="E3403" s="32" t="s">
        <v>205</v>
      </c>
      <c r="F3403" s="32" t="s">
        <v>8833</v>
      </c>
      <c r="G3403" s="39" t="s">
        <v>206</v>
      </c>
      <c r="H3403" s="33"/>
      <c r="I3403" s="33"/>
      <c r="J3403" s="33"/>
      <c r="K3403" s="33"/>
      <c r="L3403" s="33"/>
      <c r="M3403" s="33"/>
    </row>
    <row r="3404">
      <c r="A3404" s="32" t="s">
        <v>8834</v>
      </c>
      <c r="B3404" s="32" t="s">
        <v>8835</v>
      </c>
      <c r="C3404" s="35">
        <v>36.36159897</v>
      </c>
      <c r="D3404" s="35">
        <v>-78.52919769</v>
      </c>
      <c r="E3404" s="32" t="s">
        <v>180</v>
      </c>
      <c r="F3404" s="32" t="s">
        <v>8836</v>
      </c>
      <c r="G3404" s="39" t="s">
        <v>181</v>
      </c>
      <c r="H3404" s="33"/>
      <c r="I3404" s="33"/>
      <c r="J3404" s="33"/>
      <c r="K3404" s="33"/>
      <c r="L3404" s="33"/>
      <c r="M3404" s="33"/>
    </row>
    <row r="3405">
      <c r="A3405" s="32" t="s">
        <v>8837</v>
      </c>
      <c r="B3405" s="32" t="s">
        <v>8838</v>
      </c>
      <c r="C3405" s="35">
        <v>-1.521999955</v>
      </c>
      <c r="D3405" s="35">
        <v>40.00400162</v>
      </c>
      <c r="E3405" s="32" t="s">
        <v>21</v>
      </c>
      <c r="F3405" s="32" t="s">
        <v>8839</v>
      </c>
      <c r="G3405" s="36" t="e">
        <v>#N/A</v>
      </c>
      <c r="H3405" s="33"/>
      <c r="I3405" s="33"/>
      <c r="J3405" s="33"/>
      <c r="K3405" s="33"/>
      <c r="L3405" s="33"/>
      <c r="M3405" s="33"/>
    </row>
    <row r="3406">
      <c r="A3406" s="32" t="s">
        <v>8840</v>
      </c>
      <c r="B3406" s="32" t="s">
        <v>8841</v>
      </c>
      <c r="C3406" s="35">
        <v>32.6875</v>
      </c>
      <c r="D3406" s="35">
        <v>-103.2170029</v>
      </c>
      <c r="E3406" s="32" t="s">
        <v>180</v>
      </c>
      <c r="F3406" s="32" t="s">
        <v>8842</v>
      </c>
      <c r="G3406" s="39" t="s">
        <v>181</v>
      </c>
      <c r="H3406" s="33"/>
      <c r="I3406" s="33"/>
      <c r="J3406" s="33"/>
      <c r="K3406" s="33"/>
      <c r="L3406" s="33"/>
      <c r="M3406" s="33"/>
    </row>
    <row r="3407">
      <c r="A3407" s="32" t="s">
        <v>8843</v>
      </c>
      <c r="B3407" s="32" t="s">
        <v>8844</v>
      </c>
      <c r="C3407" s="35">
        <v>14.75300026</v>
      </c>
      <c r="D3407" s="35">
        <v>42.97629929</v>
      </c>
      <c r="E3407" s="32" t="s">
        <v>2020</v>
      </c>
      <c r="F3407" s="32" t="s">
        <v>8845</v>
      </c>
      <c r="G3407" s="36" t="e">
        <v>#N/A</v>
      </c>
      <c r="H3407" s="33"/>
      <c r="I3407" s="33"/>
      <c r="J3407" s="33"/>
      <c r="K3407" s="33"/>
      <c r="L3407" s="33"/>
      <c r="M3407" s="33"/>
    </row>
    <row r="3408">
      <c r="A3408" s="32" t="s">
        <v>8846</v>
      </c>
      <c r="B3408" s="32" t="s">
        <v>8847</v>
      </c>
      <c r="C3408" s="35">
        <v>25.2852993</v>
      </c>
      <c r="D3408" s="35">
        <v>49.48519897</v>
      </c>
      <c r="E3408" s="32" t="s">
        <v>223</v>
      </c>
      <c r="F3408" s="32" t="s">
        <v>8848</v>
      </c>
      <c r="G3408" s="36" t="e">
        <v>#N/A</v>
      </c>
      <c r="H3408" s="33"/>
      <c r="I3408" s="33"/>
      <c r="J3408" s="33"/>
      <c r="K3408" s="33"/>
      <c r="L3408" s="33"/>
      <c r="M3408" s="33"/>
    </row>
    <row r="3409">
      <c r="A3409" s="32" t="s">
        <v>8849</v>
      </c>
      <c r="B3409" s="32" t="s">
        <v>8850</v>
      </c>
      <c r="C3409" s="35">
        <v>20.78560066</v>
      </c>
      <c r="D3409" s="35">
        <v>-76.31510162</v>
      </c>
      <c r="E3409" s="32" t="s">
        <v>1294</v>
      </c>
      <c r="F3409" s="32" t="s">
        <v>8851</v>
      </c>
      <c r="G3409" s="36" t="e">
        <v>#N/A</v>
      </c>
      <c r="H3409" s="33"/>
      <c r="I3409" s="33"/>
      <c r="J3409" s="33"/>
      <c r="K3409" s="33"/>
      <c r="L3409" s="33"/>
      <c r="M3409" s="33"/>
    </row>
    <row r="3410">
      <c r="A3410" s="32" t="s">
        <v>8852</v>
      </c>
      <c r="B3410" s="32" t="s">
        <v>8853</v>
      </c>
      <c r="C3410" s="35">
        <v>-18.07480049</v>
      </c>
      <c r="D3410" s="35">
        <v>-140.9459991</v>
      </c>
      <c r="E3410" s="32" t="s">
        <v>1325</v>
      </c>
      <c r="F3410" s="32" t="s">
        <v>8854</v>
      </c>
      <c r="G3410" s="36" t="e">
        <v>#N/A</v>
      </c>
      <c r="H3410" s="33"/>
      <c r="I3410" s="33"/>
      <c r="J3410" s="33"/>
      <c r="K3410" s="33"/>
      <c r="L3410" s="33"/>
      <c r="M3410" s="33"/>
    </row>
    <row r="3411">
      <c r="A3411" s="32" t="s">
        <v>8855</v>
      </c>
      <c r="B3411" s="32" t="s">
        <v>8856</v>
      </c>
      <c r="C3411" s="35">
        <v>47.38499832</v>
      </c>
      <c r="D3411" s="35">
        <v>9.699999809</v>
      </c>
      <c r="E3411" s="32" t="s">
        <v>1145</v>
      </c>
      <c r="F3411" s="32" t="s">
        <v>8857</v>
      </c>
      <c r="G3411" s="36" t="e">
        <v>#N/A</v>
      </c>
      <c r="H3411" s="33"/>
      <c r="I3411" s="33"/>
      <c r="J3411" s="33"/>
      <c r="K3411" s="33"/>
      <c r="L3411" s="33"/>
      <c r="M3411" s="33"/>
    </row>
    <row r="3412">
      <c r="A3412" s="32" t="s">
        <v>8858</v>
      </c>
      <c r="B3412" s="32" t="s">
        <v>8859</v>
      </c>
      <c r="C3412" s="35">
        <v>-18.33670044</v>
      </c>
      <c r="D3412" s="35">
        <v>130.6380005</v>
      </c>
      <c r="E3412" s="32" t="s">
        <v>1968</v>
      </c>
      <c r="F3412" s="32" t="s">
        <v>8860</v>
      </c>
      <c r="G3412" s="36" t="e">
        <v>#N/A</v>
      </c>
      <c r="H3412" s="33"/>
      <c r="I3412" s="33"/>
      <c r="J3412" s="33"/>
      <c r="K3412" s="33"/>
      <c r="L3412" s="33"/>
      <c r="M3412" s="33"/>
    </row>
    <row r="3413">
      <c r="A3413" s="32" t="s">
        <v>8861</v>
      </c>
      <c r="B3413" s="32" t="s">
        <v>8862</v>
      </c>
      <c r="C3413" s="35">
        <v>59.64559937</v>
      </c>
      <c r="D3413" s="35">
        <v>-151.477005</v>
      </c>
      <c r="E3413" s="32" t="s">
        <v>180</v>
      </c>
      <c r="F3413" s="32" t="s">
        <v>8863</v>
      </c>
      <c r="G3413" s="39" t="s">
        <v>181</v>
      </c>
      <c r="H3413" s="33"/>
      <c r="I3413" s="33"/>
      <c r="J3413" s="33"/>
      <c r="K3413" s="33"/>
      <c r="L3413" s="33"/>
      <c r="M3413" s="33"/>
    </row>
    <row r="3414">
      <c r="A3414" s="32" t="s">
        <v>8864</v>
      </c>
      <c r="B3414" s="32" t="s">
        <v>8865</v>
      </c>
      <c r="C3414" s="35">
        <v>44.3852005</v>
      </c>
      <c r="D3414" s="35">
        <v>-98.22850037</v>
      </c>
      <c r="E3414" s="32" t="s">
        <v>180</v>
      </c>
      <c r="F3414" s="32" t="s">
        <v>8866</v>
      </c>
      <c r="G3414" s="39" t="s">
        <v>181</v>
      </c>
      <c r="H3414" s="33"/>
      <c r="I3414" s="33"/>
      <c r="J3414" s="33"/>
      <c r="K3414" s="33"/>
      <c r="L3414" s="33"/>
      <c r="M3414" s="33"/>
    </row>
    <row r="3415">
      <c r="A3415" s="32" t="s">
        <v>8867</v>
      </c>
      <c r="B3415" s="32" t="s">
        <v>8868</v>
      </c>
      <c r="C3415" s="35">
        <v>36.66859818</v>
      </c>
      <c r="D3415" s="35">
        <v>-87.49620056</v>
      </c>
      <c r="E3415" s="32" t="s">
        <v>180</v>
      </c>
      <c r="F3415" s="32" t="s">
        <v>8869</v>
      </c>
      <c r="G3415" s="39" t="s">
        <v>181</v>
      </c>
      <c r="H3415" s="33"/>
      <c r="I3415" s="33"/>
      <c r="J3415" s="33"/>
      <c r="K3415" s="33"/>
      <c r="L3415" s="33"/>
      <c r="M3415" s="33"/>
    </row>
    <row r="3416">
      <c r="A3416" s="32" t="s">
        <v>8870</v>
      </c>
      <c r="B3416" s="32" t="s">
        <v>8871</v>
      </c>
      <c r="C3416" s="35">
        <v>50.28861237</v>
      </c>
      <c r="D3416" s="35">
        <v>11.85638905</v>
      </c>
      <c r="E3416" s="32" t="s">
        <v>109</v>
      </c>
      <c r="F3416" s="32" t="s">
        <v>8872</v>
      </c>
      <c r="G3416" s="39" t="s">
        <v>110</v>
      </c>
      <c r="H3416" s="33"/>
      <c r="I3416" s="33"/>
      <c r="J3416" s="33"/>
      <c r="K3416" s="33"/>
      <c r="L3416" s="33"/>
      <c r="M3416" s="33"/>
    </row>
    <row r="3417">
      <c r="A3417" s="32" t="s">
        <v>8873</v>
      </c>
      <c r="B3417" s="32" t="s">
        <v>8874</v>
      </c>
      <c r="C3417" s="35">
        <v>38.51990128</v>
      </c>
      <c r="D3417" s="35">
        <v>-28.71590042</v>
      </c>
      <c r="E3417" s="32" t="s">
        <v>121</v>
      </c>
      <c r="F3417" s="32" t="s">
        <v>8875</v>
      </c>
      <c r="G3417" s="39" t="s">
        <v>122</v>
      </c>
      <c r="H3417" s="33"/>
      <c r="I3417" s="33"/>
      <c r="J3417" s="33"/>
      <c r="K3417" s="33"/>
      <c r="L3417" s="33"/>
      <c r="M3417" s="33"/>
    </row>
    <row r="3418">
      <c r="A3418" s="32" t="s">
        <v>8876</v>
      </c>
      <c r="B3418" s="32" t="s">
        <v>8877</v>
      </c>
      <c r="C3418" s="35">
        <v>34.47800064</v>
      </c>
      <c r="D3418" s="35">
        <v>-93.09619904</v>
      </c>
      <c r="E3418" s="32" t="s">
        <v>180</v>
      </c>
      <c r="F3418" s="32" t="s">
        <v>8878</v>
      </c>
      <c r="G3418" s="39" t="s">
        <v>181</v>
      </c>
      <c r="H3418" s="33"/>
      <c r="I3418" s="33"/>
      <c r="J3418" s="33"/>
      <c r="K3418" s="33"/>
      <c r="L3418" s="33"/>
      <c r="M3418" s="33"/>
    </row>
    <row r="3419">
      <c r="A3419" s="32" t="s">
        <v>8879</v>
      </c>
      <c r="B3419" s="32" t="s">
        <v>8880</v>
      </c>
      <c r="C3419" s="35">
        <v>29.64539909</v>
      </c>
      <c r="D3419" s="35">
        <v>-95.27890015</v>
      </c>
      <c r="E3419" s="32" t="s">
        <v>180</v>
      </c>
      <c r="F3419" s="32" t="s">
        <v>3455</v>
      </c>
      <c r="G3419" s="39" t="s">
        <v>181</v>
      </c>
      <c r="H3419" s="33"/>
      <c r="I3419" s="33"/>
      <c r="J3419" s="33"/>
      <c r="K3419" s="33"/>
      <c r="L3419" s="33"/>
      <c r="M3419" s="33"/>
    </row>
    <row r="3420">
      <c r="A3420" s="32" t="s">
        <v>8881</v>
      </c>
      <c r="B3420" s="32" t="s">
        <v>8882</v>
      </c>
      <c r="C3420" s="35">
        <v>62.18000031</v>
      </c>
      <c r="D3420" s="35">
        <v>6.074100018</v>
      </c>
      <c r="E3420" s="32" t="s">
        <v>343</v>
      </c>
      <c r="F3420" s="32" t="s">
        <v>8883</v>
      </c>
      <c r="G3420" s="36" t="e">
        <v>#N/A</v>
      </c>
      <c r="H3420" s="33"/>
      <c r="I3420" s="33"/>
      <c r="J3420" s="33"/>
      <c r="K3420" s="33"/>
      <c r="L3420" s="33"/>
      <c r="M3420" s="33"/>
    </row>
    <row r="3421">
      <c r="A3421" s="32" t="s">
        <v>8884</v>
      </c>
      <c r="B3421" s="32" t="s">
        <v>8885</v>
      </c>
      <c r="C3421" s="35">
        <v>-19.77700043</v>
      </c>
      <c r="D3421" s="35">
        <v>-174.3410034</v>
      </c>
      <c r="E3421" s="32" t="s">
        <v>7417</v>
      </c>
      <c r="F3421" s="32" t="s">
        <v>8886</v>
      </c>
      <c r="G3421" s="36" t="e">
        <v>#N/A</v>
      </c>
      <c r="H3421" s="33"/>
      <c r="I3421" s="33"/>
      <c r="J3421" s="33"/>
      <c r="K3421" s="33"/>
      <c r="L3421" s="33"/>
      <c r="M3421" s="33"/>
    </row>
    <row r="3422">
      <c r="A3422" s="32" t="s">
        <v>8887</v>
      </c>
      <c r="B3422" s="32" t="s">
        <v>8888</v>
      </c>
      <c r="C3422" s="35">
        <v>61.52389908</v>
      </c>
      <c r="D3422" s="35">
        <v>-166.1470032</v>
      </c>
      <c r="E3422" s="32" t="s">
        <v>180</v>
      </c>
      <c r="F3422" s="32" t="s">
        <v>8889</v>
      </c>
      <c r="G3422" s="39" t="s">
        <v>181</v>
      </c>
      <c r="H3422" s="33"/>
      <c r="I3422" s="33"/>
      <c r="J3422" s="33"/>
      <c r="K3422" s="33"/>
      <c r="L3422" s="33"/>
      <c r="M3422" s="33"/>
    </row>
    <row r="3423">
      <c r="A3423" s="32" t="s">
        <v>8890</v>
      </c>
      <c r="B3423" s="32" t="s">
        <v>8891</v>
      </c>
      <c r="C3423" s="35">
        <v>31.626</v>
      </c>
      <c r="D3423" s="35">
        <v>110.34</v>
      </c>
      <c r="E3423" s="32" t="s">
        <v>205</v>
      </c>
      <c r="F3423" s="32" t="s">
        <v>8892</v>
      </c>
      <c r="G3423" s="39" t="s">
        <v>206</v>
      </c>
      <c r="H3423" s="33"/>
      <c r="I3423" s="33"/>
      <c r="J3423" s="33"/>
      <c r="K3423" s="33"/>
      <c r="L3423" s="33"/>
      <c r="M3423" s="33"/>
    </row>
    <row r="3424">
      <c r="A3424" s="32" t="s">
        <v>8893</v>
      </c>
      <c r="B3424" s="32" t="s">
        <v>8894</v>
      </c>
      <c r="C3424" s="35">
        <v>20.81940079</v>
      </c>
      <c r="D3424" s="35">
        <v>106.7249985</v>
      </c>
      <c r="E3424" s="32" t="s">
        <v>1913</v>
      </c>
      <c r="F3424" s="32" t="s">
        <v>8895</v>
      </c>
      <c r="G3424" s="36" t="e">
        <v>#N/A</v>
      </c>
      <c r="H3424" s="33"/>
      <c r="I3424" s="33"/>
      <c r="J3424" s="33"/>
      <c r="K3424" s="33"/>
      <c r="L3424" s="33"/>
      <c r="M3424" s="33"/>
    </row>
    <row r="3425">
      <c r="A3425" s="32" t="s">
        <v>8896</v>
      </c>
      <c r="B3425" s="32" t="s">
        <v>8897</v>
      </c>
      <c r="C3425" s="35">
        <v>41.06700134</v>
      </c>
      <c r="D3425" s="35">
        <v>-73.70760345</v>
      </c>
      <c r="E3425" s="32" t="s">
        <v>180</v>
      </c>
      <c r="F3425" s="32" t="s">
        <v>8898</v>
      </c>
      <c r="G3425" s="39" t="s">
        <v>181</v>
      </c>
      <c r="H3425" s="33"/>
      <c r="I3425" s="33"/>
      <c r="J3425" s="33"/>
      <c r="K3425" s="33"/>
      <c r="L3425" s="33"/>
      <c r="M3425" s="33"/>
    </row>
    <row r="3426">
      <c r="A3426" s="32" t="s">
        <v>8899</v>
      </c>
      <c r="B3426" s="32" t="s">
        <v>8900</v>
      </c>
      <c r="C3426" s="35">
        <v>46.97119904</v>
      </c>
      <c r="D3426" s="35">
        <v>-123.9369965</v>
      </c>
      <c r="E3426" s="32" t="s">
        <v>180</v>
      </c>
      <c r="F3426" s="32" t="s">
        <v>8901</v>
      </c>
      <c r="G3426" s="39" t="s">
        <v>181</v>
      </c>
      <c r="H3426" s="33"/>
      <c r="I3426" s="33"/>
      <c r="J3426" s="33"/>
      <c r="K3426" s="33"/>
      <c r="L3426" s="33"/>
      <c r="M3426" s="33"/>
    </row>
    <row r="3427">
      <c r="A3427" s="32" t="s">
        <v>8902</v>
      </c>
      <c r="B3427" s="32" t="s">
        <v>8903</v>
      </c>
      <c r="C3427" s="35">
        <v>33.52970123</v>
      </c>
      <c r="D3427" s="35">
        <v>-82.51650238</v>
      </c>
      <c r="E3427" s="32" t="s">
        <v>180</v>
      </c>
      <c r="F3427" s="32" t="s">
        <v>8904</v>
      </c>
      <c r="G3427" s="39" t="s">
        <v>181</v>
      </c>
      <c r="H3427" s="33"/>
      <c r="I3427" s="33"/>
      <c r="J3427" s="33"/>
      <c r="K3427" s="33"/>
      <c r="L3427" s="33"/>
      <c r="M3427" s="33"/>
    </row>
    <row r="3428">
      <c r="A3428" s="32" t="s">
        <v>8905</v>
      </c>
      <c r="B3428" s="32" t="s">
        <v>8906</v>
      </c>
      <c r="C3428" s="35">
        <v>45.62340164</v>
      </c>
      <c r="D3428" s="35">
        <v>126.25</v>
      </c>
      <c r="E3428" s="32" t="s">
        <v>205</v>
      </c>
      <c r="F3428" s="32" t="s">
        <v>8907</v>
      </c>
      <c r="G3428" s="39" t="s">
        <v>206</v>
      </c>
      <c r="H3428" s="33"/>
      <c r="I3428" s="33"/>
      <c r="J3428" s="33"/>
      <c r="K3428" s="33"/>
      <c r="L3428" s="33"/>
      <c r="M3428" s="33"/>
    </row>
    <row r="3429">
      <c r="A3429" s="32" t="s">
        <v>8908</v>
      </c>
      <c r="B3429" s="32" t="s">
        <v>8909</v>
      </c>
      <c r="C3429" s="35">
        <v>-17.93180084</v>
      </c>
      <c r="D3429" s="35">
        <v>31.09280014</v>
      </c>
      <c r="E3429" s="32" t="s">
        <v>785</v>
      </c>
      <c r="F3429" s="32" t="s">
        <v>786</v>
      </c>
      <c r="G3429" s="36" t="e">
        <v>#N/A</v>
      </c>
      <c r="H3429" s="33"/>
      <c r="I3429" s="33"/>
      <c r="J3429" s="33"/>
      <c r="K3429" s="33"/>
      <c r="L3429" s="33"/>
      <c r="M3429" s="33"/>
    </row>
    <row r="3430">
      <c r="A3430" s="32" t="s">
        <v>52</v>
      </c>
      <c r="B3430" s="32" t="s">
        <v>8910</v>
      </c>
      <c r="C3430" s="35">
        <v>27.17830086</v>
      </c>
      <c r="D3430" s="35">
        <v>33.79940033</v>
      </c>
      <c r="E3430" s="32" t="s">
        <v>15</v>
      </c>
      <c r="F3430" s="32" t="s">
        <v>53</v>
      </c>
      <c r="G3430" s="36" t="e">
        <v>#N/A</v>
      </c>
      <c r="H3430" s="33"/>
      <c r="I3430" s="33"/>
      <c r="J3430" s="33"/>
      <c r="K3430" s="33"/>
      <c r="L3430" s="33"/>
      <c r="M3430" s="33"/>
    </row>
    <row r="3431">
      <c r="A3431" s="32" t="s">
        <v>8911</v>
      </c>
      <c r="B3431" s="32" t="s">
        <v>8912</v>
      </c>
      <c r="C3431" s="35">
        <v>6.284467</v>
      </c>
      <c r="D3431" s="35">
        <v>81.124128</v>
      </c>
      <c r="E3431" s="32" t="s">
        <v>1829</v>
      </c>
      <c r="F3431" s="32" t="s">
        <v>8913</v>
      </c>
      <c r="G3431" s="36" t="e">
        <v>#N/A</v>
      </c>
      <c r="H3431" s="33"/>
      <c r="I3431" s="33"/>
      <c r="J3431" s="33"/>
      <c r="K3431" s="33"/>
      <c r="L3431" s="33"/>
      <c r="M3431" s="33"/>
    </row>
    <row r="3432">
      <c r="A3432" s="32" t="s">
        <v>8914</v>
      </c>
      <c r="B3432" s="32" t="s">
        <v>8915</v>
      </c>
      <c r="C3432" s="35">
        <v>49.92480087</v>
      </c>
      <c r="D3432" s="35">
        <v>36.29000092</v>
      </c>
      <c r="E3432" s="32" t="s">
        <v>3293</v>
      </c>
      <c r="F3432" s="32" t="s">
        <v>8916</v>
      </c>
      <c r="G3432" s="36" t="e">
        <v>#N/A</v>
      </c>
      <c r="H3432" s="33"/>
      <c r="I3432" s="33"/>
      <c r="J3432" s="33"/>
      <c r="K3432" s="33"/>
      <c r="L3432" s="33"/>
      <c r="M3432" s="33"/>
    </row>
    <row r="3433">
      <c r="A3433" s="32" t="s">
        <v>8917</v>
      </c>
      <c r="B3433" s="32" t="s">
        <v>8918</v>
      </c>
      <c r="C3433" s="35">
        <v>26.22850037</v>
      </c>
      <c r="D3433" s="35">
        <v>-97.65440369</v>
      </c>
      <c r="E3433" s="32" t="s">
        <v>180</v>
      </c>
      <c r="F3433" s="32" t="s">
        <v>8919</v>
      </c>
      <c r="G3433" s="39" t="s">
        <v>181</v>
      </c>
      <c r="H3433" s="33"/>
      <c r="I3433" s="33"/>
      <c r="J3433" s="33"/>
      <c r="K3433" s="33"/>
      <c r="L3433" s="33"/>
      <c r="M3433" s="33"/>
    </row>
    <row r="3434">
      <c r="A3434" s="32" t="s">
        <v>8920</v>
      </c>
      <c r="B3434" s="32" t="s">
        <v>8921</v>
      </c>
      <c r="C3434" s="35">
        <v>32.93040085</v>
      </c>
      <c r="D3434" s="35">
        <v>3.311539888</v>
      </c>
      <c r="E3434" s="32" t="s">
        <v>20</v>
      </c>
      <c r="F3434" s="32" t="s">
        <v>8922</v>
      </c>
      <c r="G3434" s="36" t="e">
        <v>#N/A</v>
      </c>
      <c r="H3434" s="33"/>
      <c r="I3434" s="33"/>
      <c r="J3434" s="33"/>
      <c r="K3434" s="33"/>
      <c r="L3434" s="33"/>
      <c r="M3434" s="33"/>
    </row>
    <row r="3435">
      <c r="A3435" s="32" t="s">
        <v>8923</v>
      </c>
      <c r="B3435" s="32" t="s">
        <v>8924</v>
      </c>
      <c r="C3435" s="35">
        <v>36.26150131</v>
      </c>
      <c r="D3435" s="35">
        <v>-93.15470123</v>
      </c>
      <c r="E3435" s="32" t="s">
        <v>180</v>
      </c>
      <c r="F3435" s="32" t="s">
        <v>8925</v>
      </c>
      <c r="G3435" s="39" t="s">
        <v>181</v>
      </c>
      <c r="H3435" s="33"/>
      <c r="I3435" s="33"/>
      <c r="J3435" s="33"/>
      <c r="K3435" s="33"/>
      <c r="L3435" s="33"/>
      <c r="M3435" s="33"/>
    </row>
    <row r="3436">
      <c r="A3436" s="32" t="s">
        <v>8926</v>
      </c>
      <c r="B3436" s="32" t="s">
        <v>8927</v>
      </c>
      <c r="C3436" s="35">
        <v>54.0489006</v>
      </c>
      <c r="D3436" s="35">
        <v>-1.252750039</v>
      </c>
      <c r="E3436" s="32" t="s">
        <v>90</v>
      </c>
      <c r="F3436" s="32" t="s">
        <v>8928</v>
      </c>
      <c r="G3436" s="39" t="s">
        <v>91</v>
      </c>
      <c r="H3436" s="33"/>
      <c r="I3436" s="33"/>
      <c r="J3436" s="33"/>
      <c r="K3436" s="33"/>
      <c r="L3436" s="33"/>
      <c r="M3436" s="33"/>
    </row>
    <row r="3437">
      <c r="A3437" s="32" t="s">
        <v>8929</v>
      </c>
      <c r="B3437" s="32" t="s">
        <v>8930</v>
      </c>
      <c r="C3437" s="35">
        <v>33.14970016</v>
      </c>
      <c r="D3437" s="35">
        <v>130.302002</v>
      </c>
      <c r="E3437" s="32" t="s">
        <v>170</v>
      </c>
      <c r="F3437" s="32" t="s">
        <v>8931</v>
      </c>
      <c r="G3437" s="39" t="s">
        <v>171</v>
      </c>
      <c r="H3437" s="33"/>
      <c r="I3437" s="33"/>
      <c r="J3437" s="33"/>
      <c r="K3437" s="33"/>
      <c r="L3437" s="33"/>
      <c r="M3437" s="33"/>
    </row>
    <row r="3438">
      <c r="A3438" s="32" t="s">
        <v>8932</v>
      </c>
      <c r="B3438" s="32" t="s">
        <v>8933</v>
      </c>
      <c r="C3438" s="35">
        <v>35.97280121</v>
      </c>
      <c r="D3438" s="35">
        <v>-115.1340027</v>
      </c>
      <c r="E3438" s="32" t="s">
        <v>180</v>
      </c>
      <c r="F3438" s="32" t="s">
        <v>8934</v>
      </c>
      <c r="G3438" s="39" t="s">
        <v>181</v>
      </c>
      <c r="H3438" s="33"/>
      <c r="I3438" s="33"/>
      <c r="J3438" s="33"/>
      <c r="K3438" s="33"/>
      <c r="L3438" s="33"/>
      <c r="M3438" s="33"/>
    </row>
    <row r="3439">
      <c r="A3439" s="32" t="s">
        <v>8935</v>
      </c>
      <c r="B3439" s="32" t="s">
        <v>8936</v>
      </c>
      <c r="C3439" s="35">
        <v>42.0760994</v>
      </c>
      <c r="D3439" s="35">
        <v>-0.316666991</v>
      </c>
      <c r="E3439" s="32" t="s">
        <v>115</v>
      </c>
      <c r="F3439" s="32" t="s">
        <v>8937</v>
      </c>
      <c r="G3439" s="39" t="s">
        <v>116</v>
      </c>
      <c r="H3439" s="33"/>
      <c r="I3439" s="33"/>
      <c r="J3439" s="33"/>
      <c r="K3439" s="33"/>
      <c r="L3439" s="33"/>
      <c r="M3439" s="33"/>
    </row>
    <row r="3440">
      <c r="A3440" s="32" t="s">
        <v>8938</v>
      </c>
      <c r="B3440" s="32" t="s">
        <v>8939</v>
      </c>
      <c r="C3440" s="35">
        <v>65.69789886</v>
      </c>
      <c r="D3440" s="35">
        <v>-156.3509979</v>
      </c>
      <c r="E3440" s="32" t="s">
        <v>180</v>
      </c>
      <c r="F3440" s="32" t="s">
        <v>8940</v>
      </c>
      <c r="G3440" s="39" t="s">
        <v>181</v>
      </c>
      <c r="H3440" s="33"/>
      <c r="I3440" s="33"/>
      <c r="J3440" s="33"/>
      <c r="K3440" s="33"/>
      <c r="L3440" s="33"/>
      <c r="M3440" s="33"/>
    </row>
    <row r="3441">
      <c r="A3441" s="32" t="s">
        <v>8941</v>
      </c>
      <c r="B3441" s="32" t="s">
        <v>8942</v>
      </c>
      <c r="C3441" s="35">
        <v>-36.66970062</v>
      </c>
      <c r="D3441" s="35">
        <v>142.1730042</v>
      </c>
      <c r="E3441" s="32" t="s">
        <v>1968</v>
      </c>
      <c r="F3441" s="32" t="s">
        <v>8943</v>
      </c>
      <c r="G3441" s="36" t="e">
        <v>#N/A</v>
      </c>
      <c r="H3441" s="33"/>
      <c r="I3441" s="33"/>
      <c r="J3441" s="33"/>
      <c r="K3441" s="33"/>
      <c r="L3441" s="33"/>
      <c r="M3441" s="33"/>
    </row>
    <row r="3442">
      <c r="A3442" s="32" t="s">
        <v>8944</v>
      </c>
      <c r="B3442" s="32" t="s">
        <v>8945</v>
      </c>
      <c r="C3442" s="35">
        <v>29.93420029</v>
      </c>
      <c r="D3442" s="35">
        <v>122.3619995</v>
      </c>
      <c r="E3442" s="32" t="s">
        <v>205</v>
      </c>
      <c r="F3442" s="32" t="s">
        <v>8946</v>
      </c>
      <c r="G3442" s="39" t="s">
        <v>206</v>
      </c>
      <c r="H3442" s="33"/>
      <c r="I3442" s="33"/>
      <c r="J3442" s="33"/>
      <c r="K3442" s="33"/>
      <c r="L3442" s="33"/>
      <c r="M3442" s="33"/>
    </row>
    <row r="3443">
      <c r="A3443" s="32" t="s">
        <v>8947</v>
      </c>
      <c r="B3443" s="32" t="s">
        <v>8948</v>
      </c>
      <c r="C3443" s="35">
        <v>25.48859978</v>
      </c>
      <c r="D3443" s="35">
        <v>-80.38359833</v>
      </c>
      <c r="E3443" s="32" t="s">
        <v>180</v>
      </c>
      <c r="F3443" s="32" t="s">
        <v>8949</v>
      </c>
      <c r="G3443" s="39" t="s">
        <v>181</v>
      </c>
      <c r="H3443" s="33"/>
      <c r="I3443" s="33"/>
      <c r="J3443" s="33"/>
      <c r="K3443" s="33"/>
      <c r="L3443" s="33"/>
      <c r="M3443" s="33"/>
    </row>
    <row r="3444">
      <c r="A3444" s="32" t="s">
        <v>8950</v>
      </c>
      <c r="B3444" s="32" t="s">
        <v>8951</v>
      </c>
      <c r="C3444" s="35">
        <v>34.6371994</v>
      </c>
      <c r="D3444" s="35">
        <v>-86.77510071</v>
      </c>
      <c r="E3444" s="32" t="s">
        <v>180</v>
      </c>
      <c r="F3444" s="32" t="s">
        <v>2721</v>
      </c>
      <c r="G3444" s="39" t="s">
        <v>181</v>
      </c>
      <c r="H3444" s="33"/>
      <c r="I3444" s="33"/>
      <c r="J3444" s="33"/>
      <c r="K3444" s="33"/>
      <c r="L3444" s="33"/>
      <c r="M3444" s="33"/>
    </row>
    <row r="3445">
      <c r="A3445" s="32" t="s">
        <v>8952</v>
      </c>
      <c r="B3445" s="32" t="s">
        <v>8953</v>
      </c>
      <c r="C3445" s="35">
        <v>52.026299</v>
      </c>
      <c r="D3445" s="35">
        <v>113.306</v>
      </c>
      <c r="E3445" s="32" t="s">
        <v>2040</v>
      </c>
      <c r="F3445" s="32" t="s">
        <v>8954</v>
      </c>
      <c r="G3445" s="36" t="e">
        <v>#N/A</v>
      </c>
      <c r="H3445" s="33"/>
      <c r="I3445" s="33"/>
      <c r="J3445" s="33"/>
      <c r="K3445" s="33"/>
      <c r="L3445" s="33"/>
      <c r="M3445" s="33"/>
    </row>
    <row r="3446">
      <c r="A3446" s="32" t="s">
        <v>8955</v>
      </c>
      <c r="B3446" s="32" t="s">
        <v>8956</v>
      </c>
      <c r="C3446" s="35">
        <v>71.97810364</v>
      </c>
      <c r="D3446" s="35">
        <v>102.4909973</v>
      </c>
      <c r="E3446" s="32" t="s">
        <v>2040</v>
      </c>
      <c r="F3446" s="32" t="s">
        <v>8957</v>
      </c>
      <c r="G3446" s="36" t="e">
        <v>#N/A</v>
      </c>
      <c r="H3446" s="33"/>
      <c r="I3446" s="33"/>
      <c r="J3446" s="33"/>
      <c r="K3446" s="33"/>
      <c r="L3446" s="33"/>
      <c r="M3446" s="33"/>
    </row>
    <row r="3447">
      <c r="A3447" s="32" t="s">
        <v>8958</v>
      </c>
      <c r="B3447" s="32" t="s">
        <v>8959</v>
      </c>
      <c r="C3447" s="35">
        <v>-20.35810089</v>
      </c>
      <c r="D3447" s="35">
        <v>148.9519959</v>
      </c>
      <c r="E3447" s="32" t="s">
        <v>1968</v>
      </c>
      <c r="F3447" s="32" t="s">
        <v>8960</v>
      </c>
      <c r="G3447" s="36" t="e">
        <v>#N/A</v>
      </c>
      <c r="H3447" s="33"/>
      <c r="I3447" s="33"/>
      <c r="J3447" s="33"/>
      <c r="K3447" s="33"/>
      <c r="L3447" s="33"/>
      <c r="M3447" s="33"/>
    </row>
    <row r="3448">
      <c r="A3448" s="32" t="s">
        <v>8961</v>
      </c>
      <c r="B3448" s="32" t="s">
        <v>8962</v>
      </c>
      <c r="C3448" s="35">
        <v>44.359798</v>
      </c>
      <c r="D3448" s="35">
        <v>-84.671095</v>
      </c>
      <c r="E3448" s="32" t="s">
        <v>180</v>
      </c>
      <c r="F3448" s="32" t="s">
        <v>8963</v>
      </c>
      <c r="G3448" s="39" t="s">
        <v>181</v>
      </c>
      <c r="H3448" s="33"/>
      <c r="I3448" s="33"/>
      <c r="J3448" s="33"/>
      <c r="K3448" s="33"/>
      <c r="L3448" s="33"/>
      <c r="M3448" s="33"/>
    </row>
    <row r="3449">
      <c r="A3449" s="32" t="s">
        <v>8964</v>
      </c>
      <c r="B3449" s="32" t="s">
        <v>8965</v>
      </c>
      <c r="C3449" s="35">
        <v>37.03850174</v>
      </c>
      <c r="D3449" s="35">
        <v>79.86489868</v>
      </c>
      <c r="E3449" s="32" t="s">
        <v>205</v>
      </c>
      <c r="F3449" s="32" t="s">
        <v>8966</v>
      </c>
      <c r="G3449" s="39" t="s">
        <v>206</v>
      </c>
      <c r="H3449" s="33"/>
      <c r="I3449" s="33"/>
      <c r="J3449" s="33"/>
      <c r="K3449" s="33"/>
      <c r="L3449" s="33"/>
      <c r="M3449" s="33"/>
    </row>
    <row r="3450">
      <c r="A3450" s="32" t="s">
        <v>8967</v>
      </c>
      <c r="B3450" s="32" t="s">
        <v>8968</v>
      </c>
      <c r="C3450" s="35">
        <v>24.05890083</v>
      </c>
      <c r="D3450" s="35">
        <v>123.8059998</v>
      </c>
      <c r="E3450" s="32" t="s">
        <v>170</v>
      </c>
      <c r="F3450" s="32" t="s">
        <v>8969</v>
      </c>
      <c r="G3450" s="39" t="s">
        <v>171</v>
      </c>
      <c r="H3450" s="33"/>
      <c r="I3450" s="33"/>
      <c r="J3450" s="33"/>
      <c r="K3450" s="33"/>
      <c r="L3450" s="33"/>
      <c r="M3450" s="33"/>
    </row>
    <row r="3451">
      <c r="A3451" s="32" t="s">
        <v>8970</v>
      </c>
      <c r="B3451" s="32" t="s">
        <v>8971</v>
      </c>
      <c r="C3451" s="35">
        <v>38.36669922</v>
      </c>
      <c r="D3451" s="35">
        <v>-82.55799866</v>
      </c>
      <c r="E3451" s="32" t="s">
        <v>180</v>
      </c>
      <c r="F3451" s="32" t="s">
        <v>8972</v>
      </c>
      <c r="G3451" s="39" t="s">
        <v>181</v>
      </c>
      <c r="H3451" s="33"/>
      <c r="I3451" s="33"/>
      <c r="J3451" s="33"/>
      <c r="K3451" s="33"/>
      <c r="L3451" s="33"/>
      <c r="M3451" s="33"/>
    </row>
    <row r="3452">
      <c r="A3452" s="32" t="s">
        <v>8973</v>
      </c>
      <c r="B3452" s="32" t="s">
        <v>8974</v>
      </c>
      <c r="C3452" s="35">
        <v>38.201984</v>
      </c>
      <c r="D3452" s="35">
        <v>90.841495</v>
      </c>
      <c r="E3452" s="32" t="s">
        <v>205</v>
      </c>
      <c r="F3452" s="32" t="s">
        <v>8975</v>
      </c>
      <c r="G3452" s="39" t="s">
        <v>206</v>
      </c>
      <c r="H3452" s="33"/>
      <c r="I3452" s="33"/>
      <c r="J3452" s="33"/>
      <c r="K3452" s="33"/>
      <c r="L3452" s="33"/>
      <c r="M3452" s="33"/>
    </row>
    <row r="3453">
      <c r="A3453" s="32" t="s">
        <v>8976</v>
      </c>
      <c r="B3453" s="32" t="s">
        <v>8977</v>
      </c>
      <c r="C3453" s="35">
        <v>-35.71530151</v>
      </c>
      <c r="D3453" s="35">
        <v>142.3600006</v>
      </c>
      <c r="E3453" s="32" t="s">
        <v>1968</v>
      </c>
      <c r="F3453" s="33"/>
      <c r="G3453" s="36" t="e">
        <v>#N/A</v>
      </c>
      <c r="H3453" s="33"/>
      <c r="I3453" s="33"/>
      <c r="J3453" s="33"/>
      <c r="K3453" s="33"/>
      <c r="L3453" s="33"/>
      <c r="M3453" s="33"/>
    </row>
    <row r="3454">
      <c r="A3454" s="32" t="s">
        <v>8978</v>
      </c>
      <c r="B3454" s="32" t="s">
        <v>8979</v>
      </c>
      <c r="C3454" s="35">
        <v>30.74690056</v>
      </c>
      <c r="D3454" s="35">
        <v>-95.58719635</v>
      </c>
      <c r="E3454" s="32" t="s">
        <v>180</v>
      </c>
      <c r="F3454" s="32" t="s">
        <v>2721</v>
      </c>
      <c r="G3454" s="39" t="s">
        <v>181</v>
      </c>
      <c r="H3454" s="33"/>
      <c r="I3454" s="33"/>
      <c r="J3454" s="33"/>
      <c r="K3454" s="33"/>
      <c r="L3454" s="33"/>
      <c r="M3454" s="33"/>
    </row>
    <row r="3455">
      <c r="A3455" s="32" t="s">
        <v>8980</v>
      </c>
      <c r="B3455" s="32" t="s">
        <v>8981</v>
      </c>
      <c r="C3455" s="35">
        <v>36.36277771</v>
      </c>
      <c r="D3455" s="35">
        <v>36.28222275</v>
      </c>
      <c r="E3455" s="32" t="s">
        <v>133</v>
      </c>
      <c r="F3455" s="32" t="s">
        <v>8982</v>
      </c>
      <c r="G3455" s="39" t="s">
        <v>134</v>
      </c>
      <c r="H3455" s="33"/>
      <c r="I3455" s="33"/>
      <c r="J3455" s="33"/>
      <c r="K3455" s="33"/>
      <c r="L3455" s="33"/>
      <c r="M3455" s="33"/>
    </row>
    <row r="3456">
      <c r="A3456" s="32" t="s">
        <v>8983</v>
      </c>
      <c r="B3456" s="32" t="s">
        <v>8984</v>
      </c>
      <c r="C3456" s="35">
        <v>34.67869949</v>
      </c>
      <c r="D3456" s="35">
        <v>-86.68479919</v>
      </c>
      <c r="E3456" s="32" t="s">
        <v>180</v>
      </c>
      <c r="F3456" s="32" t="s">
        <v>8985</v>
      </c>
      <c r="G3456" s="39" t="s">
        <v>181</v>
      </c>
      <c r="H3456" s="33"/>
      <c r="I3456" s="33"/>
      <c r="J3456" s="33"/>
      <c r="K3456" s="33"/>
      <c r="L3456" s="33"/>
      <c r="M3456" s="33"/>
    </row>
    <row r="3457">
      <c r="A3457" s="32" t="s">
        <v>8986</v>
      </c>
      <c r="B3457" s="32" t="s">
        <v>8987</v>
      </c>
      <c r="C3457" s="35">
        <v>14.25</v>
      </c>
      <c r="D3457" s="35">
        <v>36.58300018</v>
      </c>
      <c r="E3457" s="32" t="s">
        <v>18</v>
      </c>
      <c r="F3457" s="32" t="s">
        <v>8988</v>
      </c>
      <c r="G3457" s="36" t="e">
        <v>#N/A</v>
      </c>
      <c r="H3457" s="33"/>
      <c r="I3457" s="33"/>
      <c r="J3457" s="33"/>
      <c r="K3457" s="33"/>
      <c r="L3457" s="33"/>
      <c r="M3457" s="33"/>
    </row>
    <row r="3458">
      <c r="A3458" s="32" t="s">
        <v>8989</v>
      </c>
      <c r="B3458" s="32" t="s">
        <v>8990</v>
      </c>
      <c r="C3458" s="35">
        <v>39.45149994</v>
      </c>
      <c r="D3458" s="35">
        <v>-87.30760193</v>
      </c>
      <c r="E3458" s="32" t="s">
        <v>180</v>
      </c>
      <c r="F3458" s="32" t="s">
        <v>8991</v>
      </c>
      <c r="G3458" s="39" t="s">
        <v>181</v>
      </c>
      <c r="H3458" s="33"/>
      <c r="I3458" s="33"/>
      <c r="J3458" s="33"/>
      <c r="K3458" s="33"/>
      <c r="L3458" s="33"/>
      <c r="M3458" s="33"/>
    </row>
    <row r="3459">
      <c r="A3459" s="32" t="s">
        <v>8992</v>
      </c>
      <c r="B3459" s="32" t="s">
        <v>8993</v>
      </c>
      <c r="C3459" s="35">
        <v>-16.68720055</v>
      </c>
      <c r="D3459" s="35">
        <v>-151.0220032</v>
      </c>
      <c r="E3459" s="32" t="s">
        <v>1325</v>
      </c>
      <c r="F3459" s="32" t="s">
        <v>8994</v>
      </c>
      <c r="G3459" s="36" t="e">
        <v>#N/A</v>
      </c>
      <c r="H3459" s="33"/>
      <c r="I3459" s="33"/>
      <c r="J3459" s="33"/>
      <c r="K3459" s="33"/>
      <c r="L3459" s="33"/>
      <c r="M3459" s="33"/>
    </row>
    <row r="3460">
      <c r="A3460" s="32" t="s">
        <v>8995</v>
      </c>
      <c r="B3460" s="32" t="s">
        <v>8996</v>
      </c>
      <c r="C3460" s="35">
        <v>16.4015007</v>
      </c>
      <c r="D3460" s="35">
        <v>107.7030029</v>
      </c>
      <c r="E3460" s="32" t="s">
        <v>1913</v>
      </c>
      <c r="F3460" s="32" t="s">
        <v>8997</v>
      </c>
      <c r="G3460" s="36" t="e">
        <v>#N/A</v>
      </c>
      <c r="H3460" s="33"/>
      <c r="I3460" s="33"/>
      <c r="J3460" s="33"/>
      <c r="K3460" s="33"/>
      <c r="L3460" s="33"/>
      <c r="M3460" s="33"/>
    </row>
    <row r="3461">
      <c r="A3461" s="32" t="s">
        <v>8998</v>
      </c>
      <c r="B3461" s="32" t="s">
        <v>8999</v>
      </c>
      <c r="C3461" s="35">
        <v>46.12310028</v>
      </c>
      <c r="D3461" s="35">
        <v>-67.792099</v>
      </c>
      <c r="E3461" s="32" t="s">
        <v>180</v>
      </c>
      <c r="F3461" s="32" t="s">
        <v>9000</v>
      </c>
      <c r="G3461" s="39" t="s">
        <v>181</v>
      </c>
      <c r="H3461" s="33"/>
      <c r="I3461" s="33"/>
      <c r="J3461" s="33"/>
      <c r="K3461" s="33"/>
      <c r="L3461" s="33"/>
      <c r="M3461" s="33"/>
    </row>
    <row r="3462">
      <c r="A3462" s="32" t="s">
        <v>9001</v>
      </c>
      <c r="B3462" s="32" t="s">
        <v>9002</v>
      </c>
      <c r="C3462" s="35">
        <v>24.0230999</v>
      </c>
      <c r="D3462" s="35">
        <v>121.6179962</v>
      </c>
      <c r="E3462" s="32" t="s">
        <v>1497</v>
      </c>
      <c r="F3462" s="32" t="s">
        <v>9003</v>
      </c>
      <c r="G3462" s="36" t="e">
        <v>#N/A</v>
      </c>
      <c r="H3462" s="33"/>
      <c r="I3462" s="33"/>
      <c r="J3462" s="33"/>
      <c r="K3462" s="33"/>
      <c r="L3462" s="33"/>
      <c r="M3462" s="33"/>
    </row>
    <row r="3463">
      <c r="A3463" s="32" t="s">
        <v>9004</v>
      </c>
      <c r="B3463" s="32" t="s">
        <v>9005</v>
      </c>
      <c r="C3463" s="35">
        <v>66.04109955</v>
      </c>
      <c r="D3463" s="35">
        <v>-154.2630005</v>
      </c>
      <c r="E3463" s="32" t="s">
        <v>180</v>
      </c>
      <c r="F3463" s="32" t="s">
        <v>9006</v>
      </c>
      <c r="G3463" s="39" t="s">
        <v>181</v>
      </c>
      <c r="H3463" s="33"/>
      <c r="I3463" s="33"/>
      <c r="J3463" s="33"/>
      <c r="K3463" s="33"/>
      <c r="L3463" s="33"/>
      <c r="M3463" s="33"/>
    </row>
    <row r="3464">
      <c r="A3464" s="32" t="s">
        <v>9007</v>
      </c>
      <c r="B3464" s="32" t="s">
        <v>9008</v>
      </c>
      <c r="C3464" s="35">
        <v>38.06549835</v>
      </c>
      <c r="D3464" s="35">
        <v>-97.86060333</v>
      </c>
      <c r="E3464" s="32" t="s">
        <v>180</v>
      </c>
      <c r="F3464" s="32" t="s">
        <v>9009</v>
      </c>
      <c r="G3464" s="39" t="s">
        <v>181</v>
      </c>
      <c r="H3464" s="33"/>
      <c r="I3464" s="33"/>
      <c r="J3464" s="33"/>
      <c r="K3464" s="33"/>
      <c r="L3464" s="33"/>
      <c r="M3464" s="33"/>
    </row>
    <row r="3465">
      <c r="A3465" s="32" t="s">
        <v>9010</v>
      </c>
      <c r="B3465" s="32" t="s">
        <v>9011</v>
      </c>
      <c r="C3465" s="35">
        <v>-9.878809929</v>
      </c>
      <c r="D3465" s="35">
        <v>-76.20480347</v>
      </c>
      <c r="E3465" s="32" t="s">
        <v>307</v>
      </c>
      <c r="F3465" s="32" t="s">
        <v>9012</v>
      </c>
      <c r="G3465" s="36" t="e">
        <v>#N/A</v>
      </c>
      <c r="H3465" s="33"/>
      <c r="I3465" s="33"/>
      <c r="J3465" s="33"/>
      <c r="K3465" s="33"/>
      <c r="L3465" s="33"/>
      <c r="M3465" s="33"/>
    </row>
    <row r="3466">
      <c r="A3466" s="32" t="s">
        <v>9013</v>
      </c>
      <c r="B3466" s="32" t="s">
        <v>9014</v>
      </c>
      <c r="C3466" s="35">
        <v>61.76810074</v>
      </c>
      <c r="D3466" s="35">
        <v>17.08069992</v>
      </c>
      <c r="E3466" s="32" t="s">
        <v>347</v>
      </c>
      <c r="F3466" s="32" t="s">
        <v>9015</v>
      </c>
      <c r="G3466" s="36" t="e">
        <v>#N/A</v>
      </c>
      <c r="H3466" s="33"/>
      <c r="I3466" s="33"/>
      <c r="J3466" s="33"/>
      <c r="K3466" s="33"/>
      <c r="L3466" s="33"/>
      <c r="M3466" s="33"/>
    </row>
    <row r="3467">
      <c r="A3467" s="32" t="s">
        <v>9016</v>
      </c>
      <c r="B3467" s="32" t="s">
        <v>9017</v>
      </c>
      <c r="C3467" s="35">
        <v>-7.532120228</v>
      </c>
      <c r="D3467" s="35">
        <v>-63.07210159</v>
      </c>
      <c r="E3467" s="32" t="s">
        <v>288</v>
      </c>
      <c r="F3467" s="32" t="s">
        <v>9018</v>
      </c>
      <c r="G3467" s="36" t="e">
        <v>#N/A</v>
      </c>
      <c r="H3467" s="33"/>
      <c r="I3467" s="33"/>
      <c r="J3467" s="33"/>
      <c r="K3467" s="33"/>
      <c r="L3467" s="33"/>
      <c r="M3467" s="33"/>
    </row>
    <row r="3468">
      <c r="A3468" s="32" t="s">
        <v>9019</v>
      </c>
      <c r="B3468" s="32" t="s">
        <v>9020</v>
      </c>
      <c r="C3468" s="35">
        <v>15.77530003</v>
      </c>
      <c r="D3468" s="35">
        <v>-96.26260376</v>
      </c>
      <c r="E3468" s="32" t="s">
        <v>186</v>
      </c>
      <c r="F3468" s="32" t="s">
        <v>9021</v>
      </c>
      <c r="G3468" s="39" t="s">
        <v>187</v>
      </c>
      <c r="H3468" s="33"/>
      <c r="I3468" s="33"/>
      <c r="J3468" s="33"/>
      <c r="K3468" s="33"/>
      <c r="L3468" s="33"/>
      <c r="M3468" s="33"/>
    </row>
    <row r="3469">
      <c r="A3469" s="32" t="s">
        <v>9022</v>
      </c>
      <c r="B3469" s="32" t="s">
        <v>9023</v>
      </c>
      <c r="C3469" s="35">
        <v>53.57440186</v>
      </c>
      <c r="D3469" s="35">
        <v>-0.350832999</v>
      </c>
      <c r="E3469" s="32" t="s">
        <v>90</v>
      </c>
      <c r="F3469" s="32" t="s">
        <v>9024</v>
      </c>
      <c r="G3469" s="39" t="s">
        <v>91</v>
      </c>
      <c r="H3469" s="33"/>
      <c r="I3469" s="33"/>
      <c r="J3469" s="33"/>
      <c r="K3469" s="33"/>
      <c r="L3469" s="33"/>
      <c r="M3469" s="33"/>
    </row>
    <row r="3470">
      <c r="A3470" s="32" t="s">
        <v>9025</v>
      </c>
      <c r="B3470" s="32" t="s">
        <v>9026</v>
      </c>
      <c r="C3470" s="35">
        <v>-14.62969971</v>
      </c>
      <c r="D3470" s="35">
        <v>47.76380157</v>
      </c>
      <c r="E3470" s="32" t="s">
        <v>384</v>
      </c>
      <c r="F3470" s="32" t="s">
        <v>9027</v>
      </c>
      <c r="G3470" s="36" t="e">
        <v>#N/A</v>
      </c>
      <c r="H3470" s="33"/>
      <c r="I3470" s="33"/>
      <c r="J3470" s="33"/>
      <c r="K3470" s="33"/>
      <c r="L3470" s="33"/>
      <c r="M3470" s="33"/>
    </row>
    <row r="3471">
      <c r="A3471" s="32" t="s">
        <v>9028</v>
      </c>
      <c r="B3471" s="32" t="s">
        <v>9029</v>
      </c>
      <c r="C3471" s="35">
        <v>-25.31889915</v>
      </c>
      <c r="D3471" s="35">
        <v>152.8800049</v>
      </c>
      <c r="E3471" s="32" t="s">
        <v>1968</v>
      </c>
      <c r="F3471" s="32" t="s">
        <v>9030</v>
      </c>
      <c r="G3471" s="36" t="e">
        <v>#N/A</v>
      </c>
      <c r="H3471" s="33"/>
      <c r="I3471" s="33"/>
      <c r="J3471" s="33"/>
      <c r="K3471" s="33"/>
      <c r="L3471" s="33"/>
      <c r="M3471" s="33"/>
    </row>
    <row r="3472">
      <c r="A3472" s="32" t="s">
        <v>9031</v>
      </c>
      <c r="B3472" s="32" t="s">
        <v>9032</v>
      </c>
      <c r="C3472" s="35">
        <v>47.95410156</v>
      </c>
      <c r="D3472" s="35">
        <v>91.62819672</v>
      </c>
      <c r="E3472" s="32" t="s">
        <v>2274</v>
      </c>
      <c r="F3472" s="32" t="s">
        <v>9033</v>
      </c>
      <c r="G3472" s="36" t="e">
        <v>#N/A</v>
      </c>
      <c r="H3472" s="33"/>
      <c r="I3472" s="33"/>
      <c r="J3472" s="33"/>
      <c r="K3472" s="33"/>
      <c r="L3472" s="33"/>
      <c r="M3472" s="33"/>
    </row>
    <row r="3473">
      <c r="A3473" s="32" t="s">
        <v>9034</v>
      </c>
      <c r="B3473" s="32" t="s">
        <v>9035</v>
      </c>
      <c r="C3473" s="35">
        <v>71.00969696</v>
      </c>
      <c r="D3473" s="35">
        <v>25.98360062</v>
      </c>
      <c r="E3473" s="32" t="s">
        <v>343</v>
      </c>
      <c r="F3473" s="32" t="s">
        <v>9036</v>
      </c>
      <c r="G3473" s="36" t="e">
        <v>#N/A</v>
      </c>
      <c r="H3473" s="33"/>
      <c r="I3473" s="33"/>
      <c r="J3473" s="33"/>
      <c r="K3473" s="33"/>
      <c r="L3473" s="33"/>
      <c r="M3473" s="33"/>
    </row>
    <row r="3474">
      <c r="A3474" s="32" t="s">
        <v>9037</v>
      </c>
      <c r="B3474" s="32" t="s">
        <v>9038</v>
      </c>
      <c r="C3474" s="35">
        <v>41.26369858</v>
      </c>
      <c r="D3474" s="35">
        <v>-72.88680267</v>
      </c>
      <c r="E3474" s="32" t="s">
        <v>180</v>
      </c>
      <c r="F3474" s="32" t="s">
        <v>9039</v>
      </c>
      <c r="G3474" s="39" t="s">
        <v>181</v>
      </c>
      <c r="H3474" s="33"/>
      <c r="I3474" s="33"/>
      <c r="J3474" s="33"/>
      <c r="K3474" s="33"/>
      <c r="L3474" s="33"/>
      <c r="M3474" s="33"/>
    </row>
    <row r="3475">
      <c r="A3475" s="32" t="s">
        <v>9040</v>
      </c>
      <c r="B3475" s="32" t="s">
        <v>9041</v>
      </c>
      <c r="C3475" s="35">
        <v>48.54299927</v>
      </c>
      <c r="D3475" s="35">
        <v>-109.762001</v>
      </c>
      <c r="E3475" s="32" t="s">
        <v>180</v>
      </c>
      <c r="F3475" s="32" t="s">
        <v>9042</v>
      </c>
      <c r="G3475" s="39" t="s">
        <v>181</v>
      </c>
      <c r="H3475" s="33"/>
      <c r="I3475" s="33"/>
      <c r="J3475" s="33"/>
      <c r="K3475" s="33"/>
      <c r="L3475" s="33"/>
      <c r="M3475" s="33"/>
    </row>
    <row r="3476">
      <c r="A3476" s="32" t="s">
        <v>9043</v>
      </c>
      <c r="B3476" s="32" t="s">
        <v>9044</v>
      </c>
      <c r="C3476" s="35">
        <v>34.40309906</v>
      </c>
      <c r="D3476" s="35">
        <v>-80.11920166</v>
      </c>
      <c r="E3476" s="32" t="s">
        <v>180</v>
      </c>
      <c r="F3476" s="32" t="s">
        <v>9045</v>
      </c>
      <c r="G3476" s="39" t="s">
        <v>181</v>
      </c>
      <c r="H3476" s="33"/>
      <c r="I3476" s="33"/>
      <c r="J3476" s="33"/>
      <c r="K3476" s="33"/>
      <c r="L3476" s="33"/>
      <c r="M3476" s="33"/>
    </row>
    <row r="3477">
      <c r="A3477" s="32" t="s">
        <v>9046</v>
      </c>
      <c r="B3477" s="32" t="s">
        <v>9047</v>
      </c>
      <c r="C3477" s="35">
        <v>37.65919876</v>
      </c>
      <c r="D3477" s="35">
        <v>-122.1220016</v>
      </c>
      <c r="E3477" s="32" t="s">
        <v>180</v>
      </c>
      <c r="F3477" s="32" t="s">
        <v>9048</v>
      </c>
      <c r="G3477" s="39" t="s">
        <v>181</v>
      </c>
      <c r="H3477" s="33"/>
      <c r="I3477" s="33"/>
      <c r="J3477" s="33"/>
      <c r="K3477" s="33"/>
      <c r="L3477" s="33"/>
      <c r="M3477" s="33"/>
    </row>
    <row r="3478">
      <c r="A3478" s="32" t="s">
        <v>9049</v>
      </c>
      <c r="B3478" s="32" t="s">
        <v>9050</v>
      </c>
      <c r="C3478" s="35">
        <v>26.00119972</v>
      </c>
      <c r="D3478" s="35">
        <v>-80.24069977</v>
      </c>
      <c r="E3478" s="32" t="s">
        <v>180</v>
      </c>
      <c r="F3478" s="32" t="s">
        <v>9051</v>
      </c>
      <c r="G3478" s="39" t="s">
        <v>181</v>
      </c>
      <c r="H3478" s="33"/>
      <c r="I3478" s="33"/>
      <c r="J3478" s="33"/>
      <c r="K3478" s="33"/>
      <c r="L3478" s="33"/>
      <c r="M3478" s="33"/>
    </row>
    <row r="3479">
      <c r="A3479" s="32" t="s">
        <v>9052</v>
      </c>
      <c r="B3479" s="32" t="s">
        <v>9053</v>
      </c>
      <c r="C3479" s="35">
        <v>-34.53139877</v>
      </c>
      <c r="D3479" s="35">
        <v>144.8300018</v>
      </c>
      <c r="E3479" s="32" t="s">
        <v>1968</v>
      </c>
      <c r="F3479" s="33"/>
      <c r="G3479" s="36" t="e">
        <v>#N/A</v>
      </c>
      <c r="H3479" s="33"/>
      <c r="I3479" s="33"/>
      <c r="J3479" s="33"/>
      <c r="K3479" s="33"/>
      <c r="L3479" s="33"/>
      <c r="M3479" s="33"/>
    </row>
    <row r="3480">
      <c r="A3480" s="32" t="s">
        <v>9054</v>
      </c>
      <c r="B3480" s="32" t="s">
        <v>9055</v>
      </c>
      <c r="C3480" s="35">
        <v>41.66930008</v>
      </c>
      <c r="D3480" s="35">
        <v>-70.28040314</v>
      </c>
      <c r="E3480" s="32" t="s">
        <v>180</v>
      </c>
      <c r="F3480" s="32" t="s">
        <v>9056</v>
      </c>
      <c r="G3480" s="39" t="s">
        <v>181</v>
      </c>
      <c r="H3480" s="33"/>
      <c r="I3480" s="33"/>
      <c r="J3480" s="33"/>
      <c r="K3480" s="33"/>
      <c r="L3480" s="33"/>
      <c r="M3480" s="33"/>
    </row>
    <row r="3481">
      <c r="A3481" s="32" t="s">
        <v>9057</v>
      </c>
      <c r="B3481" s="32" t="s">
        <v>9058</v>
      </c>
      <c r="C3481" s="35">
        <v>55.20629883</v>
      </c>
      <c r="D3481" s="35">
        <v>-132.8280029</v>
      </c>
      <c r="E3481" s="32" t="s">
        <v>180</v>
      </c>
      <c r="F3481" s="32" t="s">
        <v>9059</v>
      </c>
      <c r="G3481" s="39" t="s">
        <v>181</v>
      </c>
      <c r="H3481" s="33"/>
      <c r="I3481" s="33"/>
      <c r="J3481" s="33"/>
      <c r="K3481" s="33"/>
      <c r="L3481" s="33"/>
      <c r="M3481" s="33"/>
    </row>
    <row r="3482">
      <c r="A3482" s="32" t="s">
        <v>9060</v>
      </c>
      <c r="B3482" s="32" t="s">
        <v>9061</v>
      </c>
      <c r="C3482" s="35">
        <v>29.8927002</v>
      </c>
      <c r="D3482" s="35">
        <v>-97.86299896</v>
      </c>
      <c r="E3482" s="32" t="s">
        <v>180</v>
      </c>
      <c r="F3482" s="32" t="s">
        <v>9062</v>
      </c>
      <c r="G3482" s="39" t="s">
        <v>181</v>
      </c>
      <c r="H3482" s="33"/>
      <c r="I3482" s="33"/>
      <c r="J3482" s="33"/>
      <c r="K3482" s="33"/>
      <c r="L3482" s="33"/>
      <c r="M3482" s="33"/>
    </row>
    <row r="3483">
      <c r="A3483" s="32" t="s">
        <v>9063</v>
      </c>
      <c r="B3483" s="32" t="s">
        <v>9064</v>
      </c>
      <c r="C3483" s="35">
        <v>28.56220055</v>
      </c>
      <c r="D3483" s="35">
        <v>121.4290009</v>
      </c>
      <c r="E3483" s="32" t="s">
        <v>205</v>
      </c>
      <c r="F3483" s="32" t="s">
        <v>9065</v>
      </c>
      <c r="G3483" s="39" t="s">
        <v>206</v>
      </c>
      <c r="H3483" s="33"/>
      <c r="I3483" s="33"/>
      <c r="J3483" s="33"/>
      <c r="K3483" s="33"/>
      <c r="L3483" s="33"/>
      <c r="M3483" s="33"/>
    </row>
    <row r="3484">
      <c r="A3484" s="32" t="s">
        <v>9066</v>
      </c>
      <c r="B3484" s="32" t="s">
        <v>9067</v>
      </c>
      <c r="C3484" s="35">
        <v>46.02519989</v>
      </c>
      <c r="D3484" s="35">
        <v>-91.44429779</v>
      </c>
      <c r="E3484" s="32" t="s">
        <v>180</v>
      </c>
      <c r="F3484" s="32" t="s">
        <v>9048</v>
      </c>
      <c r="G3484" s="39" t="s">
        <v>181</v>
      </c>
      <c r="H3484" s="33"/>
      <c r="I3484" s="33"/>
      <c r="J3484" s="33"/>
      <c r="K3484" s="33"/>
      <c r="L3484" s="33"/>
      <c r="M3484" s="33"/>
    </row>
    <row r="3485">
      <c r="A3485" s="32" t="s">
        <v>9068</v>
      </c>
      <c r="B3485" s="32" t="s">
        <v>9069</v>
      </c>
      <c r="C3485" s="35">
        <v>38.84220123</v>
      </c>
      <c r="D3485" s="35">
        <v>-99.27320099</v>
      </c>
      <c r="E3485" s="32" t="s">
        <v>180</v>
      </c>
      <c r="F3485" s="32" t="s">
        <v>9070</v>
      </c>
      <c r="G3485" s="39" t="s">
        <v>181</v>
      </c>
      <c r="H3485" s="33"/>
      <c r="I3485" s="33"/>
      <c r="J3485" s="33"/>
      <c r="K3485" s="33"/>
      <c r="L3485" s="33"/>
      <c r="M3485" s="33"/>
    </row>
    <row r="3486">
      <c r="A3486" s="32" t="s">
        <v>9071</v>
      </c>
      <c r="B3486" s="32" t="s">
        <v>9072</v>
      </c>
      <c r="C3486" s="35">
        <v>60.65439987</v>
      </c>
      <c r="D3486" s="35">
        <v>24.8810997</v>
      </c>
      <c r="E3486" s="32" t="s">
        <v>408</v>
      </c>
      <c r="F3486" s="32" t="s">
        <v>9073</v>
      </c>
      <c r="G3486" s="36" t="e">
        <v>#N/A</v>
      </c>
      <c r="H3486" s="33"/>
      <c r="I3486" s="33"/>
      <c r="J3486" s="33"/>
      <c r="K3486" s="33"/>
      <c r="L3486" s="33"/>
      <c r="M3486" s="33"/>
    </row>
    <row r="3487">
      <c r="A3487" s="32" t="s">
        <v>9074</v>
      </c>
      <c r="B3487" s="32" t="s">
        <v>9075</v>
      </c>
      <c r="C3487" s="35">
        <v>33.82849884</v>
      </c>
      <c r="D3487" s="35">
        <v>-79.12220001</v>
      </c>
      <c r="E3487" s="32" t="s">
        <v>180</v>
      </c>
      <c r="F3487" s="32" t="s">
        <v>9076</v>
      </c>
      <c r="G3487" s="39" t="s">
        <v>181</v>
      </c>
      <c r="H3487" s="33"/>
      <c r="I3487" s="33"/>
      <c r="J3487" s="33"/>
      <c r="K3487" s="33"/>
      <c r="L3487" s="33"/>
      <c r="M3487" s="33"/>
    </row>
    <row r="3488">
      <c r="A3488" s="32" t="s">
        <v>9077</v>
      </c>
      <c r="B3488" s="32" t="s">
        <v>9078</v>
      </c>
      <c r="C3488" s="35">
        <v>33.063599</v>
      </c>
      <c r="D3488" s="35">
        <v>107.008003</v>
      </c>
      <c r="E3488" s="32" t="s">
        <v>205</v>
      </c>
      <c r="F3488" s="32" t="s">
        <v>9079</v>
      </c>
      <c r="G3488" s="39" t="s">
        <v>206</v>
      </c>
      <c r="H3488" s="33"/>
      <c r="I3488" s="33"/>
      <c r="J3488" s="33"/>
      <c r="K3488" s="33"/>
      <c r="L3488" s="33"/>
      <c r="M3488" s="33"/>
    </row>
    <row r="3489">
      <c r="A3489" s="32" t="s">
        <v>9080</v>
      </c>
      <c r="B3489" s="32" t="s">
        <v>9081</v>
      </c>
      <c r="C3489" s="35">
        <v>26.32217</v>
      </c>
      <c r="D3489" s="35">
        <v>109.1499</v>
      </c>
      <c r="E3489" s="32" t="s">
        <v>205</v>
      </c>
      <c r="F3489" s="32" t="s">
        <v>9082</v>
      </c>
      <c r="G3489" s="39" t="s">
        <v>206</v>
      </c>
      <c r="H3489" s="33"/>
      <c r="I3489" s="33"/>
      <c r="J3489" s="33"/>
      <c r="K3489" s="33"/>
      <c r="L3489" s="33"/>
      <c r="M3489" s="33"/>
    </row>
    <row r="3490">
      <c r="A3490" s="32" t="s">
        <v>9083</v>
      </c>
      <c r="B3490" s="32" t="s">
        <v>9084</v>
      </c>
      <c r="C3490" s="35">
        <v>65.952301</v>
      </c>
      <c r="D3490" s="35">
        <v>-17.426001</v>
      </c>
      <c r="E3490" s="32" t="s">
        <v>2037</v>
      </c>
      <c r="F3490" s="32" t="s">
        <v>9085</v>
      </c>
      <c r="G3490" s="36" t="e">
        <v>#N/A</v>
      </c>
      <c r="H3490" s="33"/>
      <c r="I3490" s="33"/>
      <c r="J3490" s="33"/>
      <c r="K3490" s="33"/>
      <c r="L3490" s="33"/>
      <c r="M3490" s="33"/>
    </row>
    <row r="3491">
      <c r="A3491" s="32" t="s">
        <v>9086</v>
      </c>
      <c r="B3491" s="32" t="s">
        <v>9087</v>
      </c>
      <c r="C3491" s="35">
        <v>40.98680115</v>
      </c>
      <c r="D3491" s="35">
        <v>-75.99490356</v>
      </c>
      <c r="E3491" s="32" t="s">
        <v>180</v>
      </c>
      <c r="F3491" s="32" t="s">
        <v>9088</v>
      </c>
      <c r="G3491" s="39" t="s">
        <v>181</v>
      </c>
      <c r="H3491" s="33"/>
      <c r="I3491" s="33"/>
      <c r="J3491" s="33"/>
      <c r="K3491" s="33"/>
      <c r="L3491" s="33"/>
      <c r="M3491" s="33"/>
    </row>
    <row r="3492">
      <c r="A3492" s="32" t="s">
        <v>9089</v>
      </c>
      <c r="B3492" s="32" t="s">
        <v>9090</v>
      </c>
      <c r="C3492" s="35">
        <v>57.38169861</v>
      </c>
      <c r="D3492" s="35">
        <v>-111.7009964</v>
      </c>
      <c r="E3492" s="32" t="s">
        <v>94</v>
      </c>
      <c r="F3492" s="32" t="s">
        <v>9091</v>
      </c>
      <c r="G3492" s="36" t="e">
        <v>#N/A</v>
      </c>
      <c r="H3492" s="33"/>
      <c r="I3492" s="33"/>
      <c r="J3492" s="33"/>
      <c r="K3492" s="33"/>
      <c r="L3492" s="33"/>
      <c r="M3492" s="33"/>
    </row>
    <row r="3493">
      <c r="A3493" s="32" t="s">
        <v>9092</v>
      </c>
      <c r="B3493" s="32" t="s">
        <v>9093</v>
      </c>
      <c r="C3493" s="35">
        <v>37.60039902</v>
      </c>
      <c r="D3493" s="35">
        <v>-81.55930328</v>
      </c>
      <c r="E3493" s="32" t="s">
        <v>180</v>
      </c>
      <c r="F3493" s="32" t="s">
        <v>9094</v>
      </c>
      <c r="G3493" s="39" t="s">
        <v>181</v>
      </c>
      <c r="H3493" s="33"/>
      <c r="I3493" s="33"/>
      <c r="J3493" s="33"/>
      <c r="K3493" s="33"/>
      <c r="L3493" s="33"/>
      <c r="M3493" s="33"/>
    </row>
    <row r="3494">
      <c r="A3494" s="32" t="s">
        <v>9095</v>
      </c>
      <c r="B3494" s="32" t="s">
        <v>9096</v>
      </c>
      <c r="C3494" s="35">
        <v>67.43720245</v>
      </c>
      <c r="D3494" s="35">
        <v>86.62190247</v>
      </c>
      <c r="E3494" s="32" t="s">
        <v>2040</v>
      </c>
      <c r="F3494" s="32" t="s">
        <v>9097</v>
      </c>
      <c r="G3494" s="36" t="e">
        <v>#N/A</v>
      </c>
      <c r="H3494" s="33"/>
      <c r="I3494" s="33"/>
      <c r="J3494" s="33"/>
      <c r="K3494" s="33"/>
      <c r="L3494" s="33"/>
      <c r="M3494" s="33"/>
    </row>
    <row r="3495">
      <c r="A3495" s="32" t="s">
        <v>9098</v>
      </c>
      <c r="B3495" s="32" t="s">
        <v>9099</v>
      </c>
      <c r="C3495" s="35">
        <v>37.62189865</v>
      </c>
      <c r="D3495" s="35">
        <v>-97.26820374</v>
      </c>
      <c r="E3495" s="32" t="s">
        <v>180</v>
      </c>
      <c r="F3495" s="32" t="s">
        <v>4572</v>
      </c>
      <c r="G3495" s="39" t="s">
        <v>181</v>
      </c>
      <c r="H3495" s="33"/>
      <c r="I3495" s="33"/>
      <c r="J3495" s="33"/>
      <c r="K3495" s="33"/>
      <c r="L3495" s="33"/>
      <c r="M3495" s="33"/>
    </row>
    <row r="3496">
      <c r="A3496" s="32" t="s">
        <v>9100</v>
      </c>
      <c r="B3496" s="32" t="s">
        <v>9101</v>
      </c>
      <c r="C3496" s="35">
        <v>38.94449997</v>
      </c>
      <c r="D3496" s="35">
        <v>-77.45580292</v>
      </c>
      <c r="E3496" s="32" t="s">
        <v>180</v>
      </c>
      <c r="F3496" s="32" t="s">
        <v>6577</v>
      </c>
      <c r="G3496" s="39" t="s">
        <v>181</v>
      </c>
      <c r="H3496" s="33"/>
      <c r="I3496" s="33"/>
      <c r="J3496" s="33"/>
      <c r="K3496" s="33"/>
      <c r="L3496" s="33"/>
      <c r="M3496" s="33"/>
    </row>
    <row r="3497">
      <c r="A3497" s="32" t="s">
        <v>9102</v>
      </c>
      <c r="B3497" s="32" t="s">
        <v>9103</v>
      </c>
      <c r="C3497" s="35">
        <v>43.1072998</v>
      </c>
      <c r="D3497" s="35">
        <v>-78.94619751</v>
      </c>
      <c r="E3497" s="32" t="s">
        <v>180</v>
      </c>
      <c r="F3497" s="32" t="s">
        <v>9104</v>
      </c>
      <c r="G3497" s="39" t="s">
        <v>181</v>
      </c>
      <c r="H3497" s="33"/>
      <c r="I3497" s="33"/>
      <c r="J3497" s="33"/>
      <c r="K3497" s="33"/>
      <c r="L3497" s="33"/>
      <c r="M3497" s="33"/>
    </row>
    <row r="3498">
      <c r="A3498" s="32" t="s">
        <v>9105</v>
      </c>
      <c r="B3498" s="32" t="s">
        <v>9106</v>
      </c>
      <c r="C3498" s="35">
        <v>29.9843998</v>
      </c>
      <c r="D3498" s="35">
        <v>-95.34140015</v>
      </c>
      <c r="E3498" s="32" t="s">
        <v>180</v>
      </c>
      <c r="F3498" s="32" t="s">
        <v>3455</v>
      </c>
      <c r="G3498" s="39" t="s">
        <v>181</v>
      </c>
      <c r="H3498" s="33"/>
      <c r="I3498" s="33"/>
      <c r="J3498" s="33"/>
      <c r="K3498" s="33"/>
      <c r="L3498" s="33"/>
      <c r="M3498" s="33"/>
    </row>
    <row r="3499">
      <c r="A3499" s="32" t="s">
        <v>9107</v>
      </c>
      <c r="B3499" s="32" t="s">
        <v>9108</v>
      </c>
      <c r="C3499" s="35">
        <v>28.05150032</v>
      </c>
      <c r="D3499" s="35">
        <v>9.642910004</v>
      </c>
      <c r="E3499" s="32" t="s">
        <v>20</v>
      </c>
      <c r="F3499" s="32" t="s">
        <v>9109</v>
      </c>
      <c r="G3499" s="36" t="e">
        <v>#N/A</v>
      </c>
      <c r="H3499" s="33"/>
      <c r="I3499" s="33"/>
      <c r="J3499" s="33"/>
      <c r="K3499" s="33"/>
      <c r="L3499" s="33"/>
      <c r="M3499" s="33"/>
    </row>
    <row r="3500">
      <c r="A3500" s="32" t="s">
        <v>9110</v>
      </c>
      <c r="B3500" s="32" t="s">
        <v>9111</v>
      </c>
      <c r="C3500" s="35">
        <v>66.97599792</v>
      </c>
      <c r="D3500" s="35">
        <v>-160.4369965</v>
      </c>
      <c r="E3500" s="32" t="s">
        <v>180</v>
      </c>
      <c r="F3500" s="32" t="s">
        <v>9112</v>
      </c>
      <c r="G3500" s="39" t="s">
        <v>181</v>
      </c>
      <c r="H3500" s="33"/>
      <c r="I3500" s="33"/>
      <c r="J3500" s="33"/>
      <c r="K3500" s="33"/>
      <c r="L3500" s="33"/>
      <c r="M3500" s="33"/>
    </row>
    <row r="3501">
      <c r="A3501" s="32" t="s">
        <v>9113</v>
      </c>
      <c r="B3501" s="32" t="s">
        <v>9114</v>
      </c>
      <c r="C3501" s="35">
        <v>9.859100342</v>
      </c>
      <c r="D3501" s="35">
        <v>126.0139999</v>
      </c>
      <c r="E3501" s="32" t="s">
        <v>270</v>
      </c>
      <c r="F3501" s="32" t="s">
        <v>9115</v>
      </c>
      <c r="G3501" s="36" t="e">
        <v>#N/A</v>
      </c>
      <c r="H3501" s="33"/>
      <c r="I3501" s="33"/>
      <c r="J3501" s="33"/>
      <c r="K3501" s="33"/>
      <c r="L3501" s="33"/>
      <c r="M3501" s="33"/>
    </row>
    <row r="3502">
      <c r="A3502" s="32" t="s">
        <v>9116</v>
      </c>
      <c r="B3502" s="32" t="s">
        <v>9117</v>
      </c>
      <c r="C3502" s="35">
        <v>57.56069946</v>
      </c>
      <c r="D3502" s="35">
        <v>40.15739822</v>
      </c>
      <c r="E3502" s="32" t="s">
        <v>2040</v>
      </c>
      <c r="F3502" s="32" t="s">
        <v>9118</v>
      </c>
      <c r="G3502" s="36" t="e">
        <v>#N/A</v>
      </c>
      <c r="H3502" s="33"/>
      <c r="I3502" s="33"/>
      <c r="J3502" s="33"/>
      <c r="K3502" s="33"/>
      <c r="L3502" s="33"/>
      <c r="M3502" s="33"/>
    </row>
    <row r="3503">
      <c r="A3503" s="32" t="s">
        <v>9119</v>
      </c>
      <c r="B3503" s="32" t="s">
        <v>9120</v>
      </c>
      <c r="C3503" s="35">
        <v>47.17850113</v>
      </c>
      <c r="D3503" s="35">
        <v>27.62059975</v>
      </c>
      <c r="E3503" s="32" t="s">
        <v>2874</v>
      </c>
      <c r="F3503" s="32" t="s">
        <v>9121</v>
      </c>
      <c r="G3503" s="36" t="e">
        <v>#N/A</v>
      </c>
      <c r="H3503" s="33"/>
      <c r="I3503" s="33"/>
      <c r="J3503" s="33"/>
      <c r="K3503" s="33"/>
      <c r="L3503" s="33"/>
      <c r="M3503" s="33"/>
    </row>
    <row r="3504">
      <c r="A3504" s="32" t="s">
        <v>9122</v>
      </c>
      <c r="B3504" s="32" t="s">
        <v>9123</v>
      </c>
      <c r="C3504" s="35">
        <v>7.362460136</v>
      </c>
      <c r="D3504" s="35">
        <v>3.978329897</v>
      </c>
      <c r="E3504" s="32" t="s">
        <v>19</v>
      </c>
      <c r="F3504" s="32" t="s">
        <v>9124</v>
      </c>
      <c r="G3504" s="36" t="e">
        <v>#N/A</v>
      </c>
      <c r="H3504" s="33"/>
      <c r="I3504" s="33"/>
      <c r="J3504" s="33"/>
      <c r="K3504" s="33"/>
      <c r="L3504" s="33"/>
      <c r="M3504" s="33"/>
    </row>
    <row r="3505">
      <c r="A3505" s="32" t="s">
        <v>9125</v>
      </c>
      <c r="B3505" s="32" t="s">
        <v>9126</v>
      </c>
      <c r="C3505" s="35">
        <v>4.42161</v>
      </c>
      <c r="D3505" s="35">
        <v>-75.1333</v>
      </c>
      <c r="E3505" s="32" t="s">
        <v>292</v>
      </c>
      <c r="F3505" s="32" t="s">
        <v>9127</v>
      </c>
      <c r="G3505" s="36" t="e">
        <v>#N/A</v>
      </c>
      <c r="H3505" s="33"/>
      <c r="I3505" s="33"/>
      <c r="J3505" s="33"/>
      <c r="K3505" s="33"/>
      <c r="L3505" s="33"/>
      <c r="M3505" s="33"/>
    </row>
    <row r="3506">
      <c r="A3506" s="32" t="s">
        <v>9128</v>
      </c>
      <c r="B3506" s="32" t="s">
        <v>9129</v>
      </c>
      <c r="C3506" s="35">
        <v>36.18109894</v>
      </c>
      <c r="D3506" s="35">
        <v>140.4149933</v>
      </c>
      <c r="E3506" s="32" t="s">
        <v>170</v>
      </c>
      <c r="F3506" s="32" t="s">
        <v>9130</v>
      </c>
      <c r="G3506" s="39" t="s">
        <v>171</v>
      </c>
      <c r="H3506" s="33"/>
      <c r="I3506" s="33"/>
      <c r="J3506" s="33"/>
      <c r="K3506" s="33"/>
      <c r="L3506" s="33"/>
      <c r="M3506" s="33"/>
    </row>
    <row r="3507">
      <c r="A3507" s="32" t="s">
        <v>9131</v>
      </c>
      <c r="B3507" s="32" t="s">
        <v>9132</v>
      </c>
      <c r="C3507" s="35">
        <v>38.8728981</v>
      </c>
      <c r="D3507" s="35">
        <v>1.37311995</v>
      </c>
      <c r="E3507" s="32" t="s">
        <v>115</v>
      </c>
      <c r="F3507" s="32" t="s">
        <v>9133</v>
      </c>
      <c r="G3507" s="39" t="s">
        <v>116</v>
      </c>
      <c r="H3507" s="33"/>
      <c r="I3507" s="33"/>
      <c r="J3507" s="33"/>
      <c r="K3507" s="33"/>
      <c r="L3507" s="33"/>
      <c r="M3507" s="33"/>
    </row>
    <row r="3508">
      <c r="A3508" s="32" t="s">
        <v>9134</v>
      </c>
      <c r="B3508" s="32" t="s">
        <v>9135</v>
      </c>
      <c r="C3508" s="35">
        <v>-17.74329948</v>
      </c>
      <c r="D3508" s="35">
        <v>-179.3419952</v>
      </c>
      <c r="E3508" s="32" t="s">
        <v>9136</v>
      </c>
      <c r="F3508" s="32" t="s">
        <v>9137</v>
      </c>
      <c r="G3508" s="36" t="e">
        <v>#N/A</v>
      </c>
      <c r="H3508" s="33"/>
      <c r="I3508" s="33"/>
      <c r="J3508" s="33"/>
      <c r="K3508" s="33"/>
      <c r="L3508" s="33"/>
      <c r="M3508" s="33"/>
    </row>
    <row r="3509">
      <c r="A3509" s="32" t="s">
        <v>9138</v>
      </c>
      <c r="B3509" s="32" t="s">
        <v>9139</v>
      </c>
      <c r="C3509" s="35">
        <v>5.955560207</v>
      </c>
      <c r="D3509" s="35">
        <v>-57.03939819</v>
      </c>
      <c r="E3509" s="32" t="s">
        <v>2192</v>
      </c>
      <c r="F3509" s="32" t="s">
        <v>9140</v>
      </c>
      <c r="G3509" s="36" t="e">
        <v>#N/A</v>
      </c>
      <c r="H3509" s="33"/>
      <c r="I3509" s="33"/>
      <c r="J3509" s="33"/>
      <c r="K3509" s="33"/>
      <c r="L3509" s="33"/>
      <c r="M3509" s="33"/>
    </row>
    <row r="3510">
      <c r="A3510" s="32" t="s">
        <v>9141</v>
      </c>
      <c r="B3510" s="32" t="s">
        <v>9142</v>
      </c>
      <c r="C3510" s="35">
        <v>37.46910095</v>
      </c>
      <c r="D3510" s="35">
        <v>126.4509964</v>
      </c>
      <c r="E3510" s="32" t="s">
        <v>151</v>
      </c>
      <c r="F3510" s="32" t="s">
        <v>8175</v>
      </c>
      <c r="G3510" s="39" t="s">
        <v>152</v>
      </c>
      <c r="H3510" s="33"/>
      <c r="I3510" s="33"/>
      <c r="J3510" s="33"/>
      <c r="K3510" s="33"/>
      <c r="L3510" s="33"/>
      <c r="M3510" s="33"/>
    </row>
    <row r="3511">
      <c r="A3511" s="32" t="s">
        <v>9143</v>
      </c>
      <c r="B3511" s="32" t="s">
        <v>9144</v>
      </c>
      <c r="C3511" s="35">
        <v>37.64989853</v>
      </c>
      <c r="D3511" s="35">
        <v>-97.43309784</v>
      </c>
      <c r="E3511" s="32" t="s">
        <v>180</v>
      </c>
      <c r="F3511" s="32" t="s">
        <v>4572</v>
      </c>
      <c r="G3511" s="39" t="s">
        <v>181</v>
      </c>
      <c r="H3511" s="33"/>
      <c r="I3511" s="33"/>
      <c r="J3511" s="33"/>
      <c r="K3511" s="33"/>
      <c r="L3511" s="33"/>
      <c r="M3511" s="33"/>
    </row>
    <row r="3512">
      <c r="A3512" s="32" t="s">
        <v>9145</v>
      </c>
      <c r="B3512" s="32" t="s">
        <v>9146</v>
      </c>
      <c r="C3512" s="35">
        <v>43.51459885</v>
      </c>
      <c r="D3512" s="35">
        <v>-112.0709991</v>
      </c>
      <c r="E3512" s="32" t="s">
        <v>180</v>
      </c>
      <c r="F3512" s="32" t="s">
        <v>9147</v>
      </c>
      <c r="G3512" s="39" t="s">
        <v>181</v>
      </c>
      <c r="H3512" s="33"/>
      <c r="I3512" s="33"/>
      <c r="J3512" s="33"/>
      <c r="K3512" s="33"/>
      <c r="L3512" s="33"/>
      <c r="M3512" s="33"/>
    </row>
    <row r="3513">
      <c r="A3513" s="32" t="s">
        <v>9148</v>
      </c>
      <c r="B3513" s="32" t="s">
        <v>9149</v>
      </c>
      <c r="C3513" s="35">
        <v>33.485699</v>
      </c>
      <c r="D3513" s="35">
        <v>-90.678902</v>
      </c>
      <c r="E3513" s="32" t="s">
        <v>180</v>
      </c>
      <c r="F3513" s="32" t="s">
        <v>2486</v>
      </c>
      <c r="G3513" s="39" t="s">
        <v>181</v>
      </c>
      <c r="H3513" s="33"/>
      <c r="I3513" s="33"/>
      <c r="J3513" s="33"/>
      <c r="K3513" s="33"/>
      <c r="L3513" s="33"/>
      <c r="M3513" s="33"/>
    </row>
    <row r="3514">
      <c r="A3514" s="32" t="s">
        <v>9150</v>
      </c>
      <c r="B3514" s="32" t="s">
        <v>9151</v>
      </c>
      <c r="C3514" s="35">
        <v>37.15840149</v>
      </c>
      <c r="D3514" s="35">
        <v>-95.77839661</v>
      </c>
      <c r="E3514" s="32" t="s">
        <v>180</v>
      </c>
      <c r="F3514" s="32" t="s">
        <v>9152</v>
      </c>
      <c r="G3514" s="39" t="s">
        <v>181</v>
      </c>
      <c r="H3514" s="33"/>
      <c r="I3514" s="33"/>
      <c r="J3514" s="33"/>
      <c r="K3514" s="33"/>
      <c r="L3514" s="33"/>
      <c r="M3514" s="33"/>
    </row>
    <row r="3515">
      <c r="A3515" s="32" t="s">
        <v>9153</v>
      </c>
      <c r="B3515" s="32" t="s">
        <v>9154</v>
      </c>
      <c r="C3515" s="35">
        <v>22.72179985</v>
      </c>
      <c r="D3515" s="35">
        <v>75.80110168</v>
      </c>
      <c r="E3515" s="32" t="s">
        <v>217</v>
      </c>
      <c r="F3515" s="32" t="s">
        <v>9155</v>
      </c>
      <c r="G3515" s="39" t="s">
        <v>218</v>
      </c>
      <c r="H3515" s="33"/>
      <c r="I3515" s="33"/>
      <c r="J3515" s="33"/>
      <c r="K3515" s="33"/>
      <c r="L3515" s="33"/>
      <c r="M3515" s="33"/>
    </row>
    <row r="3516">
      <c r="A3516" s="32" t="s">
        <v>9156</v>
      </c>
      <c r="B3516" s="32" t="s">
        <v>9157</v>
      </c>
      <c r="C3516" s="35">
        <v>46.71860123</v>
      </c>
      <c r="D3516" s="35">
        <v>-2.391109943</v>
      </c>
      <c r="E3516" s="32" t="s">
        <v>96</v>
      </c>
      <c r="F3516" s="32" t="s">
        <v>9158</v>
      </c>
      <c r="G3516" s="39" t="s">
        <v>97</v>
      </c>
      <c r="H3516" s="33"/>
      <c r="I3516" s="33"/>
      <c r="J3516" s="33"/>
      <c r="K3516" s="33"/>
      <c r="L3516" s="33"/>
      <c r="M3516" s="33"/>
    </row>
    <row r="3517">
      <c r="A3517" s="32" t="s">
        <v>9159</v>
      </c>
      <c r="B3517" s="32" t="s">
        <v>9160</v>
      </c>
      <c r="C3517" s="35">
        <v>52.13850021</v>
      </c>
      <c r="D3517" s="35">
        <v>15.7986002</v>
      </c>
      <c r="E3517" s="32" t="s">
        <v>192</v>
      </c>
      <c r="F3517" s="32" t="s">
        <v>9161</v>
      </c>
      <c r="G3517" s="39" t="s">
        <v>193</v>
      </c>
      <c r="H3517" s="33"/>
      <c r="I3517" s="33"/>
      <c r="J3517" s="33"/>
      <c r="K3517" s="33"/>
      <c r="L3517" s="33"/>
      <c r="M3517" s="33"/>
    </row>
    <row r="3518">
      <c r="A3518" s="32" t="s">
        <v>9162</v>
      </c>
      <c r="B3518" s="32" t="s">
        <v>9163</v>
      </c>
      <c r="C3518" s="35">
        <v>26.72200012</v>
      </c>
      <c r="D3518" s="35">
        <v>127.7850037</v>
      </c>
      <c r="E3518" s="32" t="s">
        <v>170</v>
      </c>
      <c r="F3518" s="32" t="s">
        <v>9164</v>
      </c>
      <c r="G3518" s="39" t="s">
        <v>171</v>
      </c>
      <c r="H3518" s="33"/>
      <c r="I3518" s="33"/>
      <c r="J3518" s="33"/>
      <c r="K3518" s="33"/>
      <c r="L3518" s="33"/>
      <c r="M3518" s="33"/>
    </row>
    <row r="3519">
      <c r="A3519" s="32" t="s">
        <v>9165</v>
      </c>
      <c r="B3519" s="32" t="s">
        <v>9166</v>
      </c>
      <c r="C3519" s="35">
        <v>16.7112999</v>
      </c>
      <c r="D3519" s="35">
        <v>-9.637880325</v>
      </c>
      <c r="E3519" s="32" t="s">
        <v>817</v>
      </c>
      <c r="F3519" s="32" t="s">
        <v>9167</v>
      </c>
      <c r="G3519" s="36" t="e">
        <v>#N/A</v>
      </c>
      <c r="H3519" s="33"/>
      <c r="I3519" s="33"/>
      <c r="J3519" s="33"/>
      <c r="K3519" s="33"/>
      <c r="L3519" s="33"/>
      <c r="M3519" s="33"/>
    </row>
    <row r="3520">
      <c r="A3520" s="32" t="s">
        <v>9168</v>
      </c>
      <c r="B3520" s="32" t="s">
        <v>9169</v>
      </c>
      <c r="C3520" s="35">
        <v>50.40194</v>
      </c>
      <c r="D3520" s="35">
        <v>30.45194</v>
      </c>
      <c r="E3520" s="32" t="s">
        <v>3293</v>
      </c>
      <c r="F3520" s="32" t="s">
        <v>8172</v>
      </c>
      <c r="G3520" s="36" t="e">
        <v>#N/A</v>
      </c>
      <c r="H3520" s="33"/>
      <c r="I3520" s="33"/>
      <c r="J3520" s="33"/>
      <c r="K3520" s="33"/>
      <c r="L3520" s="33"/>
      <c r="M3520" s="33"/>
    </row>
    <row r="3521">
      <c r="A3521" s="32" t="s">
        <v>9170</v>
      </c>
      <c r="B3521" s="32" t="s">
        <v>9171</v>
      </c>
      <c r="C3521" s="35">
        <v>66.05809784</v>
      </c>
      <c r="D3521" s="35">
        <v>-23.13529968</v>
      </c>
      <c r="E3521" s="32" t="s">
        <v>2037</v>
      </c>
      <c r="F3521" s="32" t="s">
        <v>9172</v>
      </c>
      <c r="G3521" s="36" t="e">
        <v>#N/A</v>
      </c>
      <c r="H3521" s="33"/>
      <c r="I3521" s="33"/>
      <c r="J3521" s="33"/>
      <c r="K3521" s="33"/>
      <c r="L3521" s="33"/>
      <c r="M3521" s="33"/>
    </row>
    <row r="3522">
      <c r="A3522" s="32" t="s">
        <v>9173</v>
      </c>
      <c r="B3522" s="32" t="s">
        <v>9174</v>
      </c>
      <c r="C3522" s="35">
        <v>-17.55940056</v>
      </c>
      <c r="D3522" s="35">
        <v>146.0119934</v>
      </c>
      <c r="E3522" s="32" t="s">
        <v>1968</v>
      </c>
      <c r="F3522" s="32" t="s">
        <v>9175</v>
      </c>
      <c r="G3522" s="36" t="e">
        <v>#N/A</v>
      </c>
      <c r="H3522" s="33"/>
      <c r="I3522" s="33"/>
      <c r="J3522" s="33"/>
      <c r="K3522" s="33"/>
      <c r="L3522" s="33"/>
      <c r="M3522" s="33"/>
    </row>
    <row r="3523">
      <c r="A3523" s="32" t="s">
        <v>9176</v>
      </c>
      <c r="B3523" s="32" t="s">
        <v>9177</v>
      </c>
      <c r="C3523" s="35">
        <v>32.75080109</v>
      </c>
      <c r="D3523" s="35">
        <v>51.86130142</v>
      </c>
      <c r="E3523" s="32" t="s">
        <v>1378</v>
      </c>
      <c r="F3523" s="32" t="s">
        <v>1401</v>
      </c>
      <c r="G3523" s="36" t="e">
        <v>#N/A</v>
      </c>
      <c r="H3523" s="33"/>
      <c r="I3523" s="33"/>
      <c r="J3523" s="33"/>
      <c r="K3523" s="33"/>
      <c r="L3523" s="33"/>
      <c r="M3523" s="33"/>
    </row>
    <row r="3524">
      <c r="A3524" s="32" t="s">
        <v>9178</v>
      </c>
      <c r="B3524" s="32" t="s">
        <v>9179</v>
      </c>
      <c r="C3524" s="35">
        <v>48.88420105</v>
      </c>
      <c r="D3524" s="35">
        <v>24.68610001</v>
      </c>
      <c r="E3524" s="32" t="s">
        <v>3293</v>
      </c>
      <c r="F3524" s="32" t="s">
        <v>9180</v>
      </c>
      <c r="G3524" s="36" t="e">
        <v>#N/A</v>
      </c>
      <c r="H3524" s="33"/>
      <c r="I3524" s="33"/>
      <c r="J3524" s="33"/>
      <c r="K3524" s="33"/>
      <c r="L3524" s="33"/>
      <c r="M3524" s="33"/>
    </row>
    <row r="3525">
      <c r="A3525" s="32" t="s">
        <v>9181</v>
      </c>
      <c r="B3525" s="32" t="s">
        <v>9182</v>
      </c>
      <c r="C3525" s="35">
        <v>5.7083</v>
      </c>
      <c r="D3525" s="35">
        <v>73.025</v>
      </c>
      <c r="E3525" s="32" t="s">
        <v>6888</v>
      </c>
      <c r="F3525" s="32" t="s">
        <v>9183</v>
      </c>
      <c r="G3525" s="36" t="e">
        <v>#N/A</v>
      </c>
      <c r="H3525" s="33"/>
      <c r="I3525" s="33"/>
      <c r="J3525" s="33"/>
      <c r="K3525" s="33"/>
      <c r="L3525" s="33"/>
      <c r="M3525" s="33"/>
    </row>
    <row r="3526">
      <c r="A3526" s="32" t="s">
        <v>9184</v>
      </c>
      <c r="B3526" s="32" t="s">
        <v>9185</v>
      </c>
      <c r="C3526" s="35">
        <v>20.97500038</v>
      </c>
      <c r="D3526" s="35">
        <v>-73.66690063</v>
      </c>
      <c r="E3526" s="32" t="s">
        <v>319</v>
      </c>
      <c r="F3526" s="32" t="s">
        <v>9186</v>
      </c>
      <c r="G3526" s="36" t="e">
        <v>#N/A</v>
      </c>
      <c r="H3526" s="33"/>
      <c r="I3526" s="33"/>
      <c r="J3526" s="33"/>
      <c r="K3526" s="33"/>
      <c r="L3526" s="33"/>
      <c r="M3526" s="33"/>
    </row>
    <row r="3527">
      <c r="A3527" s="32" t="s">
        <v>9187</v>
      </c>
      <c r="B3527" s="32" t="s">
        <v>9188</v>
      </c>
      <c r="C3527" s="35">
        <v>-41.32089996</v>
      </c>
      <c r="D3527" s="35">
        <v>-69.57489777</v>
      </c>
      <c r="E3527" s="32" t="s">
        <v>296</v>
      </c>
      <c r="F3527" s="32" t="s">
        <v>9189</v>
      </c>
      <c r="G3527" s="36" t="e">
        <v>#N/A</v>
      </c>
      <c r="H3527" s="33"/>
      <c r="I3527" s="33"/>
      <c r="J3527" s="33"/>
      <c r="K3527" s="33"/>
      <c r="L3527" s="33"/>
      <c r="M3527" s="33"/>
    </row>
    <row r="3528">
      <c r="A3528" s="32" t="s">
        <v>9190</v>
      </c>
      <c r="B3528" s="32" t="s">
        <v>9191</v>
      </c>
      <c r="C3528" s="35">
        <v>59.32400131</v>
      </c>
      <c r="D3528" s="35">
        <v>-155.9019928</v>
      </c>
      <c r="E3528" s="32" t="s">
        <v>180</v>
      </c>
      <c r="F3528" s="32" t="s">
        <v>9192</v>
      </c>
      <c r="G3528" s="39" t="s">
        <v>181</v>
      </c>
      <c r="H3528" s="33"/>
      <c r="I3528" s="33"/>
      <c r="J3528" s="33"/>
      <c r="K3528" s="33"/>
      <c r="L3528" s="33"/>
      <c r="M3528" s="33"/>
    </row>
    <row r="3529">
      <c r="A3529" s="32" t="s">
        <v>9193</v>
      </c>
      <c r="B3529" s="32" t="s">
        <v>9194</v>
      </c>
      <c r="C3529" s="35">
        <v>38.51300049</v>
      </c>
      <c r="D3529" s="35">
        <v>27.01009941</v>
      </c>
      <c r="E3529" s="32" t="s">
        <v>133</v>
      </c>
      <c r="F3529" s="32" t="s">
        <v>1208</v>
      </c>
      <c r="G3529" s="39" t="s">
        <v>134</v>
      </c>
      <c r="H3529" s="33"/>
      <c r="I3529" s="33"/>
      <c r="J3529" s="33"/>
      <c r="K3529" s="33"/>
      <c r="L3529" s="33"/>
      <c r="M3529" s="33"/>
    </row>
    <row r="3530">
      <c r="A3530" s="32" t="s">
        <v>9195</v>
      </c>
      <c r="B3530" s="32" t="s">
        <v>9196</v>
      </c>
      <c r="C3530" s="35">
        <v>41.53490067</v>
      </c>
      <c r="D3530" s="35">
        <v>-87.52950287</v>
      </c>
      <c r="E3530" s="32" t="s">
        <v>180</v>
      </c>
      <c r="F3530" s="32" t="s">
        <v>9197</v>
      </c>
      <c r="G3530" s="39" t="s">
        <v>181</v>
      </c>
      <c r="H3530" s="33"/>
      <c r="I3530" s="33"/>
      <c r="J3530" s="33"/>
      <c r="K3530" s="33"/>
      <c r="L3530" s="33"/>
      <c r="M3530" s="33"/>
    </row>
    <row r="3531">
      <c r="A3531" s="32" t="s">
        <v>9198</v>
      </c>
      <c r="B3531" s="32" t="s">
        <v>9199</v>
      </c>
      <c r="C3531" s="35">
        <v>-25.73730087</v>
      </c>
      <c r="D3531" s="35">
        <v>-54.47340012</v>
      </c>
      <c r="E3531" s="32" t="s">
        <v>296</v>
      </c>
      <c r="F3531" s="32" t="s">
        <v>9200</v>
      </c>
      <c r="G3531" s="36" t="e">
        <v>#N/A</v>
      </c>
      <c r="H3531" s="33"/>
      <c r="I3531" s="33"/>
      <c r="J3531" s="33"/>
      <c r="K3531" s="33"/>
      <c r="L3531" s="33"/>
      <c r="M3531" s="33"/>
    </row>
    <row r="3532">
      <c r="A3532" s="32" t="s">
        <v>9201</v>
      </c>
      <c r="B3532" s="32" t="s">
        <v>9202</v>
      </c>
      <c r="C3532" s="35">
        <v>48.71569824</v>
      </c>
      <c r="D3532" s="35">
        <v>11.5340004</v>
      </c>
      <c r="E3532" s="32" t="s">
        <v>109</v>
      </c>
      <c r="F3532" s="32" t="s">
        <v>9203</v>
      </c>
      <c r="G3532" s="39" t="s">
        <v>110</v>
      </c>
      <c r="H3532" s="33"/>
      <c r="I3532" s="33"/>
      <c r="J3532" s="33"/>
      <c r="K3532" s="33"/>
      <c r="L3532" s="33"/>
      <c r="M3532" s="33"/>
    </row>
    <row r="3533">
      <c r="A3533" s="32" t="s">
        <v>9204</v>
      </c>
      <c r="B3533" s="32" t="s">
        <v>9205</v>
      </c>
      <c r="C3533" s="35">
        <v>43.32229996</v>
      </c>
      <c r="D3533" s="35">
        <v>45.01259995</v>
      </c>
      <c r="E3533" s="32" t="s">
        <v>2040</v>
      </c>
      <c r="F3533" s="32" t="s">
        <v>9206</v>
      </c>
      <c r="G3533" s="36" t="e">
        <v>#N/A</v>
      </c>
      <c r="H3533" s="33"/>
      <c r="I3533" s="33"/>
      <c r="J3533" s="33"/>
      <c r="K3533" s="33"/>
      <c r="L3533" s="33"/>
      <c r="M3533" s="33"/>
    </row>
    <row r="3534">
      <c r="A3534" s="32" t="s">
        <v>9207</v>
      </c>
      <c r="B3534" s="32" t="s">
        <v>9208</v>
      </c>
      <c r="C3534" s="35">
        <v>-25.60027885</v>
      </c>
      <c r="D3534" s="35">
        <v>-54.48500061</v>
      </c>
      <c r="E3534" s="32" t="s">
        <v>288</v>
      </c>
      <c r="F3534" s="32" t="s">
        <v>9209</v>
      </c>
      <c r="G3534" s="36" t="e">
        <v>#N/A</v>
      </c>
      <c r="H3534" s="33"/>
      <c r="I3534" s="33"/>
      <c r="J3534" s="33"/>
      <c r="K3534" s="33"/>
      <c r="L3534" s="33"/>
      <c r="M3534" s="33"/>
    </row>
    <row r="3535">
      <c r="A3535" s="32" t="s">
        <v>9210</v>
      </c>
      <c r="B3535" s="32" t="s">
        <v>9211</v>
      </c>
      <c r="C3535" s="35">
        <v>35.935001</v>
      </c>
      <c r="D3535" s="35">
        <v>-79.065902</v>
      </c>
      <c r="E3535" s="32" t="s">
        <v>180</v>
      </c>
      <c r="F3535" s="32" t="s">
        <v>9212</v>
      </c>
      <c r="G3535" s="39" t="s">
        <v>181</v>
      </c>
      <c r="H3535" s="33"/>
      <c r="I3535" s="33"/>
      <c r="J3535" s="33"/>
      <c r="K3535" s="33"/>
      <c r="L3535" s="33"/>
      <c r="M3535" s="33"/>
    </row>
    <row r="3536">
      <c r="A3536" s="32" t="s">
        <v>9213</v>
      </c>
      <c r="B3536" s="32" t="s">
        <v>9214</v>
      </c>
      <c r="C3536" s="35">
        <v>53.0929985</v>
      </c>
      <c r="D3536" s="35">
        <v>-9.568059921</v>
      </c>
      <c r="E3536" s="32" t="s">
        <v>199</v>
      </c>
      <c r="F3536" s="32" t="s">
        <v>9215</v>
      </c>
      <c r="G3536" s="39" t="s">
        <v>200</v>
      </c>
      <c r="H3536" s="33"/>
      <c r="I3536" s="33"/>
      <c r="J3536" s="33"/>
      <c r="K3536" s="33"/>
      <c r="L3536" s="33"/>
      <c r="M3536" s="33"/>
    </row>
    <row r="3537">
      <c r="A3537" s="32" t="s">
        <v>9216</v>
      </c>
      <c r="B3537" s="32" t="s">
        <v>9217</v>
      </c>
      <c r="C3537" s="35">
        <v>33.58660126</v>
      </c>
      <c r="D3537" s="35">
        <v>46.40480042</v>
      </c>
      <c r="E3537" s="32" t="s">
        <v>1378</v>
      </c>
      <c r="F3537" s="32" t="s">
        <v>9218</v>
      </c>
      <c r="G3537" s="36" t="e">
        <v>#N/A</v>
      </c>
      <c r="H3537" s="33"/>
      <c r="I3537" s="33"/>
      <c r="J3537" s="33"/>
      <c r="K3537" s="33"/>
      <c r="L3537" s="33"/>
      <c r="M3537" s="33"/>
    </row>
    <row r="3538">
      <c r="A3538" s="32" t="s">
        <v>9219</v>
      </c>
      <c r="B3538" s="32" t="s">
        <v>9220</v>
      </c>
      <c r="C3538" s="35">
        <v>41.74399948</v>
      </c>
      <c r="D3538" s="35">
        <v>-72.18029785</v>
      </c>
      <c r="E3538" s="32" t="s">
        <v>180</v>
      </c>
      <c r="F3538" s="32" t="s">
        <v>9221</v>
      </c>
      <c r="G3538" s="39" t="s">
        <v>181</v>
      </c>
      <c r="H3538" s="33"/>
      <c r="I3538" s="33"/>
      <c r="J3538" s="33"/>
      <c r="K3538" s="33"/>
      <c r="L3538" s="33"/>
      <c r="M3538" s="33"/>
    </row>
    <row r="3539">
      <c r="A3539" s="32" t="s">
        <v>9222</v>
      </c>
      <c r="B3539" s="32" t="s">
        <v>9223</v>
      </c>
      <c r="C3539" s="35">
        <v>56.8280983</v>
      </c>
      <c r="D3539" s="35">
        <v>53.45750046</v>
      </c>
      <c r="E3539" s="32" t="s">
        <v>2040</v>
      </c>
      <c r="F3539" s="32" t="s">
        <v>9224</v>
      </c>
      <c r="G3539" s="36" t="e">
        <v>#N/A</v>
      </c>
      <c r="H3539" s="33"/>
      <c r="I3539" s="33"/>
      <c r="J3539" s="33"/>
      <c r="K3539" s="33"/>
      <c r="L3539" s="33"/>
      <c r="M3539" s="33"/>
    </row>
    <row r="3540">
      <c r="A3540" s="32" t="s">
        <v>9225</v>
      </c>
      <c r="B3540" s="32" t="s">
        <v>9226</v>
      </c>
      <c r="C3540" s="35">
        <v>35.41609955</v>
      </c>
      <c r="D3540" s="35">
        <v>51.15219879</v>
      </c>
      <c r="E3540" s="32" t="s">
        <v>1378</v>
      </c>
      <c r="F3540" s="32" t="s">
        <v>9227</v>
      </c>
      <c r="G3540" s="36" t="e">
        <v>#N/A</v>
      </c>
      <c r="H3540" s="33"/>
      <c r="I3540" s="33"/>
      <c r="J3540" s="33"/>
      <c r="K3540" s="33"/>
      <c r="L3540" s="33"/>
      <c r="M3540" s="33"/>
    </row>
    <row r="3541">
      <c r="A3541" s="32" t="s">
        <v>9228</v>
      </c>
      <c r="B3541" s="32" t="s">
        <v>9229</v>
      </c>
      <c r="C3541" s="35">
        <v>33.74900055</v>
      </c>
      <c r="D3541" s="35">
        <v>129.7850037</v>
      </c>
      <c r="E3541" s="32" t="s">
        <v>170</v>
      </c>
      <c r="F3541" s="32" t="s">
        <v>9230</v>
      </c>
      <c r="G3541" s="39" t="s">
        <v>171</v>
      </c>
      <c r="H3541" s="33"/>
      <c r="I3541" s="33"/>
      <c r="J3541" s="33"/>
      <c r="K3541" s="33"/>
      <c r="L3541" s="33"/>
      <c r="M3541" s="33"/>
    </row>
    <row r="3542">
      <c r="A3542" s="32" t="s">
        <v>9231</v>
      </c>
      <c r="B3542" s="32" t="s">
        <v>9232</v>
      </c>
      <c r="C3542" s="35">
        <v>41.07139969</v>
      </c>
      <c r="D3542" s="35">
        <v>-87.84629822</v>
      </c>
      <c r="E3542" s="32" t="s">
        <v>180</v>
      </c>
      <c r="F3542" s="32" t="s">
        <v>9233</v>
      </c>
      <c r="G3542" s="39" t="s">
        <v>181</v>
      </c>
      <c r="H3542" s="33"/>
      <c r="I3542" s="33"/>
      <c r="J3542" s="33"/>
      <c r="K3542" s="33"/>
      <c r="L3542" s="33"/>
      <c r="M3542" s="33"/>
    </row>
    <row r="3543">
      <c r="A3543" s="32" t="s">
        <v>9234</v>
      </c>
      <c r="B3543" s="32" t="s">
        <v>9235</v>
      </c>
      <c r="C3543" s="35">
        <v>-1.048109</v>
      </c>
      <c r="D3543" s="35">
        <v>23.372501</v>
      </c>
      <c r="E3543" s="32" t="s">
        <v>800</v>
      </c>
      <c r="F3543" s="32" t="s">
        <v>9236</v>
      </c>
      <c r="G3543" s="36" t="e">
        <v>#N/A</v>
      </c>
      <c r="H3543" s="33"/>
      <c r="I3543" s="33"/>
      <c r="J3543" s="33"/>
      <c r="K3543" s="33"/>
      <c r="L3543" s="33"/>
      <c r="M3543" s="33"/>
    </row>
    <row r="3544">
      <c r="A3544" s="32" t="s">
        <v>9237</v>
      </c>
      <c r="B3544" s="32" t="s">
        <v>9238</v>
      </c>
      <c r="C3544" s="35">
        <v>71.6977005</v>
      </c>
      <c r="D3544" s="35">
        <v>128.9029999</v>
      </c>
      <c r="E3544" s="32" t="s">
        <v>2040</v>
      </c>
      <c r="F3544" s="32" t="s">
        <v>9239</v>
      </c>
      <c r="G3544" s="36" t="e">
        <v>#N/A</v>
      </c>
      <c r="H3544" s="33"/>
      <c r="I3544" s="33"/>
      <c r="J3544" s="33"/>
      <c r="K3544" s="33"/>
      <c r="L3544" s="33"/>
      <c r="M3544" s="33"/>
    </row>
    <row r="3545">
      <c r="A3545" s="32" t="s">
        <v>9240</v>
      </c>
      <c r="B3545" s="32" t="s">
        <v>9241</v>
      </c>
      <c r="C3545" s="35">
        <v>52.26800156</v>
      </c>
      <c r="D3545" s="35">
        <v>104.3889999</v>
      </c>
      <c r="E3545" s="32" t="s">
        <v>2040</v>
      </c>
      <c r="F3545" s="32" t="s">
        <v>9242</v>
      </c>
      <c r="G3545" s="36" t="e">
        <v>#N/A</v>
      </c>
      <c r="H3545" s="33"/>
      <c r="I3545" s="33"/>
      <c r="J3545" s="33"/>
      <c r="K3545" s="33"/>
      <c r="L3545" s="33"/>
      <c r="M3545" s="33"/>
    </row>
    <row r="3546">
      <c r="A3546" s="32" t="s">
        <v>9243</v>
      </c>
      <c r="B3546" s="32" t="s">
        <v>9244</v>
      </c>
      <c r="C3546" s="35">
        <v>42.58792</v>
      </c>
      <c r="D3546" s="35">
        <v>76.713046</v>
      </c>
      <c r="E3546" s="32" t="s">
        <v>2342</v>
      </c>
      <c r="F3546" s="32" t="s">
        <v>9245</v>
      </c>
      <c r="G3546" s="36" t="e">
        <v>#N/A</v>
      </c>
      <c r="H3546" s="33"/>
      <c r="I3546" s="33"/>
      <c r="J3546" s="33"/>
      <c r="K3546" s="33"/>
      <c r="L3546" s="33"/>
      <c r="M3546" s="33"/>
    </row>
    <row r="3547">
      <c r="A3547" s="32" t="s">
        <v>9246</v>
      </c>
      <c r="B3547" s="32" t="s">
        <v>9247</v>
      </c>
      <c r="C3547" s="35">
        <v>41.69139862</v>
      </c>
      <c r="D3547" s="35">
        <v>-93.56639862</v>
      </c>
      <c r="E3547" s="32" t="s">
        <v>180</v>
      </c>
      <c r="F3547" s="32" t="s">
        <v>9248</v>
      </c>
      <c r="G3547" s="39" t="s">
        <v>181</v>
      </c>
      <c r="H3547" s="33"/>
      <c r="I3547" s="33"/>
      <c r="J3547" s="33"/>
      <c r="K3547" s="33"/>
      <c r="L3547" s="33"/>
      <c r="M3547" s="33"/>
    </row>
    <row r="3548">
      <c r="A3548" s="32" t="s">
        <v>9249</v>
      </c>
      <c r="B3548" s="32" t="s">
        <v>9250</v>
      </c>
      <c r="C3548" s="35">
        <v>41.728185</v>
      </c>
      <c r="D3548" s="35">
        <v>0.535023</v>
      </c>
      <c r="E3548" s="32" t="s">
        <v>115</v>
      </c>
      <c r="F3548" s="32" t="s">
        <v>9251</v>
      </c>
      <c r="G3548" s="39" t="s">
        <v>116</v>
      </c>
      <c r="H3548" s="33"/>
      <c r="I3548" s="33"/>
      <c r="J3548" s="33"/>
      <c r="K3548" s="33"/>
      <c r="L3548" s="33"/>
      <c r="M3548" s="33"/>
    </row>
    <row r="3549">
      <c r="A3549" s="32" t="s">
        <v>9252</v>
      </c>
      <c r="B3549" s="32" t="s">
        <v>9253</v>
      </c>
      <c r="C3549" s="35">
        <v>56.06140137</v>
      </c>
      <c r="D3549" s="35">
        <v>-95.61389923</v>
      </c>
      <c r="E3549" s="32" t="s">
        <v>94</v>
      </c>
      <c r="F3549" s="32" t="s">
        <v>9254</v>
      </c>
      <c r="G3549" s="36" t="e">
        <v>#N/A</v>
      </c>
      <c r="H3549" s="33"/>
      <c r="I3549" s="33"/>
      <c r="J3549" s="33"/>
      <c r="K3549" s="33"/>
      <c r="L3549" s="33"/>
      <c r="M3549" s="33"/>
    </row>
    <row r="3550">
      <c r="A3550" s="32" t="s">
        <v>9255</v>
      </c>
      <c r="B3550" s="32" t="s">
        <v>9256</v>
      </c>
      <c r="C3550" s="35">
        <v>39.67869949</v>
      </c>
      <c r="D3550" s="35">
        <v>-75.60649872</v>
      </c>
      <c r="E3550" s="32" t="s">
        <v>180</v>
      </c>
      <c r="F3550" s="32" t="s">
        <v>9257</v>
      </c>
      <c r="G3550" s="39" t="s">
        <v>181</v>
      </c>
      <c r="H3550" s="33"/>
      <c r="I3550" s="33"/>
      <c r="J3550" s="33"/>
      <c r="K3550" s="33"/>
      <c r="L3550" s="33"/>
      <c r="M3550" s="33"/>
    </row>
    <row r="3551">
      <c r="A3551" s="32" t="s">
        <v>9258</v>
      </c>
      <c r="B3551" s="32" t="s">
        <v>9259</v>
      </c>
      <c r="C3551" s="35">
        <v>59.75439835</v>
      </c>
      <c r="D3551" s="35">
        <v>-154.9109955</v>
      </c>
      <c r="E3551" s="32" t="s">
        <v>180</v>
      </c>
      <c r="F3551" s="32" t="s">
        <v>9260</v>
      </c>
      <c r="G3551" s="39" t="s">
        <v>181</v>
      </c>
      <c r="H3551" s="33"/>
      <c r="I3551" s="33"/>
      <c r="J3551" s="33"/>
      <c r="K3551" s="33"/>
      <c r="L3551" s="33"/>
      <c r="M3551" s="33"/>
    </row>
    <row r="3552">
      <c r="A3552" s="32" t="s">
        <v>9261</v>
      </c>
      <c r="B3552" s="32" t="s">
        <v>9262</v>
      </c>
      <c r="C3552" s="35">
        <v>34.27059937</v>
      </c>
      <c r="D3552" s="35">
        <v>-77.90260315</v>
      </c>
      <c r="E3552" s="32" t="s">
        <v>180</v>
      </c>
      <c r="F3552" s="32" t="s">
        <v>9257</v>
      </c>
      <c r="G3552" s="39" t="s">
        <v>181</v>
      </c>
      <c r="H3552" s="33"/>
      <c r="I3552" s="33"/>
      <c r="J3552" s="33"/>
      <c r="K3552" s="33"/>
      <c r="L3552" s="33"/>
      <c r="M3552" s="33"/>
    </row>
    <row r="3553">
      <c r="A3553" s="32" t="s">
        <v>9263</v>
      </c>
      <c r="B3553" s="32" t="s">
        <v>9264</v>
      </c>
      <c r="C3553" s="35">
        <v>39.42789841</v>
      </c>
      <c r="D3553" s="35">
        <v>-83.792099</v>
      </c>
      <c r="E3553" s="32" t="s">
        <v>180</v>
      </c>
      <c r="F3553" s="32" t="s">
        <v>9257</v>
      </c>
      <c r="G3553" s="39" t="s">
        <v>181</v>
      </c>
      <c r="H3553" s="33"/>
      <c r="I3553" s="33"/>
      <c r="J3553" s="33"/>
      <c r="K3553" s="33"/>
      <c r="L3553" s="33"/>
      <c r="M3553" s="33"/>
    </row>
    <row r="3554">
      <c r="A3554" s="32" t="s">
        <v>9265</v>
      </c>
      <c r="B3554" s="32" t="s">
        <v>9266</v>
      </c>
      <c r="C3554" s="35">
        <v>10.833017</v>
      </c>
      <c r="D3554" s="35">
        <v>122.493358</v>
      </c>
      <c r="E3554" s="32" t="s">
        <v>270</v>
      </c>
      <c r="F3554" s="32" t="s">
        <v>9267</v>
      </c>
      <c r="G3554" s="36" t="e">
        <v>#N/A</v>
      </c>
      <c r="H3554" s="33"/>
      <c r="I3554" s="33"/>
      <c r="J3554" s="33"/>
      <c r="K3554" s="33"/>
      <c r="L3554" s="33"/>
      <c r="M3554" s="33"/>
    </row>
    <row r="3555">
      <c r="A3555" s="32" t="s">
        <v>9268</v>
      </c>
      <c r="B3555" s="32" t="s">
        <v>9269</v>
      </c>
      <c r="C3555" s="35">
        <v>-22.58889961</v>
      </c>
      <c r="D3555" s="35">
        <v>167.4559937</v>
      </c>
      <c r="E3555" s="32" t="s">
        <v>5002</v>
      </c>
      <c r="F3555" s="32" t="s">
        <v>9270</v>
      </c>
      <c r="G3555" s="36" t="e">
        <v>#N/A</v>
      </c>
      <c r="H3555" s="33"/>
      <c r="I3555" s="33"/>
      <c r="J3555" s="33"/>
      <c r="K3555" s="33"/>
      <c r="L3555" s="33"/>
      <c r="M3555" s="33"/>
    </row>
    <row r="3556">
      <c r="A3556" s="32" t="s">
        <v>9271</v>
      </c>
      <c r="B3556" s="32" t="s">
        <v>9272</v>
      </c>
      <c r="C3556" s="35">
        <v>8.440210342</v>
      </c>
      <c r="D3556" s="35">
        <v>4.493919849</v>
      </c>
      <c r="E3556" s="32" t="s">
        <v>19</v>
      </c>
      <c r="F3556" s="32" t="s">
        <v>9273</v>
      </c>
      <c r="G3556" s="36" t="e">
        <v>#N/A</v>
      </c>
      <c r="H3556" s="33"/>
      <c r="I3556" s="33"/>
      <c r="J3556" s="33"/>
      <c r="K3556" s="33"/>
      <c r="L3556" s="33"/>
      <c r="M3556" s="33"/>
    </row>
    <row r="3557">
      <c r="A3557" s="32" t="s">
        <v>9274</v>
      </c>
      <c r="B3557" s="32" t="s">
        <v>9275</v>
      </c>
      <c r="C3557" s="35">
        <v>-2.910609961</v>
      </c>
      <c r="D3557" s="35">
        <v>38.06520081</v>
      </c>
      <c r="E3557" s="32" t="s">
        <v>21</v>
      </c>
      <c r="F3557" s="32" t="s">
        <v>9276</v>
      </c>
      <c r="G3557" s="36" t="e">
        <v>#N/A</v>
      </c>
      <c r="H3557" s="33"/>
      <c r="I3557" s="33"/>
      <c r="J3557" s="33"/>
      <c r="K3557" s="33"/>
      <c r="L3557" s="33"/>
      <c r="M3557" s="33"/>
    </row>
    <row r="3558">
      <c r="A3558" s="32" t="s">
        <v>9277</v>
      </c>
      <c r="B3558" s="32" t="s">
        <v>9278</v>
      </c>
      <c r="C3558" s="35">
        <v>55.68190002</v>
      </c>
      <c r="D3558" s="35">
        <v>-6.256669998</v>
      </c>
      <c r="E3558" s="32" t="s">
        <v>90</v>
      </c>
      <c r="F3558" s="32" t="s">
        <v>9279</v>
      </c>
      <c r="G3558" s="39" t="s">
        <v>91</v>
      </c>
      <c r="H3558" s="33"/>
      <c r="I3558" s="33"/>
      <c r="J3558" s="33"/>
      <c r="K3558" s="33"/>
      <c r="L3558" s="33"/>
      <c r="M3558" s="33"/>
    </row>
    <row r="3559">
      <c r="A3559" s="32" t="s">
        <v>9280</v>
      </c>
      <c r="B3559" s="32" t="s">
        <v>9281</v>
      </c>
      <c r="C3559" s="35">
        <v>49.23149872</v>
      </c>
      <c r="D3559" s="35">
        <v>18.6135006</v>
      </c>
      <c r="E3559" s="32" t="s">
        <v>1229</v>
      </c>
      <c r="F3559" s="32" t="s">
        <v>9282</v>
      </c>
      <c r="G3559" s="36" t="e">
        <v>#N/A</v>
      </c>
      <c r="H3559" s="33"/>
      <c r="I3559" s="33"/>
      <c r="J3559" s="33"/>
      <c r="K3559" s="33"/>
      <c r="L3559" s="33"/>
      <c r="M3559" s="33"/>
    </row>
    <row r="3560">
      <c r="A3560" s="32" t="s">
        <v>9283</v>
      </c>
      <c r="B3560" s="32" t="s">
        <v>9284</v>
      </c>
      <c r="C3560" s="35">
        <v>5.708109856</v>
      </c>
      <c r="D3560" s="35">
        <v>-60.2942009</v>
      </c>
      <c r="E3560" s="32" t="s">
        <v>1822</v>
      </c>
      <c r="F3560" s="32" t="s">
        <v>9285</v>
      </c>
      <c r="G3560" s="36" t="e">
        <v>#N/A</v>
      </c>
      <c r="H3560" s="33"/>
      <c r="I3560" s="33"/>
      <c r="J3560" s="33"/>
      <c r="K3560" s="33"/>
      <c r="L3560" s="33"/>
      <c r="M3560" s="33"/>
    </row>
    <row r="3561">
      <c r="A3561" s="32" t="s">
        <v>9286</v>
      </c>
      <c r="B3561" s="32" t="s">
        <v>9287</v>
      </c>
      <c r="C3561" s="35">
        <v>24.76000023</v>
      </c>
      <c r="D3561" s="35">
        <v>93.896698</v>
      </c>
      <c r="E3561" s="32" t="s">
        <v>217</v>
      </c>
      <c r="F3561" s="32" t="s">
        <v>9288</v>
      </c>
      <c r="G3561" s="39" t="s">
        <v>218</v>
      </c>
      <c r="H3561" s="33"/>
      <c r="I3561" s="33"/>
      <c r="J3561" s="33"/>
      <c r="K3561" s="33"/>
      <c r="L3561" s="33"/>
      <c r="M3561" s="33"/>
    </row>
    <row r="3562">
      <c r="A3562" s="32" t="s">
        <v>9289</v>
      </c>
      <c r="B3562" s="32" t="s">
        <v>9290</v>
      </c>
      <c r="C3562" s="35">
        <v>29.97109985</v>
      </c>
      <c r="D3562" s="35">
        <v>81.81890106</v>
      </c>
      <c r="E3562" s="32" t="s">
        <v>1877</v>
      </c>
      <c r="F3562" s="32" t="s">
        <v>9291</v>
      </c>
      <c r="G3562" s="36" t="e">
        <v>#N/A</v>
      </c>
      <c r="H3562" s="33"/>
      <c r="I3562" s="33"/>
      <c r="J3562" s="33"/>
      <c r="K3562" s="33"/>
      <c r="L3562" s="33"/>
      <c r="M3562" s="33"/>
    </row>
    <row r="3563">
      <c r="A3563" s="32" t="s">
        <v>9292</v>
      </c>
      <c r="B3563" s="32" t="s">
        <v>9293</v>
      </c>
      <c r="C3563" s="35">
        <v>26.43320084</v>
      </c>
      <c r="D3563" s="35">
        <v>-81.40100098</v>
      </c>
      <c r="E3563" s="32" t="s">
        <v>180</v>
      </c>
      <c r="F3563" s="32" t="s">
        <v>9294</v>
      </c>
      <c r="G3563" s="39" t="s">
        <v>181</v>
      </c>
      <c r="H3563" s="33"/>
      <c r="I3563" s="33"/>
      <c r="J3563" s="33"/>
      <c r="K3563" s="33"/>
      <c r="L3563" s="33"/>
      <c r="M3563" s="33"/>
    </row>
    <row r="3564">
      <c r="A3564" s="32" t="s">
        <v>9295</v>
      </c>
      <c r="B3564" s="32" t="s">
        <v>9296</v>
      </c>
      <c r="C3564" s="35">
        <v>-5.531290054</v>
      </c>
      <c r="D3564" s="35">
        <v>-47.45999908</v>
      </c>
      <c r="E3564" s="32" t="s">
        <v>288</v>
      </c>
      <c r="F3564" s="32" t="s">
        <v>9297</v>
      </c>
      <c r="G3564" s="36" t="e">
        <v>#N/A</v>
      </c>
      <c r="H3564" s="33"/>
      <c r="I3564" s="33"/>
      <c r="J3564" s="33"/>
      <c r="K3564" s="33"/>
      <c r="L3564" s="33"/>
      <c r="M3564" s="33"/>
    </row>
    <row r="3565">
      <c r="A3565" s="32" t="s">
        <v>9298</v>
      </c>
      <c r="B3565" s="32" t="s">
        <v>9299</v>
      </c>
      <c r="C3565" s="35">
        <v>45.81840134</v>
      </c>
      <c r="D3565" s="35">
        <v>-88.11450195</v>
      </c>
      <c r="E3565" s="32" t="s">
        <v>180</v>
      </c>
      <c r="F3565" s="32" t="s">
        <v>9300</v>
      </c>
      <c r="G3565" s="39" t="s">
        <v>181</v>
      </c>
      <c r="H3565" s="33"/>
      <c r="I3565" s="33"/>
      <c r="J3565" s="33"/>
      <c r="K3565" s="33"/>
      <c r="L3565" s="33"/>
      <c r="M3565" s="33"/>
    </row>
    <row r="3566">
      <c r="A3566" s="32" t="s">
        <v>9301</v>
      </c>
      <c r="B3566" s="32" t="s">
        <v>9302</v>
      </c>
      <c r="C3566" s="35">
        <v>66.05483246</v>
      </c>
      <c r="D3566" s="35">
        <v>60.11032104</v>
      </c>
      <c r="E3566" s="32" t="s">
        <v>2040</v>
      </c>
      <c r="F3566" s="32" t="s">
        <v>9303</v>
      </c>
      <c r="G3566" s="36" t="e">
        <v>#N/A</v>
      </c>
      <c r="H3566" s="33"/>
      <c r="I3566" s="33"/>
      <c r="J3566" s="33"/>
      <c r="K3566" s="33"/>
      <c r="L3566" s="33"/>
      <c r="M3566" s="33"/>
    </row>
    <row r="3567">
      <c r="A3567" s="32" t="s">
        <v>9304</v>
      </c>
      <c r="B3567" s="32" t="s">
        <v>9305</v>
      </c>
      <c r="C3567" s="35">
        <v>38.481899</v>
      </c>
      <c r="D3567" s="35">
        <v>106.009003</v>
      </c>
      <c r="E3567" s="32" t="s">
        <v>205</v>
      </c>
      <c r="F3567" s="32" t="s">
        <v>9306</v>
      </c>
      <c r="G3567" s="39" t="s">
        <v>206</v>
      </c>
      <c r="H3567" s="33"/>
      <c r="I3567" s="33"/>
      <c r="J3567" s="33"/>
      <c r="K3567" s="33"/>
      <c r="L3567" s="33"/>
      <c r="M3567" s="33"/>
    </row>
    <row r="3568">
      <c r="A3568" s="32" t="s">
        <v>9307</v>
      </c>
      <c r="B3568" s="32" t="s">
        <v>9308</v>
      </c>
      <c r="C3568" s="35">
        <v>39.7173</v>
      </c>
      <c r="D3568" s="35">
        <v>-86.294403</v>
      </c>
      <c r="E3568" s="32" t="s">
        <v>180</v>
      </c>
      <c r="F3568" s="32" t="s">
        <v>9309</v>
      </c>
      <c r="G3568" s="39" t="s">
        <v>181</v>
      </c>
      <c r="H3568" s="33"/>
      <c r="I3568" s="33"/>
      <c r="J3568" s="33"/>
      <c r="K3568" s="33"/>
      <c r="L3568" s="33"/>
      <c r="M3568" s="33"/>
    </row>
    <row r="3569">
      <c r="A3569" s="32" t="s">
        <v>9310</v>
      </c>
      <c r="B3569" s="32" t="s">
        <v>9311</v>
      </c>
      <c r="C3569" s="35">
        <v>-50.336102</v>
      </c>
      <c r="D3569" s="35">
        <v>-72.248596</v>
      </c>
      <c r="E3569" s="32" t="s">
        <v>296</v>
      </c>
      <c r="F3569" s="32" t="s">
        <v>7814</v>
      </c>
      <c r="G3569" s="36" t="e">
        <v>#N/A</v>
      </c>
      <c r="H3569" s="33"/>
      <c r="I3569" s="33"/>
      <c r="J3569" s="33"/>
      <c r="K3569" s="33"/>
      <c r="L3569" s="33"/>
      <c r="M3569" s="33"/>
    </row>
    <row r="3570">
      <c r="A3570" s="32" t="s">
        <v>9312</v>
      </c>
      <c r="B3570" s="32" t="s">
        <v>9313</v>
      </c>
      <c r="C3570" s="35">
        <v>-23.87639999</v>
      </c>
      <c r="D3570" s="35">
        <v>35.40850067</v>
      </c>
      <c r="E3570" s="32" t="s">
        <v>767</v>
      </c>
      <c r="F3570" s="32" t="s">
        <v>9314</v>
      </c>
      <c r="G3570" s="36" t="e">
        <v>#N/A</v>
      </c>
      <c r="H3570" s="33"/>
      <c r="I3570" s="33"/>
      <c r="J3570" s="33"/>
      <c r="K3570" s="33"/>
      <c r="L3570" s="33"/>
      <c r="M3570" s="33"/>
    </row>
    <row r="3571">
      <c r="A3571" s="32" t="s">
        <v>9315</v>
      </c>
      <c r="B3571" s="32" t="s">
        <v>9316</v>
      </c>
      <c r="C3571" s="35">
        <v>43.337299</v>
      </c>
      <c r="D3571" s="35">
        <v>21.853701</v>
      </c>
      <c r="E3571" s="32" t="s">
        <v>1226</v>
      </c>
      <c r="F3571" s="32" t="s">
        <v>9317</v>
      </c>
      <c r="G3571" s="36" t="e">
        <v>#N/A</v>
      </c>
      <c r="H3571" s="33"/>
      <c r="I3571" s="33"/>
      <c r="J3571" s="33"/>
      <c r="K3571" s="33"/>
      <c r="L3571" s="33"/>
      <c r="M3571" s="33"/>
    </row>
    <row r="3572">
      <c r="A3572" s="32" t="s">
        <v>9318</v>
      </c>
      <c r="B3572" s="32" t="s">
        <v>9319</v>
      </c>
      <c r="C3572" s="35">
        <v>32.08349991</v>
      </c>
      <c r="D3572" s="35">
        <v>-97.09719849</v>
      </c>
      <c r="E3572" s="32" t="s">
        <v>180</v>
      </c>
      <c r="F3572" s="32" t="s">
        <v>8724</v>
      </c>
      <c r="G3572" s="39" t="s">
        <v>181</v>
      </c>
      <c r="H3572" s="33"/>
      <c r="I3572" s="33"/>
      <c r="J3572" s="33"/>
      <c r="K3572" s="33"/>
      <c r="L3572" s="33"/>
      <c r="M3572" s="33"/>
    </row>
    <row r="3573">
      <c r="A3573" s="32" t="s">
        <v>9320</v>
      </c>
      <c r="B3573" s="32" t="s">
        <v>9321</v>
      </c>
      <c r="C3573" s="35">
        <v>31.77960014</v>
      </c>
      <c r="D3573" s="35">
        <v>-103.2009964</v>
      </c>
      <c r="E3573" s="32" t="s">
        <v>180</v>
      </c>
      <c r="F3573" s="32" t="s">
        <v>9322</v>
      </c>
      <c r="G3573" s="39" t="s">
        <v>181</v>
      </c>
      <c r="H3573" s="33"/>
      <c r="I3573" s="33"/>
      <c r="J3573" s="33"/>
      <c r="K3573" s="33"/>
      <c r="L3573" s="33"/>
      <c r="M3573" s="33"/>
    </row>
    <row r="3574">
      <c r="A3574" s="32" t="s">
        <v>9323</v>
      </c>
      <c r="B3574" s="32" t="s">
        <v>9324</v>
      </c>
      <c r="C3574" s="35">
        <v>48.56620026</v>
      </c>
      <c r="D3574" s="35">
        <v>-93.40309906</v>
      </c>
      <c r="E3574" s="32" t="s">
        <v>180</v>
      </c>
      <c r="F3574" s="32" t="s">
        <v>9325</v>
      </c>
      <c r="G3574" s="39" t="s">
        <v>181</v>
      </c>
      <c r="H3574" s="33"/>
      <c r="I3574" s="33"/>
      <c r="J3574" s="33"/>
      <c r="K3574" s="33"/>
      <c r="L3574" s="33"/>
      <c r="M3574" s="33"/>
    </row>
    <row r="3575">
      <c r="A3575" s="32" t="s">
        <v>9326</v>
      </c>
      <c r="B3575" s="32" t="s">
        <v>9327</v>
      </c>
      <c r="C3575" s="35">
        <v>47.260201</v>
      </c>
      <c r="D3575" s="35">
        <v>11.344</v>
      </c>
      <c r="E3575" s="32" t="s">
        <v>1145</v>
      </c>
      <c r="F3575" s="32" t="s">
        <v>9328</v>
      </c>
      <c r="G3575" s="36" t="e">
        <v>#N/A</v>
      </c>
      <c r="H3575" s="33"/>
      <c r="I3575" s="33"/>
      <c r="J3575" s="33"/>
      <c r="K3575" s="33"/>
      <c r="L3575" s="33"/>
      <c r="M3575" s="33"/>
    </row>
    <row r="3576">
      <c r="A3576" s="32" t="s">
        <v>9329</v>
      </c>
      <c r="B3576" s="32" t="s">
        <v>9330</v>
      </c>
      <c r="C3576" s="35">
        <v>-1.947219968</v>
      </c>
      <c r="D3576" s="35">
        <v>18.28580093</v>
      </c>
      <c r="E3576" s="32" t="s">
        <v>800</v>
      </c>
      <c r="F3576" s="32" t="s">
        <v>9331</v>
      </c>
      <c r="G3576" s="36" t="e">
        <v>#N/A</v>
      </c>
      <c r="H3576" s="33"/>
      <c r="I3576" s="33"/>
      <c r="J3576" s="33"/>
      <c r="K3576" s="33"/>
      <c r="L3576" s="33"/>
      <c r="M3576" s="33"/>
    </row>
    <row r="3577">
      <c r="A3577" s="32" t="s">
        <v>9332</v>
      </c>
      <c r="B3577" s="32" t="s">
        <v>9333</v>
      </c>
      <c r="C3577" s="35">
        <v>53.06470108</v>
      </c>
      <c r="D3577" s="35">
        <v>-9.510899544</v>
      </c>
      <c r="E3577" s="32" t="s">
        <v>199</v>
      </c>
      <c r="F3577" s="32" t="s">
        <v>9334</v>
      </c>
      <c r="G3577" s="39" t="s">
        <v>200</v>
      </c>
      <c r="H3577" s="33"/>
      <c r="I3577" s="33"/>
      <c r="J3577" s="33"/>
      <c r="K3577" s="33"/>
      <c r="L3577" s="33"/>
      <c r="M3577" s="33"/>
    </row>
    <row r="3578">
      <c r="A3578" s="32" t="s">
        <v>9335</v>
      </c>
      <c r="B3578" s="32" t="s">
        <v>9336</v>
      </c>
      <c r="C3578" s="35">
        <v>36.58720016</v>
      </c>
      <c r="D3578" s="35">
        <v>-115.6729965</v>
      </c>
      <c r="E3578" s="32" t="s">
        <v>180</v>
      </c>
      <c r="F3578" s="32" t="s">
        <v>9337</v>
      </c>
      <c r="G3578" s="39" t="s">
        <v>181</v>
      </c>
      <c r="H3578" s="33"/>
      <c r="I3578" s="33"/>
      <c r="J3578" s="33"/>
      <c r="K3578" s="33"/>
      <c r="L3578" s="33"/>
      <c r="M3578" s="33"/>
    </row>
    <row r="3579">
      <c r="A3579" s="32" t="s">
        <v>9338</v>
      </c>
      <c r="B3579" s="32" t="s">
        <v>9339</v>
      </c>
      <c r="C3579" s="35">
        <v>36.13370132</v>
      </c>
      <c r="D3579" s="35">
        <v>-80.22200012</v>
      </c>
      <c r="E3579" s="32" t="s">
        <v>180</v>
      </c>
      <c r="F3579" s="32" t="s">
        <v>9340</v>
      </c>
      <c r="G3579" s="39" t="s">
        <v>181</v>
      </c>
      <c r="H3579" s="33"/>
      <c r="I3579" s="33"/>
      <c r="J3579" s="33"/>
      <c r="K3579" s="33"/>
      <c r="L3579" s="33"/>
      <c r="M3579" s="33"/>
    </row>
    <row r="3580">
      <c r="A3580" s="32" t="s">
        <v>9341</v>
      </c>
      <c r="B3580" s="32" t="s">
        <v>9342</v>
      </c>
      <c r="C3580" s="35">
        <v>-0.547458</v>
      </c>
      <c r="D3580" s="35">
        <v>166.919006</v>
      </c>
      <c r="E3580" s="32" t="s">
        <v>9343</v>
      </c>
      <c r="F3580" s="32" t="s">
        <v>9343</v>
      </c>
      <c r="G3580" s="36" t="e">
        <v>#N/A</v>
      </c>
      <c r="H3580" s="33"/>
      <c r="I3580" s="33"/>
      <c r="J3580" s="33"/>
      <c r="K3580" s="33"/>
      <c r="L3580" s="33"/>
      <c r="M3580" s="33"/>
    </row>
    <row r="3581">
      <c r="A3581" s="32" t="s">
        <v>9344</v>
      </c>
      <c r="B3581" s="32" t="s">
        <v>9345</v>
      </c>
      <c r="C3581" s="35">
        <v>57.54249954</v>
      </c>
      <c r="D3581" s="35">
        <v>-4.047500134</v>
      </c>
      <c r="E3581" s="32" t="s">
        <v>90</v>
      </c>
      <c r="F3581" s="32" t="s">
        <v>9346</v>
      </c>
      <c r="G3581" s="39" t="s">
        <v>91</v>
      </c>
      <c r="H3581" s="33"/>
      <c r="I3581" s="33"/>
      <c r="J3581" s="33"/>
      <c r="K3581" s="33"/>
      <c r="L3581" s="33"/>
      <c r="M3581" s="33"/>
    </row>
    <row r="3582">
      <c r="A3582" s="32" t="s">
        <v>9347</v>
      </c>
      <c r="B3582" s="32" t="s">
        <v>9348</v>
      </c>
      <c r="C3582" s="35">
        <v>35.02190018</v>
      </c>
      <c r="D3582" s="35">
        <v>-110.7229996</v>
      </c>
      <c r="E3582" s="32" t="s">
        <v>180</v>
      </c>
      <c r="F3582" s="32" t="s">
        <v>9349</v>
      </c>
      <c r="G3582" s="39" t="s">
        <v>181</v>
      </c>
      <c r="H3582" s="33"/>
      <c r="I3582" s="33"/>
      <c r="J3582" s="33"/>
      <c r="K3582" s="33"/>
      <c r="L3582" s="33"/>
      <c r="M3582" s="33"/>
    </row>
    <row r="3583">
      <c r="A3583" s="32" t="s">
        <v>9350</v>
      </c>
      <c r="B3583" s="32" t="s">
        <v>9351</v>
      </c>
      <c r="C3583" s="35">
        <v>27.25099945</v>
      </c>
      <c r="D3583" s="35">
        <v>2.512020111</v>
      </c>
      <c r="E3583" s="32" t="s">
        <v>20</v>
      </c>
      <c r="F3583" s="32" t="s">
        <v>9352</v>
      </c>
      <c r="G3583" s="36" t="e">
        <v>#N/A</v>
      </c>
      <c r="H3583" s="33"/>
      <c r="I3583" s="33"/>
      <c r="J3583" s="33"/>
      <c r="K3583" s="33"/>
      <c r="L3583" s="33"/>
      <c r="M3583" s="33"/>
    </row>
    <row r="3584">
      <c r="A3584" s="32" t="s">
        <v>9353</v>
      </c>
      <c r="B3584" s="32" t="s">
        <v>9354</v>
      </c>
      <c r="C3584" s="35">
        <v>39.69639969</v>
      </c>
      <c r="D3584" s="35">
        <v>20.82250023</v>
      </c>
      <c r="E3584" s="32" t="s">
        <v>339</v>
      </c>
      <c r="F3584" s="32" t="s">
        <v>9355</v>
      </c>
      <c r="G3584" s="36" t="e">
        <v>#N/A</v>
      </c>
      <c r="H3584" s="33"/>
      <c r="I3584" s="33"/>
      <c r="J3584" s="33"/>
      <c r="K3584" s="33"/>
      <c r="L3584" s="33"/>
      <c r="M3584" s="33"/>
    </row>
    <row r="3585">
      <c r="A3585" s="32" t="s">
        <v>9356</v>
      </c>
      <c r="B3585" s="32" t="s">
        <v>9357</v>
      </c>
      <c r="C3585" s="35">
        <v>38.05810165</v>
      </c>
      <c r="D3585" s="35">
        <v>-83.979599</v>
      </c>
      <c r="E3585" s="32" t="s">
        <v>180</v>
      </c>
      <c r="F3585" s="32" t="s">
        <v>9358</v>
      </c>
      <c r="G3585" s="39" t="s">
        <v>181</v>
      </c>
      <c r="H3585" s="33"/>
      <c r="I3585" s="33"/>
      <c r="J3585" s="33"/>
      <c r="K3585" s="33"/>
      <c r="L3585" s="33"/>
      <c r="M3585" s="33"/>
    </row>
    <row r="3586">
      <c r="A3586" s="32" t="s">
        <v>9359</v>
      </c>
      <c r="B3586" s="32" t="s">
        <v>9360</v>
      </c>
      <c r="C3586" s="35">
        <v>54.08330154</v>
      </c>
      <c r="D3586" s="35">
        <v>-4.623889923</v>
      </c>
      <c r="E3586" s="32" t="s">
        <v>9361</v>
      </c>
      <c r="F3586" s="32" t="s">
        <v>9362</v>
      </c>
      <c r="G3586" s="36" t="e">
        <v>#N/A</v>
      </c>
      <c r="H3586" s="33"/>
      <c r="I3586" s="33"/>
      <c r="J3586" s="33"/>
      <c r="K3586" s="33"/>
      <c r="L3586" s="33"/>
      <c r="M3586" s="33"/>
    </row>
    <row r="3587">
      <c r="A3587" s="32" t="s">
        <v>9363</v>
      </c>
      <c r="B3587" s="32" t="s">
        <v>9364</v>
      </c>
      <c r="C3587" s="35">
        <v>53.1067009</v>
      </c>
      <c r="D3587" s="35">
        <v>-9.653610229</v>
      </c>
      <c r="E3587" s="32" t="s">
        <v>199</v>
      </c>
      <c r="F3587" s="32" t="s">
        <v>9365</v>
      </c>
      <c r="G3587" s="39" t="s">
        <v>200</v>
      </c>
      <c r="H3587" s="33"/>
      <c r="I3587" s="33"/>
      <c r="J3587" s="33"/>
      <c r="K3587" s="33"/>
      <c r="L3587" s="33"/>
      <c r="M3587" s="33"/>
    </row>
    <row r="3588">
      <c r="A3588" s="32" t="s">
        <v>9366</v>
      </c>
      <c r="B3588" s="32" t="s">
        <v>9367</v>
      </c>
      <c r="C3588" s="35">
        <v>-14.81599998</v>
      </c>
      <c r="D3588" s="35">
        <v>-39.03319931</v>
      </c>
      <c r="E3588" s="32" t="s">
        <v>288</v>
      </c>
      <c r="F3588" s="32" t="s">
        <v>9368</v>
      </c>
      <c r="G3588" s="36" t="e">
        <v>#N/A</v>
      </c>
      <c r="H3588" s="33"/>
      <c r="I3588" s="33"/>
      <c r="J3588" s="33"/>
      <c r="K3588" s="33"/>
      <c r="L3588" s="33"/>
      <c r="M3588" s="33"/>
    </row>
    <row r="3589">
      <c r="A3589" s="32" t="s">
        <v>9369</v>
      </c>
      <c r="B3589" s="32" t="s">
        <v>9370</v>
      </c>
      <c r="C3589" s="35">
        <v>41.6391983</v>
      </c>
      <c r="D3589" s="35">
        <v>-91.54650116</v>
      </c>
      <c r="E3589" s="32" t="s">
        <v>180</v>
      </c>
      <c r="F3589" s="32" t="s">
        <v>9371</v>
      </c>
      <c r="G3589" s="39" t="s">
        <v>181</v>
      </c>
      <c r="H3589" s="33"/>
      <c r="I3589" s="33"/>
      <c r="J3589" s="33"/>
      <c r="K3589" s="33"/>
      <c r="L3589" s="33"/>
      <c r="M3589" s="33"/>
    </row>
    <row r="3590">
      <c r="A3590" s="32" t="s">
        <v>9372</v>
      </c>
      <c r="B3590" s="32" t="s">
        <v>9373</v>
      </c>
      <c r="C3590" s="35">
        <v>-18.856389</v>
      </c>
      <c r="D3590" s="35">
        <v>169.283333</v>
      </c>
      <c r="E3590" s="32" t="s">
        <v>4279</v>
      </c>
      <c r="F3590" s="32" t="s">
        <v>9374</v>
      </c>
      <c r="G3590" s="36" t="e">
        <v>#N/A</v>
      </c>
      <c r="H3590" s="33"/>
      <c r="I3590" s="33"/>
      <c r="J3590" s="33"/>
      <c r="K3590" s="33"/>
      <c r="L3590" s="33"/>
      <c r="M3590" s="33"/>
    </row>
    <row r="3591">
      <c r="A3591" s="32" t="s">
        <v>9375</v>
      </c>
      <c r="B3591" s="32" t="s">
        <v>9376</v>
      </c>
      <c r="C3591" s="35">
        <v>-27.16480064</v>
      </c>
      <c r="D3591" s="35">
        <v>-109.4219971</v>
      </c>
      <c r="E3591" s="32" t="s">
        <v>300</v>
      </c>
      <c r="F3591" s="32" t="s">
        <v>9377</v>
      </c>
      <c r="G3591" s="36" t="e">
        <v>#N/A</v>
      </c>
      <c r="H3591" s="33"/>
      <c r="I3591" s="33"/>
      <c r="J3591" s="33"/>
      <c r="K3591" s="33"/>
      <c r="L3591" s="33"/>
      <c r="M3591" s="33"/>
    </row>
    <row r="3592">
      <c r="A3592" s="32" t="s">
        <v>9378</v>
      </c>
      <c r="B3592" s="32" t="s">
        <v>9379</v>
      </c>
      <c r="C3592" s="35">
        <v>4.567969799</v>
      </c>
      <c r="D3592" s="35">
        <v>101.0920029</v>
      </c>
      <c r="E3592" s="32" t="s">
        <v>284</v>
      </c>
      <c r="F3592" s="32" t="s">
        <v>9380</v>
      </c>
      <c r="G3592" s="36" t="e">
        <v>#N/A</v>
      </c>
      <c r="H3592" s="33"/>
      <c r="I3592" s="33"/>
      <c r="J3592" s="33"/>
      <c r="K3592" s="33"/>
      <c r="L3592" s="33"/>
      <c r="M3592" s="33"/>
    </row>
    <row r="3593">
      <c r="A3593" s="32" t="s">
        <v>9381</v>
      </c>
      <c r="B3593" s="32" t="s">
        <v>873</v>
      </c>
      <c r="C3593" s="35">
        <v>0.861925</v>
      </c>
      <c r="D3593" s="35">
        <v>-77.6718</v>
      </c>
      <c r="E3593" s="32" t="s">
        <v>292</v>
      </c>
      <c r="F3593" s="32" t="s">
        <v>9382</v>
      </c>
      <c r="G3593" s="36" t="e">
        <v>#N/A</v>
      </c>
      <c r="H3593" s="33"/>
      <c r="I3593" s="33"/>
      <c r="J3593" s="33"/>
      <c r="K3593" s="33"/>
      <c r="L3593" s="33"/>
      <c r="M3593" s="33"/>
    </row>
    <row r="3594">
      <c r="A3594" s="32" t="s">
        <v>9383</v>
      </c>
      <c r="B3594" s="32" t="s">
        <v>9384</v>
      </c>
      <c r="C3594" s="35">
        <v>32.83420181</v>
      </c>
      <c r="D3594" s="35">
        <v>-115.5790024</v>
      </c>
      <c r="E3594" s="32" t="s">
        <v>180</v>
      </c>
      <c r="F3594" s="32" t="s">
        <v>9385</v>
      </c>
      <c r="G3594" s="39" t="s">
        <v>181</v>
      </c>
      <c r="H3594" s="33"/>
      <c r="I3594" s="33"/>
      <c r="J3594" s="33"/>
      <c r="K3594" s="33"/>
      <c r="L3594" s="33"/>
      <c r="M3594" s="33"/>
    </row>
    <row r="3595">
      <c r="A3595" s="32" t="s">
        <v>9386</v>
      </c>
      <c r="B3595" s="32" t="s">
        <v>9387</v>
      </c>
      <c r="C3595" s="35">
        <v>-19.47069931</v>
      </c>
      <c r="D3595" s="35">
        <v>-42.48759842</v>
      </c>
      <c r="E3595" s="32" t="s">
        <v>288</v>
      </c>
      <c r="F3595" s="32" t="s">
        <v>9388</v>
      </c>
      <c r="G3595" s="36" t="e">
        <v>#N/A</v>
      </c>
      <c r="H3595" s="33"/>
      <c r="I3595" s="33"/>
      <c r="J3595" s="33"/>
      <c r="K3595" s="33"/>
      <c r="L3595" s="33"/>
      <c r="M3595" s="33"/>
    </row>
    <row r="3596">
      <c r="A3596" s="32" t="s">
        <v>9389</v>
      </c>
      <c r="B3596" s="32" t="s">
        <v>9390</v>
      </c>
      <c r="C3596" s="35">
        <v>41.2417984</v>
      </c>
      <c r="D3596" s="35">
        <v>-76.9210968</v>
      </c>
      <c r="E3596" s="32" t="s">
        <v>180</v>
      </c>
      <c r="F3596" s="32" t="s">
        <v>9391</v>
      </c>
      <c r="G3596" s="39" t="s">
        <v>181</v>
      </c>
      <c r="H3596" s="33"/>
      <c r="I3596" s="33"/>
      <c r="J3596" s="33"/>
      <c r="K3596" s="33"/>
      <c r="L3596" s="33"/>
      <c r="M3596" s="33"/>
    </row>
    <row r="3597">
      <c r="A3597" s="32" t="s">
        <v>9392</v>
      </c>
      <c r="B3597" s="32" t="s">
        <v>9393</v>
      </c>
      <c r="C3597" s="35">
        <v>38.1493988</v>
      </c>
      <c r="D3597" s="35">
        <v>85.53279877</v>
      </c>
      <c r="E3597" s="32" t="s">
        <v>205</v>
      </c>
      <c r="F3597" s="32" t="s">
        <v>9394</v>
      </c>
      <c r="G3597" s="39" t="s">
        <v>206</v>
      </c>
      <c r="H3597" s="33"/>
      <c r="I3597" s="33"/>
      <c r="J3597" s="33"/>
      <c r="K3597" s="33"/>
      <c r="L3597" s="33"/>
      <c r="M3597" s="33"/>
    </row>
    <row r="3598">
      <c r="A3598" s="32" t="s">
        <v>9395</v>
      </c>
      <c r="B3598" s="32" t="s">
        <v>9396</v>
      </c>
      <c r="C3598" s="35">
        <v>35.799702</v>
      </c>
      <c r="D3598" s="35">
        <v>107.602997</v>
      </c>
      <c r="E3598" s="32" t="s">
        <v>205</v>
      </c>
      <c r="F3598" s="32" t="s">
        <v>9397</v>
      </c>
      <c r="G3598" s="39" t="s">
        <v>206</v>
      </c>
      <c r="H3598" s="33"/>
      <c r="I3598" s="33"/>
      <c r="J3598" s="33"/>
      <c r="K3598" s="33"/>
      <c r="L3598" s="33"/>
      <c r="M3598" s="33"/>
    </row>
    <row r="3599">
      <c r="A3599" s="32" t="s">
        <v>9398</v>
      </c>
      <c r="B3599" s="32" t="s">
        <v>9399</v>
      </c>
      <c r="C3599" s="35">
        <v>-20.53520012</v>
      </c>
      <c r="D3599" s="35">
        <v>-70.1812973</v>
      </c>
      <c r="E3599" s="32" t="s">
        <v>300</v>
      </c>
      <c r="F3599" s="32" t="s">
        <v>9400</v>
      </c>
      <c r="G3599" s="36" t="e">
        <v>#N/A</v>
      </c>
      <c r="H3599" s="33"/>
      <c r="I3599" s="33"/>
      <c r="J3599" s="33"/>
      <c r="K3599" s="33"/>
      <c r="L3599" s="33"/>
      <c r="M3599" s="33"/>
    </row>
    <row r="3600">
      <c r="A3600" s="32" t="s">
        <v>9401</v>
      </c>
      <c r="B3600" s="32" t="s">
        <v>9402</v>
      </c>
      <c r="C3600" s="35">
        <v>-3.784739971</v>
      </c>
      <c r="D3600" s="35">
        <v>-73.30879974</v>
      </c>
      <c r="E3600" s="32" t="s">
        <v>307</v>
      </c>
      <c r="F3600" s="32" t="s">
        <v>9403</v>
      </c>
      <c r="G3600" s="36" t="e">
        <v>#N/A</v>
      </c>
      <c r="H3600" s="33"/>
      <c r="I3600" s="33"/>
      <c r="J3600" s="33"/>
      <c r="K3600" s="33"/>
      <c r="L3600" s="33"/>
      <c r="M3600" s="33"/>
    </row>
    <row r="3601">
      <c r="A3601" s="32" t="s">
        <v>9404</v>
      </c>
      <c r="B3601" s="32" t="s">
        <v>9405</v>
      </c>
      <c r="C3601" s="35">
        <v>-10.44970036</v>
      </c>
      <c r="D3601" s="35">
        <v>161.897995</v>
      </c>
      <c r="E3601" s="32" t="s">
        <v>3666</v>
      </c>
      <c r="F3601" s="32" t="s">
        <v>9406</v>
      </c>
      <c r="G3601" s="36" t="e">
        <v>#N/A</v>
      </c>
      <c r="H3601" s="33"/>
      <c r="I3601" s="33"/>
      <c r="J3601" s="33"/>
      <c r="K3601" s="33"/>
      <c r="L3601" s="33"/>
      <c r="M3601" s="33"/>
    </row>
    <row r="3602">
      <c r="A3602" s="32" t="s">
        <v>9407</v>
      </c>
      <c r="B3602" s="32" t="s">
        <v>9408</v>
      </c>
      <c r="C3602" s="35">
        <v>65.830498</v>
      </c>
      <c r="D3602" s="35">
        <v>-144.076008</v>
      </c>
      <c r="E3602" s="32" t="s">
        <v>180</v>
      </c>
      <c r="F3602" s="32" t="s">
        <v>9409</v>
      </c>
      <c r="G3602" s="39" t="s">
        <v>181</v>
      </c>
      <c r="H3602" s="33"/>
      <c r="I3602" s="33"/>
      <c r="J3602" s="33"/>
      <c r="K3602" s="33"/>
      <c r="L3602" s="33"/>
      <c r="M3602" s="33"/>
    </row>
    <row r="3603">
      <c r="A3603" s="32" t="s">
        <v>9410</v>
      </c>
      <c r="B3603" s="32" t="s">
        <v>9411</v>
      </c>
      <c r="C3603" s="35">
        <v>24.15250015</v>
      </c>
      <c r="D3603" s="35">
        <v>89.04940033</v>
      </c>
      <c r="E3603" s="32" t="s">
        <v>1853</v>
      </c>
      <c r="F3603" s="32" t="s">
        <v>9412</v>
      </c>
      <c r="G3603" s="36" t="e">
        <v>#N/A</v>
      </c>
      <c r="H3603" s="33"/>
      <c r="I3603" s="33"/>
      <c r="J3603" s="33"/>
      <c r="K3603" s="33"/>
      <c r="L3603" s="33"/>
      <c r="M3603" s="33"/>
    </row>
    <row r="3604">
      <c r="A3604" s="32" t="s">
        <v>9413</v>
      </c>
      <c r="B3604" s="32" t="s">
        <v>9414</v>
      </c>
      <c r="C3604" s="35">
        <v>-12.7869</v>
      </c>
      <c r="D3604" s="35">
        <v>143.304993</v>
      </c>
      <c r="E3604" s="32" t="s">
        <v>1968</v>
      </c>
      <c r="F3604" s="32" t="s">
        <v>9415</v>
      </c>
      <c r="G3604" s="36" t="e">
        <v>#N/A</v>
      </c>
      <c r="H3604" s="33"/>
      <c r="I3604" s="33"/>
      <c r="J3604" s="33"/>
      <c r="K3604" s="33"/>
      <c r="L3604" s="33"/>
      <c r="M3604" s="33"/>
    </row>
    <row r="3605">
      <c r="A3605" s="32" t="s">
        <v>9416</v>
      </c>
      <c r="B3605" s="32" t="s">
        <v>9417</v>
      </c>
      <c r="C3605" s="35">
        <v>-7.668630123</v>
      </c>
      <c r="D3605" s="35">
        <v>35.7521019</v>
      </c>
      <c r="E3605" s="32" t="s">
        <v>2937</v>
      </c>
      <c r="F3605" s="32" t="s">
        <v>9418</v>
      </c>
      <c r="G3605" s="36" t="e">
        <v>#N/A</v>
      </c>
      <c r="H3605" s="33"/>
      <c r="I3605" s="33"/>
      <c r="J3605" s="33"/>
      <c r="K3605" s="33"/>
      <c r="L3605" s="33"/>
      <c r="M3605" s="33"/>
    </row>
    <row r="3606">
      <c r="A3606" s="32" t="s">
        <v>9419</v>
      </c>
      <c r="B3606" s="32" t="s">
        <v>9420</v>
      </c>
      <c r="C3606" s="35">
        <v>-29.38159943</v>
      </c>
      <c r="D3606" s="35">
        <v>-66.79579926</v>
      </c>
      <c r="E3606" s="32" t="s">
        <v>296</v>
      </c>
      <c r="F3606" s="32" t="s">
        <v>9421</v>
      </c>
      <c r="G3606" s="36" t="e">
        <v>#N/A</v>
      </c>
      <c r="H3606" s="33"/>
      <c r="I3606" s="33"/>
      <c r="J3606" s="33"/>
      <c r="K3606" s="33"/>
      <c r="L3606" s="33"/>
      <c r="M3606" s="33"/>
    </row>
    <row r="3607">
      <c r="A3607" s="32" t="s">
        <v>9422</v>
      </c>
      <c r="B3607" s="32" t="s">
        <v>9423</v>
      </c>
      <c r="C3607" s="35">
        <v>40.09349823</v>
      </c>
      <c r="D3607" s="35">
        <v>-92.54489899</v>
      </c>
      <c r="E3607" s="32" t="s">
        <v>180</v>
      </c>
      <c r="F3607" s="32" t="s">
        <v>9424</v>
      </c>
      <c r="G3607" s="39" t="s">
        <v>181</v>
      </c>
      <c r="H3607" s="33"/>
      <c r="I3607" s="33"/>
      <c r="J3607" s="33"/>
      <c r="K3607" s="33"/>
      <c r="L3607" s="33"/>
      <c r="M3607" s="33"/>
    </row>
    <row r="3608">
      <c r="A3608" s="32" t="s">
        <v>9425</v>
      </c>
      <c r="B3608" s="32" t="s">
        <v>9426</v>
      </c>
      <c r="C3608" s="35">
        <v>2.827610016</v>
      </c>
      <c r="D3608" s="35">
        <v>27.5883007</v>
      </c>
      <c r="E3608" s="32" t="s">
        <v>800</v>
      </c>
      <c r="F3608" s="32" t="s">
        <v>9427</v>
      </c>
      <c r="G3608" s="36" t="e">
        <v>#N/A</v>
      </c>
      <c r="H3608" s="33"/>
      <c r="I3608" s="33"/>
      <c r="J3608" s="33"/>
      <c r="K3608" s="33"/>
      <c r="L3608" s="33"/>
      <c r="M3608" s="33"/>
    </row>
    <row r="3609">
      <c r="A3609" s="32" t="s">
        <v>9428</v>
      </c>
      <c r="B3609" s="32" t="s">
        <v>9429</v>
      </c>
      <c r="C3609" s="35">
        <v>-0.3786</v>
      </c>
      <c r="D3609" s="35">
        <v>-64.9923</v>
      </c>
      <c r="E3609" s="32" t="s">
        <v>288</v>
      </c>
      <c r="F3609" s="32" t="s">
        <v>9430</v>
      </c>
      <c r="G3609" s="36" t="e">
        <v>#N/A</v>
      </c>
      <c r="H3609" s="33"/>
      <c r="I3609" s="33"/>
      <c r="J3609" s="33"/>
      <c r="K3609" s="33"/>
      <c r="L3609" s="33"/>
      <c r="M3609" s="33"/>
    </row>
    <row r="3610">
      <c r="A3610" s="32" t="s">
        <v>9431</v>
      </c>
      <c r="B3610" s="32" t="s">
        <v>9432</v>
      </c>
      <c r="C3610" s="35">
        <v>-20.66390038</v>
      </c>
      <c r="D3610" s="35">
        <v>139.4889984</v>
      </c>
      <c r="E3610" s="32" t="s">
        <v>1968</v>
      </c>
      <c r="F3610" s="32" t="s">
        <v>9433</v>
      </c>
      <c r="G3610" s="36" t="e">
        <v>#N/A</v>
      </c>
      <c r="H3610" s="33"/>
      <c r="I3610" s="33"/>
      <c r="J3610" s="33"/>
      <c r="K3610" s="33"/>
      <c r="L3610" s="33"/>
      <c r="M3610" s="33"/>
    </row>
    <row r="3611">
      <c r="A3611" s="32" t="s">
        <v>9434</v>
      </c>
      <c r="B3611" s="32" t="s">
        <v>9435</v>
      </c>
      <c r="C3611" s="35">
        <v>33.61669922</v>
      </c>
      <c r="D3611" s="35">
        <v>73.09919739</v>
      </c>
      <c r="E3611" s="32" t="s">
        <v>1470</v>
      </c>
      <c r="F3611" s="32" t="s">
        <v>9436</v>
      </c>
      <c r="G3611" s="36" t="e">
        <v>#N/A</v>
      </c>
      <c r="H3611" s="33"/>
      <c r="I3611" s="33"/>
      <c r="J3611" s="33"/>
      <c r="K3611" s="33"/>
      <c r="L3611" s="33"/>
      <c r="M3611" s="33"/>
    </row>
    <row r="3612">
      <c r="A3612" s="32" t="s">
        <v>9437</v>
      </c>
      <c r="B3612" s="32" t="s">
        <v>9438</v>
      </c>
      <c r="C3612" s="35">
        <v>49.91329956</v>
      </c>
      <c r="D3612" s="35">
        <v>-6.291669846</v>
      </c>
      <c r="E3612" s="32" t="s">
        <v>90</v>
      </c>
      <c r="F3612" s="32" t="s">
        <v>9439</v>
      </c>
      <c r="G3612" s="39" t="s">
        <v>91</v>
      </c>
      <c r="H3612" s="33"/>
      <c r="I3612" s="33"/>
      <c r="J3612" s="33"/>
      <c r="K3612" s="33"/>
      <c r="L3612" s="33"/>
      <c r="M3612" s="33"/>
    </row>
    <row r="3613">
      <c r="A3613" s="32" t="s">
        <v>9440</v>
      </c>
      <c r="B3613" s="32" t="s">
        <v>9441</v>
      </c>
      <c r="C3613" s="35">
        <v>37.85540009</v>
      </c>
      <c r="D3613" s="35">
        <v>30.36840057</v>
      </c>
      <c r="E3613" s="32" t="s">
        <v>133</v>
      </c>
      <c r="F3613" s="32" t="s">
        <v>1210</v>
      </c>
      <c r="G3613" s="39" t="s">
        <v>134</v>
      </c>
      <c r="H3613" s="33"/>
      <c r="I3613" s="33"/>
      <c r="J3613" s="33"/>
      <c r="K3613" s="33"/>
      <c r="L3613" s="33"/>
      <c r="M3613" s="33"/>
    </row>
    <row r="3614">
      <c r="A3614" s="32" t="s">
        <v>9442</v>
      </c>
      <c r="B3614" s="32" t="s">
        <v>9443</v>
      </c>
      <c r="C3614" s="35">
        <v>24.34449959</v>
      </c>
      <c r="D3614" s="35">
        <v>124.1869965</v>
      </c>
      <c r="E3614" s="32" t="s">
        <v>170</v>
      </c>
      <c r="F3614" s="32" t="s">
        <v>9444</v>
      </c>
      <c r="G3614" s="39" t="s">
        <v>171</v>
      </c>
      <c r="H3614" s="33"/>
      <c r="I3614" s="33"/>
      <c r="J3614" s="33"/>
      <c r="K3614" s="33"/>
      <c r="L3614" s="33"/>
      <c r="M3614" s="33"/>
    </row>
    <row r="3615">
      <c r="A3615" s="32" t="s">
        <v>9445</v>
      </c>
      <c r="B3615" s="32" t="s">
        <v>9446</v>
      </c>
      <c r="C3615" s="35">
        <v>21.24500084</v>
      </c>
      <c r="D3615" s="35">
        <v>-86.73999786</v>
      </c>
      <c r="E3615" s="32" t="s">
        <v>186</v>
      </c>
      <c r="F3615" s="32" t="s">
        <v>9447</v>
      </c>
      <c r="G3615" s="39" t="s">
        <v>187</v>
      </c>
      <c r="H3615" s="33"/>
      <c r="I3615" s="33"/>
      <c r="J3615" s="33"/>
      <c r="K3615" s="33"/>
      <c r="L3615" s="33"/>
      <c r="M3615" s="33"/>
    </row>
    <row r="3616">
      <c r="A3616" s="32" t="s">
        <v>9448</v>
      </c>
      <c r="B3616" s="32" t="s">
        <v>9449</v>
      </c>
      <c r="C3616" s="35">
        <v>19.96369934</v>
      </c>
      <c r="D3616" s="35">
        <v>73.80760193</v>
      </c>
      <c r="E3616" s="32" t="s">
        <v>217</v>
      </c>
      <c r="F3616" s="32" t="s">
        <v>9450</v>
      </c>
      <c r="G3616" s="39" t="s">
        <v>218</v>
      </c>
      <c r="H3616" s="33"/>
      <c r="I3616" s="33"/>
      <c r="J3616" s="33"/>
      <c r="K3616" s="33"/>
      <c r="L3616" s="33"/>
      <c r="M3616" s="33"/>
    </row>
    <row r="3617">
      <c r="A3617" s="32" t="s">
        <v>9451</v>
      </c>
      <c r="B3617" s="32" t="s">
        <v>9452</v>
      </c>
      <c r="C3617" s="35">
        <v>28.28980064</v>
      </c>
      <c r="D3617" s="35">
        <v>-81.43710327</v>
      </c>
      <c r="E3617" s="32" t="s">
        <v>180</v>
      </c>
      <c r="F3617" s="32" t="s">
        <v>9453</v>
      </c>
      <c r="G3617" s="39" t="s">
        <v>181</v>
      </c>
      <c r="H3617" s="33"/>
      <c r="I3617" s="33"/>
      <c r="J3617" s="33"/>
      <c r="K3617" s="33"/>
      <c r="L3617" s="33"/>
      <c r="M3617" s="33"/>
    </row>
    <row r="3618">
      <c r="A3618" s="32" t="s">
        <v>9454</v>
      </c>
      <c r="B3618" s="32" t="s">
        <v>9455</v>
      </c>
      <c r="C3618" s="35">
        <v>48.17789841</v>
      </c>
      <c r="D3618" s="35">
        <v>-103.6419983</v>
      </c>
      <c r="E3618" s="32" t="s">
        <v>180</v>
      </c>
      <c r="F3618" s="32" t="s">
        <v>9456</v>
      </c>
      <c r="G3618" s="39" t="s">
        <v>181</v>
      </c>
      <c r="H3618" s="33"/>
      <c r="I3618" s="33"/>
      <c r="J3618" s="33"/>
      <c r="K3618" s="33"/>
      <c r="L3618" s="33"/>
      <c r="M3618" s="33"/>
    </row>
    <row r="3619">
      <c r="A3619" s="32" t="s">
        <v>9457</v>
      </c>
      <c r="B3619" s="32" t="s">
        <v>9458</v>
      </c>
      <c r="C3619" s="35">
        <v>35.33140183</v>
      </c>
      <c r="D3619" s="35">
        <v>-77.6088028</v>
      </c>
      <c r="E3619" s="32" t="s">
        <v>180</v>
      </c>
      <c r="F3619" s="32" t="s">
        <v>9459</v>
      </c>
      <c r="G3619" s="39" t="s">
        <v>181</v>
      </c>
      <c r="H3619" s="33"/>
      <c r="I3619" s="33"/>
      <c r="J3619" s="33"/>
      <c r="K3619" s="33"/>
      <c r="L3619" s="33"/>
      <c r="M3619" s="33"/>
    </row>
    <row r="3620">
      <c r="A3620" s="32" t="s">
        <v>9460</v>
      </c>
      <c r="B3620" s="32" t="s">
        <v>9461</v>
      </c>
      <c r="C3620" s="35">
        <v>40.79520035</v>
      </c>
      <c r="D3620" s="35">
        <v>-73.10019684</v>
      </c>
      <c r="E3620" s="32" t="s">
        <v>180</v>
      </c>
      <c r="F3620" s="32" t="s">
        <v>9462</v>
      </c>
      <c r="G3620" s="39" t="s">
        <v>181</v>
      </c>
      <c r="H3620" s="33"/>
      <c r="I3620" s="33"/>
      <c r="J3620" s="33"/>
      <c r="K3620" s="33"/>
      <c r="L3620" s="33"/>
      <c r="M3620" s="33"/>
    </row>
    <row r="3621">
      <c r="A3621" s="32" t="s">
        <v>9463</v>
      </c>
      <c r="B3621" s="32" t="s">
        <v>9464</v>
      </c>
      <c r="C3621" s="35">
        <v>40.97689819</v>
      </c>
      <c r="D3621" s="35">
        <v>28.81459999</v>
      </c>
      <c r="E3621" s="32" t="s">
        <v>133</v>
      </c>
      <c r="F3621" s="32" t="s">
        <v>1220</v>
      </c>
      <c r="G3621" s="39" t="s">
        <v>134</v>
      </c>
      <c r="H3621" s="33"/>
      <c r="I3621" s="33"/>
      <c r="J3621" s="33"/>
      <c r="K3621" s="33"/>
      <c r="L3621" s="33"/>
      <c r="M3621" s="33"/>
    </row>
    <row r="3622">
      <c r="A3622" s="32" t="s">
        <v>9465</v>
      </c>
      <c r="B3622" s="32" t="s">
        <v>9466</v>
      </c>
      <c r="C3622" s="35">
        <v>35.5617485</v>
      </c>
      <c r="D3622" s="35">
        <v>45.31673813</v>
      </c>
      <c r="E3622" s="32" t="s">
        <v>259</v>
      </c>
      <c r="F3622" s="32" t="s">
        <v>9467</v>
      </c>
      <c r="G3622" s="36" t="e">
        <v>#N/A</v>
      </c>
      <c r="H3622" s="33"/>
      <c r="I3622" s="33"/>
      <c r="J3622" s="33"/>
      <c r="K3622" s="33"/>
      <c r="L3622" s="33"/>
      <c r="M3622" s="33"/>
    </row>
    <row r="3623">
      <c r="A3623" s="32" t="s">
        <v>9468</v>
      </c>
      <c r="B3623" s="32" t="s">
        <v>9469</v>
      </c>
      <c r="C3623" s="35">
        <v>44.36029816</v>
      </c>
      <c r="D3623" s="35">
        <v>-89.83899689</v>
      </c>
      <c r="E3623" s="32" t="s">
        <v>180</v>
      </c>
      <c r="F3623" s="32" t="s">
        <v>9470</v>
      </c>
      <c r="G3623" s="39" t="s">
        <v>181</v>
      </c>
      <c r="H3623" s="33"/>
      <c r="I3623" s="33"/>
      <c r="J3623" s="33"/>
      <c r="K3623" s="33"/>
      <c r="L3623" s="33"/>
      <c r="M3623" s="33"/>
    </row>
    <row r="3624">
      <c r="A3624" s="32" t="s">
        <v>9471</v>
      </c>
      <c r="B3624" s="32" t="s">
        <v>9472</v>
      </c>
      <c r="C3624" s="35">
        <v>-4.242340088</v>
      </c>
      <c r="D3624" s="35">
        <v>-56.0007019</v>
      </c>
      <c r="E3624" s="32" t="s">
        <v>288</v>
      </c>
      <c r="F3624" s="32" t="s">
        <v>1642</v>
      </c>
      <c r="G3624" s="36" t="e">
        <v>#N/A</v>
      </c>
      <c r="H3624" s="33"/>
      <c r="I3624" s="33"/>
      <c r="J3624" s="33"/>
      <c r="K3624" s="33"/>
      <c r="L3624" s="33"/>
      <c r="M3624" s="33"/>
    </row>
    <row r="3625">
      <c r="A3625" s="32" t="s">
        <v>9473</v>
      </c>
      <c r="B3625" s="32" t="s">
        <v>9474</v>
      </c>
      <c r="C3625" s="35">
        <v>42.49100113</v>
      </c>
      <c r="D3625" s="35">
        <v>-76.45839691</v>
      </c>
      <c r="E3625" s="32" t="s">
        <v>180</v>
      </c>
      <c r="F3625" s="32" t="s">
        <v>9475</v>
      </c>
      <c r="G3625" s="39" t="s">
        <v>181</v>
      </c>
      <c r="H3625" s="33"/>
      <c r="I3625" s="33"/>
      <c r="J3625" s="33"/>
      <c r="K3625" s="33"/>
      <c r="L3625" s="33"/>
      <c r="M3625" s="33"/>
    </row>
    <row r="3626">
      <c r="A3626" s="32" t="s">
        <v>9476</v>
      </c>
      <c r="B3626" s="32" t="s">
        <v>9477</v>
      </c>
      <c r="C3626" s="35">
        <v>34.78549957</v>
      </c>
      <c r="D3626" s="35">
        <v>135.4380035</v>
      </c>
      <c r="E3626" s="32" t="s">
        <v>170</v>
      </c>
      <c r="F3626" s="32" t="s">
        <v>1532</v>
      </c>
      <c r="G3626" s="39" t="s">
        <v>171</v>
      </c>
      <c r="H3626" s="33"/>
      <c r="I3626" s="33"/>
      <c r="J3626" s="33"/>
      <c r="K3626" s="33"/>
      <c r="L3626" s="33"/>
      <c r="M3626" s="33"/>
    </row>
    <row r="3627">
      <c r="A3627" s="32" t="s">
        <v>9478</v>
      </c>
      <c r="B3627" s="32" t="s">
        <v>9479</v>
      </c>
      <c r="C3627" s="35">
        <v>19.72139931</v>
      </c>
      <c r="D3627" s="35">
        <v>-155.0480042</v>
      </c>
      <c r="E3627" s="32" t="s">
        <v>180</v>
      </c>
      <c r="F3627" s="32" t="s">
        <v>9480</v>
      </c>
      <c r="G3627" s="39" t="s">
        <v>181</v>
      </c>
      <c r="H3627" s="33"/>
      <c r="I3627" s="33"/>
      <c r="J3627" s="33"/>
      <c r="K3627" s="33"/>
      <c r="L3627" s="33"/>
      <c r="M3627" s="33"/>
    </row>
    <row r="3628">
      <c r="A3628" s="32" t="s">
        <v>9481</v>
      </c>
      <c r="B3628" s="32" t="s">
        <v>9482</v>
      </c>
      <c r="C3628" s="35">
        <v>-21.21929932</v>
      </c>
      <c r="D3628" s="35">
        <v>-41.87590027</v>
      </c>
      <c r="E3628" s="32" t="s">
        <v>288</v>
      </c>
      <c r="F3628" s="32" t="s">
        <v>9483</v>
      </c>
      <c r="G3628" s="36" t="e">
        <v>#N/A</v>
      </c>
      <c r="H3628" s="33"/>
      <c r="I3628" s="33"/>
      <c r="J3628" s="33"/>
      <c r="K3628" s="33"/>
      <c r="L3628" s="33"/>
      <c r="M3628" s="33"/>
    </row>
    <row r="3629">
      <c r="A3629" s="32" t="s">
        <v>9484</v>
      </c>
      <c r="B3629" s="32" t="s">
        <v>9485</v>
      </c>
      <c r="C3629" s="35">
        <v>25.11730003</v>
      </c>
      <c r="D3629" s="35">
        <v>51.31499863</v>
      </c>
      <c r="E3629" s="32" t="s">
        <v>145</v>
      </c>
      <c r="F3629" s="32" t="s">
        <v>1492</v>
      </c>
      <c r="G3629" s="39" t="s">
        <v>146</v>
      </c>
      <c r="H3629" s="33"/>
      <c r="I3629" s="33"/>
      <c r="J3629" s="33"/>
      <c r="K3629" s="33"/>
      <c r="L3629" s="33"/>
      <c r="M3629" s="33"/>
    </row>
    <row r="3630">
      <c r="A3630" s="32" t="s">
        <v>9486</v>
      </c>
      <c r="B3630" s="32" t="s">
        <v>9487</v>
      </c>
      <c r="C3630" s="35">
        <v>-19.07903099</v>
      </c>
      <c r="D3630" s="35">
        <v>-169.9255981</v>
      </c>
      <c r="E3630" s="32" t="s">
        <v>9488</v>
      </c>
      <c r="F3630" s="32" t="s">
        <v>9489</v>
      </c>
      <c r="G3630" s="36" t="e">
        <v>#N/A</v>
      </c>
      <c r="H3630" s="33"/>
      <c r="I3630" s="33"/>
      <c r="J3630" s="33"/>
      <c r="K3630" s="33"/>
      <c r="L3630" s="33"/>
      <c r="M3630" s="33"/>
    </row>
    <row r="3631">
      <c r="A3631" s="32" t="s">
        <v>9490</v>
      </c>
      <c r="B3631" s="32" t="s">
        <v>9491</v>
      </c>
      <c r="C3631" s="35">
        <v>-13.484816</v>
      </c>
      <c r="D3631" s="35">
        <v>48.632702</v>
      </c>
      <c r="E3631" s="32" t="s">
        <v>384</v>
      </c>
      <c r="F3631" s="32" t="s">
        <v>9492</v>
      </c>
      <c r="G3631" s="36" t="e">
        <v>#N/A</v>
      </c>
      <c r="H3631" s="33"/>
      <c r="I3631" s="33"/>
      <c r="J3631" s="33"/>
      <c r="K3631" s="33"/>
      <c r="L3631" s="33"/>
      <c r="M3631" s="33"/>
    </row>
    <row r="3632">
      <c r="A3632" s="32" t="s">
        <v>9493</v>
      </c>
      <c r="B3632" s="32" t="s">
        <v>9494</v>
      </c>
      <c r="C3632" s="35">
        <v>-46.41239929</v>
      </c>
      <c r="D3632" s="35">
        <v>168.3130035</v>
      </c>
      <c r="E3632" s="32" t="s">
        <v>1328</v>
      </c>
      <c r="F3632" s="32" t="s">
        <v>9495</v>
      </c>
      <c r="G3632" s="36" t="e">
        <v>#N/A</v>
      </c>
      <c r="H3632" s="33"/>
      <c r="I3632" s="33"/>
      <c r="J3632" s="33"/>
      <c r="K3632" s="33"/>
      <c r="L3632" s="33"/>
      <c r="M3632" s="33"/>
    </row>
    <row r="3633">
      <c r="A3633" s="32" t="s">
        <v>9496</v>
      </c>
      <c r="B3633" s="32" t="s">
        <v>9497</v>
      </c>
      <c r="C3633" s="35">
        <v>68.6072998</v>
      </c>
      <c r="D3633" s="35">
        <v>27.40530014</v>
      </c>
      <c r="E3633" s="32" t="s">
        <v>408</v>
      </c>
      <c r="F3633" s="32" t="s">
        <v>9498</v>
      </c>
      <c r="G3633" s="36" t="e">
        <v>#N/A</v>
      </c>
      <c r="H3633" s="33"/>
      <c r="I3633" s="33"/>
      <c r="J3633" s="33"/>
      <c r="K3633" s="33"/>
      <c r="L3633" s="33"/>
      <c r="M3633" s="33"/>
    </row>
    <row r="3634">
      <c r="A3634" s="32" t="s">
        <v>9499</v>
      </c>
      <c r="B3634" s="32" t="s">
        <v>9500</v>
      </c>
      <c r="C3634" s="35">
        <v>-29.88829994</v>
      </c>
      <c r="D3634" s="35">
        <v>151.1439972</v>
      </c>
      <c r="E3634" s="32" t="s">
        <v>1968</v>
      </c>
      <c r="F3634" s="32" t="s">
        <v>9501</v>
      </c>
      <c r="G3634" s="36" t="e">
        <v>#N/A</v>
      </c>
      <c r="H3634" s="33"/>
      <c r="I3634" s="33"/>
      <c r="J3634" s="33"/>
      <c r="K3634" s="33"/>
      <c r="L3634" s="33"/>
      <c r="M3634" s="33"/>
    </row>
    <row r="3635">
      <c r="A3635" s="32" t="s">
        <v>9502</v>
      </c>
      <c r="B3635" s="32" t="s">
        <v>9503</v>
      </c>
      <c r="C3635" s="35">
        <v>56.93939972</v>
      </c>
      <c r="D3635" s="35">
        <v>40.94079971</v>
      </c>
      <c r="E3635" s="32" t="s">
        <v>2040</v>
      </c>
      <c r="F3635" s="32" t="s">
        <v>9504</v>
      </c>
      <c r="G3635" s="36" t="e">
        <v>#N/A</v>
      </c>
      <c r="H3635" s="33"/>
      <c r="I3635" s="33"/>
      <c r="J3635" s="33"/>
      <c r="K3635" s="33"/>
      <c r="L3635" s="33"/>
      <c r="M3635" s="33"/>
    </row>
    <row r="3636">
      <c r="A3636" s="32" t="s">
        <v>9505</v>
      </c>
      <c r="B3636" s="32" t="s">
        <v>9506</v>
      </c>
      <c r="C3636" s="35">
        <v>34.67639923</v>
      </c>
      <c r="D3636" s="35">
        <v>131.7899933</v>
      </c>
      <c r="E3636" s="32" t="s">
        <v>170</v>
      </c>
      <c r="F3636" s="32" t="s">
        <v>9507</v>
      </c>
      <c r="G3636" s="39" t="s">
        <v>171</v>
      </c>
      <c r="H3636" s="33"/>
      <c r="I3636" s="33"/>
      <c r="J3636" s="33"/>
      <c r="K3636" s="33"/>
      <c r="L3636" s="33"/>
      <c r="M3636" s="33"/>
    </row>
    <row r="3637">
      <c r="A3637" s="32" t="s">
        <v>9508</v>
      </c>
      <c r="B3637" s="32" t="s">
        <v>9509</v>
      </c>
      <c r="C3637" s="35">
        <v>24.7840004</v>
      </c>
      <c r="D3637" s="35">
        <v>141.322998</v>
      </c>
      <c r="E3637" s="32" t="s">
        <v>170</v>
      </c>
      <c r="F3637" s="32" t="s">
        <v>9510</v>
      </c>
      <c r="G3637" s="39" t="s">
        <v>171</v>
      </c>
      <c r="H3637" s="33"/>
      <c r="I3637" s="33"/>
      <c r="J3637" s="33"/>
      <c r="K3637" s="33"/>
      <c r="L3637" s="33"/>
      <c r="M3637" s="33"/>
    </row>
    <row r="3638">
      <c r="A3638" s="32" t="s">
        <v>9511</v>
      </c>
      <c r="B3638" s="32" t="s">
        <v>9512</v>
      </c>
      <c r="C3638" s="35">
        <v>29.81819916</v>
      </c>
      <c r="D3638" s="35">
        <v>-95.67259979</v>
      </c>
      <c r="E3638" s="32" t="s">
        <v>180</v>
      </c>
      <c r="F3638" s="32" t="s">
        <v>3455</v>
      </c>
      <c r="G3638" s="39" t="s">
        <v>181</v>
      </c>
      <c r="H3638" s="33"/>
      <c r="I3638" s="33"/>
      <c r="J3638" s="33"/>
      <c r="K3638" s="33"/>
      <c r="L3638" s="33"/>
      <c r="M3638" s="33"/>
    </row>
    <row r="3639">
      <c r="A3639" s="32" t="s">
        <v>9513</v>
      </c>
      <c r="B3639" s="32" t="s">
        <v>9514</v>
      </c>
      <c r="C3639" s="35">
        <v>23.88699913</v>
      </c>
      <c r="D3639" s="35">
        <v>91.24040221999999</v>
      </c>
      <c r="E3639" s="32" t="s">
        <v>217</v>
      </c>
      <c r="F3639" s="32" t="s">
        <v>9515</v>
      </c>
      <c r="G3639" s="39" t="s">
        <v>218</v>
      </c>
      <c r="H3639" s="33"/>
      <c r="I3639" s="33"/>
      <c r="J3639" s="33"/>
      <c r="K3639" s="33"/>
      <c r="L3639" s="33"/>
      <c r="M3639" s="33"/>
    </row>
    <row r="3640">
      <c r="A3640" s="32" t="s">
        <v>9516</v>
      </c>
      <c r="B3640" s="32" t="s">
        <v>9517</v>
      </c>
      <c r="C3640" s="35">
        <v>26.68120003</v>
      </c>
      <c r="D3640" s="35">
        <v>88.32859802</v>
      </c>
      <c r="E3640" s="32" t="s">
        <v>217</v>
      </c>
      <c r="F3640" s="32" t="s">
        <v>9518</v>
      </c>
      <c r="G3640" s="39" t="s">
        <v>218</v>
      </c>
      <c r="H3640" s="33"/>
      <c r="I3640" s="33"/>
      <c r="J3640" s="33"/>
      <c r="K3640" s="33"/>
      <c r="L3640" s="33"/>
      <c r="M3640" s="33"/>
    </row>
    <row r="3641">
      <c r="A3641" s="32" t="s">
        <v>9519</v>
      </c>
      <c r="B3641" s="32" t="s">
        <v>9520</v>
      </c>
      <c r="C3641" s="35">
        <v>30.67350006</v>
      </c>
      <c r="D3641" s="35">
        <v>76.78849792</v>
      </c>
      <c r="E3641" s="32" t="s">
        <v>217</v>
      </c>
      <c r="F3641" s="32" t="s">
        <v>9521</v>
      </c>
      <c r="G3641" s="39" t="s">
        <v>218</v>
      </c>
      <c r="H3641" s="33"/>
      <c r="I3641" s="33"/>
      <c r="J3641" s="33"/>
      <c r="K3641" s="33"/>
      <c r="L3641" s="33"/>
      <c r="M3641" s="33"/>
    </row>
    <row r="3642">
      <c r="A3642" s="32" t="s">
        <v>9522</v>
      </c>
      <c r="B3642" s="32" t="s">
        <v>9523</v>
      </c>
      <c r="C3642" s="35">
        <v>25.44009972</v>
      </c>
      <c r="D3642" s="35">
        <v>81.73390198</v>
      </c>
      <c r="E3642" s="32" t="s">
        <v>217</v>
      </c>
      <c r="F3642" s="32" t="s">
        <v>9524</v>
      </c>
      <c r="G3642" s="39" t="s">
        <v>218</v>
      </c>
      <c r="H3642" s="33"/>
      <c r="I3642" s="33"/>
      <c r="J3642" s="33"/>
      <c r="K3642" s="33"/>
      <c r="L3642" s="33"/>
      <c r="M3642" s="33"/>
    </row>
    <row r="3643">
      <c r="A3643" s="32" t="s">
        <v>9525</v>
      </c>
      <c r="B3643" s="32" t="s">
        <v>9526</v>
      </c>
      <c r="C3643" s="35">
        <v>12.9612999</v>
      </c>
      <c r="D3643" s="35">
        <v>74.89009857</v>
      </c>
      <c r="E3643" s="32" t="s">
        <v>217</v>
      </c>
      <c r="F3643" s="32" t="s">
        <v>9527</v>
      </c>
      <c r="G3643" s="39" t="s">
        <v>218</v>
      </c>
      <c r="H3643" s="33"/>
      <c r="I3643" s="33"/>
      <c r="J3643" s="33"/>
      <c r="K3643" s="33"/>
      <c r="L3643" s="33"/>
      <c r="M3643" s="33"/>
    </row>
    <row r="3644">
      <c r="A3644" s="32" t="s">
        <v>9528</v>
      </c>
      <c r="B3644" s="32" t="s">
        <v>9529</v>
      </c>
      <c r="C3644" s="35">
        <v>15.85929966</v>
      </c>
      <c r="D3644" s="35">
        <v>74.61830139</v>
      </c>
      <c r="E3644" s="32" t="s">
        <v>217</v>
      </c>
      <c r="F3644" s="32" t="s">
        <v>9530</v>
      </c>
      <c r="G3644" s="39" t="s">
        <v>218</v>
      </c>
      <c r="H3644" s="33"/>
      <c r="I3644" s="33"/>
      <c r="J3644" s="33"/>
      <c r="K3644" s="33"/>
      <c r="L3644" s="33"/>
      <c r="M3644" s="33"/>
    </row>
    <row r="3645">
      <c r="A3645" s="32" t="s">
        <v>9531</v>
      </c>
      <c r="B3645" s="32" t="s">
        <v>9532</v>
      </c>
      <c r="C3645" s="35">
        <v>24.30820084</v>
      </c>
      <c r="D3645" s="35">
        <v>92.00720215</v>
      </c>
      <c r="E3645" s="32" t="s">
        <v>217</v>
      </c>
      <c r="F3645" s="32" t="s">
        <v>9533</v>
      </c>
      <c r="G3645" s="39" t="s">
        <v>218</v>
      </c>
      <c r="H3645" s="33"/>
      <c r="I3645" s="33"/>
      <c r="J3645" s="33"/>
      <c r="K3645" s="33"/>
      <c r="L3645" s="33"/>
      <c r="M3645" s="33"/>
    </row>
    <row r="3646">
      <c r="A3646" s="32" t="s">
        <v>9534</v>
      </c>
      <c r="B3646" s="32" t="s">
        <v>9535</v>
      </c>
      <c r="C3646" s="35">
        <v>27.2954998</v>
      </c>
      <c r="D3646" s="35">
        <v>94.09760284</v>
      </c>
      <c r="E3646" s="32" t="s">
        <v>217</v>
      </c>
      <c r="F3646" s="32" t="s">
        <v>9536</v>
      </c>
      <c r="G3646" s="39" t="s">
        <v>218</v>
      </c>
      <c r="H3646" s="33"/>
      <c r="I3646" s="33"/>
      <c r="J3646" s="33"/>
      <c r="K3646" s="33"/>
      <c r="L3646" s="33"/>
      <c r="M3646" s="33"/>
    </row>
    <row r="3647">
      <c r="A3647" s="32" t="s">
        <v>9537</v>
      </c>
      <c r="B3647" s="32" t="s">
        <v>9538</v>
      </c>
      <c r="C3647" s="35">
        <v>32.68909836</v>
      </c>
      <c r="D3647" s="35">
        <v>74.83740234</v>
      </c>
      <c r="E3647" s="32" t="s">
        <v>217</v>
      </c>
      <c r="F3647" s="32" t="s">
        <v>9539</v>
      </c>
      <c r="G3647" s="39" t="s">
        <v>218</v>
      </c>
      <c r="H3647" s="33"/>
      <c r="I3647" s="33"/>
      <c r="J3647" s="33"/>
      <c r="K3647" s="33"/>
      <c r="L3647" s="33"/>
      <c r="M3647" s="33"/>
    </row>
    <row r="3648">
      <c r="A3648" s="32" t="s">
        <v>9540</v>
      </c>
      <c r="B3648" s="32" t="s">
        <v>9541</v>
      </c>
      <c r="C3648" s="35">
        <v>21.31710052</v>
      </c>
      <c r="D3648" s="35">
        <v>70.270401</v>
      </c>
      <c r="E3648" s="32" t="s">
        <v>217</v>
      </c>
      <c r="F3648" s="32" t="s">
        <v>9542</v>
      </c>
      <c r="G3648" s="39" t="s">
        <v>218</v>
      </c>
      <c r="H3648" s="33"/>
      <c r="I3648" s="33"/>
      <c r="J3648" s="33"/>
      <c r="K3648" s="33"/>
      <c r="L3648" s="33"/>
      <c r="M3648" s="33"/>
    </row>
    <row r="3649">
      <c r="A3649" s="32" t="s">
        <v>9543</v>
      </c>
      <c r="B3649" s="32" t="s">
        <v>9544</v>
      </c>
      <c r="C3649" s="35">
        <v>34.13589859</v>
      </c>
      <c r="D3649" s="35">
        <v>77.54650116</v>
      </c>
      <c r="E3649" s="32" t="s">
        <v>217</v>
      </c>
      <c r="F3649" s="32" t="s">
        <v>9545</v>
      </c>
      <c r="G3649" s="39" t="s">
        <v>218</v>
      </c>
      <c r="H3649" s="33"/>
      <c r="I3649" s="33"/>
      <c r="J3649" s="33"/>
      <c r="K3649" s="33"/>
      <c r="L3649" s="33"/>
      <c r="M3649" s="33"/>
    </row>
    <row r="3650">
      <c r="A3650" s="32" t="s">
        <v>9546</v>
      </c>
      <c r="B3650" s="32" t="s">
        <v>9547</v>
      </c>
      <c r="C3650" s="35">
        <v>9.83450985</v>
      </c>
      <c r="D3650" s="35">
        <v>78.09339905</v>
      </c>
      <c r="E3650" s="32" t="s">
        <v>217</v>
      </c>
      <c r="F3650" s="32" t="s">
        <v>9548</v>
      </c>
      <c r="G3650" s="39" t="s">
        <v>218</v>
      </c>
      <c r="H3650" s="33"/>
      <c r="I3650" s="33"/>
      <c r="J3650" s="33"/>
      <c r="K3650" s="33"/>
      <c r="L3650" s="33"/>
      <c r="M3650" s="33"/>
    </row>
    <row r="3651">
      <c r="A3651" s="32" t="s">
        <v>9549</v>
      </c>
      <c r="B3651" s="32" t="s">
        <v>9550</v>
      </c>
      <c r="C3651" s="35">
        <v>23.31430054</v>
      </c>
      <c r="D3651" s="35">
        <v>85.32170105</v>
      </c>
      <c r="E3651" s="32" t="s">
        <v>217</v>
      </c>
      <c r="F3651" s="32" t="s">
        <v>9551</v>
      </c>
      <c r="G3651" s="39" t="s">
        <v>218</v>
      </c>
      <c r="H3651" s="33"/>
      <c r="I3651" s="33"/>
      <c r="J3651" s="33"/>
      <c r="K3651" s="33"/>
      <c r="L3651" s="33"/>
      <c r="M3651" s="33"/>
    </row>
    <row r="3652">
      <c r="A3652" s="32" t="s">
        <v>9552</v>
      </c>
      <c r="B3652" s="32" t="s">
        <v>9553</v>
      </c>
      <c r="C3652" s="35">
        <v>24.91290092</v>
      </c>
      <c r="D3652" s="35">
        <v>92.97869873</v>
      </c>
      <c r="E3652" s="32" t="s">
        <v>217</v>
      </c>
      <c r="F3652" s="32" t="s">
        <v>9554</v>
      </c>
      <c r="G3652" s="39" t="s">
        <v>218</v>
      </c>
      <c r="H3652" s="33"/>
      <c r="I3652" s="33"/>
      <c r="J3652" s="33"/>
      <c r="K3652" s="33"/>
      <c r="L3652" s="33"/>
      <c r="M3652" s="33"/>
    </row>
    <row r="3653">
      <c r="A3653" s="32" t="s">
        <v>9555</v>
      </c>
      <c r="B3653" s="32" t="s">
        <v>9556</v>
      </c>
      <c r="C3653" s="35">
        <v>28.06609917</v>
      </c>
      <c r="D3653" s="35">
        <v>95.33560181</v>
      </c>
      <c r="E3653" s="32" t="s">
        <v>217</v>
      </c>
      <c r="F3653" s="32" t="s">
        <v>9557</v>
      </c>
      <c r="G3653" s="39" t="s">
        <v>218</v>
      </c>
      <c r="H3653" s="33"/>
      <c r="I3653" s="33"/>
      <c r="J3653" s="33"/>
      <c r="K3653" s="33"/>
      <c r="L3653" s="33"/>
      <c r="M3653" s="33"/>
    </row>
    <row r="3654">
      <c r="A3654" s="32" t="s">
        <v>9558</v>
      </c>
      <c r="B3654" s="32" t="s">
        <v>9559</v>
      </c>
      <c r="C3654" s="35">
        <v>19.86269951</v>
      </c>
      <c r="D3654" s="35">
        <v>75.39810181</v>
      </c>
      <c r="E3654" s="32" t="s">
        <v>217</v>
      </c>
      <c r="F3654" s="32" t="s">
        <v>9560</v>
      </c>
      <c r="G3654" s="39" t="s">
        <v>218</v>
      </c>
      <c r="H3654" s="33"/>
      <c r="I3654" s="33"/>
      <c r="J3654" s="33"/>
      <c r="K3654" s="33"/>
      <c r="L3654" s="33"/>
      <c r="M3654" s="33"/>
    </row>
    <row r="3655">
      <c r="A3655" s="32" t="s">
        <v>9561</v>
      </c>
      <c r="B3655" s="32" t="s">
        <v>9562</v>
      </c>
      <c r="C3655" s="35">
        <v>22.8132</v>
      </c>
      <c r="D3655" s="35">
        <v>86.16880035</v>
      </c>
      <c r="E3655" s="32" t="s">
        <v>217</v>
      </c>
      <c r="F3655" s="32" t="s">
        <v>9563</v>
      </c>
      <c r="G3655" s="39" t="s">
        <v>218</v>
      </c>
      <c r="H3655" s="33"/>
      <c r="I3655" s="33"/>
      <c r="J3655" s="33"/>
      <c r="K3655" s="33"/>
      <c r="L3655" s="33"/>
      <c r="M3655" s="33"/>
    </row>
    <row r="3656">
      <c r="A3656" s="32" t="s">
        <v>9564</v>
      </c>
      <c r="B3656" s="32" t="s">
        <v>9565</v>
      </c>
      <c r="C3656" s="35">
        <v>23.11269951</v>
      </c>
      <c r="D3656" s="35">
        <v>70.10030365</v>
      </c>
      <c r="E3656" s="32" t="s">
        <v>217</v>
      </c>
      <c r="F3656" s="32" t="s">
        <v>9566</v>
      </c>
      <c r="G3656" s="39" t="s">
        <v>218</v>
      </c>
      <c r="H3656" s="33"/>
      <c r="I3656" s="33"/>
      <c r="J3656" s="33"/>
      <c r="K3656" s="33"/>
      <c r="L3656" s="33"/>
      <c r="M3656" s="33"/>
    </row>
    <row r="3657">
      <c r="A3657" s="32" t="s">
        <v>9567</v>
      </c>
      <c r="B3657" s="32" t="s">
        <v>9568</v>
      </c>
      <c r="C3657" s="35">
        <v>11.64120007</v>
      </c>
      <c r="D3657" s="35">
        <v>92.72969818</v>
      </c>
      <c r="E3657" s="32" t="s">
        <v>217</v>
      </c>
      <c r="F3657" s="32" t="s">
        <v>9569</v>
      </c>
      <c r="G3657" s="39" t="s">
        <v>218</v>
      </c>
      <c r="H3657" s="33"/>
      <c r="I3657" s="33"/>
      <c r="J3657" s="33"/>
      <c r="K3657" s="33"/>
      <c r="L3657" s="33"/>
      <c r="M3657" s="33"/>
    </row>
    <row r="3658">
      <c r="A3658" s="32" t="s">
        <v>9570</v>
      </c>
      <c r="B3658" s="32" t="s">
        <v>9571</v>
      </c>
      <c r="C3658" s="35">
        <v>35.65879822</v>
      </c>
      <c r="D3658" s="35">
        <v>-117.8300018</v>
      </c>
      <c r="E3658" s="32" t="s">
        <v>180</v>
      </c>
      <c r="F3658" s="32" t="s">
        <v>9572</v>
      </c>
      <c r="G3658" s="39" t="s">
        <v>181</v>
      </c>
      <c r="H3658" s="33"/>
      <c r="I3658" s="33"/>
      <c r="J3658" s="33"/>
      <c r="K3658" s="33"/>
      <c r="L3658" s="33"/>
      <c r="M3658" s="33"/>
    </row>
    <row r="3659">
      <c r="A3659" s="32" t="s">
        <v>9573</v>
      </c>
      <c r="B3659" s="32" t="s">
        <v>9574</v>
      </c>
      <c r="C3659" s="35">
        <v>-21.5130558</v>
      </c>
      <c r="D3659" s="35">
        <v>-43.17305756</v>
      </c>
      <c r="E3659" s="32" t="s">
        <v>288</v>
      </c>
      <c r="F3659" s="32" t="s">
        <v>9575</v>
      </c>
      <c r="G3659" s="36" t="e">
        <v>#N/A</v>
      </c>
      <c r="H3659" s="33"/>
      <c r="I3659" s="33"/>
      <c r="J3659" s="33"/>
      <c r="K3659" s="33"/>
      <c r="L3659" s="33"/>
      <c r="M3659" s="33"/>
    </row>
    <row r="3660">
      <c r="A3660" s="32" t="s">
        <v>9576</v>
      </c>
      <c r="B3660" s="32" t="s">
        <v>9577</v>
      </c>
      <c r="C3660" s="35">
        <v>43.99110031</v>
      </c>
      <c r="D3660" s="35">
        <v>-70.94789886</v>
      </c>
      <c r="E3660" s="32" t="s">
        <v>180</v>
      </c>
      <c r="F3660" s="32" t="s">
        <v>9578</v>
      </c>
      <c r="G3660" s="39" t="s">
        <v>181</v>
      </c>
      <c r="H3660" s="33"/>
      <c r="I3660" s="33"/>
      <c r="J3660" s="33"/>
      <c r="K3660" s="33"/>
      <c r="L3660" s="33"/>
      <c r="M3660" s="33"/>
    </row>
    <row r="3661">
      <c r="A3661" s="32" t="s">
        <v>9579</v>
      </c>
      <c r="B3661" s="32" t="s">
        <v>9580</v>
      </c>
      <c r="C3661" s="35">
        <v>35.41360092</v>
      </c>
      <c r="D3661" s="35">
        <v>132.8899994</v>
      </c>
      <c r="E3661" s="32" t="s">
        <v>170</v>
      </c>
      <c r="F3661" s="32" t="s">
        <v>9581</v>
      </c>
      <c r="G3661" s="39" t="s">
        <v>171</v>
      </c>
      <c r="H3661" s="33"/>
      <c r="I3661" s="33"/>
      <c r="J3661" s="33"/>
      <c r="K3661" s="33"/>
      <c r="L3661" s="33"/>
      <c r="M3661" s="33"/>
    </row>
    <row r="3662">
      <c r="A3662" s="32" t="s">
        <v>9582</v>
      </c>
      <c r="B3662" s="32" t="s">
        <v>9583</v>
      </c>
      <c r="C3662" s="35">
        <v>34.39979935</v>
      </c>
      <c r="D3662" s="35">
        <v>70.49859619</v>
      </c>
      <c r="E3662" s="32" t="s">
        <v>1350</v>
      </c>
      <c r="F3662" s="32" t="s">
        <v>9584</v>
      </c>
      <c r="G3662" s="36" t="e">
        <v>#N/A</v>
      </c>
      <c r="H3662" s="33"/>
      <c r="I3662" s="33"/>
      <c r="J3662" s="33"/>
      <c r="K3662" s="33"/>
      <c r="L3662" s="33"/>
      <c r="M3662" s="33"/>
    </row>
    <row r="3663">
      <c r="A3663" s="32" t="s">
        <v>9585</v>
      </c>
      <c r="B3663" s="32" t="s">
        <v>9586</v>
      </c>
      <c r="C3663" s="35">
        <v>-12.6583004</v>
      </c>
      <c r="D3663" s="35">
        <v>132.8930054</v>
      </c>
      <c r="E3663" s="32" t="s">
        <v>1968</v>
      </c>
      <c r="F3663" s="32" t="s">
        <v>9587</v>
      </c>
      <c r="G3663" s="36" t="e">
        <v>#N/A</v>
      </c>
      <c r="H3663" s="33"/>
      <c r="I3663" s="33"/>
      <c r="J3663" s="33"/>
      <c r="K3663" s="33"/>
      <c r="L3663" s="33"/>
      <c r="M3663" s="33"/>
    </row>
    <row r="3664">
      <c r="A3664" s="32" t="s">
        <v>9588</v>
      </c>
      <c r="B3664" s="32" t="s">
        <v>9589</v>
      </c>
      <c r="C3664" s="35">
        <v>43.6072998</v>
      </c>
      <c r="D3664" s="35">
        <v>-110.737999</v>
      </c>
      <c r="E3664" s="32" t="s">
        <v>180</v>
      </c>
      <c r="F3664" s="32" t="s">
        <v>9590</v>
      </c>
      <c r="G3664" s="39" t="s">
        <v>181</v>
      </c>
      <c r="H3664" s="33"/>
      <c r="I3664" s="33"/>
      <c r="J3664" s="33"/>
      <c r="K3664" s="33"/>
      <c r="L3664" s="33"/>
      <c r="M3664" s="33"/>
    </row>
    <row r="3665">
      <c r="A3665" s="32" t="s">
        <v>9591</v>
      </c>
      <c r="B3665" s="32" t="s">
        <v>9592</v>
      </c>
      <c r="C3665" s="35">
        <v>-32.09749985</v>
      </c>
      <c r="D3665" s="35">
        <v>115.8809967</v>
      </c>
      <c r="E3665" s="32" t="s">
        <v>1968</v>
      </c>
      <c r="F3665" s="32" t="s">
        <v>2130</v>
      </c>
      <c r="G3665" s="36" t="e">
        <v>#N/A</v>
      </c>
      <c r="H3665" s="33"/>
      <c r="I3665" s="33"/>
      <c r="J3665" s="33"/>
      <c r="K3665" s="33"/>
      <c r="L3665" s="33"/>
      <c r="M3665" s="33"/>
    </row>
    <row r="3666">
      <c r="A3666" s="32" t="s">
        <v>9593</v>
      </c>
      <c r="B3666" s="32" t="s">
        <v>9594</v>
      </c>
      <c r="C3666" s="35">
        <v>-5.59248</v>
      </c>
      <c r="D3666" s="35">
        <v>-78.774002</v>
      </c>
      <c r="E3666" s="32" t="s">
        <v>307</v>
      </c>
      <c r="F3666" s="32" t="s">
        <v>9595</v>
      </c>
      <c r="G3666" s="36" t="e">
        <v>#N/A</v>
      </c>
      <c r="H3666" s="33"/>
      <c r="I3666" s="33"/>
      <c r="J3666" s="33"/>
      <c r="K3666" s="33"/>
      <c r="L3666" s="33"/>
      <c r="M3666" s="33"/>
    </row>
    <row r="3667">
      <c r="A3667" s="32" t="s">
        <v>9596</v>
      </c>
      <c r="B3667" s="32" t="s">
        <v>9597</v>
      </c>
      <c r="C3667" s="35">
        <v>9.792329788</v>
      </c>
      <c r="D3667" s="35">
        <v>80.07009888</v>
      </c>
      <c r="E3667" s="32" t="s">
        <v>1829</v>
      </c>
      <c r="F3667" s="32" t="s">
        <v>9598</v>
      </c>
      <c r="G3667" s="36" t="e">
        <v>#N/A</v>
      </c>
      <c r="H3667" s="33"/>
      <c r="I3667" s="33"/>
      <c r="J3667" s="33"/>
      <c r="K3667" s="33"/>
      <c r="L3667" s="33"/>
      <c r="M3667" s="33"/>
    </row>
    <row r="3668">
      <c r="A3668" s="32" t="s">
        <v>9599</v>
      </c>
      <c r="B3668" s="32" t="s">
        <v>9600</v>
      </c>
      <c r="C3668" s="35">
        <v>26.82419968</v>
      </c>
      <c r="D3668" s="35">
        <v>75.81220245</v>
      </c>
      <c r="E3668" s="32" t="s">
        <v>217</v>
      </c>
      <c r="F3668" s="32" t="s">
        <v>9601</v>
      </c>
      <c r="G3668" s="39" t="s">
        <v>218</v>
      </c>
      <c r="H3668" s="33"/>
      <c r="I3668" s="33"/>
      <c r="J3668" s="33"/>
      <c r="K3668" s="33"/>
      <c r="L3668" s="33"/>
      <c r="M3668" s="33"/>
    </row>
    <row r="3669">
      <c r="A3669" s="32" t="s">
        <v>9602</v>
      </c>
      <c r="B3669" s="32" t="s">
        <v>9603</v>
      </c>
      <c r="C3669" s="35">
        <v>19.47509956</v>
      </c>
      <c r="D3669" s="35">
        <v>-96.79750061</v>
      </c>
      <c r="E3669" s="32" t="s">
        <v>186</v>
      </c>
      <c r="F3669" s="32" t="s">
        <v>9604</v>
      </c>
      <c r="G3669" s="39" t="s">
        <v>187</v>
      </c>
      <c r="H3669" s="33"/>
      <c r="I3669" s="33"/>
      <c r="J3669" s="33"/>
      <c r="K3669" s="33"/>
      <c r="L3669" s="33"/>
      <c r="M3669" s="33"/>
    </row>
    <row r="3670">
      <c r="A3670" s="32" t="s">
        <v>9605</v>
      </c>
      <c r="B3670" s="32" t="s">
        <v>9606</v>
      </c>
      <c r="C3670" s="35">
        <v>32.31119919</v>
      </c>
      <c r="D3670" s="35">
        <v>-90.07589722</v>
      </c>
      <c r="E3670" s="32" t="s">
        <v>180</v>
      </c>
      <c r="F3670" s="32" t="s">
        <v>9607</v>
      </c>
      <c r="G3670" s="39" t="s">
        <v>181</v>
      </c>
      <c r="H3670" s="33"/>
      <c r="I3670" s="33"/>
      <c r="J3670" s="33"/>
      <c r="K3670" s="33"/>
      <c r="L3670" s="33"/>
      <c r="M3670" s="33"/>
    </row>
    <row r="3671">
      <c r="A3671" s="32" t="s">
        <v>9608</v>
      </c>
      <c r="B3671" s="32" t="s">
        <v>9609</v>
      </c>
      <c r="C3671" s="35">
        <v>30.88570023</v>
      </c>
      <c r="D3671" s="35">
        <v>-94.03489685</v>
      </c>
      <c r="E3671" s="32" t="s">
        <v>180</v>
      </c>
      <c r="F3671" s="32" t="s">
        <v>9610</v>
      </c>
      <c r="G3671" s="39" t="s">
        <v>181</v>
      </c>
      <c r="H3671" s="33"/>
      <c r="I3671" s="33"/>
      <c r="J3671" s="33"/>
      <c r="K3671" s="33"/>
      <c r="L3671" s="33"/>
      <c r="M3671" s="33"/>
    </row>
    <row r="3672">
      <c r="A3672" s="32" t="s">
        <v>9611</v>
      </c>
      <c r="B3672" s="32" t="s">
        <v>9612</v>
      </c>
      <c r="C3672" s="35">
        <v>69.24320221</v>
      </c>
      <c r="D3672" s="35">
        <v>-51.05709839</v>
      </c>
      <c r="E3672" s="32" t="s">
        <v>3703</v>
      </c>
      <c r="F3672" s="32" t="s">
        <v>9613</v>
      </c>
      <c r="G3672" s="36" t="e">
        <v>#N/A</v>
      </c>
      <c r="H3672" s="33"/>
      <c r="I3672" s="33"/>
      <c r="J3672" s="33"/>
      <c r="K3672" s="33"/>
      <c r="L3672" s="33"/>
      <c r="M3672" s="33"/>
    </row>
    <row r="3673">
      <c r="A3673" s="32" t="s">
        <v>9614</v>
      </c>
      <c r="B3673" s="32" t="s">
        <v>9615</v>
      </c>
      <c r="C3673" s="35">
        <v>30.49410057</v>
      </c>
      <c r="D3673" s="35">
        <v>-81.68789673</v>
      </c>
      <c r="E3673" s="32" t="s">
        <v>180</v>
      </c>
      <c r="F3673" s="32" t="s">
        <v>1994</v>
      </c>
      <c r="G3673" s="39" t="s">
        <v>181</v>
      </c>
      <c r="H3673" s="33"/>
      <c r="I3673" s="33"/>
      <c r="J3673" s="33"/>
      <c r="K3673" s="33"/>
      <c r="L3673" s="33"/>
      <c r="M3673" s="33"/>
    </row>
    <row r="3674">
      <c r="A3674" s="32" t="s">
        <v>9616</v>
      </c>
      <c r="B3674" s="32" t="s">
        <v>9617</v>
      </c>
      <c r="C3674" s="35">
        <v>18.57250023</v>
      </c>
      <c r="D3674" s="35">
        <v>-69.98560333</v>
      </c>
      <c r="E3674" s="32" t="s">
        <v>335</v>
      </c>
      <c r="F3674" s="32" t="s">
        <v>9618</v>
      </c>
      <c r="G3674" s="36" t="e">
        <v>#N/A</v>
      </c>
      <c r="H3674" s="33"/>
      <c r="I3674" s="33"/>
      <c r="J3674" s="33"/>
      <c r="K3674" s="33"/>
      <c r="L3674" s="33"/>
      <c r="M3674" s="33"/>
    </row>
    <row r="3675">
      <c r="A3675" s="32" t="s">
        <v>9619</v>
      </c>
      <c r="B3675" s="32" t="s">
        <v>9620</v>
      </c>
      <c r="C3675" s="35">
        <v>35.83169937</v>
      </c>
      <c r="D3675" s="35">
        <v>-90.64640045</v>
      </c>
      <c r="E3675" s="32" t="s">
        <v>180</v>
      </c>
      <c r="F3675" s="32" t="s">
        <v>9621</v>
      </c>
      <c r="G3675" s="39" t="s">
        <v>181</v>
      </c>
      <c r="H3675" s="33"/>
      <c r="I3675" s="33"/>
      <c r="J3675" s="33"/>
      <c r="K3675" s="33"/>
      <c r="L3675" s="33"/>
      <c r="M3675" s="33"/>
    </row>
    <row r="3676">
      <c r="A3676" s="32" t="s">
        <v>9622</v>
      </c>
      <c r="B3676" s="32" t="s">
        <v>9623</v>
      </c>
      <c r="C3676" s="35">
        <v>-27.17140007</v>
      </c>
      <c r="D3676" s="35">
        <v>-51.55329895</v>
      </c>
      <c r="E3676" s="32" t="s">
        <v>288</v>
      </c>
      <c r="F3676" s="32" t="s">
        <v>9624</v>
      </c>
      <c r="G3676" s="36" t="e">
        <v>#N/A</v>
      </c>
      <c r="H3676" s="33"/>
      <c r="I3676" s="33"/>
      <c r="J3676" s="33"/>
      <c r="K3676" s="33"/>
      <c r="L3676" s="33"/>
      <c r="M3676" s="33"/>
    </row>
    <row r="3677">
      <c r="A3677" s="32" t="s">
        <v>9625</v>
      </c>
      <c r="B3677" s="32" t="s">
        <v>9626</v>
      </c>
      <c r="C3677" s="35">
        <v>68.82281555</v>
      </c>
      <c r="D3677" s="35">
        <v>-51.17344737</v>
      </c>
      <c r="E3677" s="32" t="s">
        <v>3703</v>
      </c>
      <c r="F3677" s="32" t="s">
        <v>9627</v>
      </c>
      <c r="G3677" s="36" t="e">
        <v>#N/A</v>
      </c>
      <c r="H3677" s="33"/>
      <c r="I3677" s="33"/>
      <c r="J3677" s="33"/>
      <c r="K3677" s="33"/>
      <c r="L3677" s="33"/>
      <c r="M3677" s="33"/>
    </row>
    <row r="3678">
      <c r="A3678" s="32" t="s">
        <v>9628</v>
      </c>
      <c r="B3678" s="32" t="s">
        <v>9629</v>
      </c>
      <c r="C3678" s="35">
        <v>38.83089828</v>
      </c>
      <c r="D3678" s="35">
        <v>-94.89029694</v>
      </c>
      <c r="E3678" s="32" t="s">
        <v>180</v>
      </c>
      <c r="F3678" s="32" t="s">
        <v>9630</v>
      </c>
      <c r="G3678" s="39" t="s">
        <v>181</v>
      </c>
      <c r="H3678" s="33"/>
      <c r="I3678" s="33"/>
      <c r="J3678" s="33"/>
      <c r="K3678" s="33"/>
      <c r="L3678" s="33"/>
      <c r="M3678" s="33"/>
    </row>
    <row r="3679">
      <c r="A3679" s="32" t="s">
        <v>9631</v>
      </c>
      <c r="B3679" s="32" t="s">
        <v>9632</v>
      </c>
      <c r="C3679" s="35">
        <v>-20.66830063</v>
      </c>
      <c r="D3679" s="35">
        <v>141.7230072</v>
      </c>
      <c r="E3679" s="32" t="s">
        <v>1968</v>
      </c>
      <c r="F3679" s="32" t="s">
        <v>9633</v>
      </c>
      <c r="G3679" s="36" t="e">
        <v>#N/A</v>
      </c>
      <c r="H3679" s="33"/>
      <c r="I3679" s="33"/>
      <c r="J3679" s="33"/>
      <c r="K3679" s="33"/>
      <c r="L3679" s="33"/>
      <c r="M3679" s="33"/>
    </row>
    <row r="3680">
      <c r="A3680" s="32" t="s">
        <v>9634</v>
      </c>
      <c r="B3680" s="32" t="s">
        <v>9635</v>
      </c>
      <c r="C3680" s="35">
        <v>30.51129913</v>
      </c>
      <c r="D3680" s="35">
        <v>-99.7634964</v>
      </c>
      <c r="E3680" s="32" t="s">
        <v>180</v>
      </c>
      <c r="F3680" s="32" t="s">
        <v>9636</v>
      </c>
      <c r="G3680" s="39" t="s">
        <v>181</v>
      </c>
      <c r="H3680" s="33"/>
      <c r="I3680" s="33"/>
      <c r="J3680" s="33"/>
      <c r="K3680" s="33"/>
      <c r="L3680" s="33"/>
      <c r="M3680" s="33"/>
    </row>
    <row r="3681">
      <c r="A3681" s="32" t="s">
        <v>9637</v>
      </c>
      <c r="B3681" s="32" t="s">
        <v>9638</v>
      </c>
      <c r="C3681" s="35">
        <v>-21.79150009</v>
      </c>
      <c r="D3681" s="35">
        <v>-43.38679886</v>
      </c>
      <c r="E3681" s="32" t="s">
        <v>288</v>
      </c>
      <c r="F3681" s="32" t="s">
        <v>9639</v>
      </c>
      <c r="G3681" s="36" t="e">
        <v>#N/A</v>
      </c>
      <c r="H3681" s="33"/>
      <c r="I3681" s="33"/>
      <c r="J3681" s="33"/>
      <c r="K3681" s="33"/>
      <c r="L3681" s="33"/>
      <c r="M3681" s="33"/>
    </row>
    <row r="3682">
      <c r="A3682" s="32" t="s">
        <v>9640</v>
      </c>
      <c r="B3682" s="32" t="s">
        <v>9641</v>
      </c>
      <c r="C3682" s="35">
        <v>26.25110054</v>
      </c>
      <c r="D3682" s="35">
        <v>73.04889679</v>
      </c>
      <c r="E3682" s="32" t="s">
        <v>217</v>
      </c>
      <c r="F3682" s="32" t="s">
        <v>9642</v>
      </c>
      <c r="G3682" s="39" t="s">
        <v>218</v>
      </c>
      <c r="H3682" s="33"/>
      <c r="I3682" s="33"/>
      <c r="J3682" s="33"/>
      <c r="K3682" s="33"/>
      <c r="L3682" s="33"/>
      <c r="M3682" s="33"/>
    </row>
    <row r="3683">
      <c r="A3683" s="32" t="s">
        <v>9643</v>
      </c>
      <c r="B3683" s="32" t="s">
        <v>9644</v>
      </c>
      <c r="C3683" s="35">
        <v>-7.218959808</v>
      </c>
      <c r="D3683" s="35">
        <v>-39.27009964</v>
      </c>
      <c r="E3683" s="32" t="s">
        <v>288</v>
      </c>
      <c r="F3683" s="32" t="s">
        <v>9645</v>
      </c>
      <c r="G3683" s="36" t="e">
        <v>#N/A</v>
      </c>
      <c r="H3683" s="33"/>
      <c r="I3683" s="33"/>
      <c r="J3683" s="33"/>
      <c r="K3683" s="33"/>
      <c r="L3683" s="33"/>
      <c r="M3683" s="33"/>
    </row>
    <row r="3684">
      <c r="A3684" s="32" t="s">
        <v>9646</v>
      </c>
      <c r="B3684" s="32" t="s">
        <v>9647</v>
      </c>
      <c r="C3684" s="35">
        <v>29.33860016</v>
      </c>
      <c r="D3684" s="35">
        <v>117.1760025</v>
      </c>
      <c r="E3684" s="32" t="s">
        <v>205</v>
      </c>
      <c r="F3684" s="32" t="s">
        <v>9648</v>
      </c>
      <c r="G3684" s="39" t="s">
        <v>206</v>
      </c>
      <c r="H3684" s="33"/>
      <c r="I3684" s="33"/>
      <c r="J3684" s="33"/>
      <c r="K3684" s="33"/>
      <c r="L3684" s="33"/>
      <c r="M3684" s="33"/>
    </row>
    <row r="3685">
      <c r="A3685" s="32" t="s">
        <v>9649</v>
      </c>
      <c r="B3685" s="32" t="s">
        <v>9650</v>
      </c>
      <c r="C3685" s="35">
        <v>21.6796</v>
      </c>
      <c r="D3685" s="35">
        <v>39.156502</v>
      </c>
      <c r="E3685" s="32" t="s">
        <v>223</v>
      </c>
      <c r="F3685" s="32" t="s">
        <v>1360</v>
      </c>
      <c r="G3685" s="36" t="e">
        <v>#N/A</v>
      </c>
      <c r="H3685" s="33"/>
      <c r="I3685" s="33"/>
      <c r="J3685" s="33"/>
      <c r="K3685" s="33"/>
      <c r="L3685" s="33"/>
      <c r="M3685" s="33"/>
    </row>
    <row r="3686">
      <c r="A3686" s="32" t="s">
        <v>9651</v>
      </c>
      <c r="B3686" s="32" t="s">
        <v>9652</v>
      </c>
      <c r="C3686" s="35">
        <v>18.66309929</v>
      </c>
      <c r="D3686" s="35">
        <v>-74.17030334</v>
      </c>
      <c r="E3686" s="32" t="s">
        <v>1289</v>
      </c>
      <c r="F3686" s="32" t="s">
        <v>9653</v>
      </c>
      <c r="G3686" s="36" t="e">
        <v>#N/A</v>
      </c>
      <c r="H3686" s="33"/>
      <c r="I3686" s="33"/>
      <c r="J3686" s="33"/>
      <c r="K3686" s="33"/>
      <c r="L3686" s="33"/>
      <c r="M3686" s="33"/>
    </row>
    <row r="3687">
      <c r="A3687" s="32" t="s">
        <v>9654</v>
      </c>
      <c r="B3687" s="32" t="s">
        <v>9655</v>
      </c>
      <c r="C3687" s="35">
        <v>38.59120178</v>
      </c>
      <c r="D3687" s="35">
        <v>-92.15609741</v>
      </c>
      <c r="E3687" s="32" t="s">
        <v>180</v>
      </c>
      <c r="F3687" s="32" t="s">
        <v>9656</v>
      </c>
      <c r="G3687" s="39" t="s">
        <v>181</v>
      </c>
      <c r="H3687" s="33"/>
      <c r="I3687" s="33"/>
      <c r="J3687" s="33"/>
      <c r="K3687" s="33"/>
      <c r="L3687" s="33"/>
      <c r="M3687" s="33"/>
    </row>
    <row r="3688">
      <c r="A3688" s="32" t="s">
        <v>9657</v>
      </c>
      <c r="B3688" s="32" t="s">
        <v>9658</v>
      </c>
      <c r="C3688" s="35">
        <v>68.72180176</v>
      </c>
      <c r="D3688" s="35">
        <v>-52.78469849</v>
      </c>
      <c r="E3688" s="32" t="s">
        <v>3703</v>
      </c>
      <c r="F3688" s="32" t="s">
        <v>9659</v>
      </c>
      <c r="G3688" s="36" t="e">
        <v>#N/A</v>
      </c>
      <c r="H3688" s="33"/>
      <c r="I3688" s="33"/>
      <c r="J3688" s="33"/>
      <c r="K3688" s="33"/>
      <c r="L3688" s="33"/>
      <c r="M3688" s="33"/>
    </row>
    <row r="3689">
      <c r="A3689" s="32" t="s">
        <v>9660</v>
      </c>
      <c r="B3689" s="32" t="s">
        <v>9661</v>
      </c>
      <c r="C3689" s="35">
        <v>49.207901</v>
      </c>
      <c r="D3689" s="35">
        <v>-2.195509911</v>
      </c>
      <c r="E3689" s="32" t="s">
        <v>9662</v>
      </c>
      <c r="F3689" s="32" t="s">
        <v>9662</v>
      </c>
      <c r="G3689" s="36" t="e">
        <v>#N/A</v>
      </c>
      <c r="H3689" s="33"/>
      <c r="I3689" s="33"/>
      <c r="J3689" s="33"/>
      <c r="K3689" s="33"/>
      <c r="L3689" s="33"/>
      <c r="M3689" s="33"/>
    </row>
    <row r="3690">
      <c r="A3690" s="32" t="s">
        <v>9663</v>
      </c>
      <c r="B3690" s="32" t="s">
        <v>9664</v>
      </c>
      <c r="C3690" s="35">
        <v>31.55400085</v>
      </c>
      <c r="D3690" s="35">
        <v>-81.88249969</v>
      </c>
      <c r="E3690" s="32" t="s">
        <v>180</v>
      </c>
      <c r="F3690" s="32" t="s">
        <v>9665</v>
      </c>
      <c r="G3690" s="39" t="s">
        <v>181</v>
      </c>
      <c r="H3690" s="33"/>
      <c r="I3690" s="33"/>
      <c r="J3690" s="33"/>
      <c r="K3690" s="33"/>
      <c r="L3690" s="33"/>
      <c r="M3690" s="33"/>
    </row>
    <row r="3691">
      <c r="A3691" s="32" t="s">
        <v>9666</v>
      </c>
      <c r="B3691" s="32" t="s">
        <v>9667</v>
      </c>
      <c r="C3691" s="35">
        <v>40.63980103</v>
      </c>
      <c r="D3691" s="35">
        <v>-73.77890015</v>
      </c>
      <c r="E3691" s="32" t="s">
        <v>180</v>
      </c>
      <c r="F3691" s="32" t="s">
        <v>2486</v>
      </c>
      <c r="G3691" s="39" t="s">
        <v>181</v>
      </c>
      <c r="H3691" s="33"/>
      <c r="I3691" s="33"/>
      <c r="J3691" s="33"/>
      <c r="K3691" s="33"/>
      <c r="L3691" s="33"/>
      <c r="M3691" s="33"/>
    </row>
    <row r="3692">
      <c r="A3692" s="32" t="s">
        <v>9668</v>
      </c>
      <c r="B3692" s="32" t="s">
        <v>9669</v>
      </c>
      <c r="C3692" s="35">
        <v>61.99219894</v>
      </c>
      <c r="D3692" s="35">
        <v>-49.66249847</v>
      </c>
      <c r="E3692" s="32" t="s">
        <v>3703</v>
      </c>
      <c r="F3692" s="32" t="s">
        <v>9670</v>
      </c>
      <c r="G3692" s="36" t="e">
        <v>#N/A</v>
      </c>
      <c r="H3692" s="33"/>
      <c r="I3692" s="33"/>
      <c r="J3692" s="33"/>
      <c r="K3692" s="33"/>
      <c r="L3692" s="33"/>
      <c r="M3692" s="33"/>
    </row>
    <row r="3693">
      <c r="A3693" s="32" t="s">
        <v>9671</v>
      </c>
      <c r="B3693" s="32" t="s">
        <v>9672</v>
      </c>
      <c r="C3693" s="35">
        <v>22.46549988</v>
      </c>
      <c r="D3693" s="35">
        <v>70.01260376</v>
      </c>
      <c r="E3693" s="32" t="s">
        <v>217</v>
      </c>
      <c r="F3693" s="32" t="s">
        <v>9673</v>
      </c>
      <c r="G3693" s="39" t="s">
        <v>218</v>
      </c>
      <c r="H3693" s="33"/>
      <c r="I3693" s="33"/>
      <c r="J3693" s="33"/>
      <c r="K3693" s="33"/>
      <c r="L3693" s="33"/>
      <c r="M3693" s="33"/>
    </row>
    <row r="3694">
      <c r="A3694" s="32" t="s">
        <v>9674</v>
      </c>
      <c r="B3694" s="32" t="s">
        <v>9675</v>
      </c>
      <c r="C3694" s="35">
        <v>37.23920059</v>
      </c>
      <c r="D3694" s="35">
        <v>-76.7161026</v>
      </c>
      <c r="E3694" s="32" t="s">
        <v>180</v>
      </c>
      <c r="F3694" s="32" t="s">
        <v>9676</v>
      </c>
      <c r="G3694" s="39" t="s">
        <v>181</v>
      </c>
      <c r="H3694" s="33"/>
      <c r="I3694" s="33"/>
      <c r="J3694" s="33"/>
      <c r="K3694" s="33"/>
      <c r="L3694" s="33"/>
      <c r="M3694" s="33"/>
    </row>
    <row r="3695">
      <c r="A3695" s="32" t="s">
        <v>9677</v>
      </c>
      <c r="B3695" s="32" t="s">
        <v>9678</v>
      </c>
      <c r="C3695" s="35">
        <v>39.856899</v>
      </c>
      <c r="D3695" s="35">
        <v>98.3414</v>
      </c>
      <c r="E3695" s="32" t="s">
        <v>205</v>
      </c>
      <c r="F3695" s="32" t="s">
        <v>9679</v>
      </c>
      <c r="G3695" s="39" t="s">
        <v>206</v>
      </c>
      <c r="H3695" s="33"/>
      <c r="I3695" s="33"/>
      <c r="J3695" s="33"/>
      <c r="K3695" s="33"/>
      <c r="L3695" s="33"/>
      <c r="M3695" s="33"/>
    </row>
    <row r="3696">
      <c r="A3696" s="32" t="s">
        <v>9680</v>
      </c>
      <c r="B3696" s="32" t="s">
        <v>9681</v>
      </c>
      <c r="C3696" s="35">
        <v>69.25118199</v>
      </c>
      <c r="D3696" s="35">
        <v>-53.51487637</v>
      </c>
      <c r="E3696" s="32" t="s">
        <v>3703</v>
      </c>
      <c r="F3696" s="32" t="s">
        <v>9682</v>
      </c>
      <c r="G3696" s="36" t="e">
        <v>#N/A</v>
      </c>
      <c r="H3696" s="33"/>
      <c r="I3696" s="33"/>
      <c r="J3696" s="33"/>
      <c r="K3696" s="33"/>
      <c r="L3696" s="33"/>
      <c r="M3696" s="33"/>
    </row>
    <row r="3697">
      <c r="A3697" s="32" t="s">
        <v>9683</v>
      </c>
      <c r="B3697" s="32" t="s">
        <v>9684</v>
      </c>
      <c r="C3697" s="35">
        <v>1.641309977</v>
      </c>
      <c r="D3697" s="35">
        <v>103.6699982</v>
      </c>
      <c r="E3697" s="32" t="s">
        <v>284</v>
      </c>
      <c r="F3697" s="32" t="s">
        <v>9685</v>
      </c>
      <c r="G3697" s="36" t="e">
        <v>#N/A</v>
      </c>
      <c r="H3697" s="33"/>
      <c r="I3697" s="33"/>
      <c r="J3697" s="33"/>
      <c r="K3697" s="33"/>
      <c r="L3697" s="33"/>
      <c r="M3697" s="33"/>
    </row>
    <row r="3698">
      <c r="A3698" s="32" t="s">
        <v>9686</v>
      </c>
      <c r="B3698" s="32" t="s">
        <v>9687</v>
      </c>
      <c r="C3698" s="35">
        <v>21.97389984</v>
      </c>
      <c r="D3698" s="35">
        <v>100.7600021</v>
      </c>
      <c r="E3698" s="32" t="s">
        <v>205</v>
      </c>
      <c r="F3698" s="32" t="s">
        <v>9688</v>
      </c>
      <c r="G3698" s="39" t="s">
        <v>206</v>
      </c>
      <c r="H3698" s="33"/>
      <c r="I3698" s="33"/>
      <c r="J3698" s="33"/>
      <c r="K3698" s="33"/>
      <c r="L3698" s="33"/>
      <c r="M3698" s="33"/>
    </row>
    <row r="3699">
      <c r="A3699" s="32" t="s">
        <v>9689</v>
      </c>
      <c r="B3699" s="32" t="s">
        <v>9690</v>
      </c>
      <c r="C3699" s="35">
        <v>20.96290016</v>
      </c>
      <c r="D3699" s="35">
        <v>-156.6730042</v>
      </c>
      <c r="E3699" s="32" t="s">
        <v>180</v>
      </c>
      <c r="F3699" s="32" t="s">
        <v>9691</v>
      </c>
      <c r="G3699" s="39" t="s">
        <v>181</v>
      </c>
      <c r="H3699" s="33"/>
      <c r="I3699" s="33"/>
      <c r="J3699" s="33"/>
      <c r="K3699" s="33"/>
      <c r="L3699" s="33"/>
      <c r="M3699" s="33"/>
    </row>
    <row r="3700">
      <c r="A3700" s="32" t="s">
        <v>9692</v>
      </c>
      <c r="B3700" s="32" t="s">
        <v>9693</v>
      </c>
      <c r="C3700" s="35">
        <v>-20.277221</v>
      </c>
      <c r="D3700" s="35">
        <v>148.755556</v>
      </c>
      <c r="E3700" s="32" t="s">
        <v>1968</v>
      </c>
      <c r="F3700" s="32" t="s">
        <v>9694</v>
      </c>
      <c r="G3700" s="36" t="e">
        <v>#N/A</v>
      </c>
      <c r="H3700" s="33"/>
      <c r="I3700" s="33"/>
      <c r="J3700" s="33"/>
      <c r="K3700" s="33"/>
      <c r="L3700" s="33"/>
      <c r="M3700" s="33"/>
    </row>
    <row r="3701">
      <c r="A3701" s="32" t="s">
        <v>9695</v>
      </c>
      <c r="B3701" s="32" t="s">
        <v>9696</v>
      </c>
      <c r="C3701" s="35">
        <v>66.95130157</v>
      </c>
      <c r="D3701" s="35">
        <v>-53.72930145</v>
      </c>
      <c r="E3701" s="32" t="s">
        <v>3703</v>
      </c>
      <c r="F3701" s="32" t="s">
        <v>9697</v>
      </c>
      <c r="G3701" s="36" t="e">
        <v>#N/A</v>
      </c>
      <c r="H3701" s="33"/>
      <c r="I3701" s="33"/>
      <c r="J3701" s="33"/>
      <c r="K3701" s="33"/>
      <c r="L3701" s="33"/>
      <c r="M3701" s="33"/>
    </row>
    <row r="3702">
      <c r="A3702" s="32" t="s">
        <v>9698</v>
      </c>
      <c r="B3702" s="32" t="s">
        <v>9699</v>
      </c>
      <c r="C3702" s="35">
        <v>42.15340042</v>
      </c>
      <c r="D3702" s="35">
        <v>-79.25800323</v>
      </c>
      <c r="E3702" s="32" t="s">
        <v>180</v>
      </c>
      <c r="F3702" s="32" t="s">
        <v>9700</v>
      </c>
      <c r="G3702" s="39" t="s">
        <v>181</v>
      </c>
      <c r="H3702" s="33"/>
      <c r="I3702" s="33"/>
      <c r="J3702" s="33"/>
      <c r="K3702" s="33"/>
      <c r="L3702" s="33"/>
      <c r="M3702" s="33"/>
    </row>
    <row r="3703">
      <c r="A3703" s="32" t="s">
        <v>9701</v>
      </c>
      <c r="B3703" s="32" t="s">
        <v>9702</v>
      </c>
      <c r="C3703" s="35">
        <v>-11.41944408</v>
      </c>
      <c r="D3703" s="35">
        <v>-58.70166779</v>
      </c>
      <c r="E3703" s="32" t="s">
        <v>288</v>
      </c>
      <c r="F3703" s="32" t="s">
        <v>9703</v>
      </c>
      <c r="G3703" s="36" t="e">
        <v>#N/A</v>
      </c>
      <c r="H3703" s="33"/>
      <c r="I3703" s="33"/>
      <c r="J3703" s="33"/>
      <c r="K3703" s="33"/>
      <c r="L3703" s="33"/>
      <c r="M3703" s="33"/>
    </row>
    <row r="3704">
      <c r="A3704" s="32" t="s">
        <v>9704</v>
      </c>
      <c r="B3704" s="32" t="s">
        <v>9705</v>
      </c>
      <c r="C3704" s="35">
        <v>11.54730034</v>
      </c>
      <c r="D3704" s="35">
        <v>43.15950012</v>
      </c>
      <c r="E3704" s="32" t="s">
        <v>9706</v>
      </c>
      <c r="F3704" s="32" t="s">
        <v>9706</v>
      </c>
      <c r="G3704" s="36" t="e">
        <v>#N/A</v>
      </c>
      <c r="H3704" s="33"/>
      <c r="I3704" s="33"/>
      <c r="J3704" s="33"/>
      <c r="K3704" s="33"/>
      <c r="L3704" s="33"/>
      <c r="M3704" s="33"/>
    </row>
    <row r="3705">
      <c r="A3705" s="32" t="s">
        <v>9707</v>
      </c>
      <c r="B3705" s="32" t="s">
        <v>9708</v>
      </c>
      <c r="C3705" s="35">
        <v>9.3325</v>
      </c>
      <c r="D3705" s="35">
        <v>42.9121</v>
      </c>
      <c r="E3705" s="32" t="s">
        <v>18</v>
      </c>
      <c r="F3705" s="32" t="s">
        <v>9709</v>
      </c>
      <c r="G3705" s="36" t="e">
        <v>#N/A</v>
      </c>
      <c r="H3705" s="33"/>
      <c r="I3705" s="33"/>
      <c r="J3705" s="33"/>
      <c r="K3705" s="33"/>
      <c r="L3705" s="33"/>
      <c r="M3705" s="33"/>
    </row>
    <row r="3706">
      <c r="A3706" s="32" t="s">
        <v>9710</v>
      </c>
      <c r="B3706" s="32" t="s">
        <v>9711</v>
      </c>
      <c r="C3706" s="35">
        <v>37.682701109999996</v>
      </c>
      <c r="D3706" s="35">
        <v>26.3470993</v>
      </c>
      <c r="E3706" s="32" t="s">
        <v>339</v>
      </c>
      <c r="F3706" s="32" t="s">
        <v>9712</v>
      </c>
      <c r="G3706" s="36" t="e">
        <v>#N/A</v>
      </c>
      <c r="H3706" s="33"/>
      <c r="I3706" s="33"/>
      <c r="J3706" s="33"/>
      <c r="K3706" s="33"/>
      <c r="L3706" s="33"/>
      <c r="M3706" s="33"/>
    </row>
    <row r="3707">
      <c r="A3707" s="32" t="s">
        <v>9713</v>
      </c>
      <c r="B3707" s="32" t="s">
        <v>9714</v>
      </c>
      <c r="C3707" s="35">
        <v>7.666090012</v>
      </c>
      <c r="D3707" s="35">
        <v>36.8166008</v>
      </c>
      <c r="E3707" s="32" t="s">
        <v>18</v>
      </c>
      <c r="F3707" s="32" t="s">
        <v>9715</v>
      </c>
      <c r="G3707" s="36" t="e">
        <v>#N/A</v>
      </c>
      <c r="H3707" s="33"/>
      <c r="I3707" s="33"/>
      <c r="J3707" s="33"/>
      <c r="K3707" s="33"/>
      <c r="L3707" s="33"/>
      <c r="M3707" s="33"/>
    </row>
    <row r="3708">
      <c r="A3708" s="32" t="s">
        <v>9716</v>
      </c>
      <c r="B3708" s="32" t="s">
        <v>9717</v>
      </c>
      <c r="C3708" s="35">
        <v>29.476944</v>
      </c>
      <c r="D3708" s="35">
        <v>115.801111</v>
      </c>
      <c r="E3708" s="32" t="s">
        <v>205</v>
      </c>
      <c r="F3708" s="32" t="s">
        <v>9718</v>
      </c>
      <c r="G3708" s="39" t="s">
        <v>206</v>
      </c>
      <c r="H3708" s="33"/>
      <c r="I3708" s="33"/>
      <c r="J3708" s="33"/>
      <c r="K3708" s="33"/>
      <c r="L3708" s="33"/>
      <c r="M3708" s="33"/>
    </row>
    <row r="3709">
      <c r="A3709" s="32" t="s">
        <v>9719</v>
      </c>
      <c r="B3709" s="32" t="s">
        <v>9720</v>
      </c>
      <c r="C3709" s="35">
        <v>25.06780052</v>
      </c>
      <c r="D3709" s="35">
        <v>61.80540085</v>
      </c>
      <c r="E3709" s="32" t="s">
        <v>1470</v>
      </c>
      <c r="F3709" s="32" t="s">
        <v>9721</v>
      </c>
      <c r="G3709" s="36" t="e">
        <v>#N/A</v>
      </c>
      <c r="H3709" s="33"/>
      <c r="I3709" s="33"/>
      <c r="J3709" s="33"/>
      <c r="K3709" s="33"/>
      <c r="L3709" s="33"/>
      <c r="M3709" s="33"/>
    </row>
    <row r="3710">
      <c r="A3710" s="32" t="s">
        <v>9722</v>
      </c>
      <c r="B3710" s="32" t="s">
        <v>9723</v>
      </c>
      <c r="C3710" s="35">
        <v>-7.169099808</v>
      </c>
      <c r="D3710" s="35">
        <v>-76.72859955</v>
      </c>
      <c r="E3710" s="32" t="s">
        <v>307</v>
      </c>
      <c r="F3710" s="32" t="s">
        <v>9724</v>
      </c>
      <c r="G3710" s="36" t="e">
        <v>#N/A</v>
      </c>
      <c r="H3710" s="33"/>
      <c r="I3710" s="33"/>
      <c r="J3710" s="33"/>
      <c r="K3710" s="33"/>
      <c r="L3710" s="33"/>
      <c r="M3710" s="33"/>
    </row>
    <row r="3711">
      <c r="A3711" s="32" t="s">
        <v>9725</v>
      </c>
      <c r="B3711" s="32" t="s">
        <v>9726</v>
      </c>
      <c r="C3711" s="35">
        <v>24.7964</v>
      </c>
      <c r="D3711" s="35">
        <v>118.589996</v>
      </c>
      <c r="E3711" s="32" t="s">
        <v>205</v>
      </c>
      <c r="F3711" s="32" t="s">
        <v>9727</v>
      </c>
      <c r="G3711" s="39" t="s">
        <v>206</v>
      </c>
      <c r="H3711" s="33"/>
      <c r="I3711" s="33"/>
      <c r="J3711" s="33"/>
      <c r="K3711" s="33"/>
      <c r="L3711" s="33"/>
      <c r="M3711" s="33"/>
    </row>
    <row r="3712">
      <c r="A3712" s="32" t="s">
        <v>9728</v>
      </c>
      <c r="B3712" s="32" t="s">
        <v>9729</v>
      </c>
      <c r="C3712" s="35">
        <v>60.71568416</v>
      </c>
      <c r="D3712" s="35">
        <v>-46.02991864</v>
      </c>
      <c r="E3712" s="32" t="s">
        <v>3703</v>
      </c>
      <c r="F3712" s="32" t="s">
        <v>9730</v>
      </c>
      <c r="G3712" s="36" t="e">
        <v>#N/A</v>
      </c>
      <c r="H3712" s="33"/>
      <c r="I3712" s="33"/>
      <c r="J3712" s="33"/>
      <c r="K3712" s="33"/>
      <c r="L3712" s="33"/>
      <c r="M3712" s="33"/>
    </row>
    <row r="3713">
      <c r="A3713" s="32" t="s">
        <v>9731</v>
      </c>
      <c r="B3713" s="32" t="s">
        <v>9732</v>
      </c>
      <c r="C3713" s="35">
        <v>30.29050064</v>
      </c>
      <c r="D3713" s="35">
        <v>-87.67179871</v>
      </c>
      <c r="E3713" s="32" t="s">
        <v>180</v>
      </c>
      <c r="F3713" s="32" t="s">
        <v>9733</v>
      </c>
      <c r="G3713" s="39" t="s">
        <v>181</v>
      </c>
      <c r="H3713" s="33"/>
      <c r="I3713" s="33"/>
      <c r="J3713" s="33"/>
      <c r="K3713" s="33"/>
      <c r="L3713" s="33"/>
      <c r="M3713" s="33"/>
    </row>
    <row r="3714">
      <c r="A3714" s="32" t="s">
        <v>9734</v>
      </c>
      <c r="B3714" s="32" t="s">
        <v>9735</v>
      </c>
      <c r="C3714" s="35">
        <v>57.75759888</v>
      </c>
      <c r="D3714" s="35">
        <v>14.06869984</v>
      </c>
      <c r="E3714" s="32" t="s">
        <v>347</v>
      </c>
      <c r="F3714" s="32" t="s">
        <v>9736</v>
      </c>
      <c r="G3714" s="36" t="e">
        <v>#N/A</v>
      </c>
      <c r="H3714" s="33"/>
      <c r="I3714" s="33"/>
      <c r="J3714" s="33"/>
      <c r="K3714" s="33"/>
      <c r="L3714" s="33"/>
      <c r="M3714" s="33"/>
    </row>
    <row r="3715">
      <c r="A3715" s="32" t="s">
        <v>9737</v>
      </c>
      <c r="B3715" s="32" t="s">
        <v>9738</v>
      </c>
      <c r="C3715" s="35">
        <v>38.34320068</v>
      </c>
      <c r="D3715" s="35">
        <v>26.1406002</v>
      </c>
      <c r="E3715" s="32" t="s">
        <v>339</v>
      </c>
      <c r="F3715" s="32" t="s">
        <v>9739</v>
      </c>
      <c r="G3715" s="36" t="e">
        <v>#N/A</v>
      </c>
      <c r="H3715" s="33"/>
      <c r="I3715" s="33"/>
      <c r="J3715" s="33"/>
      <c r="K3715" s="33"/>
      <c r="L3715" s="33"/>
      <c r="M3715" s="33"/>
    </row>
    <row r="3716">
      <c r="A3716" s="32" t="s">
        <v>9740</v>
      </c>
      <c r="B3716" s="32" t="s">
        <v>9741</v>
      </c>
      <c r="C3716" s="35">
        <v>36.9632988</v>
      </c>
      <c r="D3716" s="35">
        <v>26.94059944</v>
      </c>
      <c r="E3716" s="32" t="s">
        <v>339</v>
      </c>
      <c r="F3716" s="32" t="s">
        <v>9742</v>
      </c>
      <c r="G3716" s="36" t="e">
        <v>#N/A</v>
      </c>
      <c r="H3716" s="33"/>
      <c r="I3716" s="33"/>
      <c r="J3716" s="33"/>
      <c r="K3716" s="33"/>
      <c r="L3716" s="33"/>
      <c r="M3716" s="33"/>
    </row>
    <row r="3717">
      <c r="A3717" s="32" t="s">
        <v>9743</v>
      </c>
      <c r="B3717" s="32" t="s">
        <v>9744</v>
      </c>
      <c r="C3717" s="35">
        <v>55.94599915</v>
      </c>
      <c r="D3717" s="35">
        <v>12.86999989</v>
      </c>
      <c r="E3717" s="32" t="s">
        <v>347</v>
      </c>
      <c r="F3717" s="32" t="s">
        <v>9745</v>
      </c>
      <c r="G3717" s="36" t="e">
        <v>#N/A</v>
      </c>
      <c r="H3717" s="33"/>
      <c r="I3717" s="33"/>
      <c r="J3717" s="33"/>
      <c r="K3717" s="33"/>
      <c r="L3717" s="33"/>
      <c r="M3717" s="33"/>
    </row>
    <row r="3718">
      <c r="A3718" s="32" t="s">
        <v>9746</v>
      </c>
      <c r="B3718" s="32" t="s">
        <v>9747</v>
      </c>
      <c r="C3718" s="35">
        <v>37.15179825</v>
      </c>
      <c r="D3718" s="35">
        <v>-94.49829865</v>
      </c>
      <c r="E3718" s="32" t="s">
        <v>180</v>
      </c>
      <c r="F3718" s="32" t="s">
        <v>9748</v>
      </c>
      <c r="G3718" s="39" t="s">
        <v>181</v>
      </c>
      <c r="H3718" s="33"/>
      <c r="I3718" s="33"/>
      <c r="J3718" s="33"/>
      <c r="K3718" s="33"/>
      <c r="L3718" s="33"/>
      <c r="M3718" s="33"/>
    </row>
    <row r="3719">
      <c r="A3719" s="32" t="s">
        <v>9749</v>
      </c>
      <c r="B3719" s="32" t="s">
        <v>9750</v>
      </c>
      <c r="C3719" s="35">
        <v>23.17779922</v>
      </c>
      <c r="D3719" s="35">
        <v>80.05200195</v>
      </c>
      <c r="E3719" s="32" t="s">
        <v>217</v>
      </c>
      <c r="F3719" s="32" t="s">
        <v>9751</v>
      </c>
      <c r="G3719" s="39" t="s">
        <v>218</v>
      </c>
      <c r="H3719" s="33"/>
      <c r="I3719" s="33"/>
      <c r="J3719" s="33"/>
      <c r="K3719" s="33"/>
      <c r="L3719" s="33"/>
      <c r="M3719" s="33"/>
    </row>
    <row r="3720">
      <c r="A3720" s="32" t="s">
        <v>9752</v>
      </c>
      <c r="B3720" s="32" t="s">
        <v>9753</v>
      </c>
      <c r="C3720" s="35">
        <v>37.43510056</v>
      </c>
      <c r="D3720" s="35">
        <v>25.34810066</v>
      </c>
      <c r="E3720" s="32" t="s">
        <v>339</v>
      </c>
      <c r="F3720" s="32" t="s">
        <v>9754</v>
      </c>
      <c r="G3720" s="36" t="e">
        <v>#N/A</v>
      </c>
      <c r="H3720" s="33"/>
      <c r="I3720" s="33"/>
      <c r="J3720" s="33"/>
      <c r="K3720" s="33"/>
      <c r="L3720" s="33"/>
      <c r="M3720" s="33"/>
    </row>
    <row r="3721">
      <c r="A3721" s="32" t="s">
        <v>9755</v>
      </c>
      <c r="B3721" s="32" t="s">
        <v>9756</v>
      </c>
      <c r="C3721" s="35">
        <v>28.780426</v>
      </c>
      <c r="D3721" s="35">
        <v>83.723</v>
      </c>
      <c r="E3721" s="32" t="s">
        <v>1877</v>
      </c>
      <c r="F3721" s="32" t="s">
        <v>9757</v>
      </c>
      <c r="G3721" s="36" t="e">
        <v>#N/A</v>
      </c>
      <c r="H3721" s="33"/>
      <c r="I3721" s="33"/>
      <c r="J3721" s="33"/>
      <c r="K3721" s="33"/>
      <c r="L3721" s="33"/>
      <c r="M3721" s="33"/>
    </row>
    <row r="3722">
      <c r="A3722" s="32" t="s">
        <v>9758</v>
      </c>
      <c r="B3722" s="32" t="s">
        <v>9759</v>
      </c>
      <c r="C3722" s="35">
        <v>46.92969894</v>
      </c>
      <c r="D3722" s="35">
        <v>-98.67819977</v>
      </c>
      <c r="E3722" s="32" t="s">
        <v>180</v>
      </c>
      <c r="F3722" s="32" t="s">
        <v>9700</v>
      </c>
      <c r="G3722" s="39" t="s">
        <v>181</v>
      </c>
      <c r="H3722" s="33"/>
      <c r="I3722" s="33"/>
      <c r="J3722" s="33"/>
      <c r="K3722" s="33"/>
      <c r="L3722" s="33"/>
      <c r="M3722" s="33"/>
    </row>
    <row r="3723">
      <c r="A3723" s="32" t="s">
        <v>9760</v>
      </c>
      <c r="B3723" s="32" t="s">
        <v>9761</v>
      </c>
      <c r="C3723" s="35">
        <v>46.84339905</v>
      </c>
      <c r="D3723" s="35">
        <v>130.4649963</v>
      </c>
      <c r="E3723" s="32" t="s">
        <v>205</v>
      </c>
      <c r="F3723" s="32" t="s">
        <v>9762</v>
      </c>
      <c r="G3723" s="39" t="s">
        <v>206</v>
      </c>
      <c r="H3723" s="33"/>
      <c r="I3723" s="33"/>
      <c r="J3723" s="33"/>
      <c r="K3723" s="33"/>
      <c r="L3723" s="33"/>
      <c r="M3723" s="33"/>
    </row>
    <row r="3724">
      <c r="A3724" s="32" t="s">
        <v>40</v>
      </c>
      <c r="B3724" s="32" t="s">
        <v>9763</v>
      </c>
      <c r="C3724" s="35">
        <v>-26.1392</v>
      </c>
      <c r="D3724" s="35">
        <v>28.246</v>
      </c>
      <c r="E3724" s="32" t="s">
        <v>16</v>
      </c>
      <c r="F3724" s="32" t="s">
        <v>7955</v>
      </c>
      <c r="G3724" s="36" t="e">
        <v>#N/A</v>
      </c>
      <c r="H3724" s="33"/>
      <c r="I3724" s="33"/>
      <c r="J3724" s="33"/>
      <c r="K3724" s="33"/>
      <c r="L3724" s="33"/>
      <c r="M3724" s="33"/>
    </row>
    <row r="3725">
      <c r="A3725" s="32" t="s">
        <v>9764</v>
      </c>
      <c r="B3725" s="32" t="s">
        <v>9765</v>
      </c>
      <c r="C3725" s="35">
        <v>35.292778</v>
      </c>
      <c r="D3725" s="35">
        <v>116.346667</v>
      </c>
      <c r="E3725" s="32" t="s">
        <v>205</v>
      </c>
      <c r="F3725" s="32" t="s">
        <v>9766</v>
      </c>
      <c r="G3725" s="39" t="s">
        <v>206</v>
      </c>
      <c r="H3725" s="33"/>
      <c r="I3725" s="33"/>
      <c r="J3725" s="33"/>
      <c r="K3725" s="33"/>
      <c r="L3725" s="33"/>
      <c r="M3725" s="33"/>
    </row>
    <row r="3726">
      <c r="A3726" s="32" t="s">
        <v>9767</v>
      </c>
      <c r="B3726" s="32" t="s">
        <v>9768</v>
      </c>
      <c r="C3726" s="35">
        <v>60.14188398</v>
      </c>
      <c r="D3726" s="35">
        <v>-45.23297668</v>
      </c>
      <c r="E3726" s="32" t="s">
        <v>3703</v>
      </c>
      <c r="F3726" s="32" t="s">
        <v>9769</v>
      </c>
      <c r="G3726" s="36" t="e">
        <v>#N/A</v>
      </c>
      <c r="H3726" s="33"/>
      <c r="I3726" s="33"/>
      <c r="J3726" s="33"/>
      <c r="K3726" s="33"/>
      <c r="L3726" s="33"/>
      <c r="M3726" s="33"/>
    </row>
    <row r="3727">
      <c r="A3727" s="32" t="s">
        <v>9770</v>
      </c>
      <c r="B3727" s="32" t="s">
        <v>9771</v>
      </c>
      <c r="C3727" s="35">
        <v>60.91728273</v>
      </c>
      <c r="D3727" s="35">
        <v>-46.05992317</v>
      </c>
      <c r="E3727" s="32" t="s">
        <v>3703</v>
      </c>
      <c r="F3727" s="32" t="s">
        <v>9772</v>
      </c>
      <c r="G3727" s="36" t="e">
        <v>#N/A</v>
      </c>
      <c r="H3727" s="33"/>
      <c r="I3727" s="33"/>
      <c r="J3727" s="33"/>
      <c r="K3727" s="33"/>
      <c r="L3727" s="33"/>
      <c r="M3727" s="33"/>
    </row>
    <row r="3728">
      <c r="A3728" s="32" t="s">
        <v>9773</v>
      </c>
      <c r="B3728" s="32" t="s">
        <v>9774</v>
      </c>
      <c r="C3728" s="35">
        <v>58.35499954</v>
      </c>
      <c r="D3728" s="35">
        <v>-134.576004</v>
      </c>
      <c r="E3728" s="32" t="s">
        <v>180</v>
      </c>
      <c r="F3728" s="32" t="s">
        <v>9775</v>
      </c>
      <c r="G3728" s="39" t="s">
        <v>181</v>
      </c>
      <c r="H3728" s="33"/>
      <c r="I3728" s="33"/>
      <c r="J3728" s="33"/>
      <c r="K3728" s="33"/>
      <c r="L3728" s="33"/>
      <c r="M3728" s="33"/>
    </row>
    <row r="3729">
      <c r="A3729" s="32" t="s">
        <v>9776</v>
      </c>
      <c r="B3729" s="32" t="s">
        <v>9777</v>
      </c>
      <c r="C3729" s="35">
        <v>37.08110046</v>
      </c>
      <c r="D3729" s="35">
        <v>25.36809921</v>
      </c>
      <c r="E3729" s="32" t="s">
        <v>339</v>
      </c>
      <c r="F3729" s="32" t="s">
        <v>9778</v>
      </c>
      <c r="G3729" s="36" t="e">
        <v>#N/A</v>
      </c>
      <c r="H3729" s="33"/>
      <c r="I3729" s="33"/>
      <c r="J3729" s="33"/>
      <c r="K3729" s="33"/>
      <c r="L3729" s="33"/>
      <c r="M3729" s="33"/>
    </row>
    <row r="3730">
      <c r="A3730" s="32" t="s">
        <v>9779</v>
      </c>
      <c r="B3730" s="32" t="s">
        <v>9780</v>
      </c>
      <c r="C3730" s="35">
        <v>41.10139847</v>
      </c>
      <c r="D3730" s="35">
        <v>121.0619965</v>
      </c>
      <c r="E3730" s="32" t="s">
        <v>205</v>
      </c>
      <c r="F3730" s="32" t="s">
        <v>9781</v>
      </c>
      <c r="G3730" s="39" t="s">
        <v>206</v>
      </c>
      <c r="H3730" s="33"/>
      <c r="I3730" s="33"/>
      <c r="J3730" s="33"/>
      <c r="K3730" s="33"/>
      <c r="L3730" s="33"/>
      <c r="M3730" s="33"/>
    </row>
    <row r="3731">
      <c r="A3731" s="32" t="s">
        <v>9782</v>
      </c>
      <c r="B3731" s="32" t="s">
        <v>9783</v>
      </c>
      <c r="C3731" s="35">
        <v>62.66289902</v>
      </c>
      <c r="D3731" s="35">
        <v>29.60750008</v>
      </c>
      <c r="E3731" s="32" t="s">
        <v>408</v>
      </c>
      <c r="F3731" s="32" t="s">
        <v>9784</v>
      </c>
      <c r="G3731" s="36" t="e">
        <v>#N/A</v>
      </c>
      <c r="H3731" s="33"/>
      <c r="I3731" s="33"/>
      <c r="J3731" s="33"/>
      <c r="K3731" s="33"/>
      <c r="L3731" s="33"/>
      <c r="M3731" s="33"/>
    </row>
    <row r="3732">
      <c r="A3732" s="32" t="s">
        <v>9785</v>
      </c>
      <c r="B3732" s="32" t="s">
        <v>9786</v>
      </c>
      <c r="C3732" s="35">
        <v>-7.788179874</v>
      </c>
      <c r="D3732" s="35">
        <v>110.4319992</v>
      </c>
      <c r="E3732" s="32" t="s">
        <v>280</v>
      </c>
      <c r="F3732" s="32" t="s">
        <v>9787</v>
      </c>
      <c r="G3732" s="36" t="e">
        <v>#N/A</v>
      </c>
      <c r="H3732" s="33"/>
      <c r="I3732" s="33"/>
      <c r="J3732" s="33"/>
      <c r="K3732" s="33"/>
      <c r="L3732" s="33"/>
      <c r="M3732" s="33"/>
    </row>
    <row r="3733">
      <c r="A3733" s="32" t="s">
        <v>9788</v>
      </c>
      <c r="B3733" s="32" t="s">
        <v>9789</v>
      </c>
      <c r="C3733" s="35">
        <v>-26.22450066</v>
      </c>
      <c r="D3733" s="35">
        <v>-48.79740143</v>
      </c>
      <c r="E3733" s="32" t="s">
        <v>288</v>
      </c>
      <c r="F3733" s="32" t="s">
        <v>9790</v>
      </c>
      <c r="G3733" s="36" t="e">
        <v>#N/A</v>
      </c>
      <c r="H3733" s="33"/>
      <c r="I3733" s="33"/>
      <c r="J3733" s="33"/>
      <c r="K3733" s="33"/>
      <c r="L3733" s="33"/>
      <c r="M3733" s="33"/>
    </row>
    <row r="3734">
      <c r="A3734" s="32" t="s">
        <v>9791</v>
      </c>
      <c r="B3734" s="32" t="s">
        <v>9792</v>
      </c>
      <c r="C3734" s="35">
        <v>56.70059967</v>
      </c>
      <c r="D3734" s="35">
        <v>47.90470123</v>
      </c>
      <c r="E3734" s="32" t="s">
        <v>2040</v>
      </c>
      <c r="F3734" s="32" t="s">
        <v>9793</v>
      </c>
      <c r="G3734" s="36" t="e">
        <v>#N/A</v>
      </c>
      <c r="H3734" s="33"/>
      <c r="I3734" s="33"/>
      <c r="J3734" s="33"/>
      <c r="K3734" s="33"/>
      <c r="L3734" s="33"/>
      <c r="M3734" s="33"/>
    </row>
    <row r="3735">
      <c r="A3735" s="32" t="s">
        <v>9794</v>
      </c>
      <c r="B3735" s="32" t="s">
        <v>9795</v>
      </c>
      <c r="C3735" s="35">
        <v>6.05366993</v>
      </c>
      <c r="D3735" s="35">
        <v>121.0110016</v>
      </c>
      <c r="E3735" s="32" t="s">
        <v>270</v>
      </c>
      <c r="F3735" s="32" t="s">
        <v>9796</v>
      </c>
      <c r="G3735" s="36" t="e">
        <v>#N/A</v>
      </c>
      <c r="H3735" s="33"/>
      <c r="I3735" s="33"/>
      <c r="J3735" s="33"/>
      <c r="K3735" s="33"/>
      <c r="L3735" s="33"/>
      <c r="M3735" s="33"/>
    </row>
    <row r="3736">
      <c r="A3736" s="32" t="s">
        <v>9797</v>
      </c>
      <c r="B3736" s="32" t="s">
        <v>9798</v>
      </c>
      <c r="C3736" s="35">
        <v>16.72859955</v>
      </c>
      <c r="D3736" s="35">
        <v>-169.5339966</v>
      </c>
      <c r="E3736" s="32" t="s">
        <v>9799</v>
      </c>
      <c r="F3736" s="32" t="s">
        <v>9800</v>
      </c>
      <c r="G3736" s="36" t="e">
        <v>#N/A</v>
      </c>
      <c r="H3736" s="33"/>
      <c r="I3736" s="33"/>
      <c r="J3736" s="33"/>
      <c r="K3736" s="33"/>
      <c r="L3736" s="33"/>
      <c r="M3736" s="33"/>
    </row>
    <row r="3737">
      <c r="A3737" s="32" t="s">
        <v>9801</v>
      </c>
      <c r="B3737" s="32" t="s">
        <v>9802</v>
      </c>
      <c r="C3737" s="35">
        <v>9.639829636</v>
      </c>
      <c r="D3737" s="35">
        <v>8.869050026</v>
      </c>
      <c r="E3737" s="32" t="s">
        <v>19</v>
      </c>
      <c r="F3737" s="32" t="s">
        <v>9803</v>
      </c>
      <c r="G3737" s="36" t="e">
        <v>#N/A</v>
      </c>
      <c r="H3737" s="33"/>
      <c r="I3737" s="33"/>
      <c r="J3737" s="33"/>
      <c r="K3737" s="33"/>
      <c r="L3737" s="33"/>
      <c r="M3737" s="33"/>
    </row>
    <row r="3738">
      <c r="A3738" s="32" t="s">
        <v>9804</v>
      </c>
      <c r="B3738" s="32" t="s">
        <v>9805</v>
      </c>
      <c r="C3738" s="35">
        <v>41.51779938</v>
      </c>
      <c r="D3738" s="35">
        <v>-88.17549896</v>
      </c>
      <c r="E3738" s="32" t="s">
        <v>180</v>
      </c>
      <c r="F3738" s="32" t="s">
        <v>9806</v>
      </c>
      <c r="G3738" s="39" t="s">
        <v>181</v>
      </c>
      <c r="H3738" s="33"/>
      <c r="I3738" s="33"/>
      <c r="J3738" s="33"/>
      <c r="K3738" s="33"/>
      <c r="L3738" s="33"/>
      <c r="M3738" s="33"/>
    </row>
    <row r="3739">
      <c r="A3739" s="32" t="s">
        <v>9807</v>
      </c>
      <c r="B3739" s="32" t="s">
        <v>9808</v>
      </c>
      <c r="C3739" s="35">
        <v>-7.145833015</v>
      </c>
      <c r="D3739" s="35">
        <v>-34.94861221</v>
      </c>
      <c r="E3739" s="32" t="s">
        <v>288</v>
      </c>
      <c r="F3739" s="32" t="s">
        <v>9809</v>
      </c>
      <c r="G3739" s="36" t="e">
        <v>#N/A</v>
      </c>
      <c r="H3739" s="33"/>
      <c r="I3739" s="33"/>
      <c r="J3739" s="33"/>
      <c r="K3739" s="33"/>
      <c r="L3739" s="33"/>
      <c r="M3739" s="33"/>
    </row>
    <row r="3740">
      <c r="A3740" s="32" t="s">
        <v>9810</v>
      </c>
      <c r="B3740" s="32" t="s">
        <v>9811</v>
      </c>
      <c r="C3740" s="35">
        <v>-10.87080002</v>
      </c>
      <c r="D3740" s="35">
        <v>-61.8465004</v>
      </c>
      <c r="E3740" s="32" t="s">
        <v>288</v>
      </c>
      <c r="F3740" s="32" t="s">
        <v>9812</v>
      </c>
      <c r="G3740" s="36" t="e">
        <v>#N/A</v>
      </c>
      <c r="H3740" s="33"/>
      <c r="I3740" s="33"/>
      <c r="J3740" s="33"/>
      <c r="K3740" s="33"/>
      <c r="L3740" s="33"/>
      <c r="M3740" s="33"/>
    </row>
    <row r="3741">
      <c r="A3741" s="32" t="s">
        <v>9813</v>
      </c>
      <c r="B3741" s="32" t="s">
        <v>9814</v>
      </c>
      <c r="C3741" s="35">
        <v>70.73419952</v>
      </c>
      <c r="D3741" s="35">
        <v>-52.69620132</v>
      </c>
      <c r="E3741" s="32" t="s">
        <v>3703</v>
      </c>
      <c r="F3741" s="32" t="s">
        <v>9815</v>
      </c>
      <c r="G3741" s="36" t="e">
        <v>#N/A</v>
      </c>
      <c r="H3741" s="33"/>
      <c r="I3741" s="33"/>
      <c r="J3741" s="33"/>
      <c r="K3741" s="33"/>
      <c r="L3741" s="33"/>
      <c r="M3741" s="33"/>
    </row>
    <row r="3742">
      <c r="A3742" s="32" t="s">
        <v>9816</v>
      </c>
      <c r="B3742" s="32" t="s">
        <v>9817</v>
      </c>
      <c r="C3742" s="35">
        <v>7.517779827</v>
      </c>
      <c r="D3742" s="35">
        <v>-78.15720367</v>
      </c>
      <c r="E3742" s="32" t="s">
        <v>327</v>
      </c>
      <c r="F3742" s="32" t="s">
        <v>9818</v>
      </c>
      <c r="G3742" s="36" t="e">
        <v>#N/A</v>
      </c>
      <c r="H3742" s="33"/>
      <c r="I3742" s="33"/>
      <c r="J3742" s="33"/>
      <c r="K3742" s="33"/>
      <c r="L3742" s="33"/>
      <c r="M3742" s="33"/>
    </row>
    <row r="3743">
      <c r="A3743" s="32" t="s">
        <v>9819</v>
      </c>
      <c r="B3743" s="32" t="s">
        <v>9820</v>
      </c>
      <c r="C3743" s="35">
        <v>26.73150063</v>
      </c>
      <c r="D3743" s="35">
        <v>94.17549896</v>
      </c>
      <c r="E3743" s="32" t="s">
        <v>217</v>
      </c>
      <c r="F3743" s="32" t="s">
        <v>9821</v>
      </c>
      <c r="G3743" s="39" t="s">
        <v>218</v>
      </c>
      <c r="H3743" s="33"/>
      <c r="I3743" s="33"/>
      <c r="J3743" s="33"/>
      <c r="K3743" s="33"/>
      <c r="L3743" s="33"/>
      <c r="M3743" s="33"/>
    </row>
    <row r="3744">
      <c r="A3744" s="32" t="s">
        <v>9822</v>
      </c>
      <c r="B3744" s="32" t="s">
        <v>9823</v>
      </c>
      <c r="C3744" s="35">
        <v>-10.30583286</v>
      </c>
      <c r="D3744" s="35">
        <v>-58.48944473</v>
      </c>
      <c r="E3744" s="32" t="s">
        <v>288</v>
      </c>
      <c r="F3744" s="32" t="s">
        <v>9824</v>
      </c>
      <c r="G3744" s="36" t="e">
        <v>#N/A</v>
      </c>
      <c r="H3744" s="33"/>
      <c r="I3744" s="33"/>
      <c r="J3744" s="33"/>
      <c r="K3744" s="33"/>
      <c r="L3744" s="33"/>
      <c r="M3744" s="33"/>
    </row>
    <row r="3745">
      <c r="A3745" s="32" t="s">
        <v>9825</v>
      </c>
      <c r="B3745" s="32" t="s">
        <v>9826</v>
      </c>
      <c r="C3745" s="35">
        <v>-3.429409981</v>
      </c>
      <c r="D3745" s="35">
        <v>37.07450104</v>
      </c>
      <c r="E3745" s="32" t="s">
        <v>2937</v>
      </c>
      <c r="F3745" s="32" t="s">
        <v>9827</v>
      </c>
      <c r="G3745" s="36" t="e">
        <v>#N/A</v>
      </c>
      <c r="H3745" s="33"/>
      <c r="I3745" s="33"/>
      <c r="J3745" s="33"/>
      <c r="K3745" s="33"/>
      <c r="L3745" s="33"/>
      <c r="M3745" s="33"/>
    </row>
    <row r="3746">
      <c r="A3746" s="32" t="s">
        <v>9828</v>
      </c>
      <c r="B3746" s="32" t="s">
        <v>9829</v>
      </c>
      <c r="C3746" s="35">
        <v>26.88870049</v>
      </c>
      <c r="D3746" s="35">
        <v>70.86499786</v>
      </c>
      <c r="E3746" s="32" t="s">
        <v>217</v>
      </c>
      <c r="F3746" s="32" t="s">
        <v>9830</v>
      </c>
      <c r="G3746" s="39" t="s">
        <v>218</v>
      </c>
      <c r="H3746" s="33"/>
      <c r="I3746" s="33"/>
      <c r="J3746" s="33"/>
      <c r="K3746" s="33"/>
      <c r="L3746" s="33"/>
      <c r="M3746" s="33"/>
    </row>
    <row r="3747">
      <c r="A3747" s="32" t="s">
        <v>9831</v>
      </c>
      <c r="B3747" s="32" t="s">
        <v>9832</v>
      </c>
      <c r="C3747" s="35">
        <v>35.21609879</v>
      </c>
      <c r="D3747" s="35">
        <v>26.10129929</v>
      </c>
      <c r="E3747" s="32" t="s">
        <v>339</v>
      </c>
      <c r="F3747" s="32" t="s">
        <v>9833</v>
      </c>
      <c r="G3747" s="36" t="e">
        <v>#N/A</v>
      </c>
      <c r="H3747" s="33"/>
      <c r="I3747" s="33"/>
      <c r="J3747" s="33"/>
      <c r="K3747" s="33"/>
      <c r="L3747" s="33"/>
      <c r="M3747" s="33"/>
    </row>
    <row r="3748">
      <c r="A3748" s="32" t="s">
        <v>9834</v>
      </c>
      <c r="B3748" s="32" t="s">
        <v>9835</v>
      </c>
      <c r="C3748" s="35">
        <v>39.17710114</v>
      </c>
      <c r="D3748" s="35">
        <v>23.50370026</v>
      </c>
      <c r="E3748" s="32" t="s">
        <v>339</v>
      </c>
      <c r="F3748" s="32" t="s">
        <v>9836</v>
      </c>
      <c r="G3748" s="36" t="e">
        <v>#N/A</v>
      </c>
      <c r="H3748" s="33"/>
      <c r="I3748" s="33"/>
      <c r="J3748" s="33"/>
      <c r="K3748" s="33"/>
      <c r="L3748" s="33"/>
      <c r="M3748" s="33"/>
    </row>
    <row r="3749">
      <c r="A3749" s="32" t="s">
        <v>9837</v>
      </c>
      <c r="B3749" s="32" t="s">
        <v>9838</v>
      </c>
      <c r="C3749" s="35">
        <v>-44.04859924</v>
      </c>
      <c r="D3749" s="35">
        <v>-70.45890045</v>
      </c>
      <c r="E3749" s="32" t="s">
        <v>296</v>
      </c>
      <c r="F3749" s="32" t="s">
        <v>9839</v>
      </c>
      <c r="G3749" s="36" t="e">
        <v>#N/A</v>
      </c>
      <c r="H3749" s="33"/>
      <c r="I3749" s="33"/>
      <c r="J3749" s="33"/>
      <c r="K3749" s="33"/>
      <c r="L3749" s="33"/>
      <c r="M3749" s="33"/>
    </row>
    <row r="3750">
      <c r="A3750" s="32" t="s">
        <v>9840</v>
      </c>
      <c r="B3750" s="32" t="s">
        <v>9841</v>
      </c>
      <c r="C3750" s="35">
        <v>23.18379974</v>
      </c>
      <c r="D3750" s="35">
        <v>89.16079712</v>
      </c>
      <c r="E3750" s="32" t="s">
        <v>1853</v>
      </c>
      <c r="F3750" s="32" t="s">
        <v>9842</v>
      </c>
      <c r="G3750" s="36" t="e">
        <v>#N/A</v>
      </c>
      <c r="H3750" s="33"/>
      <c r="I3750" s="33"/>
      <c r="J3750" s="33"/>
      <c r="K3750" s="33"/>
      <c r="L3750" s="33"/>
      <c r="M3750" s="33"/>
    </row>
    <row r="3751">
      <c r="A3751" s="32" t="s">
        <v>9843</v>
      </c>
      <c r="B3751" s="32" t="s">
        <v>9844</v>
      </c>
      <c r="C3751" s="35">
        <v>40.31610107</v>
      </c>
      <c r="D3751" s="35">
        <v>-78.83390045</v>
      </c>
      <c r="E3751" s="32" t="s">
        <v>180</v>
      </c>
      <c r="F3751" s="32" t="s">
        <v>9845</v>
      </c>
      <c r="G3751" s="39" t="s">
        <v>181</v>
      </c>
      <c r="H3751" s="33"/>
      <c r="I3751" s="33"/>
      <c r="J3751" s="33"/>
      <c r="K3751" s="33"/>
      <c r="L3751" s="33"/>
      <c r="M3751" s="33"/>
    </row>
    <row r="3752">
      <c r="A3752" s="32" t="s">
        <v>9846</v>
      </c>
      <c r="B3752" s="32" t="s">
        <v>9847</v>
      </c>
      <c r="C3752" s="35">
        <v>65.41249847</v>
      </c>
      <c r="D3752" s="35">
        <v>-52.93939972</v>
      </c>
      <c r="E3752" s="32" t="s">
        <v>3703</v>
      </c>
      <c r="F3752" s="32" t="s">
        <v>9848</v>
      </c>
      <c r="G3752" s="36" t="e">
        <v>#N/A</v>
      </c>
      <c r="H3752" s="33"/>
      <c r="I3752" s="33"/>
      <c r="J3752" s="33"/>
      <c r="K3752" s="33"/>
      <c r="L3752" s="33"/>
      <c r="M3752" s="33"/>
    </row>
    <row r="3753">
      <c r="A3753" s="32" t="s">
        <v>9849</v>
      </c>
      <c r="B3753" s="32" t="s">
        <v>9850</v>
      </c>
      <c r="C3753" s="35">
        <v>35.4382019</v>
      </c>
      <c r="D3753" s="35">
        <v>-94.80280304</v>
      </c>
      <c r="E3753" s="32" t="s">
        <v>180</v>
      </c>
      <c r="F3753" s="32" t="s">
        <v>9851</v>
      </c>
      <c r="G3753" s="39" t="s">
        <v>181</v>
      </c>
      <c r="H3753" s="33"/>
      <c r="I3753" s="33"/>
      <c r="J3753" s="33"/>
      <c r="K3753" s="33"/>
      <c r="L3753" s="33"/>
      <c r="M3753" s="33"/>
    </row>
    <row r="3754">
      <c r="A3754" s="32" t="s">
        <v>9852</v>
      </c>
      <c r="B3754" s="32" t="s">
        <v>9853</v>
      </c>
      <c r="C3754" s="35">
        <v>37.42279816</v>
      </c>
      <c r="D3754" s="35">
        <v>24.95089912</v>
      </c>
      <c r="E3754" s="32" t="s">
        <v>339</v>
      </c>
      <c r="F3754" s="32" t="s">
        <v>9854</v>
      </c>
      <c r="G3754" s="36" t="e">
        <v>#N/A</v>
      </c>
      <c r="H3754" s="33"/>
      <c r="I3754" s="33"/>
      <c r="J3754" s="33"/>
      <c r="K3754" s="33"/>
      <c r="L3754" s="33"/>
      <c r="M3754" s="33"/>
    </row>
    <row r="3755">
      <c r="A3755" s="32" t="s">
        <v>9855</v>
      </c>
      <c r="B3755" s="32" t="s">
        <v>9856</v>
      </c>
      <c r="C3755" s="35">
        <v>-22.16685914</v>
      </c>
      <c r="D3755" s="35">
        <v>-49.05028667</v>
      </c>
      <c r="E3755" s="32" t="s">
        <v>288</v>
      </c>
      <c r="F3755" s="32" t="s">
        <v>4419</v>
      </c>
      <c r="G3755" s="36" t="e">
        <v>#N/A</v>
      </c>
      <c r="H3755" s="33"/>
      <c r="I3755" s="33"/>
      <c r="J3755" s="33"/>
      <c r="K3755" s="33"/>
      <c r="L3755" s="33"/>
      <c r="M3755" s="33"/>
    </row>
    <row r="3756">
      <c r="A3756" s="32" t="s">
        <v>9857</v>
      </c>
      <c r="B3756" s="32" t="s">
        <v>9858</v>
      </c>
      <c r="C3756" s="35">
        <v>36.39920044</v>
      </c>
      <c r="D3756" s="35">
        <v>25.47929955</v>
      </c>
      <c r="E3756" s="32" t="s">
        <v>339</v>
      </c>
      <c r="F3756" s="32" t="s">
        <v>9859</v>
      </c>
      <c r="G3756" s="36" t="e">
        <v>#N/A</v>
      </c>
      <c r="H3756" s="33"/>
      <c r="I3756" s="33"/>
      <c r="J3756" s="33"/>
      <c r="K3756" s="33"/>
      <c r="L3756" s="33"/>
      <c r="M3756" s="33"/>
    </row>
    <row r="3757">
      <c r="A3757" s="32" t="s">
        <v>9860</v>
      </c>
      <c r="B3757" s="32" t="s">
        <v>9861</v>
      </c>
      <c r="C3757" s="35">
        <v>36.57989883</v>
      </c>
      <c r="D3757" s="35">
        <v>26.37579918</v>
      </c>
      <c r="E3757" s="32" t="s">
        <v>339</v>
      </c>
      <c r="F3757" s="32" t="s">
        <v>9862</v>
      </c>
      <c r="G3757" s="36" t="e">
        <v>#N/A</v>
      </c>
      <c r="H3757" s="33"/>
      <c r="I3757" s="33"/>
      <c r="J3757" s="33"/>
      <c r="K3757" s="33"/>
      <c r="L3757" s="33"/>
      <c r="M3757" s="33"/>
    </row>
    <row r="3758">
      <c r="A3758" s="32" t="s">
        <v>9863</v>
      </c>
      <c r="B3758" s="32" t="s">
        <v>9864</v>
      </c>
      <c r="C3758" s="35">
        <v>-11.2966</v>
      </c>
      <c r="D3758" s="35">
        <v>-57.5495</v>
      </c>
      <c r="E3758" s="32" t="s">
        <v>288</v>
      </c>
      <c r="F3758" s="32" t="s">
        <v>9865</v>
      </c>
      <c r="G3758" s="36" t="e">
        <v>#N/A</v>
      </c>
      <c r="H3758" s="33"/>
      <c r="I3758" s="33"/>
      <c r="J3758" s="33"/>
      <c r="K3758" s="33"/>
      <c r="L3758" s="33"/>
      <c r="M3758" s="33"/>
    </row>
    <row r="3759">
      <c r="A3759" s="32" t="s">
        <v>9866</v>
      </c>
      <c r="B3759" s="32" t="s">
        <v>9867</v>
      </c>
      <c r="C3759" s="35">
        <v>4.872010231</v>
      </c>
      <c r="D3759" s="35">
        <v>31.60110092</v>
      </c>
      <c r="E3759" s="32" t="s">
        <v>2847</v>
      </c>
      <c r="F3759" s="32" t="s">
        <v>9868</v>
      </c>
      <c r="G3759" s="36" t="e">
        <v>#N/A</v>
      </c>
      <c r="H3759" s="33"/>
      <c r="I3759" s="33"/>
      <c r="J3759" s="33"/>
      <c r="K3759" s="33"/>
      <c r="L3759" s="33"/>
      <c r="M3759" s="33"/>
    </row>
    <row r="3760">
      <c r="A3760" s="32" t="s">
        <v>9869</v>
      </c>
      <c r="B3760" s="32" t="s">
        <v>9870</v>
      </c>
      <c r="C3760" s="35">
        <v>53.68111038</v>
      </c>
      <c r="D3760" s="35">
        <v>7.055832863</v>
      </c>
      <c r="E3760" s="32" t="s">
        <v>109</v>
      </c>
      <c r="F3760" s="32" t="s">
        <v>9871</v>
      </c>
      <c r="G3760" s="39" t="s">
        <v>110</v>
      </c>
      <c r="H3760" s="33"/>
      <c r="I3760" s="33"/>
      <c r="J3760" s="33"/>
      <c r="K3760" s="33"/>
      <c r="L3760" s="33"/>
      <c r="M3760" s="33"/>
    </row>
    <row r="3761">
      <c r="A3761" s="32" t="s">
        <v>9872</v>
      </c>
      <c r="B3761" s="32" t="s">
        <v>9873</v>
      </c>
      <c r="C3761" s="35">
        <v>-24.39279938</v>
      </c>
      <c r="D3761" s="35">
        <v>-65.09780121</v>
      </c>
      <c r="E3761" s="32" t="s">
        <v>296</v>
      </c>
      <c r="F3761" s="32" t="s">
        <v>9874</v>
      </c>
      <c r="G3761" s="36" t="e">
        <v>#N/A</v>
      </c>
      <c r="H3761" s="33"/>
      <c r="I3761" s="33"/>
      <c r="J3761" s="33"/>
      <c r="K3761" s="33"/>
      <c r="L3761" s="33"/>
      <c r="M3761" s="33"/>
    </row>
    <row r="3762">
      <c r="A3762" s="32" t="s">
        <v>9875</v>
      </c>
      <c r="B3762" s="32" t="s">
        <v>9876</v>
      </c>
      <c r="C3762" s="35">
        <v>-15.46710014</v>
      </c>
      <c r="D3762" s="35">
        <v>-70.15820313</v>
      </c>
      <c r="E3762" s="32" t="s">
        <v>307</v>
      </c>
      <c r="F3762" s="32" t="s">
        <v>9877</v>
      </c>
      <c r="G3762" s="36" t="e">
        <v>#N/A</v>
      </c>
      <c r="H3762" s="33"/>
      <c r="I3762" s="33"/>
      <c r="J3762" s="33"/>
      <c r="K3762" s="33"/>
      <c r="L3762" s="33"/>
      <c r="M3762" s="33"/>
    </row>
    <row r="3763">
      <c r="A3763" s="32" t="s">
        <v>9878</v>
      </c>
      <c r="B3763" s="32" t="s">
        <v>9879</v>
      </c>
      <c r="C3763" s="35">
        <v>29.27420044</v>
      </c>
      <c r="D3763" s="35">
        <v>82.19329834</v>
      </c>
      <c r="E3763" s="32" t="s">
        <v>1877</v>
      </c>
      <c r="F3763" s="32" t="s">
        <v>9880</v>
      </c>
      <c r="G3763" s="36" t="e">
        <v>#N/A</v>
      </c>
      <c r="H3763" s="33"/>
      <c r="I3763" s="33"/>
      <c r="J3763" s="33"/>
      <c r="K3763" s="33"/>
      <c r="L3763" s="33"/>
      <c r="M3763" s="33"/>
    </row>
    <row r="3764">
      <c r="A3764" s="32" t="s">
        <v>9881</v>
      </c>
      <c r="B3764" s="32" t="s">
        <v>9882</v>
      </c>
      <c r="C3764" s="35">
        <v>72.79019928</v>
      </c>
      <c r="D3764" s="35">
        <v>-56.13059998</v>
      </c>
      <c r="E3764" s="32" t="s">
        <v>3703</v>
      </c>
      <c r="F3764" s="32" t="s">
        <v>9883</v>
      </c>
      <c r="G3764" s="36" t="e">
        <v>#N/A</v>
      </c>
      <c r="H3764" s="33"/>
      <c r="I3764" s="33"/>
      <c r="J3764" s="33"/>
      <c r="K3764" s="33"/>
      <c r="L3764" s="33"/>
      <c r="M3764" s="33"/>
    </row>
    <row r="3765">
      <c r="A3765" s="32" t="s">
        <v>9884</v>
      </c>
      <c r="B3765" s="32" t="s">
        <v>9885</v>
      </c>
      <c r="C3765" s="35">
        <v>28.965799</v>
      </c>
      <c r="D3765" s="35">
        <v>118.899002</v>
      </c>
      <c r="E3765" s="32" t="s">
        <v>205</v>
      </c>
      <c r="F3765" s="32" t="s">
        <v>9886</v>
      </c>
      <c r="G3765" s="39" t="s">
        <v>206</v>
      </c>
      <c r="H3765" s="33"/>
      <c r="I3765" s="33"/>
      <c r="J3765" s="33"/>
      <c r="K3765" s="33"/>
      <c r="L3765" s="33"/>
      <c r="M3765" s="33"/>
    </row>
    <row r="3766">
      <c r="A3766" s="32" t="s">
        <v>9887</v>
      </c>
      <c r="B3766" s="32" t="s">
        <v>9888</v>
      </c>
      <c r="C3766" s="35">
        <v>-18.80500952</v>
      </c>
      <c r="D3766" s="35">
        <v>45.2734673</v>
      </c>
      <c r="E3766" s="32" t="s">
        <v>384</v>
      </c>
      <c r="F3766" s="32" t="s">
        <v>9889</v>
      </c>
      <c r="G3766" s="36" t="e">
        <v>#N/A</v>
      </c>
      <c r="H3766" s="33"/>
      <c r="I3766" s="33"/>
      <c r="J3766" s="33"/>
      <c r="K3766" s="33"/>
      <c r="L3766" s="33"/>
      <c r="M3766" s="33"/>
    </row>
    <row r="3767">
      <c r="A3767" s="32" t="s">
        <v>9890</v>
      </c>
      <c r="B3767" s="32" t="s">
        <v>9891</v>
      </c>
      <c r="C3767" s="35">
        <v>42.62030029</v>
      </c>
      <c r="D3767" s="35">
        <v>-89.04160309</v>
      </c>
      <c r="E3767" s="32" t="s">
        <v>180</v>
      </c>
      <c r="F3767" s="32" t="s">
        <v>9892</v>
      </c>
      <c r="G3767" s="39" t="s">
        <v>181</v>
      </c>
      <c r="H3767" s="33"/>
      <c r="I3767" s="33"/>
      <c r="J3767" s="33"/>
      <c r="K3767" s="33"/>
      <c r="L3767" s="33"/>
      <c r="M3767" s="33"/>
    </row>
    <row r="3768">
      <c r="A3768" s="32" t="s">
        <v>9893</v>
      </c>
      <c r="B3768" s="32" t="s">
        <v>9894</v>
      </c>
      <c r="C3768" s="35">
        <v>-24.60230064</v>
      </c>
      <c r="D3768" s="35">
        <v>24.69099998</v>
      </c>
      <c r="E3768" s="32" t="s">
        <v>2285</v>
      </c>
      <c r="F3768" s="32" t="s">
        <v>9895</v>
      </c>
      <c r="G3768" s="36" t="e">
        <v>#N/A</v>
      </c>
      <c r="H3768" s="33"/>
      <c r="I3768" s="33"/>
      <c r="J3768" s="33"/>
      <c r="K3768" s="33"/>
      <c r="L3768" s="33"/>
      <c r="M3768" s="33"/>
    </row>
    <row r="3769">
      <c r="A3769" s="32" t="s">
        <v>9896</v>
      </c>
      <c r="B3769" s="32" t="s">
        <v>9897</v>
      </c>
      <c r="C3769" s="35">
        <v>45.293</v>
      </c>
      <c r="D3769" s="35">
        <v>131.193</v>
      </c>
      <c r="E3769" s="32" t="s">
        <v>205</v>
      </c>
      <c r="F3769" s="32" t="s">
        <v>9898</v>
      </c>
      <c r="G3769" s="39" t="s">
        <v>206</v>
      </c>
      <c r="H3769" s="33"/>
      <c r="I3769" s="33"/>
      <c r="J3769" s="33"/>
      <c r="K3769" s="33"/>
      <c r="L3769" s="33"/>
      <c r="M3769" s="33"/>
    </row>
    <row r="3770">
      <c r="A3770" s="32" t="s">
        <v>9899</v>
      </c>
      <c r="B3770" s="32" t="s">
        <v>9900</v>
      </c>
      <c r="C3770" s="35">
        <v>42.25979996</v>
      </c>
      <c r="D3770" s="35">
        <v>-84.45939636</v>
      </c>
      <c r="E3770" s="32" t="s">
        <v>180</v>
      </c>
      <c r="F3770" s="32" t="s">
        <v>9607</v>
      </c>
      <c r="G3770" s="39" t="s">
        <v>181</v>
      </c>
      <c r="H3770" s="33"/>
      <c r="I3770" s="33"/>
      <c r="J3770" s="33"/>
      <c r="K3770" s="33"/>
      <c r="L3770" s="33"/>
      <c r="M3770" s="33"/>
    </row>
    <row r="3771">
      <c r="A3771" s="32" t="s">
        <v>9901</v>
      </c>
      <c r="B3771" s="32" t="s">
        <v>9902</v>
      </c>
      <c r="C3771" s="35">
        <v>32.64530182</v>
      </c>
      <c r="D3771" s="35">
        <v>-81.5970993</v>
      </c>
      <c r="E3771" s="32" t="s">
        <v>180</v>
      </c>
      <c r="F3771" s="32" t="s">
        <v>9903</v>
      </c>
      <c r="G3771" s="39" t="s">
        <v>181</v>
      </c>
      <c r="H3771" s="33"/>
      <c r="I3771" s="33"/>
      <c r="J3771" s="33"/>
      <c r="K3771" s="33"/>
      <c r="L3771" s="33"/>
      <c r="M3771" s="33"/>
    </row>
    <row r="3772">
      <c r="A3772" s="32" t="s">
        <v>9904</v>
      </c>
      <c r="B3772" s="32" t="s">
        <v>9905</v>
      </c>
      <c r="C3772" s="35">
        <v>39.07799911</v>
      </c>
      <c r="D3772" s="35">
        <v>-77.55750275</v>
      </c>
      <c r="E3772" s="32" t="s">
        <v>180</v>
      </c>
      <c r="F3772" s="32" t="s">
        <v>9906</v>
      </c>
      <c r="G3772" s="39" t="s">
        <v>181</v>
      </c>
      <c r="H3772" s="33"/>
      <c r="I3772" s="33"/>
      <c r="J3772" s="33"/>
      <c r="K3772" s="33"/>
      <c r="L3772" s="33"/>
      <c r="M3772" s="33"/>
    </row>
    <row r="3773">
      <c r="A3773" s="32" t="s">
        <v>9907</v>
      </c>
      <c r="B3773" s="32" t="s">
        <v>9908</v>
      </c>
      <c r="C3773" s="35">
        <v>62.3995018</v>
      </c>
      <c r="D3773" s="35">
        <v>25.67830086</v>
      </c>
      <c r="E3773" s="32" t="s">
        <v>408</v>
      </c>
      <c r="F3773" s="32" t="s">
        <v>9909</v>
      </c>
      <c r="G3773" s="36" t="e">
        <v>#N/A</v>
      </c>
      <c r="H3773" s="33"/>
      <c r="I3773" s="33"/>
      <c r="J3773" s="33"/>
      <c r="K3773" s="33"/>
      <c r="L3773" s="33"/>
      <c r="M3773" s="33"/>
    </row>
    <row r="3774">
      <c r="A3774" s="32" t="s">
        <v>9910</v>
      </c>
      <c r="B3774" s="32" t="s">
        <v>9911</v>
      </c>
      <c r="C3774" s="35">
        <v>32.85333333</v>
      </c>
      <c r="D3774" s="35">
        <v>103.6822222</v>
      </c>
      <c r="E3774" s="32" t="s">
        <v>205</v>
      </c>
      <c r="F3774" s="32" t="s">
        <v>9912</v>
      </c>
      <c r="G3774" s="39" t="s">
        <v>206</v>
      </c>
      <c r="H3774" s="33"/>
      <c r="I3774" s="33"/>
      <c r="J3774" s="33"/>
      <c r="K3774" s="33"/>
      <c r="L3774" s="33"/>
      <c r="M3774" s="33"/>
    </row>
    <row r="3775">
      <c r="A3775" s="32" t="s">
        <v>9913</v>
      </c>
      <c r="B3775" s="32" t="s">
        <v>9914</v>
      </c>
      <c r="C3775" s="35">
        <v>32.70090103</v>
      </c>
      <c r="D3775" s="35">
        <v>-80.00289917</v>
      </c>
      <c r="E3775" s="32" t="s">
        <v>180</v>
      </c>
      <c r="F3775" s="32" t="s">
        <v>5860</v>
      </c>
      <c r="G3775" s="39" t="s">
        <v>181</v>
      </c>
      <c r="H3775" s="33"/>
      <c r="I3775" s="33"/>
      <c r="J3775" s="33"/>
      <c r="K3775" s="33"/>
      <c r="L3775" s="33"/>
      <c r="M3775" s="33"/>
    </row>
    <row r="3776">
      <c r="A3776" s="32" t="s">
        <v>9915</v>
      </c>
      <c r="B3776" s="32" t="s">
        <v>9916</v>
      </c>
      <c r="C3776" s="35">
        <v>34.45339966</v>
      </c>
      <c r="D3776" s="35">
        <v>-84.45739746</v>
      </c>
      <c r="E3776" s="32" t="s">
        <v>180</v>
      </c>
      <c r="F3776" s="32" t="s">
        <v>9610</v>
      </c>
      <c r="G3776" s="39" t="s">
        <v>181</v>
      </c>
      <c r="H3776" s="33"/>
      <c r="I3776" s="33"/>
      <c r="J3776" s="33"/>
      <c r="K3776" s="33"/>
      <c r="L3776" s="33"/>
      <c r="M3776" s="33"/>
    </row>
    <row r="3777">
      <c r="A3777" s="32" t="s">
        <v>9917</v>
      </c>
      <c r="B3777" s="32" t="s">
        <v>9918</v>
      </c>
      <c r="C3777" s="35">
        <v>39.90420151</v>
      </c>
      <c r="D3777" s="35">
        <v>-95.77940369</v>
      </c>
      <c r="E3777" s="32" t="s">
        <v>180</v>
      </c>
      <c r="F3777" s="32" t="s">
        <v>9919</v>
      </c>
      <c r="G3777" s="39" t="s">
        <v>181</v>
      </c>
      <c r="H3777" s="33"/>
      <c r="I3777" s="33"/>
      <c r="J3777" s="33"/>
      <c r="K3777" s="33"/>
      <c r="L3777" s="33"/>
      <c r="M3777" s="33"/>
    </row>
    <row r="3778">
      <c r="A3778" s="32" t="s">
        <v>9920</v>
      </c>
      <c r="B3778" s="32" t="s">
        <v>9921</v>
      </c>
      <c r="C3778" s="35">
        <v>-10.2166996</v>
      </c>
      <c r="D3778" s="35">
        <v>31.13330078</v>
      </c>
      <c r="E3778" s="32" t="s">
        <v>759</v>
      </c>
      <c r="F3778" s="32" t="s">
        <v>9922</v>
      </c>
      <c r="G3778" s="36" t="e">
        <v>#N/A</v>
      </c>
      <c r="H3778" s="33"/>
      <c r="I3778" s="33"/>
      <c r="J3778" s="33"/>
      <c r="K3778" s="33"/>
      <c r="L3778" s="33"/>
      <c r="M3778" s="33"/>
    </row>
    <row r="3779">
      <c r="A3779" s="32" t="s">
        <v>9923</v>
      </c>
      <c r="B3779" s="32" t="s">
        <v>9924</v>
      </c>
      <c r="C3779" s="35">
        <v>-16.51980019</v>
      </c>
      <c r="D3779" s="35">
        <v>28.88500023</v>
      </c>
      <c r="E3779" s="32" t="s">
        <v>785</v>
      </c>
      <c r="F3779" s="32" t="s">
        <v>9925</v>
      </c>
      <c r="G3779" s="36" t="e">
        <v>#N/A</v>
      </c>
      <c r="H3779" s="33"/>
      <c r="I3779" s="33"/>
      <c r="J3779" s="33"/>
      <c r="K3779" s="33"/>
      <c r="L3779" s="33"/>
      <c r="M3779" s="33"/>
    </row>
    <row r="3780">
      <c r="A3780" s="32" t="s">
        <v>9926</v>
      </c>
      <c r="B3780" s="32" t="s">
        <v>9927</v>
      </c>
      <c r="C3780" s="35">
        <v>37.02059937</v>
      </c>
      <c r="D3780" s="35">
        <v>41.19139862</v>
      </c>
      <c r="E3780" s="32" t="s">
        <v>3896</v>
      </c>
      <c r="F3780" s="32" t="s">
        <v>9928</v>
      </c>
      <c r="G3780" s="36" t="e">
        <v>#N/A</v>
      </c>
      <c r="H3780" s="33"/>
      <c r="I3780" s="33"/>
      <c r="J3780" s="33"/>
      <c r="K3780" s="33"/>
      <c r="L3780" s="33"/>
      <c r="M3780" s="33"/>
    </row>
    <row r="3781">
      <c r="A3781" s="32" t="s">
        <v>9929</v>
      </c>
      <c r="B3781" s="32" t="s">
        <v>9930</v>
      </c>
      <c r="C3781" s="35">
        <v>10.6960001</v>
      </c>
      <c r="D3781" s="35">
        <v>7.320109844</v>
      </c>
      <c r="E3781" s="32" t="s">
        <v>19</v>
      </c>
      <c r="F3781" s="32" t="s">
        <v>9931</v>
      </c>
      <c r="G3781" s="36" t="e">
        <v>#N/A</v>
      </c>
      <c r="H3781" s="33"/>
      <c r="I3781" s="33"/>
      <c r="J3781" s="33"/>
      <c r="K3781" s="33"/>
      <c r="L3781" s="33"/>
      <c r="M3781" s="33"/>
    </row>
    <row r="3782">
      <c r="A3782" s="32" t="s">
        <v>9932</v>
      </c>
      <c r="B3782" s="32" t="s">
        <v>9933</v>
      </c>
      <c r="C3782" s="35">
        <v>37.75360107</v>
      </c>
      <c r="D3782" s="35">
        <v>128.9440002</v>
      </c>
      <c r="E3782" s="32" t="s">
        <v>151</v>
      </c>
      <c r="F3782" s="32" t="s">
        <v>9934</v>
      </c>
      <c r="G3782" s="39" t="s">
        <v>152</v>
      </c>
      <c r="H3782" s="33"/>
      <c r="I3782" s="33"/>
      <c r="J3782" s="33"/>
      <c r="K3782" s="33"/>
      <c r="L3782" s="33"/>
      <c r="M3782" s="33"/>
    </row>
    <row r="3783">
      <c r="A3783" s="32" t="s">
        <v>9935</v>
      </c>
      <c r="B3783" s="32" t="s">
        <v>9936</v>
      </c>
      <c r="C3783" s="35">
        <v>5.172754765</v>
      </c>
      <c r="D3783" s="35">
        <v>-59.49148178</v>
      </c>
      <c r="E3783" s="32" t="s">
        <v>1822</v>
      </c>
      <c r="F3783" s="32" t="s">
        <v>9937</v>
      </c>
      <c r="G3783" s="36" t="e">
        <v>#N/A</v>
      </c>
      <c r="H3783" s="33"/>
      <c r="I3783" s="33"/>
      <c r="J3783" s="33"/>
      <c r="K3783" s="33"/>
      <c r="L3783" s="33"/>
      <c r="M3783" s="33"/>
    </row>
    <row r="3784">
      <c r="A3784" s="32" t="s">
        <v>9938</v>
      </c>
      <c r="B3784" s="32" t="s">
        <v>9939</v>
      </c>
      <c r="C3784" s="35">
        <v>64.28549957</v>
      </c>
      <c r="D3784" s="35">
        <v>27.69239998</v>
      </c>
      <c r="E3784" s="32" t="s">
        <v>408</v>
      </c>
      <c r="F3784" s="32" t="s">
        <v>9940</v>
      </c>
      <c r="G3784" s="36" t="e">
        <v>#N/A</v>
      </c>
      <c r="H3784" s="33"/>
      <c r="I3784" s="33"/>
      <c r="J3784" s="33"/>
      <c r="K3784" s="33"/>
      <c r="L3784" s="33"/>
      <c r="M3784" s="33"/>
    </row>
    <row r="3785">
      <c r="A3785" s="32" t="s">
        <v>9941</v>
      </c>
      <c r="B3785" s="32" t="s">
        <v>9942</v>
      </c>
      <c r="C3785" s="35">
        <v>64.31909943</v>
      </c>
      <c r="D3785" s="35">
        <v>-158.7409973</v>
      </c>
      <c r="E3785" s="32" t="s">
        <v>180</v>
      </c>
      <c r="F3785" s="32" t="s">
        <v>9943</v>
      </c>
      <c r="G3785" s="39" t="s">
        <v>181</v>
      </c>
      <c r="H3785" s="33"/>
      <c r="I3785" s="33"/>
      <c r="J3785" s="33"/>
      <c r="K3785" s="33"/>
      <c r="L3785" s="33"/>
      <c r="M3785" s="33"/>
    </row>
    <row r="3786">
      <c r="A3786" s="32" t="s">
        <v>9944</v>
      </c>
      <c r="B3786" s="32" t="s">
        <v>9945</v>
      </c>
      <c r="C3786" s="35">
        <v>12.04759979</v>
      </c>
      <c r="D3786" s="35">
        <v>8.524620056</v>
      </c>
      <c r="E3786" s="32" t="s">
        <v>19</v>
      </c>
      <c r="F3786" s="32" t="s">
        <v>9946</v>
      </c>
      <c r="G3786" s="36" t="e">
        <v>#N/A</v>
      </c>
      <c r="H3786" s="33"/>
      <c r="I3786" s="33"/>
      <c r="J3786" s="33"/>
      <c r="K3786" s="33"/>
      <c r="L3786" s="33"/>
      <c r="M3786" s="33"/>
    </row>
    <row r="3787">
      <c r="A3787" s="32" t="s">
        <v>9947</v>
      </c>
      <c r="B3787" s="32" t="s">
        <v>9948</v>
      </c>
      <c r="C3787" s="35">
        <v>65.98760223</v>
      </c>
      <c r="D3787" s="35">
        <v>29.23940086</v>
      </c>
      <c r="E3787" s="32" t="s">
        <v>408</v>
      </c>
      <c r="F3787" s="32" t="s">
        <v>9949</v>
      </c>
      <c r="G3787" s="36" t="e">
        <v>#N/A</v>
      </c>
      <c r="H3787" s="33"/>
      <c r="I3787" s="33"/>
      <c r="J3787" s="33"/>
      <c r="K3787" s="33"/>
      <c r="L3787" s="33"/>
      <c r="M3787" s="33"/>
    </row>
    <row r="3788">
      <c r="A3788" s="32" t="s">
        <v>9950</v>
      </c>
      <c r="B3788" s="32" t="s">
        <v>9951</v>
      </c>
      <c r="C3788" s="35">
        <v>5.865340233</v>
      </c>
      <c r="D3788" s="35">
        <v>-60.61420059</v>
      </c>
      <c r="E3788" s="32" t="s">
        <v>1822</v>
      </c>
      <c r="F3788" s="32" t="s">
        <v>9952</v>
      </c>
      <c r="G3788" s="36" t="e">
        <v>#N/A</v>
      </c>
      <c r="H3788" s="33"/>
      <c r="I3788" s="33"/>
      <c r="J3788" s="33"/>
      <c r="K3788" s="33"/>
      <c r="L3788" s="33"/>
      <c r="M3788" s="33"/>
    </row>
    <row r="3789">
      <c r="A3789" s="32" t="s">
        <v>9953</v>
      </c>
      <c r="B3789" s="32" t="s">
        <v>9954</v>
      </c>
      <c r="C3789" s="35">
        <v>-35.06999969</v>
      </c>
      <c r="D3789" s="35">
        <v>173.2850037</v>
      </c>
      <c r="E3789" s="32" t="s">
        <v>1328</v>
      </c>
      <c r="F3789" s="32" t="s">
        <v>9955</v>
      </c>
      <c r="G3789" s="36" t="e">
        <v>#N/A</v>
      </c>
      <c r="H3789" s="33"/>
      <c r="I3789" s="33"/>
      <c r="J3789" s="33"/>
      <c r="K3789" s="33"/>
      <c r="L3789" s="33"/>
      <c r="M3789" s="33"/>
    </row>
    <row r="3790">
      <c r="A3790" s="32" t="s">
        <v>9956</v>
      </c>
      <c r="B3790" s="32" t="s">
        <v>9957</v>
      </c>
      <c r="C3790" s="35">
        <v>63.127102</v>
      </c>
      <c r="D3790" s="35">
        <v>23.051399</v>
      </c>
      <c r="E3790" s="32" t="s">
        <v>408</v>
      </c>
      <c r="F3790" s="32" t="s">
        <v>9958</v>
      </c>
      <c r="G3790" s="36" t="e">
        <v>#N/A</v>
      </c>
      <c r="H3790" s="33"/>
      <c r="I3790" s="33"/>
      <c r="J3790" s="33"/>
      <c r="K3790" s="33"/>
      <c r="L3790" s="33"/>
      <c r="M3790" s="33"/>
    </row>
    <row r="3791">
      <c r="A3791" s="32" t="s">
        <v>9959</v>
      </c>
      <c r="B3791" s="32" t="s">
        <v>9960</v>
      </c>
      <c r="C3791" s="35">
        <v>10.04930019</v>
      </c>
      <c r="D3791" s="35">
        <v>98.53800201</v>
      </c>
      <c r="E3791" s="32" t="s">
        <v>1918</v>
      </c>
      <c r="F3791" s="32" t="s">
        <v>9961</v>
      </c>
      <c r="G3791" s="36" t="e">
        <v>#N/A</v>
      </c>
      <c r="H3791" s="33"/>
      <c r="I3791" s="33"/>
      <c r="J3791" s="33"/>
      <c r="K3791" s="33"/>
      <c r="L3791" s="33"/>
      <c r="M3791" s="33"/>
    </row>
    <row r="3792">
      <c r="A3792" s="32" t="s">
        <v>9962</v>
      </c>
      <c r="B3792" s="32" t="s">
        <v>9963</v>
      </c>
      <c r="C3792" s="35">
        <v>-27.692813</v>
      </c>
      <c r="D3792" s="35">
        <v>114.259169</v>
      </c>
      <c r="E3792" s="32" t="s">
        <v>1968</v>
      </c>
      <c r="F3792" s="32" t="s">
        <v>9964</v>
      </c>
      <c r="G3792" s="36" t="e">
        <v>#N/A</v>
      </c>
      <c r="H3792" s="33"/>
      <c r="I3792" s="33"/>
      <c r="J3792" s="33"/>
      <c r="K3792" s="33"/>
      <c r="L3792" s="33"/>
      <c r="M3792" s="33"/>
    </row>
    <row r="3793">
      <c r="A3793" s="32" t="s">
        <v>9965</v>
      </c>
      <c r="B3793" s="32" t="s">
        <v>9966</v>
      </c>
      <c r="C3793" s="35">
        <v>1.185279965</v>
      </c>
      <c r="D3793" s="35">
        <v>127.8960037</v>
      </c>
      <c r="E3793" s="32" t="s">
        <v>280</v>
      </c>
      <c r="F3793" s="32" t="s">
        <v>9967</v>
      </c>
      <c r="G3793" s="36" t="e">
        <v>#N/A</v>
      </c>
      <c r="H3793" s="33"/>
      <c r="I3793" s="33"/>
      <c r="J3793" s="33"/>
      <c r="K3793" s="33"/>
      <c r="L3793" s="33"/>
      <c r="M3793" s="33"/>
    </row>
    <row r="3794">
      <c r="A3794" s="32" t="s">
        <v>9968</v>
      </c>
      <c r="B3794" s="32" t="s">
        <v>9969</v>
      </c>
      <c r="C3794" s="35">
        <v>34.5658989</v>
      </c>
      <c r="D3794" s="35">
        <v>69.21230316</v>
      </c>
      <c r="E3794" s="32" t="s">
        <v>1350</v>
      </c>
      <c r="F3794" s="32" t="s">
        <v>2170</v>
      </c>
      <c r="G3794" s="36" t="e">
        <v>#N/A</v>
      </c>
      <c r="H3794" s="33"/>
      <c r="I3794" s="33"/>
      <c r="J3794" s="33"/>
      <c r="K3794" s="33"/>
      <c r="L3794" s="33"/>
      <c r="M3794" s="33"/>
    </row>
    <row r="3795">
      <c r="A3795" s="32" t="s">
        <v>9970</v>
      </c>
      <c r="B3795" s="32" t="s">
        <v>9971</v>
      </c>
      <c r="C3795" s="35">
        <v>-6.132999897</v>
      </c>
      <c r="D3795" s="35">
        <v>24.4829998</v>
      </c>
      <c r="E3795" s="32" t="s">
        <v>800</v>
      </c>
      <c r="F3795" s="32" t="s">
        <v>9972</v>
      </c>
      <c r="G3795" s="36" t="e">
        <v>#N/A</v>
      </c>
      <c r="H3795" s="33"/>
      <c r="I3795" s="33"/>
      <c r="J3795" s="33"/>
      <c r="K3795" s="33"/>
      <c r="L3795" s="33"/>
      <c r="M3795" s="33"/>
    </row>
    <row r="3796">
      <c r="A3796" s="32" t="s">
        <v>9973</v>
      </c>
      <c r="B3796" s="32" t="s">
        <v>9974</v>
      </c>
      <c r="C3796" s="35">
        <v>50.34500122</v>
      </c>
      <c r="D3796" s="35">
        <v>30.8946991</v>
      </c>
      <c r="E3796" s="32" t="s">
        <v>3293</v>
      </c>
      <c r="F3796" s="32" t="s">
        <v>8172</v>
      </c>
      <c r="G3796" s="36" t="e">
        <v>#N/A</v>
      </c>
      <c r="H3796" s="33"/>
      <c r="I3796" s="33"/>
      <c r="J3796" s="33"/>
      <c r="K3796" s="33"/>
      <c r="L3796" s="33"/>
      <c r="M3796" s="33"/>
    </row>
    <row r="3797">
      <c r="A3797" s="32" t="s">
        <v>9975</v>
      </c>
      <c r="B3797" s="32" t="s">
        <v>9976</v>
      </c>
      <c r="C3797" s="35">
        <v>6.16685009</v>
      </c>
      <c r="D3797" s="35">
        <v>102.2929993</v>
      </c>
      <c r="E3797" s="32" t="s">
        <v>284</v>
      </c>
      <c r="F3797" s="32" t="s">
        <v>9977</v>
      </c>
      <c r="G3797" s="36" t="e">
        <v>#N/A</v>
      </c>
      <c r="H3797" s="33"/>
      <c r="I3797" s="33"/>
      <c r="J3797" s="33"/>
      <c r="K3797" s="33"/>
      <c r="L3797" s="33"/>
      <c r="M3797" s="33"/>
    </row>
    <row r="3798">
      <c r="A3798" s="32" t="s">
        <v>9978</v>
      </c>
      <c r="B3798" s="32" t="s">
        <v>9979</v>
      </c>
      <c r="C3798" s="35">
        <v>7.944399834</v>
      </c>
      <c r="D3798" s="35">
        <v>-11.76099968</v>
      </c>
      <c r="E3798" s="32" t="s">
        <v>5250</v>
      </c>
      <c r="F3798" s="32" t="s">
        <v>9980</v>
      </c>
      <c r="G3798" s="36" t="e">
        <v>#N/A</v>
      </c>
      <c r="H3798" s="33"/>
      <c r="I3798" s="33"/>
      <c r="J3798" s="33"/>
      <c r="K3798" s="33"/>
      <c r="L3798" s="33"/>
      <c r="M3798" s="33"/>
    </row>
    <row r="3799">
      <c r="A3799" s="32" t="s">
        <v>9981</v>
      </c>
      <c r="B3799" s="32" t="s">
        <v>9982</v>
      </c>
      <c r="C3799" s="35">
        <v>8.09912014</v>
      </c>
      <c r="D3799" s="35">
        <v>98.98619843</v>
      </c>
      <c r="E3799" s="32" t="s">
        <v>175</v>
      </c>
      <c r="F3799" s="32" t="s">
        <v>9983</v>
      </c>
      <c r="G3799" s="39" t="s">
        <v>176</v>
      </c>
      <c r="H3799" s="33"/>
      <c r="I3799" s="33"/>
      <c r="J3799" s="33"/>
      <c r="K3799" s="33"/>
      <c r="L3799" s="33"/>
      <c r="M3799" s="33"/>
    </row>
    <row r="3800">
      <c r="A3800" s="32" t="s">
        <v>9984</v>
      </c>
      <c r="B3800" s="32" t="s">
        <v>9985</v>
      </c>
      <c r="C3800" s="35">
        <v>-42.42499924</v>
      </c>
      <c r="D3800" s="35">
        <v>173.6049957</v>
      </c>
      <c r="E3800" s="32" t="s">
        <v>1328</v>
      </c>
      <c r="F3800" s="32" t="s">
        <v>9986</v>
      </c>
      <c r="G3800" s="36" t="e">
        <v>#N/A</v>
      </c>
      <c r="H3800" s="33"/>
      <c r="I3800" s="33"/>
      <c r="J3800" s="33"/>
      <c r="K3800" s="33"/>
      <c r="L3800" s="33"/>
      <c r="M3800" s="33"/>
    </row>
    <row r="3801">
      <c r="A3801" s="32" t="s">
        <v>9987</v>
      </c>
      <c r="B3801" s="32" t="s">
        <v>9988</v>
      </c>
      <c r="C3801" s="35">
        <v>41.7181015</v>
      </c>
      <c r="D3801" s="35">
        <v>82.98690033</v>
      </c>
      <c r="E3801" s="32" t="s">
        <v>205</v>
      </c>
      <c r="F3801" s="32" t="s">
        <v>9989</v>
      </c>
      <c r="G3801" s="39" t="s">
        <v>206</v>
      </c>
      <c r="H3801" s="33"/>
      <c r="I3801" s="33"/>
      <c r="J3801" s="33"/>
      <c r="K3801" s="33"/>
      <c r="L3801" s="33"/>
      <c r="M3801" s="33"/>
    </row>
    <row r="3802">
      <c r="A3802" s="32" t="s">
        <v>9990</v>
      </c>
      <c r="B3802" s="32" t="s">
        <v>9991</v>
      </c>
      <c r="C3802" s="35">
        <v>1.484699965</v>
      </c>
      <c r="D3802" s="35">
        <v>110.3470001</v>
      </c>
      <c r="E3802" s="32" t="s">
        <v>284</v>
      </c>
      <c r="F3802" s="32" t="s">
        <v>9992</v>
      </c>
      <c r="G3802" s="36" t="e">
        <v>#N/A</v>
      </c>
      <c r="H3802" s="33"/>
      <c r="I3802" s="33"/>
      <c r="J3802" s="33"/>
      <c r="K3802" s="33"/>
      <c r="L3802" s="33"/>
      <c r="M3802" s="33"/>
    </row>
    <row r="3803">
      <c r="A3803" s="32" t="s">
        <v>9993</v>
      </c>
      <c r="B3803" s="32" t="s">
        <v>9994</v>
      </c>
      <c r="C3803" s="35">
        <v>37.53882599</v>
      </c>
      <c r="D3803" s="35">
        <v>36.95352173</v>
      </c>
      <c r="E3803" s="32" t="s">
        <v>133</v>
      </c>
      <c r="F3803" s="32" t="s">
        <v>9995</v>
      </c>
      <c r="G3803" s="39" t="s">
        <v>134</v>
      </c>
      <c r="H3803" s="33"/>
      <c r="I3803" s="33"/>
      <c r="J3803" s="33"/>
      <c r="K3803" s="33"/>
      <c r="L3803" s="33"/>
      <c r="M3803" s="33"/>
    </row>
    <row r="3804">
      <c r="A3804" s="32" t="s">
        <v>9996</v>
      </c>
      <c r="B3804" s="32" t="s">
        <v>9997</v>
      </c>
      <c r="C3804" s="35">
        <v>5.99368</v>
      </c>
      <c r="D3804" s="35">
        <v>80.32029724</v>
      </c>
      <c r="E3804" s="32" t="s">
        <v>1829</v>
      </c>
      <c r="F3804" s="32" t="s">
        <v>9998</v>
      </c>
      <c r="G3804" s="36" t="e">
        <v>#N/A</v>
      </c>
      <c r="H3804" s="33"/>
      <c r="I3804" s="33"/>
      <c r="J3804" s="33"/>
      <c r="K3804" s="33"/>
      <c r="L3804" s="33"/>
      <c r="M3804" s="33"/>
    </row>
    <row r="3805">
      <c r="A3805" s="32" t="s">
        <v>9999</v>
      </c>
      <c r="B3805" s="32" t="s">
        <v>10000</v>
      </c>
      <c r="C3805" s="35">
        <v>33.54610062</v>
      </c>
      <c r="D3805" s="35">
        <v>133.6690063</v>
      </c>
      <c r="E3805" s="32" t="s">
        <v>170</v>
      </c>
      <c r="F3805" s="32" t="s">
        <v>6134</v>
      </c>
      <c r="G3805" s="39" t="s">
        <v>171</v>
      </c>
      <c r="H3805" s="33"/>
      <c r="I3805" s="33"/>
      <c r="J3805" s="33"/>
      <c r="K3805" s="33"/>
      <c r="L3805" s="33"/>
      <c r="M3805" s="33"/>
    </row>
    <row r="3806">
      <c r="A3806" s="32" t="s">
        <v>10001</v>
      </c>
      <c r="B3806" s="32" t="s">
        <v>10002</v>
      </c>
      <c r="C3806" s="35">
        <v>27.79059982</v>
      </c>
      <c r="D3806" s="35">
        <v>66.64730072</v>
      </c>
      <c r="E3806" s="32" t="s">
        <v>1470</v>
      </c>
      <c r="F3806" s="32" t="s">
        <v>10003</v>
      </c>
      <c r="G3806" s="36" t="e">
        <v>#N/A</v>
      </c>
      <c r="H3806" s="33"/>
      <c r="I3806" s="33"/>
      <c r="J3806" s="33"/>
      <c r="K3806" s="33"/>
      <c r="L3806" s="33"/>
      <c r="M3806" s="33"/>
    </row>
    <row r="3807">
      <c r="A3807" s="32" t="s">
        <v>10004</v>
      </c>
      <c r="B3807" s="32" t="s">
        <v>10005</v>
      </c>
      <c r="C3807" s="35">
        <v>31.50580025</v>
      </c>
      <c r="D3807" s="35">
        <v>65.84780121</v>
      </c>
      <c r="E3807" s="32" t="s">
        <v>1350</v>
      </c>
      <c r="F3807" s="32" t="s">
        <v>10006</v>
      </c>
      <c r="G3807" s="36" t="e">
        <v>#N/A</v>
      </c>
      <c r="H3807" s="33"/>
      <c r="I3807" s="33"/>
      <c r="J3807" s="33"/>
      <c r="K3807" s="33"/>
      <c r="L3807" s="33"/>
      <c r="M3807" s="33"/>
    </row>
    <row r="3808">
      <c r="A3808" s="32" t="s">
        <v>10007</v>
      </c>
      <c r="B3808" s="32" t="s">
        <v>10008</v>
      </c>
      <c r="C3808" s="35">
        <v>-4.081610203</v>
      </c>
      <c r="D3808" s="35">
        <v>122.4179993</v>
      </c>
      <c r="E3808" s="32" t="s">
        <v>280</v>
      </c>
      <c r="F3808" s="32" t="s">
        <v>10009</v>
      </c>
      <c r="G3808" s="36" t="e">
        <v>#N/A</v>
      </c>
      <c r="H3808" s="33"/>
      <c r="I3808" s="33"/>
      <c r="J3808" s="33"/>
      <c r="K3808" s="33"/>
      <c r="L3808" s="33"/>
      <c r="M3808" s="33"/>
    </row>
    <row r="3809">
      <c r="A3809" s="32" t="s">
        <v>10010</v>
      </c>
      <c r="B3809" s="32" t="s">
        <v>10011</v>
      </c>
      <c r="C3809" s="35">
        <v>58.99079895</v>
      </c>
      <c r="D3809" s="35">
        <v>22.83069992</v>
      </c>
      <c r="E3809" s="32" t="s">
        <v>405</v>
      </c>
      <c r="F3809" s="32" t="s">
        <v>10012</v>
      </c>
      <c r="G3809" s="36" t="e">
        <v>#N/A</v>
      </c>
      <c r="H3809" s="33"/>
      <c r="I3809" s="33"/>
      <c r="J3809" s="33"/>
      <c r="K3809" s="33"/>
      <c r="L3809" s="33"/>
      <c r="M3809" s="33"/>
    </row>
    <row r="3810">
      <c r="A3810" s="32" t="s">
        <v>10013</v>
      </c>
      <c r="B3810" s="32" t="s">
        <v>10014</v>
      </c>
      <c r="C3810" s="35">
        <v>0.488130987</v>
      </c>
      <c r="D3810" s="35">
        <v>72.99690247</v>
      </c>
      <c r="E3810" s="32" t="s">
        <v>6888</v>
      </c>
      <c r="F3810" s="32" t="s">
        <v>10015</v>
      </c>
      <c r="G3810" s="36" t="e">
        <v>#N/A</v>
      </c>
      <c r="H3810" s="33"/>
      <c r="I3810" s="33"/>
      <c r="J3810" s="33"/>
      <c r="K3810" s="33"/>
      <c r="L3810" s="33"/>
      <c r="M3810" s="33"/>
    </row>
    <row r="3811">
      <c r="A3811" s="32" t="s">
        <v>10016</v>
      </c>
      <c r="B3811" s="32" t="s">
        <v>10017</v>
      </c>
      <c r="C3811" s="35">
        <v>1.85916996</v>
      </c>
      <c r="D3811" s="35">
        <v>73.52189636</v>
      </c>
      <c r="E3811" s="32" t="s">
        <v>6888</v>
      </c>
      <c r="F3811" s="32" t="s">
        <v>10018</v>
      </c>
      <c r="G3811" s="36" t="e">
        <v>#N/A</v>
      </c>
      <c r="H3811" s="33"/>
      <c r="I3811" s="33"/>
      <c r="J3811" s="33"/>
      <c r="K3811" s="33"/>
      <c r="L3811" s="33"/>
      <c r="M3811" s="33"/>
    </row>
    <row r="3812">
      <c r="A3812" s="32" t="s">
        <v>10019</v>
      </c>
      <c r="B3812" s="32" t="s">
        <v>10020</v>
      </c>
      <c r="C3812" s="35">
        <v>35.33549881</v>
      </c>
      <c r="D3812" s="35">
        <v>75.53600311</v>
      </c>
      <c r="E3812" s="32" t="s">
        <v>1470</v>
      </c>
      <c r="F3812" s="32" t="s">
        <v>10021</v>
      </c>
      <c r="G3812" s="36" t="e">
        <v>#N/A</v>
      </c>
      <c r="H3812" s="33"/>
      <c r="I3812" s="33"/>
      <c r="J3812" s="33"/>
      <c r="K3812" s="33"/>
      <c r="L3812" s="33"/>
      <c r="M3812" s="33"/>
    </row>
    <row r="3813">
      <c r="A3813" s="32" t="s">
        <v>10022</v>
      </c>
      <c r="B3813" s="32" t="s">
        <v>10023</v>
      </c>
      <c r="C3813" s="35">
        <v>-19.05809975</v>
      </c>
      <c r="D3813" s="35">
        <v>178.1569977</v>
      </c>
      <c r="E3813" s="32" t="s">
        <v>9136</v>
      </c>
      <c r="F3813" s="32" t="s">
        <v>10024</v>
      </c>
      <c r="G3813" s="36" t="e">
        <v>#N/A</v>
      </c>
      <c r="H3813" s="33"/>
      <c r="I3813" s="33"/>
      <c r="J3813" s="33"/>
      <c r="K3813" s="33"/>
      <c r="L3813" s="33"/>
      <c r="M3813" s="33"/>
    </row>
    <row r="3814">
      <c r="A3814" s="32" t="s">
        <v>10025</v>
      </c>
      <c r="B3814" s="32" t="s">
        <v>10026</v>
      </c>
      <c r="C3814" s="35">
        <v>16.15950012</v>
      </c>
      <c r="D3814" s="35">
        <v>-13.50759983</v>
      </c>
      <c r="E3814" s="32" t="s">
        <v>817</v>
      </c>
      <c r="F3814" s="32" t="s">
        <v>10027</v>
      </c>
      <c r="G3814" s="36" t="e">
        <v>#N/A</v>
      </c>
      <c r="H3814" s="33"/>
      <c r="I3814" s="33"/>
      <c r="J3814" s="33"/>
      <c r="K3814" s="33"/>
      <c r="L3814" s="33"/>
      <c r="M3814" s="33"/>
    </row>
    <row r="3815">
      <c r="A3815" s="32" t="s">
        <v>10028</v>
      </c>
      <c r="B3815" s="32" t="s">
        <v>10029</v>
      </c>
      <c r="C3815" s="35">
        <v>63.98500061</v>
      </c>
      <c r="D3815" s="35">
        <v>-22.60560036</v>
      </c>
      <c r="E3815" s="32" t="s">
        <v>2037</v>
      </c>
      <c r="F3815" s="32" t="s">
        <v>10030</v>
      </c>
      <c r="G3815" s="36" t="e">
        <v>#N/A</v>
      </c>
      <c r="H3815" s="33"/>
      <c r="I3815" s="33"/>
      <c r="J3815" s="33"/>
      <c r="K3815" s="33"/>
      <c r="L3815" s="33"/>
      <c r="M3815" s="33"/>
    </row>
    <row r="3816">
      <c r="A3816" s="32" t="s">
        <v>10031</v>
      </c>
      <c r="B3816" s="32" t="s">
        <v>10032</v>
      </c>
      <c r="C3816" s="35">
        <v>55.27009964</v>
      </c>
      <c r="D3816" s="35">
        <v>86.10720062</v>
      </c>
      <c r="E3816" s="32" t="s">
        <v>2040</v>
      </c>
      <c r="F3816" s="32" t="s">
        <v>10033</v>
      </c>
      <c r="G3816" s="36" t="e">
        <v>#N/A</v>
      </c>
      <c r="H3816" s="33"/>
      <c r="I3816" s="33"/>
      <c r="J3816" s="33"/>
      <c r="K3816" s="33"/>
      <c r="L3816" s="33"/>
      <c r="M3816" s="33"/>
    </row>
    <row r="3817">
      <c r="A3817" s="32" t="s">
        <v>10034</v>
      </c>
      <c r="B3817" s="32" t="s">
        <v>10035</v>
      </c>
      <c r="C3817" s="35">
        <v>54.37944412</v>
      </c>
      <c r="D3817" s="35">
        <v>10.14527798</v>
      </c>
      <c r="E3817" s="32" t="s">
        <v>109</v>
      </c>
      <c r="F3817" s="32" t="s">
        <v>10036</v>
      </c>
      <c r="G3817" s="39" t="s">
        <v>110</v>
      </c>
      <c r="H3817" s="33"/>
      <c r="I3817" s="33"/>
      <c r="J3817" s="33"/>
      <c r="K3817" s="33"/>
      <c r="L3817" s="33"/>
      <c r="M3817" s="33"/>
    </row>
    <row r="3818">
      <c r="A3818" s="32" t="s">
        <v>10037</v>
      </c>
      <c r="B3818" s="32" t="s">
        <v>10038</v>
      </c>
      <c r="C3818" s="35">
        <v>65.77870178</v>
      </c>
      <c r="D3818" s="35">
        <v>24.58209991</v>
      </c>
      <c r="E3818" s="32" t="s">
        <v>408</v>
      </c>
      <c r="F3818" s="32" t="s">
        <v>10039</v>
      </c>
      <c r="G3818" s="36" t="e">
        <v>#N/A</v>
      </c>
      <c r="H3818" s="33"/>
      <c r="I3818" s="33"/>
      <c r="J3818" s="33"/>
      <c r="K3818" s="33"/>
      <c r="L3818" s="33"/>
      <c r="M3818" s="33"/>
    </row>
    <row r="3819">
      <c r="A3819" s="32" t="s">
        <v>10040</v>
      </c>
      <c r="B3819" s="32" t="s">
        <v>10041</v>
      </c>
      <c r="C3819" s="35">
        <v>7.891290188</v>
      </c>
      <c r="D3819" s="35">
        <v>-11.17660046</v>
      </c>
      <c r="E3819" s="32" t="s">
        <v>5250</v>
      </c>
      <c r="F3819" s="32" t="s">
        <v>10042</v>
      </c>
      <c r="G3819" s="36" t="e">
        <v>#N/A</v>
      </c>
      <c r="H3819" s="33"/>
      <c r="I3819" s="33"/>
      <c r="J3819" s="33"/>
      <c r="K3819" s="33"/>
      <c r="L3819" s="33"/>
      <c r="M3819" s="33"/>
    </row>
    <row r="3820">
      <c r="A3820" s="32" t="s">
        <v>10043</v>
      </c>
      <c r="B3820" s="32" t="s">
        <v>10044</v>
      </c>
      <c r="C3820" s="35">
        <v>28.10359955</v>
      </c>
      <c r="D3820" s="35">
        <v>81.66699982</v>
      </c>
      <c r="E3820" s="32" t="s">
        <v>1877</v>
      </c>
      <c r="F3820" s="32" t="s">
        <v>10045</v>
      </c>
      <c r="G3820" s="36" t="e">
        <v>#N/A</v>
      </c>
      <c r="H3820" s="33"/>
      <c r="I3820" s="33"/>
      <c r="J3820" s="33"/>
      <c r="K3820" s="33"/>
      <c r="L3820" s="33"/>
      <c r="M3820" s="33"/>
    </row>
    <row r="3821">
      <c r="A3821" s="32" t="s">
        <v>10046</v>
      </c>
      <c r="B3821" s="32" t="s">
        <v>10047</v>
      </c>
      <c r="C3821" s="35">
        <v>30.27440071</v>
      </c>
      <c r="D3821" s="35">
        <v>56.9510994</v>
      </c>
      <c r="E3821" s="32" t="s">
        <v>1378</v>
      </c>
      <c r="F3821" s="32" t="s">
        <v>10048</v>
      </c>
      <c r="G3821" s="36" t="e">
        <v>#N/A</v>
      </c>
      <c r="H3821" s="33"/>
      <c r="I3821" s="33"/>
      <c r="J3821" s="33"/>
      <c r="K3821" s="33"/>
      <c r="L3821" s="33"/>
      <c r="M3821" s="33"/>
    </row>
    <row r="3822">
      <c r="A3822" s="32" t="s">
        <v>10049</v>
      </c>
      <c r="B3822" s="32" t="s">
        <v>10050</v>
      </c>
      <c r="C3822" s="35">
        <v>56.03749847</v>
      </c>
      <c r="D3822" s="35">
        <v>-96.50969696</v>
      </c>
      <c r="E3822" s="32" t="s">
        <v>94</v>
      </c>
      <c r="F3822" s="32" t="s">
        <v>10051</v>
      </c>
      <c r="G3822" s="36" t="e">
        <v>#N/A</v>
      </c>
      <c r="H3822" s="33"/>
      <c r="I3822" s="33"/>
      <c r="J3822" s="33"/>
      <c r="K3822" s="33"/>
      <c r="L3822" s="33"/>
      <c r="M3822" s="33"/>
    </row>
    <row r="3823">
      <c r="A3823" s="32" t="s">
        <v>10052</v>
      </c>
      <c r="B3823" s="32" t="s">
        <v>10053</v>
      </c>
      <c r="C3823" s="35">
        <v>21.3015995</v>
      </c>
      <c r="D3823" s="35">
        <v>99.63600159</v>
      </c>
      <c r="E3823" s="32" t="s">
        <v>1918</v>
      </c>
      <c r="F3823" s="32" t="s">
        <v>10054</v>
      </c>
      <c r="G3823" s="36" t="e">
        <v>#N/A</v>
      </c>
      <c r="H3823" s="33"/>
      <c r="I3823" s="33"/>
      <c r="J3823" s="33"/>
      <c r="K3823" s="33"/>
      <c r="L3823" s="33"/>
      <c r="M3823" s="33"/>
    </row>
    <row r="3824">
      <c r="A3824" s="32" t="s">
        <v>10055</v>
      </c>
      <c r="B3824" s="32" t="s">
        <v>10056</v>
      </c>
      <c r="C3824" s="35">
        <v>61.856039</v>
      </c>
      <c r="D3824" s="35">
        <v>24.786686</v>
      </c>
      <c r="E3824" s="32" t="s">
        <v>408</v>
      </c>
      <c r="F3824" s="32" t="s">
        <v>10057</v>
      </c>
      <c r="G3824" s="36" t="e">
        <v>#N/A</v>
      </c>
      <c r="H3824" s="33"/>
      <c r="I3824" s="33"/>
      <c r="J3824" s="33"/>
      <c r="K3824" s="33"/>
      <c r="L3824" s="33"/>
      <c r="M3824" s="33"/>
    </row>
    <row r="3825">
      <c r="A3825" s="32" t="s">
        <v>10058</v>
      </c>
      <c r="B3825" s="32" t="s">
        <v>10059</v>
      </c>
      <c r="C3825" s="35">
        <v>52.99110031</v>
      </c>
      <c r="D3825" s="35">
        <v>-92.83640289</v>
      </c>
      <c r="E3825" s="32" t="s">
        <v>94</v>
      </c>
      <c r="F3825" s="32" t="s">
        <v>10060</v>
      </c>
      <c r="G3825" s="36" t="e">
        <v>#N/A</v>
      </c>
      <c r="H3825" s="33"/>
      <c r="I3825" s="33"/>
      <c r="J3825" s="33"/>
      <c r="K3825" s="33"/>
      <c r="L3825" s="33"/>
      <c r="M3825" s="33"/>
    </row>
    <row r="3826">
      <c r="A3826" s="32" t="s">
        <v>10061</v>
      </c>
      <c r="B3826" s="32" t="s">
        <v>10062</v>
      </c>
      <c r="C3826" s="35">
        <v>-0.416999996</v>
      </c>
      <c r="D3826" s="35">
        <v>35.25</v>
      </c>
      <c r="E3826" s="32" t="s">
        <v>21</v>
      </c>
      <c r="F3826" s="32" t="s">
        <v>10063</v>
      </c>
      <c r="G3826" s="36" t="e">
        <v>#N/A</v>
      </c>
      <c r="H3826" s="33"/>
      <c r="I3826" s="33"/>
      <c r="J3826" s="33"/>
      <c r="K3826" s="33"/>
      <c r="L3826" s="33"/>
      <c r="M3826" s="33"/>
    </row>
    <row r="3827">
      <c r="A3827" s="32" t="s">
        <v>10064</v>
      </c>
      <c r="B3827" s="32" t="s">
        <v>10065</v>
      </c>
      <c r="C3827" s="35">
        <v>16.59000015</v>
      </c>
      <c r="D3827" s="35">
        <v>-11.40620041</v>
      </c>
      <c r="E3827" s="32" t="s">
        <v>817</v>
      </c>
      <c r="F3827" s="32" t="s">
        <v>10066</v>
      </c>
      <c r="G3827" s="36" t="e">
        <v>#N/A</v>
      </c>
      <c r="H3827" s="33"/>
      <c r="I3827" s="33"/>
      <c r="J3827" s="33"/>
      <c r="K3827" s="33"/>
      <c r="L3827" s="33"/>
      <c r="M3827" s="33"/>
    </row>
    <row r="3828">
      <c r="A3828" s="32" t="s">
        <v>10067</v>
      </c>
      <c r="B3828" s="32" t="s">
        <v>10068</v>
      </c>
      <c r="C3828" s="35">
        <v>-22.290754</v>
      </c>
      <c r="D3828" s="35">
        <v>119.437143</v>
      </c>
      <c r="E3828" s="32" t="s">
        <v>1968</v>
      </c>
      <c r="F3828" s="32" t="s">
        <v>10069</v>
      </c>
      <c r="G3828" s="36" t="e">
        <v>#N/A</v>
      </c>
      <c r="H3828" s="33"/>
      <c r="I3828" s="33"/>
      <c r="J3828" s="33"/>
      <c r="K3828" s="33"/>
      <c r="L3828" s="33"/>
      <c r="M3828" s="33"/>
    </row>
    <row r="3829">
      <c r="A3829" s="32" t="s">
        <v>10070</v>
      </c>
      <c r="B3829" s="32" t="s">
        <v>10071</v>
      </c>
      <c r="C3829" s="35">
        <v>-17.43190002</v>
      </c>
      <c r="D3829" s="35">
        <v>130.8079987</v>
      </c>
      <c r="E3829" s="32" t="s">
        <v>1968</v>
      </c>
      <c r="F3829" s="32" t="s">
        <v>10072</v>
      </c>
      <c r="G3829" s="36" t="e">
        <v>#N/A</v>
      </c>
      <c r="H3829" s="33"/>
      <c r="I3829" s="33"/>
      <c r="J3829" s="33"/>
      <c r="K3829" s="33"/>
      <c r="L3829" s="33"/>
      <c r="M3829" s="33"/>
    </row>
    <row r="3830">
      <c r="A3830" s="32" t="s">
        <v>10073</v>
      </c>
      <c r="B3830" s="32" t="s">
        <v>10074</v>
      </c>
      <c r="C3830" s="35">
        <v>54.84740067</v>
      </c>
      <c r="D3830" s="35">
        <v>-163.4100037</v>
      </c>
      <c r="E3830" s="32" t="s">
        <v>180</v>
      </c>
      <c r="F3830" s="32" t="s">
        <v>10075</v>
      </c>
      <c r="G3830" s="39" t="s">
        <v>181</v>
      </c>
      <c r="H3830" s="33"/>
      <c r="I3830" s="33"/>
      <c r="J3830" s="33"/>
      <c r="K3830" s="33"/>
      <c r="L3830" s="33"/>
      <c r="M3830" s="33"/>
    </row>
    <row r="3831">
      <c r="A3831" s="32" t="s">
        <v>10076</v>
      </c>
      <c r="B3831" s="32" t="s">
        <v>10077</v>
      </c>
      <c r="C3831" s="35">
        <v>41.31420135</v>
      </c>
      <c r="D3831" s="35">
        <v>33.79579926</v>
      </c>
      <c r="E3831" s="32" t="s">
        <v>133</v>
      </c>
      <c r="F3831" s="32" t="s">
        <v>10078</v>
      </c>
      <c r="G3831" s="39" t="s">
        <v>134</v>
      </c>
      <c r="H3831" s="33"/>
      <c r="I3831" s="33"/>
      <c r="J3831" s="33"/>
      <c r="K3831" s="33"/>
      <c r="L3831" s="33"/>
      <c r="M3831" s="33"/>
    </row>
    <row r="3832">
      <c r="A3832" s="32" t="s">
        <v>10079</v>
      </c>
      <c r="B3832" s="32" t="s">
        <v>10080</v>
      </c>
      <c r="C3832" s="35">
        <v>-5.900050163</v>
      </c>
      <c r="D3832" s="35">
        <v>22.46920013</v>
      </c>
      <c r="E3832" s="32" t="s">
        <v>800</v>
      </c>
      <c r="F3832" s="32" t="s">
        <v>10081</v>
      </c>
      <c r="G3832" s="36" t="e">
        <v>#N/A</v>
      </c>
      <c r="H3832" s="33"/>
      <c r="I3832" s="33"/>
      <c r="J3832" s="33"/>
      <c r="K3832" s="33"/>
      <c r="L3832" s="33"/>
      <c r="M3832" s="33"/>
    </row>
    <row r="3833">
      <c r="A3833" s="32" t="s">
        <v>10082</v>
      </c>
      <c r="B3833" s="32" t="s">
        <v>10083</v>
      </c>
      <c r="C3833" s="35">
        <v>-35.71390152</v>
      </c>
      <c r="D3833" s="35">
        <v>137.5209961</v>
      </c>
      <c r="E3833" s="32" t="s">
        <v>1968</v>
      </c>
      <c r="F3833" s="32" t="s">
        <v>10084</v>
      </c>
      <c r="G3833" s="36" t="e">
        <v>#N/A</v>
      </c>
      <c r="H3833" s="33"/>
      <c r="I3833" s="33"/>
      <c r="J3833" s="33"/>
      <c r="K3833" s="33"/>
      <c r="L3833" s="33"/>
      <c r="M3833" s="33"/>
    </row>
    <row r="3834">
      <c r="A3834" s="32" t="s">
        <v>10085</v>
      </c>
      <c r="B3834" s="32" t="s">
        <v>10086</v>
      </c>
      <c r="C3834" s="35">
        <v>54.88999939</v>
      </c>
      <c r="D3834" s="35">
        <v>20.59259987</v>
      </c>
      <c r="E3834" s="32" t="s">
        <v>2040</v>
      </c>
      <c r="F3834" s="32" t="s">
        <v>10087</v>
      </c>
      <c r="G3834" s="36" t="e">
        <v>#N/A</v>
      </c>
      <c r="H3834" s="33"/>
      <c r="I3834" s="33"/>
      <c r="J3834" s="33"/>
      <c r="K3834" s="33"/>
      <c r="L3834" s="33"/>
      <c r="M3834" s="33"/>
    </row>
    <row r="3835">
      <c r="A3835" s="32" t="s">
        <v>10088</v>
      </c>
      <c r="B3835" s="32" t="s">
        <v>10089</v>
      </c>
      <c r="C3835" s="35">
        <v>-7.3305</v>
      </c>
      <c r="D3835" s="35">
        <v>157.585</v>
      </c>
      <c r="E3835" s="32" t="s">
        <v>3666</v>
      </c>
      <c r="F3835" s="32" t="s">
        <v>10090</v>
      </c>
      <c r="G3835" s="36" t="e">
        <v>#N/A</v>
      </c>
      <c r="H3835" s="33"/>
      <c r="I3835" s="33"/>
      <c r="J3835" s="33"/>
      <c r="K3835" s="33"/>
      <c r="L3835" s="33"/>
      <c r="M3835" s="33"/>
    </row>
    <row r="3836">
      <c r="A3836" s="32" t="s">
        <v>10091</v>
      </c>
      <c r="B3836" s="32" t="s">
        <v>10092</v>
      </c>
      <c r="C3836" s="35">
        <v>49.67079926</v>
      </c>
      <c r="D3836" s="35">
        <v>73.33439636</v>
      </c>
      <c r="E3836" s="32" t="s">
        <v>2817</v>
      </c>
      <c r="F3836" s="32" t="s">
        <v>10093</v>
      </c>
      <c r="G3836" s="36" t="e">
        <v>#N/A</v>
      </c>
      <c r="H3836" s="33"/>
      <c r="I3836" s="33"/>
      <c r="J3836" s="33"/>
      <c r="K3836" s="33"/>
      <c r="L3836" s="33"/>
      <c r="M3836" s="33"/>
    </row>
    <row r="3837">
      <c r="A3837" s="32" t="s">
        <v>10094</v>
      </c>
      <c r="B3837" s="32" t="s">
        <v>10095</v>
      </c>
      <c r="C3837" s="35">
        <v>12.57229996</v>
      </c>
      <c r="D3837" s="35">
        <v>-12.22029972</v>
      </c>
      <c r="E3837" s="32" t="s">
        <v>5407</v>
      </c>
      <c r="F3837" s="32" t="s">
        <v>10096</v>
      </c>
      <c r="G3837" s="36" t="e">
        <v>#N/A</v>
      </c>
      <c r="H3837" s="33"/>
      <c r="I3837" s="33"/>
      <c r="J3837" s="33"/>
      <c r="K3837" s="33"/>
      <c r="L3837" s="33"/>
      <c r="M3837" s="33"/>
    </row>
    <row r="3838">
      <c r="A3838" s="32" t="s">
        <v>10097</v>
      </c>
      <c r="B3838" s="32" t="s">
        <v>10098</v>
      </c>
      <c r="C3838" s="35">
        <v>-30.7894001</v>
      </c>
      <c r="D3838" s="35">
        <v>121.461998</v>
      </c>
      <c r="E3838" s="32" t="s">
        <v>1968</v>
      </c>
      <c r="F3838" s="32" t="s">
        <v>10099</v>
      </c>
      <c r="G3838" s="36" t="e">
        <v>#N/A</v>
      </c>
      <c r="H3838" s="33"/>
      <c r="I3838" s="33"/>
      <c r="J3838" s="33"/>
      <c r="K3838" s="33"/>
      <c r="L3838" s="33"/>
      <c r="M3838" s="33"/>
    </row>
    <row r="3839">
      <c r="A3839" s="32" t="s">
        <v>10100</v>
      </c>
      <c r="B3839" s="32" t="s">
        <v>10101</v>
      </c>
      <c r="C3839" s="35">
        <v>-9.953570366</v>
      </c>
      <c r="D3839" s="35">
        <v>33.89300156</v>
      </c>
      <c r="E3839" s="32" t="s">
        <v>794</v>
      </c>
      <c r="F3839" s="32" t="s">
        <v>10102</v>
      </c>
      <c r="G3839" s="36" t="e">
        <v>#N/A</v>
      </c>
      <c r="H3839" s="33"/>
      <c r="I3839" s="33"/>
      <c r="J3839" s="33"/>
      <c r="K3839" s="33"/>
      <c r="L3839" s="33"/>
      <c r="M3839" s="33"/>
    </row>
    <row r="3840">
      <c r="A3840" s="32" t="s">
        <v>10103</v>
      </c>
      <c r="B3840" s="32" t="s">
        <v>10104</v>
      </c>
      <c r="C3840" s="35">
        <v>59.72660065</v>
      </c>
      <c r="D3840" s="35">
        <v>-157.2590027</v>
      </c>
      <c r="E3840" s="32" t="s">
        <v>180</v>
      </c>
      <c r="F3840" s="32" t="s">
        <v>10105</v>
      </c>
      <c r="G3840" s="39" t="s">
        <v>181</v>
      </c>
      <c r="H3840" s="33"/>
      <c r="I3840" s="33"/>
      <c r="J3840" s="33"/>
      <c r="K3840" s="33"/>
      <c r="L3840" s="33"/>
      <c r="M3840" s="33"/>
    </row>
    <row r="3841">
      <c r="A3841" s="32" t="s">
        <v>10106</v>
      </c>
      <c r="B3841" s="32" t="s">
        <v>10107</v>
      </c>
      <c r="C3841" s="35">
        <v>-1.968629956</v>
      </c>
      <c r="D3841" s="35">
        <v>30.13949966</v>
      </c>
      <c r="E3841" s="32" t="s">
        <v>8478</v>
      </c>
      <c r="F3841" s="32" t="s">
        <v>10108</v>
      </c>
      <c r="G3841" s="36" t="e">
        <v>#N/A</v>
      </c>
      <c r="H3841" s="33"/>
      <c r="I3841" s="33"/>
      <c r="J3841" s="33"/>
      <c r="K3841" s="33"/>
      <c r="L3841" s="33"/>
      <c r="M3841" s="33"/>
    </row>
    <row r="3842">
      <c r="A3842" s="32" t="s">
        <v>10109</v>
      </c>
      <c r="B3842" s="32" t="s">
        <v>10110</v>
      </c>
      <c r="C3842" s="35">
        <v>-4.532999992</v>
      </c>
      <c r="D3842" s="35">
        <v>26.61700058</v>
      </c>
      <c r="E3842" s="32" t="s">
        <v>800</v>
      </c>
      <c r="F3842" s="32" t="s">
        <v>10111</v>
      </c>
      <c r="G3842" s="36" t="e">
        <v>#N/A</v>
      </c>
      <c r="H3842" s="33"/>
      <c r="I3842" s="33"/>
      <c r="J3842" s="33"/>
      <c r="K3842" s="33"/>
      <c r="L3842" s="33"/>
      <c r="M3842" s="33"/>
    </row>
    <row r="3843">
      <c r="A3843" s="32" t="s">
        <v>10112</v>
      </c>
      <c r="B3843" s="32" t="s">
        <v>10113</v>
      </c>
      <c r="C3843" s="35">
        <v>48.5428009</v>
      </c>
      <c r="D3843" s="35">
        <v>32.28499985</v>
      </c>
      <c r="E3843" s="32" t="s">
        <v>3293</v>
      </c>
      <c r="F3843" s="32" t="s">
        <v>10114</v>
      </c>
      <c r="G3843" s="36" t="e">
        <v>#N/A</v>
      </c>
      <c r="H3843" s="33"/>
      <c r="I3843" s="33"/>
      <c r="J3843" s="33"/>
      <c r="K3843" s="33"/>
      <c r="L3843" s="33"/>
      <c r="M3843" s="33"/>
    </row>
    <row r="3844">
      <c r="A3844" s="32" t="s">
        <v>10115</v>
      </c>
      <c r="B3844" s="32" t="s">
        <v>10116</v>
      </c>
      <c r="C3844" s="35">
        <v>62.19039917</v>
      </c>
      <c r="D3844" s="35">
        <v>74.53379822</v>
      </c>
      <c r="E3844" s="32" t="s">
        <v>2040</v>
      </c>
      <c r="F3844" s="32" t="s">
        <v>10117</v>
      </c>
      <c r="G3844" s="36" t="e">
        <v>#N/A</v>
      </c>
      <c r="H3844" s="33"/>
      <c r="I3844" s="33"/>
      <c r="J3844" s="33"/>
      <c r="K3844" s="33"/>
      <c r="L3844" s="33"/>
      <c r="M3844" s="33"/>
    </row>
    <row r="3845">
      <c r="A3845" s="32" t="s">
        <v>10118</v>
      </c>
      <c r="B3845" s="32" t="s">
        <v>10119</v>
      </c>
      <c r="C3845" s="35">
        <v>36.79330063</v>
      </c>
      <c r="D3845" s="35">
        <v>27.0916996</v>
      </c>
      <c r="E3845" s="32" t="s">
        <v>339</v>
      </c>
      <c r="F3845" s="32" t="s">
        <v>10120</v>
      </c>
      <c r="G3845" s="36" t="e">
        <v>#N/A</v>
      </c>
      <c r="H3845" s="33"/>
      <c r="I3845" s="33"/>
      <c r="J3845" s="33"/>
      <c r="K3845" s="33"/>
      <c r="L3845" s="33"/>
      <c r="M3845" s="33"/>
    </row>
    <row r="3846">
      <c r="A3846" s="32" t="s">
        <v>10121</v>
      </c>
      <c r="B3846" s="32" t="s">
        <v>10122</v>
      </c>
      <c r="C3846" s="35">
        <v>-26.5807991</v>
      </c>
      <c r="D3846" s="35">
        <v>151.8410034</v>
      </c>
      <c r="E3846" s="32" t="s">
        <v>1968</v>
      </c>
      <c r="F3846" s="33"/>
      <c r="G3846" s="36" t="e">
        <v>#N/A</v>
      </c>
      <c r="H3846" s="33"/>
      <c r="I3846" s="33"/>
      <c r="J3846" s="33"/>
      <c r="K3846" s="33"/>
      <c r="L3846" s="33"/>
      <c r="M3846" s="33"/>
    </row>
    <row r="3847">
      <c r="A3847" s="32" t="s">
        <v>10123</v>
      </c>
      <c r="B3847" s="32" t="s">
        <v>10124</v>
      </c>
      <c r="C3847" s="35">
        <v>45.37250137</v>
      </c>
      <c r="D3847" s="35">
        <v>36.40140152</v>
      </c>
      <c r="E3847" s="32" t="s">
        <v>3293</v>
      </c>
      <c r="F3847" s="32" t="s">
        <v>10125</v>
      </c>
      <c r="G3847" s="36" t="e">
        <v>#N/A</v>
      </c>
      <c r="H3847" s="33"/>
      <c r="I3847" s="33"/>
      <c r="J3847" s="33"/>
      <c r="K3847" s="33"/>
      <c r="L3847" s="33"/>
      <c r="M3847" s="33"/>
    </row>
    <row r="3848">
      <c r="A3848" s="32" t="s">
        <v>10126</v>
      </c>
      <c r="B3848" s="32" t="s">
        <v>10127</v>
      </c>
      <c r="C3848" s="35">
        <v>33.4353981</v>
      </c>
      <c r="D3848" s="35">
        <v>48.28290176</v>
      </c>
      <c r="E3848" s="32" t="s">
        <v>1378</v>
      </c>
      <c r="F3848" s="32" t="s">
        <v>10128</v>
      </c>
      <c r="G3848" s="36" t="e">
        <v>#N/A</v>
      </c>
      <c r="H3848" s="33"/>
      <c r="I3848" s="33"/>
      <c r="J3848" s="33"/>
      <c r="K3848" s="33"/>
      <c r="L3848" s="33"/>
      <c r="M3848" s="33"/>
    </row>
    <row r="3849">
      <c r="A3849" s="32" t="s">
        <v>10129</v>
      </c>
      <c r="B3849" s="32" t="s">
        <v>10130</v>
      </c>
      <c r="C3849" s="35">
        <v>46.67580032</v>
      </c>
      <c r="D3849" s="35">
        <v>32.50640106</v>
      </c>
      <c r="E3849" s="32" t="s">
        <v>3293</v>
      </c>
      <c r="F3849" s="32" t="s">
        <v>10131</v>
      </c>
      <c r="G3849" s="36" t="e">
        <v>#N/A</v>
      </c>
      <c r="H3849" s="33"/>
      <c r="I3849" s="33"/>
      <c r="J3849" s="33"/>
      <c r="K3849" s="33"/>
      <c r="L3849" s="33"/>
      <c r="M3849" s="33"/>
    </row>
    <row r="3850">
      <c r="A3850" s="32" t="s">
        <v>10132</v>
      </c>
      <c r="B3850" s="32" t="s">
        <v>10133</v>
      </c>
      <c r="C3850" s="35">
        <v>39.54290009</v>
      </c>
      <c r="D3850" s="35">
        <v>76.01999664</v>
      </c>
      <c r="E3850" s="32" t="s">
        <v>205</v>
      </c>
      <c r="F3850" s="32" t="s">
        <v>10134</v>
      </c>
      <c r="G3850" s="39" t="s">
        <v>206</v>
      </c>
      <c r="H3850" s="33"/>
      <c r="I3850" s="33"/>
      <c r="J3850" s="33"/>
      <c r="K3850" s="33"/>
      <c r="L3850" s="33"/>
      <c r="M3850" s="33"/>
    </row>
    <row r="3851">
      <c r="A3851" s="32" t="s">
        <v>10135</v>
      </c>
      <c r="B3851" s="32" t="s">
        <v>10136</v>
      </c>
      <c r="C3851" s="35">
        <v>22.57710075</v>
      </c>
      <c r="D3851" s="35">
        <v>120.3499985</v>
      </c>
      <c r="E3851" s="32" t="s">
        <v>1497</v>
      </c>
      <c r="F3851" s="32" t="s">
        <v>10137</v>
      </c>
      <c r="G3851" s="36" t="e">
        <v>#N/A</v>
      </c>
      <c r="H3851" s="33"/>
      <c r="I3851" s="33"/>
      <c r="J3851" s="33"/>
      <c r="K3851" s="33"/>
      <c r="L3851" s="33"/>
      <c r="M3851" s="33"/>
    </row>
    <row r="3852">
      <c r="A3852" s="32" t="s">
        <v>10138</v>
      </c>
      <c r="B3852" s="32" t="s">
        <v>10139</v>
      </c>
      <c r="C3852" s="35">
        <v>24.9065</v>
      </c>
      <c r="D3852" s="35">
        <v>67.160797</v>
      </c>
      <c r="E3852" s="32" t="s">
        <v>1470</v>
      </c>
      <c r="F3852" s="32" t="s">
        <v>1481</v>
      </c>
      <c r="G3852" s="36" t="e">
        <v>#N/A</v>
      </c>
      <c r="H3852" s="33"/>
      <c r="I3852" s="33"/>
      <c r="J3852" s="33"/>
      <c r="K3852" s="33"/>
      <c r="L3852" s="33"/>
      <c r="M3852" s="33"/>
    </row>
    <row r="3853">
      <c r="A3853" s="32" t="s">
        <v>10140</v>
      </c>
      <c r="B3853" s="32" t="s">
        <v>10141</v>
      </c>
      <c r="C3853" s="35">
        <v>25.98830032</v>
      </c>
      <c r="D3853" s="35">
        <v>95.67440033</v>
      </c>
      <c r="E3853" s="32" t="s">
        <v>1918</v>
      </c>
      <c r="F3853" s="32" t="s">
        <v>10142</v>
      </c>
      <c r="G3853" s="36" t="e">
        <v>#N/A</v>
      </c>
      <c r="H3853" s="33"/>
      <c r="I3853" s="33"/>
      <c r="J3853" s="33"/>
      <c r="K3853" s="33"/>
      <c r="L3853" s="33"/>
      <c r="M3853" s="33"/>
    </row>
    <row r="3854">
      <c r="A3854" s="32" t="s">
        <v>10143</v>
      </c>
      <c r="B3854" s="32" t="s">
        <v>10144</v>
      </c>
      <c r="C3854" s="35">
        <v>28.86499977</v>
      </c>
      <c r="D3854" s="35">
        <v>115.9000015</v>
      </c>
      <c r="E3854" s="32" t="s">
        <v>205</v>
      </c>
      <c r="F3854" s="32" t="s">
        <v>10145</v>
      </c>
      <c r="G3854" s="39" t="s">
        <v>206</v>
      </c>
      <c r="H3854" s="33"/>
      <c r="I3854" s="33"/>
      <c r="J3854" s="33"/>
      <c r="K3854" s="33"/>
      <c r="L3854" s="33"/>
      <c r="M3854" s="33"/>
    </row>
    <row r="3855">
      <c r="A3855" s="32" t="s">
        <v>10146</v>
      </c>
      <c r="B3855" s="32" t="s">
        <v>10147</v>
      </c>
      <c r="C3855" s="35">
        <v>26.17099953</v>
      </c>
      <c r="D3855" s="35">
        <v>56.24060059</v>
      </c>
      <c r="E3855" s="32" t="s">
        <v>238</v>
      </c>
      <c r="F3855" s="32" t="s">
        <v>10148</v>
      </c>
      <c r="G3855" s="36" t="e">
        <v>#N/A</v>
      </c>
      <c r="H3855" s="33"/>
      <c r="I3855" s="33"/>
      <c r="J3855" s="33"/>
      <c r="K3855" s="33"/>
      <c r="L3855" s="33"/>
      <c r="M3855" s="33"/>
    </row>
    <row r="3856">
      <c r="A3856" s="32" t="s">
        <v>10149</v>
      </c>
      <c r="B3856" s="32" t="s">
        <v>10150</v>
      </c>
      <c r="C3856" s="35">
        <v>33.33340073</v>
      </c>
      <c r="D3856" s="35">
        <v>69.95200348</v>
      </c>
      <c r="E3856" s="32" t="s">
        <v>1350</v>
      </c>
      <c r="F3856" s="32" t="s">
        <v>10151</v>
      </c>
      <c r="G3856" s="36" t="e">
        <v>#N/A</v>
      </c>
      <c r="H3856" s="33"/>
      <c r="I3856" s="33"/>
      <c r="J3856" s="33"/>
      <c r="K3856" s="33"/>
      <c r="L3856" s="33"/>
      <c r="M3856" s="33"/>
    </row>
    <row r="3857">
      <c r="A3857" s="32" t="s">
        <v>10152</v>
      </c>
      <c r="B3857" s="32" t="s">
        <v>10153</v>
      </c>
      <c r="C3857" s="35">
        <v>48.52799988</v>
      </c>
      <c r="D3857" s="35">
        <v>135.1880035</v>
      </c>
      <c r="E3857" s="32" t="s">
        <v>2040</v>
      </c>
      <c r="F3857" s="32" t="s">
        <v>2144</v>
      </c>
      <c r="G3857" s="36" t="e">
        <v>#N/A</v>
      </c>
      <c r="H3857" s="33"/>
      <c r="I3857" s="33"/>
      <c r="J3857" s="33"/>
      <c r="K3857" s="33"/>
      <c r="L3857" s="33"/>
      <c r="M3857" s="33"/>
    </row>
    <row r="3858">
      <c r="A3858" s="32" t="s">
        <v>10154</v>
      </c>
      <c r="B3858" s="32" t="s">
        <v>10155</v>
      </c>
      <c r="C3858" s="35">
        <v>-19.14999962</v>
      </c>
      <c r="D3858" s="35">
        <v>23.78300095</v>
      </c>
      <c r="E3858" s="32" t="s">
        <v>2285</v>
      </c>
      <c r="F3858" s="32" t="s">
        <v>10156</v>
      </c>
      <c r="G3858" s="36" t="e">
        <v>#N/A</v>
      </c>
      <c r="H3858" s="33"/>
      <c r="I3858" s="33"/>
      <c r="J3858" s="33"/>
      <c r="K3858" s="33"/>
      <c r="L3858" s="33"/>
      <c r="M3858" s="33"/>
    </row>
    <row r="3859">
      <c r="A3859" s="32" t="s">
        <v>10157</v>
      </c>
      <c r="B3859" s="32" t="s">
        <v>10158</v>
      </c>
      <c r="C3859" s="35">
        <v>55.92169952</v>
      </c>
      <c r="D3859" s="35">
        <v>14.08549976</v>
      </c>
      <c r="E3859" s="32" t="s">
        <v>347</v>
      </c>
      <c r="F3859" s="32" t="s">
        <v>10159</v>
      </c>
      <c r="G3859" s="36" t="e">
        <v>#N/A</v>
      </c>
      <c r="H3859" s="33"/>
      <c r="I3859" s="33"/>
      <c r="J3859" s="33"/>
      <c r="K3859" s="33"/>
      <c r="L3859" s="33"/>
      <c r="M3859" s="33"/>
    </row>
    <row r="3860">
      <c r="A3860" s="32" t="s">
        <v>10160</v>
      </c>
      <c r="B3860" s="32" t="s">
        <v>10161</v>
      </c>
      <c r="C3860" s="35">
        <v>-6.305416667</v>
      </c>
      <c r="D3860" s="35">
        <v>155.7281389</v>
      </c>
      <c r="E3860" s="32" t="s">
        <v>5289</v>
      </c>
      <c r="F3860" s="32" t="s">
        <v>10162</v>
      </c>
      <c r="G3860" s="36" t="e">
        <v>#N/A</v>
      </c>
      <c r="H3860" s="33"/>
      <c r="I3860" s="33"/>
      <c r="J3860" s="33"/>
      <c r="K3860" s="33"/>
      <c r="L3860" s="33"/>
      <c r="M3860" s="33"/>
    </row>
    <row r="3861">
      <c r="A3861" s="32" t="s">
        <v>10163</v>
      </c>
      <c r="B3861" s="32" t="s">
        <v>10164</v>
      </c>
      <c r="C3861" s="35">
        <v>53.01250076</v>
      </c>
      <c r="D3861" s="35">
        <v>-89.8553009</v>
      </c>
      <c r="E3861" s="32" t="s">
        <v>94</v>
      </c>
      <c r="F3861" s="32" t="s">
        <v>10165</v>
      </c>
      <c r="G3861" s="36" t="e">
        <v>#N/A</v>
      </c>
      <c r="H3861" s="33"/>
      <c r="I3861" s="33"/>
      <c r="J3861" s="33"/>
      <c r="K3861" s="33"/>
      <c r="L3861" s="33"/>
      <c r="M3861" s="33"/>
    </row>
    <row r="3862">
      <c r="A3862" s="32" t="s">
        <v>10166</v>
      </c>
      <c r="B3862" s="32" t="s">
        <v>10167</v>
      </c>
      <c r="C3862" s="35">
        <v>26.52619934</v>
      </c>
      <c r="D3862" s="35">
        <v>53.98020172</v>
      </c>
      <c r="E3862" s="32" t="s">
        <v>1378</v>
      </c>
      <c r="F3862" s="32" t="s">
        <v>10168</v>
      </c>
      <c r="G3862" s="36" t="e">
        <v>#N/A</v>
      </c>
      <c r="H3862" s="33"/>
      <c r="I3862" s="33"/>
      <c r="J3862" s="33"/>
      <c r="K3862" s="33"/>
      <c r="L3862" s="33"/>
      <c r="M3862" s="33"/>
    </row>
    <row r="3863">
      <c r="A3863" s="32" t="s">
        <v>10169</v>
      </c>
      <c r="B3863" s="32" t="s">
        <v>10170</v>
      </c>
      <c r="C3863" s="35">
        <v>37.95589828</v>
      </c>
      <c r="D3863" s="35">
        <v>139.1210022</v>
      </c>
      <c r="E3863" s="32" t="s">
        <v>170</v>
      </c>
      <c r="F3863" s="32" t="s">
        <v>10171</v>
      </c>
      <c r="G3863" s="39" t="s">
        <v>171</v>
      </c>
      <c r="H3863" s="33"/>
      <c r="I3863" s="33"/>
      <c r="J3863" s="33"/>
      <c r="K3863" s="33"/>
      <c r="L3863" s="33"/>
      <c r="M3863" s="33"/>
    </row>
    <row r="3864">
      <c r="A3864" s="32" t="s">
        <v>10172</v>
      </c>
      <c r="B3864" s="32" t="s">
        <v>10173</v>
      </c>
      <c r="C3864" s="35">
        <v>35.4695015</v>
      </c>
      <c r="D3864" s="35">
        <v>44.34889984</v>
      </c>
      <c r="E3864" s="32" t="s">
        <v>259</v>
      </c>
      <c r="F3864" s="32" t="s">
        <v>10174</v>
      </c>
      <c r="G3864" s="36" t="e">
        <v>#N/A</v>
      </c>
      <c r="H3864" s="33"/>
      <c r="I3864" s="33"/>
      <c r="J3864" s="33"/>
      <c r="K3864" s="33"/>
      <c r="L3864" s="33"/>
      <c r="M3864" s="33"/>
    </row>
    <row r="3865">
      <c r="A3865" s="32" t="s">
        <v>10175</v>
      </c>
      <c r="B3865" s="32" t="s">
        <v>10176</v>
      </c>
      <c r="C3865" s="35">
        <v>-28.80279922</v>
      </c>
      <c r="D3865" s="35">
        <v>24.76519966</v>
      </c>
      <c r="E3865" s="32" t="s">
        <v>16</v>
      </c>
      <c r="F3865" s="32" t="s">
        <v>10177</v>
      </c>
      <c r="G3865" s="36" t="e">
        <v>#N/A</v>
      </c>
      <c r="H3865" s="33"/>
      <c r="I3865" s="33"/>
      <c r="J3865" s="33"/>
      <c r="K3865" s="33"/>
      <c r="L3865" s="33"/>
      <c r="M3865" s="33"/>
    </row>
    <row r="3866">
      <c r="A3866" s="32" t="s">
        <v>10178</v>
      </c>
      <c r="B3866" s="32" t="s">
        <v>10179</v>
      </c>
      <c r="C3866" s="35">
        <v>17.93569946</v>
      </c>
      <c r="D3866" s="35">
        <v>-76.78749847</v>
      </c>
      <c r="E3866" s="32" t="s">
        <v>10180</v>
      </c>
      <c r="F3866" s="32" t="s">
        <v>10181</v>
      </c>
      <c r="G3866" s="36" t="e">
        <v>#N/A</v>
      </c>
      <c r="H3866" s="33"/>
      <c r="I3866" s="33"/>
      <c r="J3866" s="33"/>
      <c r="K3866" s="33"/>
      <c r="L3866" s="33"/>
      <c r="M3866" s="33"/>
    </row>
    <row r="3867">
      <c r="A3867" s="32" t="s">
        <v>10182</v>
      </c>
      <c r="B3867" s="32" t="s">
        <v>10183</v>
      </c>
      <c r="C3867" s="35">
        <v>5.644515038</v>
      </c>
      <c r="D3867" s="35">
        <v>169.1195068</v>
      </c>
      <c r="E3867" s="32" t="s">
        <v>1494</v>
      </c>
      <c r="F3867" s="32" t="s">
        <v>10184</v>
      </c>
      <c r="G3867" s="36" t="e">
        <v>#N/A</v>
      </c>
      <c r="H3867" s="33"/>
      <c r="I3867" s="33"/>
      <c r="J3867" s="33"/>
      <c r="K3867" s="33"/>
      <c r="L3867" s="33"/>
      <c r="M3867" s="33"/>
    </row>
    <row r="3868">
      <c r="A3868" s="32" t="s">
        <v>10185</v>
      </c>
      <c r="B3868" s="32" t="s">
        <v>10186</v>
      </c>
      <c r="C3868" s="35">
        <v>52.18090057</v>
      </c>
      <c r="D3868" s="35">
        <v>-9.523779869</v>
      </c>
      <c r="E3868" s="32" t="s">
        <v>199</v>
      </c>
      <c r="F3868" s="32" t="s">
        <v>10187</v>
      </c>
      <c r="G3868" s="39" t="s">
        <v>200</v>
      </c>
      <c r="H3868" s="33"/>
      <c r="I3868" s="33"/>
      <c r="J3868" s="33"/>
      <c r="K3868" s="33"/>
      <c r="L3868" s="33"/>
      <c r="M3868" s="33"/>
    </row>
    <row r="3869">
      <c r="A3869" s="32" t="s">
        <v>10188</v>
      </c>
      <c r="B3869" s="32" t="s">
        <v>10189</v>
      </c>
      <c r="C3869" s="35">
        <v>-0.086139001</v>
      </c>
      <c r="D3869" s="35">
        <v>34.72890091</v>
      </c>
      <c r="E3869" s="32" t="s">
        <v>21</v>
      </c>
      <c r="F3869" s="32" t="s">
        <v>10190</v>
      </c>
      <c r="G3869" s="36" t="e">
        <v>#N/A</v>
      </c>
      <c r="H3869" s="33"/>
      <c r="I3869" s="33"/>
      <c r="J3869" s="33"/>
      <c r="K3869" s="33"/>
      <c r="L3869" s="33"/>
      <c r="M3869" s="33"/>
    </row>
    <row r="3870">
      <c r="A3870" s="32" t="s">
        <v>10191</v>
      </c>
      <c r="B3870" s="32" t="s">
        <v>10192</v>
      </c>
      <c r="C3870" s="35">
        <v>36.27429962</v>
      </c>
      <c r="D3870" s="35">
        <v>23.0170002</v>
      </c>
      <c r="E3870" s="32" t="s">
        <v>339</v>
      </c>
      <c r="F3870" s="32" t="s">
        <v>10193</v>
      </c>
      <c r="G3870" s="36" t="e">
        <v>#N/A</v>
      </c>
      <c r="H3870" s="33"/>
      <c r="I3870" s="33"/>
      <c r="J3870" s="33"/>
      <c r="K3870" s="33"/>
      <c r="L3870" s="33"/>
      <c r="M3870" s="33"/>
    </row>
    <row r="3871">
      <c r="A3871" s="32" t="s">
        <v>10194</v>
      </c>
      <c r="B3871" s="32" t="s">
        <v>10195</v>
      </c>
      <c r="C3871" s="35">
        <v>46.92770004</v>
      </c>
      <c r="D3871" s="35">
        <v>28.93099976</v>
      </c>
      <c r="E3871" s="32" t="s">
        <v>3238</v>
      </c>
      <c r="F3871" s="32" t="s">
        <v>10196</v>
      </c>
      <c r="G3871" s="36" t="e">
        <v>#N/A</v>
      </c>
      <c r="H3871" s="33"/>
      <c r="I3871" s="33"/>
      <c r="J3871" s="33"/>
      <c r="K3871" s="33"/>
      <c r="L3871" s="33"/>
      <c r="M3871" s="33"/>
    </row>
    <row r="3872">
      <c r="A3872" s="32" t="s">
        <v>10197</v>
      </c>
      <c r="B3872" s="32" t="s">
        <v>10198</v>
      </c>
      <c r="C3872" s="35">
        <v>-12.9005003</v>
      </c>
      <c r="D3872" s="35">
        <v>28.14990044</v>
      </c>
      <c r="E3872" s="32" t="s">
        <v>759</v>
      </c>
      <c r="F3872" s="32" t="s">
        <v>10199</v>
      </c>
      <c r="G3872" s="36" t="e">
        <v>#N/A</v>
      </c>
      <c r="H3872" s="33"/>
      <c r="I3872" s="33"/>
      <c r="J3872" s="33"/>
      <c r="K3872" s="33"/>
      <c r="L3872" s="33"/>
      <c r="M3872" s="33"/>
    </row>
    <row r="3873">
      <c r="A3873" s="32" t="s">
        <v>10200</v>
      </c>
      <c r="B3873" s="32" t="s">
        <v>10201</v>
      </c>
      <c r="C3873" s="35">
        <v>34.4272995</v>
      </c>
      <c r="D3873" s="35">
        <v>135.2440033</v>
      </c>
      <c r="E3873" s="32" t="s">
        <v>170</v>
      </c>
      <c r="F3873" s="32" t="s">
        <v>1532</v>
      </c>
      <c r="G3873" s="39" t="s">
        <v>171</v>
      </c>
      <c r="H3873" s="33"/>
      <c r="I3873" s="33"/>
      <c r="J3873" s="33"/>
      <c r="K3873" s="33"/>
      <c r="L3873" s="33"/>
      <c r="M3873" s="33"/>
    </row>
    <row r="3874">
      <c r="A3874" s="32" t="s">
        <v>10202</v>
      </c>
      <c r="B3874" s="32" t="s">
        <v>10203</v>
      </c>
      <c r="C3874" s="35">
        <v>56.17290115</v>
      </c>
      <c r="D3874" s="35">
        <v>92.49330139</v>
      </c>
      <c r="E3874" s="32" t="s">
        <v>2040</v>
      </c>
      <c r="F3874" s="32" t="s">
        <v>2316</v>
      </c>
      <c r="G3874" s="36" t="e">
        <v>#N/A</v>
      </c>
      <c r="H3874" s="33"/>
      <c r="I3874" s="33"/>
      <c r="J3874" s="33"/>
      <c r="K3874" s="33"/>
      <c r="L3874" s="33"/>
      <c r="M3874" s="33"/>
    </row>
    <row r="3875">
      <c r="A3875" s="32" t="s">
        <v>10204</v>
      </c>
      <c r="B3875" s="32" t="s">
        <v>10205</v>
      </c>
      <c r="C3875" s="35">
        <v>26.972</v>
      </c>
      <c r="D3875" s="35">
        <v>107.988</v>
      </c>
      <c r="E3875" s="32" t="s">
        <v>205</v>
      </c>
      <c r="F3875" s="32" t="s">
        <v>10206</v>
      </c>
      <c r="G3875" s="39" t="s">
        <v>206</v>
      </c>
      <c r="H3875" s="33"/>
      <c r="I3875" s="33"/>
      <c r="J3875" s="33"/>
      <c r="K3875" s="33"/>
      <c r="L3875" s="33"/>
      <c r="M3875" s="33"/>
    </row>
    <row r="3876">
      <c r="A3876" s="32" t="s">
        <v>10207</v>
      </c>
      <c r="B3876" s="32" t="s">
        <v>10208</v>
      </c>
      <c r="C3876" s="35">
        <v>48.2223</v>
      </c>
      <c r="D3876" s="35">
        <v>86.9959</v>
      </c>
      <c r="E3876" s="32" t="s">
        <v>205</v>
      </c>
      <c r="F3876" s="32" t="s">
        <v>10209</v>
      </c>
      <c r="G3876" s="39" t="s">
        <v>206</v>
      </c>
      <c r="H3876" s="33"/>
      <c r="I3876" s="33"/>
      <c r="J3876" s="33"/>
      <c r="K3876" s="33"/>
      <c r="L3876" s="33"/>
      <c r="M3876" s="33"/>
    </row>
    <row r="3877">
      <c r="A3877" s="32" t="s">
        <v>10210</v>
      </c>
      <c r="B3877" s="32" t="s">
        <v>10211</v>
      </c>
      <c r="C3877" s="35">
        <v>26.16830063</v>
      </c>
      <c r="D3877" s="35">
        <v>127.2929993</v>
      </c>
      <c r="E3877" s="32" t="s">
        <v>170</v>
      </c>
      <c r="F3877" s="32" t="s">
        <v>10212</v>
      </c>
      <c r="G3877" s="39" t="s">
        <v>171</v>
      </c>
      <c r="H3877" s="33"/>
      <c r="I3877" s="33"/>
      <c r="J3877" s="33"/>
      <c r="K3877" s="33"/>
      <c r="L3877" s="33"/>
      <c r="M3877" s="33"/>
    </row>
    <row r="3878">
      <c r="A3878" s="32" t="s">
        <v>10213</v>
      </c>
      <c r="B3878" s="32" t="s">
        <v>10214</v>
      </c>
      <c r="C3878" s="35">
        <v>64.9394989</v>
      </c>
      <c r="D3878" s="35">
        <v>-161.154007</v>
      </c>
      <c r="E3878" s="32" t="s">
        <v>180</v>
      </c>
      <c r="F3878" s="32" t="s">
        <v>10215</v>
      </c>
      <c r="G3878" s="39" t="s">
        <v>181</v>
      </c>
      <c r="H3878" s="33"/>
      <c r="I3878" s="33"/>
      <c r="J3878" s="33"/>
      <c r="K3878" s="33"/>
      <c r="L3878" s="33"/>
      <c r="M3878" s="33"/>
    </row>
    <row r="3879">
      <c r="A3879" s="32" t="s">
        <v>10216</v>
      </c>
      <c r="B3879" s="32" t="s">
        <v>10217</v>
      </c>
      <c r="C3879" s="35">
        <v>16.46660042</v>
      </c>
      <c r="D3879" s="35">
        <v>102.7839966</v>
      </c>
      <c r="E3879" s="32" t="s">
        <v>175</v>
      </c>
      <c r="F3879" s="32" t="s">
        <v>10218</v>
      </c>
      <c r="G3879" s="39" t="s">
        <v>176</v>
      </c>
      <c r="H3879" s="33"/>
      <c r="I3879" s="33"/>
      <c r="J3879" s="33"/>
      <c r="K3879" s="33"/>
      <c r="L3879" s="33"/>
      <c r="M3879" s="33"/>
    </row>
    <row r="3880">
      <c r="A3880" s="32" t="s">
        <v>10219</v>
      </c>
      <c r="B3880" s="32" t="s">
        <v>10220</v>
      </c>
      <c r="C3880" s="35">
        <v>-35.26279831</v>
      </c>
      <c r="D3880" s="35">
        <v>173.9120026</v>
      </c>
      <c r="E3880" s="32" t="s">
        <v>1328</v>
      </c>
      <c r="F3880" s="32" t="s">
        <v>10221</v>
      </c>
      <c r="G3880" s="36" t="e">
        <v>#N/A</v>
      </c>
      <c r="H3880" s="33"/>
      <c r="I3880" s="33"/>
      <c r="J3880" s="33"/>
      <c r="K3880" s="33"/>
      <c r="L3880" s="33"/>
      <c r="M3880" s="33"/>
    </row>
    <row r="3881">
      <c r="A3881" s="32" t="s">
        <v>10222</v>
      </c>
      <c r="B3881" s="32" t="s">
        <v>10223</v>
      </c>
      <c r="C3881" s="35">
        <v>59.96080017</v>
      </c>
      <c r="D3881" s="35">
        <v>-162.8809967</v>
      </c>
      <c r="E3881" s="32" t="s">
        <v>180</v>
      </c>
      <c r="F3881" s="32" t="s">
        <v>10224</v>
      </c>
      <c r="G3881" s="39" t="s">
        <v>181</v>
      </c>
      <c r="H3881" s="33"/>
      <c r="I3881" s="33"/>
      <c r="J3881" s="33"/>
      <c r="K3881" s="33"/>
      <c r="L3881" s="33"/>
      <c r="M3881" s="33"/>
    </row>
    <row r="3882">
      <c r="A3882" s="32" t="s">
        <v>10225</v>
      </c>
      <c r="B3882" s="32" t="s">
        <v>10226</v>
      </c>
      <c r="C3882" s="35">
        <v>33.84590149</v>
      </c>
      <c r="D3882" s="35">
        <v>131.0350037</v>
      </c>
      <c r="E3882" s="32" t="s">
        <v>170</v>
      </c>
      <c r="F3882" s="32" t="s">
        <v>10227</v>
      </c>
      <c r="G3882" s="39" t="s">
        <v>171</v>
      </c>
      <c r="H3882" s="33"/>
      <c r="I3882" s="33"/>
      <c r="J3882" s="33"/>
      <c r="K3882" s="33"/>
      <c r="L3882" s="33"/>
      <c r="M3882" s="33"/>
    </row>
    <row r="3883">
      <c r="A3883" s="32" t="s">
        <v>10228</v>
      </c>
      <c r="B3883" s="32" t="s">
        <v>10229</v>
      </c>
      <c r="C3883" s="35">
        <v>69.72579956</v>
      </c>
      <c r="D3883" s="35">
        <v>29.8913002</v>
      </c>
      <c r="E3883" s="32" t="s">
        <v>343</v>
      </c>
      <c r="F3883" s="32" t="s">
        <v>10230</v>
      </c>
      <c r="G3883" s="36" t="e">
        <v>#N/A</v>
      </c>
      <c r="H3883" s="33"/>
      <c r="I3883" s="33"/>
      <c r="J3883" s="33"/>
      <c r="K3883" s="33"/>
      <c r="L3883" s="33"/>
      <c r="M3883" s="33"/>
    </row>
    <row r="3884">
      <c r="A3884" s="32" t="s">
        <v>10231</v>
      </c>
      <c r="B3884" s="32" t="s">
        <v>10232</v>
      </c>
      <c r="C3884" s="35">
        <v>-15.66329956</v>
      </c>
      <c r="D3884" s="35">
        <v>-146.8849945</v>
      </c>
      <c r="E3884" s="32" t="s">
        <v>1325</v>
      </c>
      <c r="F3884" s="32" t="s">
        <v>10233</v>
      </c>
      <c r="G3884" s="36" t="e">
        <v>#N/A</v>
      </c>
      <c r="H3884" s="33"/>
      <c r="I3884" s="33"/>
      <c r="J3884" s="33"/>
      <c r="K3884" s="33"/>
      <c r="L3884" s="33"/>
      <c r="M3884" s="33"/>
    </row>
    <row r="3885">
      <c r="A3885" s="32" t="s">
        <v>10234</v>
      </c>
      <c r="B3885" s="32" t="s">
        <v>10235</v>
      </c>
      <c r="C3885" s="35">
        <v>-5.035769939</v>
      </c>
      <c r="D3885" s="35">
        <v>18.78560066</v>
      </c>
      <c r="E3885" s="32" t="s">
        <v>800</v>
      </c>
      <c r="F3885" s="32" t="s">
        <v>10236</v>
      </c>
      <c r="G3885" s="36" t="e">
        <v>#N/A</v>
      </c>
      <c r="H3885" s="33"/>
      <c r="I3885" s="33"/>
      <c r="J3885" s="33"/>
      <c r="K3885" s="33"/>
      <c r="L3885" s="33"/>
      <c r="M3885" s="33"/>
    </row>
    <row r="3886">
      <c r="A3886" s="32" t="s">
        <v>10237</v>
      </c>
      <c r="B3886" s="32" t="s">
        <v>10238</v>
      </c>
      <c r="C3886" s="35">
        <v>28.32130051</v>
      </c>
      <c r="D3886" s="35">
        <v>129.9279938</v>
      </c>
      <c r="E3886" s="32" t="s">
        <v>170</v>
      </c>
      <c r="F3886" s="32" t="s">
        <v>10239</v>
      </c>
      <c r="G3886" s="39" t="s">
        <v>171</v>
      </c>
      <c r="H3886" s="33"/>
      <c r="I3886" s="33"/>
      <c r="J3886" s="33"/>
      <c r="K3886" s="33"/>
      <c r="L3886" s="33"/>
      <c r="M3886" s="33"/>
    </row>
    <row r="3887">
      <c r="A3887" s="32" t="s">
        <v>10240</v>
      </c>
      <c r="B3887" s="32" t="s">
        <v>10241</v>
      </c>
      <c r="C3887" s="35">
        <v>14.14690018</v>
      </c>
      <c r="D3887" s="35">
        <v>-16.05130005</v>
      </c>
      <c r="E3887" s="32" t="s">
        <v>5407</v>
      </c>
      <c r="F3887" s="32" t="s">
        <v>10242</v>
      </c>
      <c r="G3887" s="36" t="e">
        <v>#N/A</v>
      </c>
      <c r="H3887" s="33"/>
      <c r="I3887" s="33"/>
      <c r="J3887" s="33"/>
      <c r="K3887" s="33"/>
      <c r="L3887" s="33"/>
      <c r="M3887" s="33"/>
    </row>
    <row r="3888">
      <c r="A3888" s="32" t="s">
        <v>10243</v>
      </c>
      <c r="B3888" s="32" t="s">
        <v>10244</v>
      </c>
      <c r="C3888" s="35">
        <v>56.8246994</v>
      </c>
      <c r="D3888" s="35">
        <v>35.75770187</v>
      </c>
      <c r="E3888" s="32" t="s">
        <v>2040</v>
      </c>
      <c r="F3888" s="32" t="s">
        <v>10245</v>
      </c>
      <c r="G3888" s="36" t="e">
        <v>#N/A</v>
      </c>
      <c r="H3888" s="33"/>
      <c r="I3888" s="33"/>
      <c r="J3888" s="33"/>
      <c r="K3888" s="33"/>
      <c r="L3888" s="33"/>
      <c r="M3888" s="33"/>
    </row>
    <row r="3889">
      <c r="A3889" s="32" t="s">
        <v>10246</v>
      </c>
      <c r="B3889" s="32" t="s">
        <v>10247</v>
      </c>
      <c r="C3889" s="35">
        <v>54.54999924</v>
      </c>
      <c r="D3889" s="35">
        <v>36.3666687</v>
      </c>
      <c r="E3889" s="32" t="s">
        <v>2040</v>
      </c>
      <c r="F3889" s="32" t="s">
        <v>10248</v>
      </c>
      <c r="G3889" s="36" t="e">
        <v>#N/A</v>
      </c>
      <c r="H3889" s="33"/>
      <c r="I3889" s="33"/>
      <c r="J3889" s="33"/>
      <c r="K3889" s="33"/>
      <c r="L3889" s="33"/>
      <c r="M3889" s="33"/>
    </row>
    <row r="3890">
      <c r="A3890" s="32" t="s">
        <v>10249</v>
      </c>
      <c r="B3890" s="32" t="s">
        <v>10250</v>
      </c>
      <c r="C3890" s="35">
        <v>61.53630066</v>
      </c>
      <c r="D3890" s="35">
        <v>-160.3410034</v>
      </c>
      <c r="E3890" s="32" t="s">
        <v>180</v>
      </c>
      <c r="F3890" s="32" t="s">
        <v>10251</v>
      </c>
      <c r="G3890" s="39" t="s">
        <v>181</v>
      </c>
      <c r="H3890" s="33"/>
      <c r="I3890" s="33"/>
      <c r="J3890" s="33"/>
      <c r="K3890" s="33"/>
      <c r="L3890" s="33"/>
      <c r="M3890" s="33"/>
    </row>
    <row r="3891">
      <c r="A3891" s="32" t="s">
        <v>10252</v>
      </c>
      <c r="B3891" s="32" t="s">
        <v>10253</v>
      </c>
      <c r="C3891" s="35">
        <v>16.66469955</v>
      </c>
      <c r="D3891" s="35">
        <v>74.28939819</v>
      </c>
      <c r="E3891" s="32" t="s">
        <v>217</v>
      </c>
      <c r="F3891" s="32" t="s">
        <v>10254</v>
      </c>
      <c r="G3891" s="39" t="s">
        <v>218</v>
      </c>
      <c r="H3891" s="33"/>
      <c r="I3891" s="33"/>
      <c r="J3891" s="33"/>
      <c r="K3891" s="33"/>
      <c r="L3891" s="33"/>
      <c r="M3891" s="33"/>
    </row>
    <row r="3892">
      <c r="A3892" s="32" t="s">
        <v>10255</v>
      </c>
      <c r="B3892" s="32" t="s">
        <v>10256</v>
      </c>
      <c r="C3892" s="35">
        <v>57.53509903</v>
      </c>
      <c r="D3892" s="35">
        <v>-153.9779968</v>
      </c>
      <c r="E3892" s="32" t="s">
        <v>180</v>
      </c>
      <c r="F3892" s="32" t="s">
        <v>10257</v>
      </c>
      <c r="G3892" s="39" t="s">
        <v>181</v>
      </c>
      <c r="H3892" s="33"/>
      <c r="I3892" s="33"/>
      <c r="J3892" s="33"/>
      <c r="K3892" s="33"/>
      <c r="L3892" s="33"/>
      <c r="M3892" s="33"/>
    </row>
    <row r="3893">
      <c r="A3893" s="32" t="s">
        <v>10258</v>
      </c>
      <c r="B3893" s="32" t="s">
        <v>10259</v>
      </c>
      <c r="C3893" s="35">
        <v>11.67940044</v>
      </c>
      <c r="D3893" s="35">
        <v>122.3759995</v>
      </c>
      <c r="E3893" s="32" t="s">
        <v>270</v>
      </c>
      <c r="F3893" s="32" t="s">
        <v>10260</v>
      </c>
      <c r="G3893" s="36" t="e">
        <v>#N/A</v>
      </c>
      <c r="H3893" s="33"/>
      <c r="I3893" s="33"/>
      <c r="J3893" s="33"/>
      <c r="K3893" s="33"/>
      <c r="L3893" s="33"/>
      <c r="M3893" s="33"/>
    </row>
    <row r="3894">
      <c r="A3894" s="32" t="s">
        <v>10261</v>
      </c>
      <c r="B3894" s="32" t="s">
        <v>10262</v>
      </c>
      <c r="C3894" s="35">
        <v>56.6855011</v>
      </c>
      <c r="D3894" s="35">
        <v>16.28759956</v>
      </c>
      <c r="E3894" s="32" t="s">
        <v>347</v>
      </c>
      <c r="F3894" s="32" t="s">
        <v>10263</v>
      </c>
      <c r="G3894" s="36" t="e">
        <v>#N/A</v>
      </c>
      <c r="H3894" s="33"/>
      <c r="I3894" s="33"/>
      <c r="J3894" s="33"/>
      <c r="K3894" s="33"/>
      <c r="L3894" s="33"/>
      <c r="M3894" s="33"/>
    </row>
    <row r="3895">
      <c r="A3895" s="32" t="s">
        <v>10264</v>
      </c>
      <c r="B3895" s="32" t="s">
        <v>10265</v>
      </c>
      <c r="C3895" s="35">
        <v>46.11800003</v>
      </c>
      <c r="D3895" s="35">
        <v>-122.8980026</v>
      </c>
      <c r="E3895" s="32" t="s">
        <v>180</v>
      </c>
      <c r="F3895" s="32" t="s">
        <v>10266</v>
      </c>
      <c r="G3895" s="39" t="s">
        <v>181</v>
      </c>
      <c r="H3895" s="33"/>
      <c r="I3895" s="33"/>
      <c r="J3895" s="33"/>
      <c r="K3895" s="33"/>
      <c r="L3895" s="33"/>
      <c r="M3895" s="33"/>
    </row>
    <row r="3896">
      <c r="A3896" s="32" t="s">
        <v>10267</v>
      </c>
      <c r="B3896" s="32" t="s">
        <v>10268</v>
      </c>
      <c r="C3896" s="35">
        <v>46.642502</v>
      </c>
      <c r="D3896" s="35">
        <v>14.3377</v>
      </c>
      <c r="E3896" s="32" t="s">
        <v>1145</v>
      </c>
      <c r="F3896" s="32" t="s">
        <v>10269</v>
      </c>
      <c r="G3896" s="36" t="e">
        <v>#N/A</v>
      </c>
      <c r="H3896" s="33"/>
      <c r="I3896" s="33"/>
      <c r="J3896" s="33"/>
      <c r="K3896" s="33"/>
      <c r="L3896" s="33"/>
      <c r="M3896" s="33"/>
    </row>
    <row r="3897">
      <c r="A3897" s="32" t="s">
        <v>10270</v>
      </c>
      <c r="B3897" s="32" t="s">
        <v>10271</v>
      </c>
      <c r="C3897" s="35">
        <v>50.20299911</v>
      </c>
      <c r="D3897" s="35">
        <v>12.91499996</v>
      </c>
      <c r="E3897" s="32" t="s">
        <v>1104</v>
      </c>
      <c r="F3897" s="32" t="s">
        <v>10272</v>
      </c>
      <c r="G3897" s="36" t="e">
        <v>#N/A</v>
      </c>
      <c r="H3897" s="33"/>
      <c r="I3897" s="33"/>
      <c r="J3897" s="33"/>
      <c r="K3897" s="33"/>
      <c r="L3897" s="33"/>
      <c r="M3897" s="33"/>
    </row>
    <row r="3898">
      <c r="A3898" s="32" t="s">
        <v>10273</v>
      </c>
      <c r="B3898" s="32" t="s">
        <v>10274</v>
      </c>
      <c r="C3898" s="35">
        <v>55.57920074</v>
      </c>
      <c r="D3898" s="35">
        <v>-133.076004</v>
      </c>
      <c r="E3898" s="32" t="s">
        <v>180</v>
      </c>
      <c r="F3898" s="32" t="s">
        <v>4076</v>
      </c>
      <c r="G3898" s="39" t="s">
        <v>181</v>
      </c>
      <c r="H3898" s="33"/>
      <c r="I3898" s="33"/>
      <c r="J3898" s="33"/>
      <c r="K3898" s="33"/>
      <c r="L3898" s="33"/>
      <c r="M3898" s="33"/>
    </row>
    <row r="3899">
      <c r="A3899" s="32" t="s">
        <v>10275</v>
      </c>
      <c r="B3899" s="32" t="s">
        <v>10276</v>
      </c>
      <c r="C3899" s="35">
        <v>37.06829834</v>
      </c>
      <c r="D3899" s="35">
        <v>22.02549934</v>
      </c>
      <c r="E3899" s="32" t="s">
        <v>339</v>
      </c>
      <c r="F3899" s="32" t="s">
        <v>10277</v>
      </c>
      <c r="G3899" s="36" t="e">
        <v>#N/A</v>
      </c>
      <c r="H3899" s="33"/>
      <c r="I3899" s="33"/>
      <c r="J3899" s="33"/>
      <c r="K3899" s="33"/>
      <c r="L3899" s="33"/>
      <c r="M3899" s="33"/>
    </row>
    <row r="3900">
      <c r="A3900" s="32" t="s">
        <v>10278</v>
      </c>
      <c r="B3900" s="32" t="s">
        <v>10279</v>
      </c>
      <c r="C3900" s="35">
        <v>-29.68840027</v>
      </c>
      <c r="D3900" s="35">
        <v>17.09399986</v>
      </c>
      <c r="E3900" s="32" t="s">
        <v>16</v>
      </c>
      <c r="F3900" s="32" t="s">
        <v>10280</v>
      </c>
      <c r="G3900" s="36" t="e">
        <v>#N/A</v>
      </c>
      <c r="H3900" s="33"/>
      <c r="I3900" s="33"/>
      <c r="J3900" s="33"/>
      <c r="K3900" s="33"/>
      <c r="L3900" s="33"/>
      <c r="M3900" s="33"/>
    </row>
    <row r="3901">
      <c r="A3901" s="32" t="s">
        <v>10281</v>
      </c>
      <c r="B3901" s="32" t="s">
        <v>10282</v>
      </c>
      <c r="C3901" s="35">
        <v>52.6067009</v>
      </c>
      <c r="D3901" s="35">
        <v>-90.37689972</v>
      </c>
      <c r="E3901" s="32" t="s">
        <v>94</v>
      </c>
      <c r="F3901" s="32" t="s">
        <v>10283</v>
      </c>
      <c r="G3901" s="36" t="e">
        <v>#N/A</v>
      </c>
      <c r="H3901" s="33"/>
      <c r="I3901" s="33"/>
      <c r="J3901" s="33"/>
      <c r="K3901" s="33"/>
      <c r="L3901" s="33"/>
      <c r="M3901" s="33"/>
    </row>
    <row r="3902">
      <c r="A3902" s="32" t="s">
        <v>10284</v>
      </c>
      <c r="B3902" s="32" t="s">
        <v>10285</v>
      </c>
      <c r="C3902" s="35">
        <v>-7.963610172</v>
      </c>
      <c r="D3902" s="35">
        <v>145.7709961</v>
      </c>
      <c r="E3902" s="32" t="s">
        <v>5289</v>
      </c>
      <c r="F3902" s="32" t="s">
        <v>10286</v>
      </c>
      <c r="G3902" s="36" t="e">
        <v>#N/A</v>
      </c>
      <c r="H3902" s="33"/>
      <c r="I3902" s="33"/>
      <c r="J3902" s="33"/>
      <c r="K3902" s="33"/>
      <c r="L3902" s="33"/>
      <c r="M3902" s="33"/>
    </row>
    <row r="3903">
      <c r="A3903" s="32" t="s">
        <v>10287</v>
      </c>
      <c r="B3903" s="32" t="s">
        <v>10288</v>
      </c>
      <c r="C3903" s="35">
        <v>-2.462239981</v>
      </c>
      <c r="D3903" s="35">
        <v>28.90789986</v>
      </c>
      <c r="E3903" s="32" t="s">
        <v>8478</v>
      </c>
      <c r="F3903" s="32" t="s">
        <v>10289</v>
      </c>
      <c r="G3903" s="36" t="e">
        <v>#N/A</v>
      </c>
      <c r="H3903" s="33"/>
      <c r="I3903" s="33"/>
      <c r="J3903" s="33"/>
      <c r="K3903" s="33"/>
      <c r="L3903" s="33"/>
      <c r="M3903" s="33"/>
    </row>
    <row r="3904">
      <c r="A3904" s="32" t="s">
        <v>10290</v>
      </c>
      <c r="B3904" s="32" t="s">
        <v>10291</v>
      </c>
      <c r="C3904" s="35">
        <v>25.1019444</v>
      </c>
      <c r="D3904" s="35">
        <v>102.9291667</v>
      </c>
      <c r="E3904" s="32" t="s">
        <v>205</v>
      </c>
      <c r="F3904" s="32" t="s">
        <v>10292</v>
      </c>
      <c r="G3904" s="39" t="s">
        <v>206</v>
      </c>
      <c r="H3904" s="33"/>
      <c r="I3904" s="33"/>
      <c r="J3904" s="33"/>
      <c r="K3904" s="33"/>
      <c r="L3904" s="33"/>
      <c r="M3904" s="33"/>
    </row>
    <row r="3905">
      <c r="A3905" s="32" t="s">
        <v>10293</v>
      </c>
      <c r="B3905" s="32" t="s">
        <v>10294</v>
      </c>
      <c r="C3905" s="35">
        <v>-27.45669937</v>
      </c>
      <c r="D3905" s="35">
        <v>23.41139984</v>
      </c>
      <c r="E3905" s="32" t="s">
        <v>16</v>
      </c>
      <c r="F3905" s="32" t="s">
        <v>10295</v>
      </c>
      <c r="G3905" s="36" t="e">
        <v>#N/A</v>
      </c>
      <c r="H3905" s="33"/>
      <c r="I3905" s="33"/>
      <c r="J3905" s="33"/>
      <c r="K3905" s="33"/>
      <c r="L3905" s="33"/>
      <c r="M3905" s="33"/>
    </row>
    <row r="3906">
      <c r="A3906" s="32" t="s">
        <v>10296</v>
      </c>
      <c r="B3906" s="32" t="s">
        <v>10297</v>
      </c>
      <c r="C3906" s="35">
        <v>31.87719917</v>
      </c>
      <c r="D3906" s="35">
        <v>131.4490051</v>
      </c>
      <c r="E3906" s="32" t="s">
        <v>170</v>
      </c>
      <c r="F3906" s="32" t="s">
        <v>10298</v>
      </c>
      <c r="G3906" s="39" t="s">
        <v>171</v>
      </c>
      <c r="H3906" s="33"/>
      <c r="I3906" s="33"/>
      <c r="J3906" s="33"/>
      <c r="K3906" s="33"/>
      <c r="L3906" s="33"/>
      <c r="M3906" s="33"/>
    </row>
    <row r="3907">
      <c r="A3907" s="32" t="s">
        <v>10299</v>
      </c>
      <c r="B3907" s="32" t="s">
        <v>10300</v>
      </c>
      <c r="C3907" s="35">
        <v>32.83729935</v>
      </c>
      <c r="D3907" s="35">
        <v>130.8549957</v>
      </c>
      <c r="E3907" s="32" t="s">
        <v>170</v>
      </c>
      <c r="F3907" s="32" t="s">
        <v>10301</v>
      </c>
      <c r="G3907" s="39" t="s">
        <v>171</v>
      </c>
      <c r="H3907" s="33"/>
      <c r="I3907" s="33"/>
      <c r="J3907" s="33"/>
      <c r="K3907" s="33"/>
      <c r="L3907" s="33"/>
      <c r="M3907" s="33"/>
    </row>
    <row r="3908">
      <c r="A3908" s="32" t="s">
        <v>10302</v>
      </c>
      <c r="B3908" s="32" t="s">
        <v>10303</v>
      </c>
      <c r="C3908" s="35">
        <v>-8.642020226</v>
      </c>
      <c r="D3908" s="35">
        <v>25.25289917</v>
      </c>
      <c r="E3908" s="32" t="s">
        <v>800</v>
      </c>
      <c r="F3908" s="32" t="s">
        <v>10304</v>
      </c>
      <c r="G3908" s="36" t="e">
        <v>#N/A</v>
      </c>
      <c r="H3908" s="33"/>
      <c r="I3908" s="33"/>
      <c r="J3908" s="33"/>
      <c r="K3908" s="33"/>
      <c r="L3908" s="33"/>
      <c r="M3908" s="33"/>
    </row>
    <row r="3909">
      <c r="A3909" s="32" t="s">
        <v>10305</v>
      </c>
      <c r="B3909" s="32" t="s">
        <v>10306</v>
      </c>
      <c r="C3909" s="35">
        <v>58.99020004</v>
      </c>
      <c r="D3909" s="35">
        <v>-159.0500031</v>
      </c>
      <c r="E3909" s="32" t="s">
        <v>180</v>
      </c>
      <c r="F3909" s="32" t="s">
        <v>10307</v>
      </c>
      <c r="G3909" s="39" t="s">
        <v>181</v>
      </c>
      <c r="H3909" s="33"/>
      <c r="I3909" s="33"/>
      <c r="J3909" s="33"/>
      <c r="K3909" s="33"/>
      <c r="L3909" s="33"/>
      <c r="M3909" s="33"/>
    </row>
    <row r="3910">
      <c r="A3910" s="32" t="s">
        <v>10308</v>
      </c>
      <c r="B3910" s="32" t="s">
        <v>10309</v>
      </c>
      <c r="C3910" s="35">
        <v>-26.53980064</v>
      </c>
      <c r="D3910" s="35">
        <v>18.1114006</v>
      </c>
      <c r="E3910" s="32" t="s">
        <v>3193</v>
      </c>
      <c r="F3910" s="32" t="s">
        <v>10310</v>
      </c>
      <c r="G3910" s="36" t="e">
        <v>#N/A</v>
      </c>
      <c r="H3910" s="33"/>
      <c r="I3910" s="33"/>
      <c r="J3910" s="33"/>
      <c r="K3910" s="33"/>
      <c r="L3910" s="33"/>
      <c r="M3910" s="33"/>
    </row>
    <row r="3911">
      <c r="A3911" s="32" t="s">
        <v>10311</v>
      </c>
      <c r="B3911" s="32" t="s">
        <v>10312</v>
      </c>
      <c r="C3911" s="35">
        <v>36.39459991</v>
      </c>
      <c r="D3911" s="35">
        <v>136.4069977</v>
      </c>
      <c r="E3911" s="32" t="s">
        <v>170</v>
      </c>
      <c r="F3911" s="32" t="s">
        <v>10313</v>
      </c>
      <c r="G3911" s="39" t="s">
        <v>171</v>
      </c>
      <c r="H3911" s="33"/>
      <c r="I3911" s="33"/>
      <c r="J3911" s="33"/>
      <c r="K3911" s="33"/>
      <c r="L3911" s="33"/>
      <c r="M3911" s="33"/>
    </row>
    <row r="3912">
      <c r="A3912" s="32" t="s">
        <v>10314</v>
      </c>
      <c r="B3912" s="32" t="s">
        <v>10315</v>
      </c>
      <c r="C3912" s="35">
        <v>6.714560032</v>
      </c>
      <c r="D3912" s="35">
        <v>-1.590819955</v>
      </c>
      <c r="E3912" s="32" t="s">
        <v>24</v>
      </c>
      <c r="F3912" s="32" t="s">
        <v>10316</v>
      </c>
      <c r="G3912" s="36" t="e">
        <v>#N/A</v>
      </c>
      <c r="H3912" s="33"/>
      <c r="I3912" s="33"/>
      <c r="J3912" s="33"/>
      <c r="K3912" s="33"/>
      <c r="L3912" s="33"/>
      <c r="M3912" s="33"/>
    </row>
    <row r="3913">
      <c r="A3913" s="32" t="s">
        <v>10317</v>
      </c>
      <c r="B3913" s="32" t="s">
        <v>10318</v>
      </c>
      <c r="C3913" s="35">
        <v>-0.377353013</v>
      </c>
      <c r="D3913" s="35">
        <v>42.45920181</v>
      </c>
      <c r="E3913" s="32" t="s">
        <v>3906</v>
      </c>
      <c r="F3913" s="32" t="s">
        <v>10319</v>
      </c>
      <c r="G3913" s="36" t="e">
        <v>#N/A</v>
      </c>
      <c r="H3913" s="33"/>
      <c r="I3913" s="33"/>
      <c r="J3913" s="33"/>
      <c r="K3913" s="33"/>
      <c r="L3913" s="33"/>
      <c r="M3913" s="33"/>
    </row>
    <row r="3914">
      <c r="A3914" s="32" t="s">
        <v>10320</v>
      </c>
      <c r="B3914" s="32" t="s">
        <v>10321</v>
      </c>
      <c r="C3914" s="35">
        <v>23.18880081</v>
      </c>
      <c r="D3914" s="35">
        <v>94.05110168</v>
      </c>
      <c r="E3914" s="32" t="s">
        <v>10322</v>
      </c>
      <c r="F3914" s="32" t="s">
        <v>10323</v>
      </c>
      <c r="G3914" s="36" t="e">
        <v>#N/A</v>
      </c>
      <c r="H3914" s="33"/>
      <c r="I3914" s="33"/>
      <c r="J3914" s="33"/>
      <c r="K3914" s="33"/>
      <c r="L3914" s="33"/>
      <c r="M3914" s="33"/>
    </row>
    <row r="3915">
      <c r="A3915" s="32" t="s">
        <v>10324</v>
      </c>
      <c r="B3915" s="32" t="s">
        <v>10325</v>
      </c>
      <c r="C3915" s="35">
        <v>57.7969017</v>
      </c>
      <c r="D3915" s="35">
        <v>41.01940155</v>
      </c>
      <c r="E3915" s="32" t="s">
        <v>2040</v>
      </c>
      <c r="F3915" s="32" t="s">
        <v>2279</v>
      </c>
      <c r="G3915" s="36" t="e">
        <v>#N/A</v>
      </c>
      <c r="H3915" s="33"/>
      <c r="I3915" s="33"/>
      <c r="J3915" s="33"/>
      <c r="K3915" s="33"/>
      <c r="L3915" s="33"/>
      <c r="M3915" s="33"/>
    </row>
    <row r="3916">
      <c r="A3916" s="32" t="s">
        <v>10326</v>
      </c>
      <c r="B3916" s="32" t="s">
        <v>10327</v>
      </c>
      <c r="C3916" s="35">
        <v>18.29730034</v>
      </c>
      <c r="D3916" s="35">
        <v>42.80350113</v>
      </c>
      <c r="E3916" s="32" t="s">
        <v>223</v>
      </c>
      <c r="F3916" s="33"/>
      <c r="G3916" s="36" t="e">
        <v>#N/A</v>
      </c>
      <c r="H3916" s="33"/>
      <c r="I3916" s="33"/>
      <c r="J3916" s="33"/>
      <c r="K3916" s="33"/>
      <c r="L3916" s="33"/>
      <c r="M3916" s="33"/>
    </row>
    <row r="3917">
      <c r="A3917" s="32" t="s">
        <v>10328</v>
      </c>
      <c r="B3917" s="32" t="s">
        <v>10329</v>
      </c>
      <c r="C3917" s="35">
        <v>-2.919179916</v>
      </c>
      <c r="D3917" s="35">
        <v>25.91539955</v>
      </c>
      <c r="E3917" s="32" t="s">
        <v>800</v>
      </c>
      <c r="F3917" s="32" t="s">
        <v>10330</v>
      </c>
      <c r="G3917" s="36" t="e">
        <v>#N/A</v>
      </c>
      <c r="H3917" s="33"/>
      <c r="I3917" s="33"/>
      <c r="J3917" s="33"/>
      <c r="K3917" s="33"/>
      <c r="L3917" s="33"/>
      <c r="M3917" s="33"/>
    </row>
    <row r="3918">
      <c r="A3918" s="32" t="s">
        <v>10331</v>
      </c>
      <c r="B3918" s="32" t="s">
        <v>10332</v>
      </c>
      <c r="C3918" s="35">
        <v>52.648395</v>
      </c>
      <c r="D3918" s="35">
        <v>0.550692</v>
      </c>
      <c r="E3918" s="32" t="s">
        <v>90</v>
      </c>
      <c r="F3918" s="32" t="s">
        <v>10333</v>
      </c>
      <c r="G3918" s="39" t="s">
        <v>91</v>
      </c>
      <c r="H3918" s="33"/>
      <c r="I3918" s="33"/>
      <c r="J3918" s="33"/>
      <c r="K3918" s="33"/>
      <c r="L3918" s="33"/>
      <c r="M3918" s="33"/>
    </row>
    <row r="3919">
      <c r="A3919" s="32" t="s">
        <v>10334</v>
      </c>
      <c r="B3919" s="32" t="s">
        <v>10335</v>
      </c>
      <c r="C3919" s="35">
        <v>-3.644520044</v>
      </c>
      <c r="D3919" s="35">
        <v>133.6959991</v>
      </c>
      <c r="E3919" s="32" t="s">
        <v>280</v>
      </c>
      <c r="F3919" s="32" t="s">
        <v>10336</v>
      </c>
      <c r="G3919" s="36" t="e">
        <v>#N/A</v>
      </c>
      <c r="H3919" s="33"/>
      <c r="I3919" s="33"/>
      <c r="J3919" s="33"/>
      <c r="K3919" s="33"/>
      <c r="L3919" s="33"/>
      <c r="M3919" s="33"/>
    </row>
    <row r="3920">
      <c r="A3920" s="32" t="s">
        <v>10337</v>
      </c>
      <c r="B3920" s="32" t="s">
        <v>10338</v>
      </c>
      <c r="C3920" s="35">
        <v>24.42790031</v>
      </c>
      <c r="D3920" s="35">
        <v>118.3590012</v>
      </c>
      <c r="E3920" s="32" t="s">
        <v>1497</v>
      </c>
      <c r="F3920" s="32" t="s">
        <v>10339</v>
      </c>
      <c r="G3920" s="36" t="e">
        <v>#N/A</v>
      </c>
      <c r="H3920" s="33"/>
      <c r="I3920" s="33"/>
      <c r="J3920" s="33"/>
      <c r="K3920" s="33"/>
      <c r="L3920" s="33"/>
      <c r="M3920" s="33"/>
    </row>
    <row r="3921">
      <c r="A3921" s="32" t="s">
        <v>10340</v>
      </c>
      <c r="B3921" s="32" t="s">
        <v>10341</v>
      </c>
      <c r="C3921" s="35">
        <v>3.642222</v>
      </c>
      <c r="D3921" s="35">
        <v>98.885278</v>
      </c>
      <c r="E3921" s="32" t="s">
        <v>280</v>
      </c>
      <c r="F3921" s="32" t="s">
        <v>10342</v>
      </c>
      <c r="G3921" s="36" t="e">
        <v>#N/A</v>
      </c>
      <c r="H3921" s="33"/>
      <c r="I3921" s="33"/>
      <c r="J3921" s="33"/>
      <c r="K3921" s="33"/>
      <c r="L3921" s="33"/>
      <c r="M3921" s="33"/>
    </row>
    <row r="3922">
      <c r="A3922" s="32" t="s">
        <v>10343</v>
      </c>
      <c r="B3922" s="32" t="s">
        <v>10344</v>
      </c>
      <c r="C3922" s="35">
        <v>-21.05430031</v>
      </c>
      <c r="D3922" s="35">
        <v>164.8370056</v>
      </c>
      <c r="E3922" s="32" t="s">
        <v>5002</v>
      </c>
      <c r="F3922" s="32" t="s">
        <v>10345</v>
      </c>
      <c r="G3922" s="36" t="e">
        <v>#N/A</v>
      </c>
      <c r="H3922" s="33"/>
      <c r="I3922" s="33"/>
      <c r="J3922" s="33"/>
      <c r="K3922" s="33"/>
      <c r="L3922" s="33"/>
      <c r="M3922" s="33"/>
    </row>
    <row r="3923">
      <c r="A3923" s="32" t="s">
        <v>10346</v>
      </c>
      <c r="B3923" s="32" t="s">
        <v>10347</v>
      </c>
      <c r="C3923" s="35">
        <v>27.82049942</v>
      </c>
      <c r="D3923" s="35">
        <v>52.35219955</v>
      </c>
      <c r="E3923" s="32" t="s">
        <v>1378</v>
      </c>
      <c r="F3923" s="32" t="s">
        <v>10348</v>
      </c>
      <c r="G3923" s="36" t="e">
        <v>#N/A</v>
      </c>
      <c r="H3923" s="33"/>
      <c r="I3923" s="33"/>
      <c r="J3923" s="33"/>
      <c r="K3923" s="33"/>
      <c r="L3923" s="33"/>
      <c r="M3923" s="33"/>
    </row>
    <row r="3924">
      <c r="A3924" s="32" t="s">
        <v>10349</v>
      </c>
      <c r="B3924" s="32" t="s">
        <v>10350</v>
      </c>
      <c r="C3924" s="35">
        <v>-39.87749863</v>
      </c>
      <c r="D3924" s="35">
        <v>143.878006</v>
      </c>
      <c r="E3924" s="32" t="s">
        <v>1968</v>
      </c>
      <c r="F3924" s="32" t="s">
        <v>10351</v>
      </c>
      <c r="G3924" s="36" t="e">
        <v>#N/A</v>
      </c>
      <c r="H3924" s="33"/>
      <c r="I3924" s="33"/>
      <c r="J3924" s="33"/>
      <c r="K3924" s="33"/>
      <c r="L3924" s="33"/>
      <c r="M3924" s="33"/>
    </row>
    <row r="3925">
      <c r="A3925" s="32" t="s">
        <v>10352</v>
      </c>
      <c r="B3925" s="32" t="s">
        <v>10353</v>
      </c>
      <c r="C3925" s="35">
        <v>26.44140053</v>
      </c>
      <c r="D3925" s="35">
        <v>80.36489868</v>
      </c>
      <c r="E3925" s="32" t="s">
        <v>217</v>
      </c>
      <c r="F3925" s="32" t="s">
        <v>10354</v>
      </c>
      <c r="G3925" s="39" t="s">
        <v>218</v>
      </c>
      <c r="H3925" s="33"/>
      <c r="I3925" s="33"/>
      <c r="J3925" s="33"/>
      <c r="K3925" s="33"/>
      <c r="L3925" s="33"/>
      <c r="M3925" s="33"/>
    </row>
    <row r="3926">
      <c r="A3926" s="32" t="s">
        <v>10355</v>
      </c>
      <c r="B3926" s="32" t="s">
        <v>10356</v>
      </c>
      <c r="C3926" s="35">
        <v>59.44990158</v>
      </c>
      <c r="D3926" s="35">
        <v>-157.3280029</v>
      </c>
      <c r="E3926" s="32" t="s">
        <v>180</v>
      </c>
      <c r="F3926" s="32" t="s">
        <v>10357</v>
      </c>
      <c r="G3926" s="39" t="s">
        <v>181</v>
      </c>
      <c r="H3926" s="33"/>
      <c r="I3926" s="33"/>
      <c r="J3926" s="33"/>
      <c r="K3926" s="33"/>
      <c r="L3926" s="33"/>
      <c r="M3926" s="33"/>
    </row>
    <row r="3927">
      <c r="A3927" s="32" t="s">
        <v>10358</v>
      </c>
      <c r="B3927" s="32" t="s">
        <v>10359</v>
      </c>
      <c r="C3927" s="35">
        <v>-15.77810001</v>
      </c>
      <c r="D3927" s="35">
        <v>128.7079926</v>
      </c>
      <c r="E3927" s="32" t="s">
        <v>1968</v>
      </c>
      <c r="F3927" s="32" t="s">
        <v>10360</v>
      </c>
      <c r="G3927" s="36" t="e">
        <v>#N/A</v>
      </c>
      <c r="H3927" s="33"/>
      <c r="I3927" s="33"/>
      <c r="J3927" s="33"/>
      <c r="K3927" s="33"/>
      <c r="L3927" s="33"/>
      <c r="M3927" s="33"/>
    </row>
    <row r="3928">
      <c r="A3928" s="32" t="s">
        <v>10361</v>
      </c>
      <c r="B3928" s="32" t="s">
        <v>10362</v>
      </c>
      <c r="C3928" s="35">
        <v>19.73880005</v>
      </c>
      <c r="D3928" s="35">
        <v>-156.0460052</v>
      </c>
      <c r="E3928" s="32" t="s">
        <v>180</v>
      </c>
      <c r="F3928" s="32" t="s">
        <v>10363</v>
      </c>
      <c r="G3928" s="39" t="s">
        <v>181</v>
      </c>
      <c r="H3928" s="33"/>
      <c r="I3928" s="33"/>
      <c r="J3928" s="33"/>
      <c r="K3928" s="33"/>
      <c r="L3928" s="33"/>
      <c r="M3928" s="33"/>
    </row>
    <row r="3929">
      <c r="A3929" s="32" t="s">
        <v>10364</v>
      </c>
      <c r="B3929" s="32" t="s">
        <v>10365</v>
      </c>
      <c r="C3929" s="35">
        <v>-20.54630089</v>
      </c>
      <c r="D3929" s="35">
        <v>164.2559967</v>
      </c>
      <c r="E3929" s="32" t="s">
        <v>5002</v>
      </c>
      <c r="F3929" s="32" t="s">
        <v>10366</v>
      </c>
      <c r="G3929" s="36" t="e">
        <v>#N/A</v>
      </c>
      <c r="H3929" s="33"/>
      <c r="I3929" s="33"/>
      <c r="J3929" s="33"/>
      <c r="K3929" s="33"/>
      <c r="L3929" s="33"/>
      <c r="M3929" s="33"/>
    </row>
    <row r="3930">
      <c r="A3930" s="32" t="s">
        <v>10367</v>
      </c>
      <c r="B3930" s="32" t="s">
        <v>10368</v>
      </c>
      <c r="C3930" s="35">
        <v>-10.17160034</v>
      </c>
      <c r="D3930" s="35">
        <v>123.6709976</v>
      </c>
      <c r="E3930" s="32" t="s">
        <v>280</v>
      </c>
      <c r="F3930" s="32" t="s">
        <v>10369</v>
      </c>
      <c r="G3930" s="36" t="e">
        <v>#N/A</v>
      </c>
      <c r="H3930" s="33"/>
      <c r="I3930" s="33"/>
      <c r="J3930" s="33"/>
      <c r="K3930" s="33"/>
      <c r="L3930" s="33"/>
      <c r="M3930" s="33"/>
    </row>
    <row r="3931">
      <c r="A3931" s="32" t="s">
        <v>10370</v>
      </c>
      <c r="B3931" s="32" t="s">
        <v>10371</v>
      </c>
      <c r="C3931" s="35">
        <v>58.95780182</v>
      </c>
      <c r="D3931" s="35">
        <v>-2.904999971</v>
      </c>
      <c r="E3931" s="32" t="s">
        <v>90</v>
      </c>
      <c r="F3931" s="32" t="s">
        <v>10372</v>
      </c>
      <c r="G3931" s="39" t="s">
        <v>91</v>
      </c>
      <c r="H3931" s="33"/>
      <c r="I3931" s="33"/>
      <c r="J3931" s="33"/>
      <c r="K3931" s="33"/>
      <c r="L3931" s="33"/>
      <c r="M3931" s="33"/>
    </row>
    <row r="3932">
      <c r="A3932" s="32" t="s">
        <v>10373</v>
      </c>
      <c r="B3932" s="32" t="s">
        <v>10374</v>
      </c>
      <c r="C3932" s="35">
        <v>31.80340004</v>
      </c>
      <c r="D3932" s="35">
        <v>130.7189941</v>
      </c>
      <c r="E3932" s="32" t="s">
        <v>170</v>
      </c>
      <c r="F3932" s="32" t="s">
        <v>10375</v>
      </c>
      <c r="G3932" s="39" t="s">
        <v>171</v>
      </c>
      <c r="H3932" s="33"/>
      <c r="I3932" s="33"/>
      <c r="J3932" s="33"/>
      <c r="K3932" s="33"/>
      <c r="L3932" s="33"/>
      <c r="M3932" s="33"/>
    </row>
    <row r="3933">
      <c r="A3933" s="32" t="s">
        <v>10376</v>
      </c>
      <c r="B3933" s="32" t="s">
        <v>10377</v>
      </c>
      <c r="C3933" s="35">
        <v>63.72119904</v>
      </c>
      <c r="D3933" s="35">
        <v>23.14310074</v>
      </c>
      <c r="E3933" s="32" t="s">
        <v>408</v>
      </c>
      <c r="F3933" s="32" t="s">
        <v>10378</v>
      </c>
      <c r="G3933" s="36" t="e">
        <v>#N/A</v>
      </c>
      <c r="H3933" s="33"/>
      <c r="I3933" s="33"/>
      <c r="J3933" s="33"/>
      <c r="K3933" s="33"/>
      <c r="L3933" s="33"/>
      <c r="M3933" s="33"/>
    </row>
    <row r="3934">
      <c r="A3934" s="32" t="s">
        <v>10379</v>
      </c>
      <c r="B3934" s="32" t="s">
        <v>10380</v>
      </c>
      <c r="C3934" s="35">
        <v>-5.394440174</v>
      </c>
      <c r="D3934" s="35">
        <v>26.98999977</v>
      </c>
      <c r="E3934" s="32" t="s">
        <v>800</v>
      </c>
      <c r="F3934" s="32" t="s">
        <v>10381</v>
      </c>
      <c r="G3934" s="36" t="e">
        <v>#N/A</v>
      </c>
      <c r="H3934" s="33"/>
      <c r="I3934" s="33"/>
      <c r="J3934" s="33"/>
      <c r="K3934" s="33"/>
      <c r="L3934" s="33"/>
      <c r="M3934" s="33"/>
    </row>
    <row r="3935">
      <c r="A3935" s="32" t="s">
        <v>10382</v>
      </c>
      <c r="B3935" s="32" t="s">
        <v>10383</v>
      </c>
      <c r="C3935" s="35">
        <v>17.38380051</v>
      </c>
      <c r="D3935" s="35">
        <v>104.6429977</v>
      </c>
      <c r="E3935" s="32" t="s">
        <v>175</v>
      </c>
      <c r="F3935" s="32" t="s">
        <v>10384</v>
      </c>
      <c r="G3935" s="39" t="s">
        <v>176</v>
      </c>
      <c r="H3935" s="33"/>
      <c r="I3935" s="33"/>
      <c r="J3935" s="33"/>
      <c r="K3935" s="33"/>
      <c r="L3935" s="33"/>
      <c r="M3935" s="33"/>
    </row>
    <row r="3936">
      <c r="A3936" s="32" t="s">
        <v>10385</v>
      </c>
      <c r="B3936" s="32" t="s">
        <v>10386</v>
      </c>
      <c r="C3936" s="35">
        <v>10.57970047</v>
      </c>
      <c r="D3936" s="35">
        <v>103.637001</v>
      </c>
      <c r="E3936" s="32" t="s">
        <v>1832</v>
      </c>
      <c r="F3936" s="32" t="s">
        <v>2884</v>
      </c>
      <c r="G3936" s="36" t="e">
        <v>#N/A</v>
      </c>
      <c r="H3936" s="33"/>
      <c r="I3936" s="33"/>
      <c r="J3936" s="33"/>
      <c r="K3936" s="33"/>
      <c r="L3936" s="33"/>
      <c r="M3936" s="33"/>
    </row>
    <row r="3937">
      <c r="A3937" s="32" t="s">
        <v>10387</v>
      </c>
      <c r="B3937" s="32" t="s">
        <v>10388</v>
      </c>
      <c r="C3937" s="35">
        <v>63.0306015</v>
      </c>
      <c r="D3937" s="35">
        <v>-163.5330048</v>
      </c>
      <c r="E3937" s="32" t="s">
        <v>180</v>
      </c>
      <c r="F3937" s="32" t="s">
        <v>10389</v>
      </c>
      <c r="G3937" s="39" t="s">
        <v>181</v>
      </c>
      <c r="H3937" s="33"/>
      <c r="I3937" s="33"/>
      <c r="J3937" s="33"/>
      <c r="K3937" s="33"/>
      <c r="L3937" s="33"/>
      <c r="M3937" s="33"/>
    </row>
    <row r="3938">
      <c r="A3938" s="32" t="s">
        <v>10390</v>
      </c>
      <c r="B3938" s="32" t="s">
        <v>10391</v>
      </c>
      <c r="C3938" s="35">
        <v>-1.184610009</v>
      </c>
      <c r="D3938" s="35">
        <v>12.44130039</v>
      </c>
      <c r="E3938" s="32" t="s">
        <v>4974</v>
      </c>
      <c r="F3938" s="32" t="s">
        <v>10392</v>
      </c>
      <c r="G3938" s="36" t="e">
        <v>#N/A</v>
      </c>
      <c r="H3938" s="33"/>
      <c r="I3938" s="33"/>
      <c r="J3938" s="33"/>
      <c r="K3938" s="33"/>
      <c r="L3938" s="33"/>
      <c r="M3938" s="33"/>
    </row>
    <row r="3939">
      <c r="A3939" s="32" t="s">
        <v>10393</v>
      </c>
      <c r="B3939" s="32" t="s">
        <v>10394</v>
      </c>
      <c r="C3939" s="35">
        <v>53.32910156</v>
      </c>
      <c r="D3939" s="35">
        <v>69.59459686</v>
      </c>
      <c r="E3939" s="32" t="s">
        <v>2817</v>
      </c>
      <c r="F3939" s="32" t="s">
        <v>10395</v>
      </c>
      <c r="G3939" s="36" t="e">
        <v>#N/A</v>
      </c>
      <c r="H3939" s="33"/>
      <c r="I3939" s="33"/>
      <c r="J3939" s="33"/>
      <c r="K3939" s="33"/>
      <c r="L3939" s="33"/>
      <c r="M3939" s="33"/>
    </row>
    <row r="3940">
      <c r="A3940" s="32" t="s">
        <v>10396</v>
      </c>
      <c r="B3940" s="32" t="s">
        <v>10397</v>
      </c>
      <c r="C3940" s="35">
        <v>25.853333</v>
      </c>
      <c r="D3940" s="35">
        <v>114.778889</v>
      </c>
      <c r="E3940" s="32" t="s">
        <v>205</v>
      </c>
      <c r="F3940" s="32" t="s">
        <v>10398</v>
      </c>
      <c r="G3940" s="39" t="s">
        <v>206</v>
      </c>
      <c r="H3940" s="33"/>
      <c r="I3940" s="33"/>
      <c r="J3940" s="33"/>
      <c r="K3940" s="33"/>
      <c r="L3940" s="33"/>
      <c r="M3940" s="33"/>
    </row>
    <row r="3941">
      <c r="A3941" s="32" t="s">
        <v>10399</v>
      </c>
      <c r="B3941" s="32" t="s">
        <v>10400</v>
      </c>
      <c r="C3941" s="35">
        <v>-4.71075</v>
      </c>
      <c r="D3941" s="35">
        <v>136.43515</v>
      </c>
      <c r="E3941" s="32" t="s">
        <v>280</v>
      </c>
      <c r="F3941" s="32" t="s">
        <v>10401</v>
      </c>
      <c r="G3941" s="36" t="e">
        <v>#N/A</v>
      </c>
      <c r="H3941" s="33"/>
      <c r="I3941" s="33"/>
      <c r="J3941" s="33"/>
      <c r="K3941" s="33"/>
      <c r="L3941" s="33"/>
      <c r="M3941" s="33"/>
    </row>
    <row r="3942">
      <c r="A3942" s="32" t="s">
        <v>10402</v>
      </c>
      <c r="B3942" s="32" t="s">
        <v>10403</v>
      </c>
      <c r="C3942" s="35">
        <v>59.93299866</v>
      </c>
      <c r="D3942" s="35">
        <v>-164.0310059</v>
      </c>
      <c r="E3942" s="32" t="s">
        <v>180</v>
      </c>
      <c r="F3942" s="32" t="s">
        <v>10404</v>
      </c>
      <c r="G3942" s="39" t="s">
        <v>181</v>
      </c>
      <c r="H3942" s="33"/>
      <c r="I3942" s="33"/>
      <c r="J3942" s="33"/>
      <c r="K3942" s="33"/>
      <c r="L3942" s="33"/>
      <c r="M3942" s="33"/>
    </row>
    <row r="3943">
      <c r="A3943" s="32" t="s">
        <v>10405</v>
      </c>
      <c r="B3943" s="32" t="s">
        <v>10406</v>
      </c>
      <c r="C3943" s="35">
        <v>35.98789978</v>
      </c>
      <c r="D3943" s="35">
        <v>129.4199982</v>
      </c>
      <c r="E3943" s="32" t="s">
        <v>151</v>
      </c>
      <c r="F3943" s="32" t="s">
        <v>10407</v>
      </c>
      <c r="G3943" s="39" t="s">
        <v>152</v>
      </c>
      <c r="H3943" s="33"/>
      <c r="I3943" s="33"/>
      <c r="J3943" s="33"/>
      <c r="K3943" s="33"/>
      <c r="L3943" s="33"/>
      <c r="M3943" s="33"/>
    </row>
    <row r="3944">
      <c r="A3944" s="32" t="s">
        <v>10408</v>
      </c>
      <c r="B3944" s="32" t="s">
        <v>10409</v>
      </c>
      <c r="C3944" s="35">
        <v>-31.07439995</v>
      </c>
      <c r="D3944" s="35">
        <v>152.7700043</v>
      </c>
      <c r="E3944" s="32" t="s">
        <v>1968</v>
      </c>
      <c r="F3944" s="33"/>
      <c r="G3944" s="36" t="e">
        <v>#N/A</v>
      </c>
      <c r="H3944" s="33"/>
      <c r="I3944" s="33"/>
      <c r="J3944" s="33"/>
      <c r="K3944" s="33"/>
      <c r="L3944" s="33"/>
      <c r="M3944" s="33"/>
    </row>
    <row r="3945">
      <c r="A3945" s="32" t="s">
        <v>10410</v>
      </c>
      <c r="B3945" s="32" t="s">
        <v>10411</v>
      </c>
      <c r="C3945" s="35">
        <v>55.905998</v>
      </c>
      <c r="D3945" s="35">
        <v>-159.162993</v>
      </c>
      <c r="E3945" s="32" t="s">
        <v>180</v>
      </c>
      <c r="F3945" s="32" t="s">
        <v>10412</v>
      </c>
      <c r="G3945" s="39" t="s">
        <v>181</v>
      </c>
      <c r="H3945" s="33"/>
      <c r="I3945" s="33"/>
      <c r="J3945" s="33"/>
      <c r="K3945" s="33"/>
      <c r="L3945" s="33"/>
      <c r="M3945" s="33"/>
    </row>
    <row r="3946">
      <c r="A3946" s="32" t="s">
        <v>10413</v>
      </c>
      <c r="B3946" s="32" t="s">
        <v>10414</v>
      </c>
      <c r="C3946" s="35">
        <v>54.13377044</v>
      </c>
      <c r="D3946" s="35">
        <v>-165.7788956</v>
      </c>
      <c r="E3946" s="32" t="s">
        <v>180</v>
      </c>
      <c r="F3946" s="32" t="s">
        <v>10415</v>
      </c>
      <c r="G3946" s="39" t="s">
        <v>181</v>
      </c>
      <c r="H3946" s="33"/>
      <c r="I3946" s="33"/>
      <c r="J3946" s="33"/>
      <c r="K3946" s="33"/>
      <c r="L3946" s="33"/>
      <c r="M3946" s="33"/>
    </row>
    <row r="3947">
      <c r="A3947" s="32" t="s">
        <v>10416</v>
      </c>
      <c r="B3947" s="32" t="s">
        <v>10417</v>
      </c>
      <c r="C3947" s="35">
        <v>-35.75139999</v>
      </c>
      <c r="D3947" s="35">
        <v>143.9389954</v>
      </c>
      <c r="E3947" s="32" t="s">
        <v>1968</v>
      </c>
      <c r="F3947" s="33"/>
      <c r="G3947" s="36" t="e">
        <v>#N/A</v>
      </c>
      <c r="H3947" s="33"/>
      <c r="I3947" s="33"/>
      <c r="J3947" s="33"/>
      <c r="K3947" s="33"/>
      <c r="L3947" s="33"/>
      <c r="M3947" s="33"/>
    </row>
    <row r="3948">
      <c r="A3948" s="32" t="s">
        <v>10418</v>
      </c>
      <c r="B3948" s="32" t="s">
        <v>10419</v>
      </c>
      <c r="C3948" s="35">
        <v>-17.45669937</v>
      </c>
      <c r="D3948" s="35">
        <v>140.8300018</v>
      </c>
      <c r="E3948" s="32" t="s">
        <v>1968</v>
      </c>
      <c r="F3948" s="32" t="s">
        <v>10420</v>
      </c>
      <c r="G3948" s="36" t="e">
        <v>#N/A</v>
      </c>
      <c r="H3948" s="33"/>
      <c r="I3948" s="33"/>
      <c r="J3948" s="33"/>
      <c r="K3948" s="33"/>
      <c r="L3948" s="33"/>
      <c r="M3948" s="33"/>
    </row>
    <row r="3949">
      <c r="A3949" s="32" t="s">
        <v>10421</v>
      </c>
      <c r="B3949" s="32" t="s">
        <v>10422</v>
      </c>
      <c r="C3949" s="35">
        <v>63.04859924</v>
      </c>
      <c r="D3949" s="35">
        <v>17.76889992</v>
      </c>
      <c r="E3949" s="32" t="s">
        <v>347</v>
      </c>
      <c r="F3949" s="32" t="s">
        <v>10423</v>
      </c>
      <c r="G3949" s="36" t="e">
        <v>#N/A</v>
      </c>
      <c r="H3949" s="33"/>
      <c r="I3949" s="33"/>
      <c r="J3949" s="33"/>
      <c r="K3949" s="33"/>
      <c r="L3949" s="33"/>
      <c r="M3949" s="33"/>
    </row>
    <row r="3950">
      <c r="A3950" s="32" t="s">
        <v>10424</v>
      </c>
      <c r="B3950" s="32" t="s">
        <v>10425</v>
      </c>
      <c r="C3950" s="35">
        <v>51.21360016</v>
      </c>
      <c r="D3950" s="35">
        <v>-0.138611004</v>
      </c>
      <c r="E3950" s="32" t="s">
        <v>90</v>
      </c>
      <c r="F3950" s="32" t="s">
        <v>10426</v>
      </c>
      <c r="G3950" s="39" t="s">
        <v>91</v>
      </c>
      <c r="H3950" s="33"/>
      <c r="I3950" s="33"/>
      <c r="J3950" s="33"/>
      <c r="K3950" s="33"/>
      <c r="L3950" s="33"/>
      <c r="M3950" s="33"/>
    </row>
    <row r="3951">
      <c r="A3951" s="32" t="s">
        <v>10427</v>
      </c>
      <c r="B3951" s="32" t="s">
        <v>10428</v>
      </c>
      <c r="C3951" s="35">
        <v>-7.424379826</v>
      </c>
      <c r="D3951" s="35">
        <v>144.2500763</v>
      </c>
      <c r="E3951" s="32" t="s">
        <v>5289</v>
      </c>
      <c r="F3951" s="32" t="s">
        <v>10429</v>
      </c>
      <c r="G3951" s="36" t="e">
        <v>#N/A</v>
      </c>
      <c r="H3951" s="33"/>
      <c r="I3951" s="33"/>
      <c r="J3951" s="33"/>
      <c r="K3951" s="33"/>
      <c r="L3951" s="33"/>
      <c r="M3951" s="33"/>
    </row>
    <row r="3952">
      <c r="A3952" s="32" t="s">
        <v>10430</v>
      </c>
      <c r="B3952" s="32" t="s">
        <v>10431</v>
      </c>
      <c r="C3952" s="35">
        <v>50.07770157</v>
      </c>
      <c r="D3952" s="35">
        <v>19.78479958</v>
      </c>
      <c r="E3952" s="32" t="s">
        <v>192</v>
      </c>
      <c r="F3952" s="32" t="s">
        <v>10432</v>
      </c>
      <c r="G3952" s="39" t="s">
        <v>193</v>
      </c>
      <c r="H3952" s="33"/>
      <c r="I3952" s="33"/>
      <c r="J3952" s="33"/>
      <c r="K3952" s="33"/>
      <c r="L3952" s="33"/>
      <c r="M3952" s="33"/>
    </row>
    <row r="3953">
      <c r="A3953" s="32" t="s">
        <v>10433</v>
      </c>
      <c r="B3953" s="32" t="s">
        <v>10434</v>
      </c>
      <c r="C3953" s="35">
        <v>41.69779968</v>
      </c>
      <c r="D3953" s="35">
        <v>86.12889862</v>
      </c>
      <c r="E3953" s="32" t="s">
        <v>205</v>
      </c>
      <c r="F3953" s="32" t="s">
        <v>10435</v>
      </c>
      <c r="G3953" s="39" t="s">
        <v>206</v>
      </c>
      <c r="H3953" s="33"/>
      <c r="I3953" s="33"/>
      <c r="J3953" s="33"/>
      <c r="K3953" s="33"/>
      <c r="L3953" s="33"/>
      <c r="M3953" s="33"/>
    </row>
    <row r="3954">
      <c r="A3954" s="32" t="s">
        <v>10436</v>
      </c>
      <c r="B3954" s="32" t="s">
        <v>10437</v>
      </c>
      <c r="C3954" s="35">
        <v>67.8219986</v>
      </c>
      <c r="D3954" s="35">
        <v>20.33679962</v>
      </c>
      <c r="E3954" s="32" t="s">
        <v>347</v>
      </c>
      <c r="F3954" s="32" t="s">
        <v>10438</v>
      </c>
      <c r="G3954" s="36" t="e">
        <v>#N/A</v>
      </c>
      <c r="H3954" s="33"/>
      <c r="I3954" s="33"/>
      <c r="J3954" s="33"/>
      <c r="K3954" s="33"/>
      <c r="L3954" s="33"/>
      <c r="M3954" s="33"/>
    </row>
    <row r="3955">
      <c r="A3955" s="32" t="s">
        <v>10439</v>
      </c>
      <c r="B3955" s="32" t="s">
        <v>10440</v>
      </c>
      <c r="C3955" s="35">
        <v>55.47529984</v>
      </c>
      <c r="D3955" s="35">
        <v>65.41560364</v>
      </c>
      <c r="E3955" s="32" t="s">
        <v>2040</v>
      </c>
      <c r="F3955" s="32" t="s">
        <v>10441</v>
      </c>
      <c r="G3955" s="36" t="e">
        <v>#N/A</v>
      </c>
      <c r="H3955" s="33"/>
      <c r="I3955" s="33"/>
      <c r="J3955" s="33"/>
      <c r="K3955" s="33"/>
      <c r="L3955" s="33"/>
      <c r="M3955" s="33"/>
    </row>
    <row r="3956">
      <c r="A3956" s="32" t="s">
        <v>10442</v>
      </c>
      <c r="B3956" s="32" t="s">
        <v>10443</v>
      </c>
      <c r="C3956" s="35">
        <v>56.29750061</v>
      </c>
      <c r="D3956" s="35">
        <v>9.124629974</v>
      </c>
      <c r="E3956" s="32" t="s">
        <v>533</v>
      </c>
      <c r="F3956" s="32" t="s">
        <v>10444</v>
      </c>
      <c r="G3956" s="36" t="e">
        <v>#N/A</v>
      </c>
      <c r="H3956" s="33"/>
      <c r="I3956" s="33"/>
      <c r="J3956" s="33"/>
      <c r="K3956" s="33"/>
      <c r="L3956" s="33"/>
      <c r="M3956" s="33"/>
    </row>
    <row r="3957">
      <c r="A3957" s="32" t="s">
        <v>10445</v>
      </c>
      <c r="B3957" s="32" t="s">
        <v>10446</v>
      </c>
      <c r="C3957" s="35">
        <v>48.70560074</v>
      </c>
      <c r="D3957" s="35">
        <v>37.62889862</v>
      </c>
      <c r="E3957" s="32" t="s">
        <v>3293</v>
      </c>
      <c r="F3957" s="32" t="s">
        <v>10447</v>
      </c>
      <c r="G3957" s="36" t="e">
        <v>#N/A</v>
      </c>
      <c r="H3957" s="33"/>
      <c r="I3957" s="33"/>
      <c r="J3957" s="33"/>
      <c r="K3957" s="33"/>
      <c r="L3957" s="33"/>
      <c r="M3957" s="33"/>
    </row>
    <row r="3958">
      <c r="A3958" s="32" t="s">
        <v>10448</v>
      </c>
      <c r="B3958" s="32" t="s">
        <v>10449</v>
      </c>
      <c r="C3958" s="35">
        <v>45.03469849</v>
      </c>
      <c r="D3958" s="35">
        <v>39.17050171</v>
      </c>
      <c r="E3958" s="32" t="s">
        <v>2040</v>
      </c>
      <c r="F3958" s="32" t="s">
        <v>10450</v>
      </c>
      <c r="G3958" s="36" t="e">
        <v>#N/A</v>
      </c>
      <c r="H3958" s="33"/>
      <c r="I3958" s="33"/>
      <c r="J3958" s="33"/>
      <c r="K3958" s="33"/>
      <c r="L3958" s="33"/>
      <c r="M3958" s="33"/>
    </row>
    <row r="3959">
      <c r="A3959" s="32" t="s">
        <v>10451</v>
      </c>
      <c r="B3959" s="32" t="s">
        <v>10452</v>
      </c>
      <c r="C3959" s="35">
        <v>58.20420074</v>
      </c>
      <c r="D3959" s="35">
        <v>8.085370064</v>
      </c>
      <c r="E3959" s="32" t="s">
        <v>343</v>
      </c>
      <c r="F3959" s="32" t="s">
        <v>10453</v>
      </c>
      <c r="G3959" s="36" t="e">
        <v>#N/A</v>
      </c>
      <c r="H3959" s="33"/>
      <c r="I3959" s="33"/>
      <c r="J3959" s="33"/>
      <c r="K3959" s="33"/>
      <c r="L3959" s="33"/>
      <c r="M3959" s="33"/>
    </row>
    <row r="3960">
      <c r="A3960" s="32" t="s">
        <v>10454</v>
      </c>
      <c r="B3960" s="32" t="s">
        <v>10455</v>
      </c>
      <c r="C3960" s="35">
        <v>15.58950043</v>
      </c>
      <c r="D3960" s="35">
        <v>32.55319977</v>
      </c>
      <c r="E3960" s="32" t="s">
        <v>844</v>
      </c>
      <c r="F3960" s="32" t="s">
        <v>10456</v>
      </c>
      <c r="G3960" s="36" t="e">
        <v>#N/A</v>
      </c>
      <c r="H3960" s="33"/>
      <c r="I3960" s="33"/>
      <c r="J3960" s="33"/>
      <c r="K3960" s="33"/>
      <c r="L3960" s="33"/>
      <c r="M3960" s="33"/>
    </row>
    <row r="3961">
      <c r="A3961" s="32" t="s">
        <v>10457</v>
      </c>
      <c r="B3961" s="32" t="s">
        <v>10458</v>
      </c>
      <c r="C3961" s="35">
        <v>40.063301</v>
      </c>
      <c r="D3961" s="35">
        <v>53.007198</v>
      </c>
      <c r="E3961" s="32" t="s">
        <v>4140</v>
      </c>
      <c r="F3961" s="32" t="s">
        <v>10459</v>
      </c>
      <c r="G3961" s="36" t="e">
        <v>#N/A</v>
      </c>
      <c r="H3961" s="33"/>
      <c r="I3961" s="33"/>
      <c r="J3961" s="33"/>
      <c r="K3961" s="33"/>
      <c r="L3961" s="33"/>
      <c r="M3961" s="33"/>
    </row>
    <row r="3962">
      <c r="A3962" s="32" t="s">
        <v>10460</v>
      </c>
      <c r="B3962" s="32" t="s">
        <v>10461</v>
      </c>
      <c r="C3962" s="35">
        <v>45.46655</v>
      </c>
      <c r="D3962" s="35">
        <v>84.9527</v>
      </c>
      <c r="E3962" s="32" t="s">
        <v>205</v>
      </c>
      <c r="F3962" s="32" t="s">
        <v>10462</v>
      </c>
      <c r="G3962" s="39" t="s">
        <v>206</v>
      </c>
      <c r="H3962" s="33"/>
      <c r="I3962" s="33"/>
      <c r="J3962" s="33"/>
      <c r="K3962" s="33"/>
      <c r="L3962" s="33"/>
      <c r="M3962" s="33"/>
    </row>
    <row r="3963">
      <c r="A3963" s="32" t="s">
        <v>10463</v>
      </c>
      <c r="B3963" s="32" t="s">
        <v>10464</v>
      </c>
      <c r="C3963" s="35">
        <v>-1.434999943</v>
      </c>
      <c r="D3963" s="35">
        <v>19.02400017</v>
      </c>
      <c r="E3963" s="32" t="s">
        <v>800</v>
      </c>
      <c r="F3963" s="32" t="s">
        <v>10465</v>
      </c>
      <c r="G3963" s="36" t="e">
        <v>#N/A</v>
      </c>
      <c r="H3963" s="33"/>
      <c r="I3963" s="33"/>
      <c r="J3963" s="33"/>
      <c r="K3963" s="33"/>
      <c r="L3963" s="33"/>
      <c r="M3963" s="33"/>
    </row>
    <row r="3964">
      <c r="A3964" s="32" t="s">
        <v>10466</v>
      </c>
      <c r="B3964" s="32" t="s">
        <v>10467</v>
      </c>
      <c r="C3964" s="35">
        <v>5.35698</v>
      </c>
      <c r="D3964" s="35">
        <v>162.957993</v>
      </c>
      <c r="E3964" s="32" t="s">
        <v>10468</v>
      </c>
      <c r="F3964" s="32" t="s">
        <v>10469</v>
      </c>
      <c r="G3964" s="36" t="e">
        <v>#N/A</v>
      </c>
      <c r="H3964" s="33"/>
      <c r="I3964" s="33"/>
      <c r="J3964" s="33"/>
      <c r="K3964" s="33"/>
      <c r="L3964" s="33"/>
      <c r="M3964" s="33"/>
    </row>
    <row r="3965">
      <c r="A3965" s="32" t="s">
        <v>10470</v>
      </c>
      <c r="B3965" s="32" t="s">
        <v>10471</v>
      </c>
      <c r="C3965" s="35">
        <v>48.6631012</v>
      </c>
      <c r="D3965" s="35">
        <v>21.24110031</v>
      </c>
      <c r="E3965" s="32" t="s">
        <v>1229</v>
      </c>
      <c r="F3965" s="32" t="s">
        <v>10472</v>
      </c>
      <c r="G3965" s="36" t="e">
        <v>#N/A</v>
      </c>
      <c r="H3965" s="33"/>
      <c r="I3965" s="33"/>
      <c r="J3965" s="33"/>
      <c r="K3965" s="33"/>
      <c r="L3965" s="33"/>
      <c r="M3965" s="33"/>
    </row>
    <row r="3966">
      <c r="A3966" s="32" t="s">
        <v>10473</v>
      </c>
      <c r="B3966" s="32" t="s">
        <v>10474</v>
      </c>
      <c r="C3966" s="35">
        <v>59.44469833</v>
      </c>
      <c r="D3966" s="35">
        <v>13.33740044</v>
      </c>
      <c r="E3966" s="32" t="s">
        <v>347</v>
      </c>
      <c r="F3966" s="32" t="s">
        <v>10475</v>
      </c>
      <c r="G3966" s="36" t="e">
        <v>#N/A</v>
      </c>
      <c r="H3966" s="33"/>
      <c r="I3966" s="33"/>
      <c r="J3966" s="33"/>
      <c r="K3966" s="33"/>
      <c r="L3966" s="33"/>
      <c r="M3966" s="33"/>
    </row>
    <row r="3967">
      <c r="A3967" s="32" t="s">
        <v>10476</v>
      </c>
      <c r="B3967" s="32" t="s">
        <v>10477</v>
      </c>
      <c r="C3967" s="35">
        <v>51.417273</v>
      </c>
      <c r="D3967" s="35">
        <v>9.384967</v>
      </c>
      <c r="E3967" s="32" t="s">
        <v>109</v>
      </c>
      <c r="F3967" s="32" t="s">
        <v>10478</v>
      </c>
      <c r="G3967" s="39" t="s">
        <v>110</v>
      </c>
      <c r="H3967" s="33"/>
      <c r="I3967" s="33"/>
      <c r="J3967" s="33"/>
      <c r="K3967" s="33"/>
      <c r="L3967" s="33"/>
      <c r="M3967" s="33"/>
    </row>
    <row r="3968">
      <c r="A3968" s="32" t="s">
        <v>10479</v>
      </c>
      <c r="B3968" s="32" t="s">
        <v>10480</v>
      </c>
      <c r="C3968" s="35">
        <v>34.34590149</v>
      </c>
      <c r="D3968" s="35">
        <v>47.15810013</v>
      </c>
      <c r="E3968" s="32" t="s">
        <v>1378</v>
      </c>
      <c r="F3968" s="32" t="s">
        <v>10481</v>
      </c>
      <c r="G3968" s="36" t="e">
        <v>#N/A</v>
      </c>
      <c r="H3968" s="33"/>
      <c r="I3968" s="33"/>
      <c r="J3968" s="33"/>
      <c r="K3968" s="33"/>
      <c r="L3968" s="33"/>
      <c r="M3968" s="33"/>
    </row>
    <row r="3969">
      <c r="A3969" s="32" t="s">
        <v>10482</v>
      </c>
      <c r="B3969" s="32" t="s">
        <v>10483</v>
      </c>
      <c r="C3969" s="35">
        <v>9.160559654</v>
      </c>
      <c r="D3969" s="35">
        <v>-10.12440014</v>
      </c>
      <c r="E3969" s="32" t="s">
        <v>2970</v>
      </c>
      <c r="F3969" s="32" t="s">
        <v>10484</v>
      </c>
      <c r="G3969" s="36" t="e">
        <v>#N/A</v>
      </c>
      <c r="H3969" s="33"/>
      <c r="I3969" s="33"/>
      <c r="J3969" s="33"/>
      <c r="K3969" s="33"/>
      <c r="L3969" s="33"/>
      <c r="M3969" s="33"/>
    </row>
    <row r="3970">
      <c r="A3970" s="32" t="s">
        <v>10485</v>
      </c>
      <c r="B3970" s="32" t="s">
        <v>10486</v>
      </c>
      <c r="C3970" s="35">
        <v>35.42139816</v>
      </c>
      <c r="D3970" s="35">
        <v>26.90999985</v>
      </c>
      <c r="E3970" s="32" t="s">
        <v>339</v>
      </c>
      <c r="F3970" s="32" t="s">
        <v>10487</v>
      </c>
      <c r="G3970" s="36" t="e">
        <v>#N/A</v>
      </c>
      <c r="H3970" s="33"/>
      <c r="I3970" s="33"/>
      <c r="J3970" s="33"/>
      <c r="K3970" s="33"/>
      <c r="L3970" s="33"/>
      <c r="M3970" s="33"/>
    </row>
    <row r="3971">
      <c r="A3971" s="32" t="s">
        <v>10488</v>
      </c>
      <c r="B3971" s="32" t="s">
        <v>10489</v>
      </c>
      <c r="C3971" s="35">
        <v>59.34590149</v>
      </c>
      <c r="D3971" s="35">
        <v>14.49590015</v>
      </c>
      <c r="E3971" s="32" t="s">
        <v>347</v>
      </c>
      <c r="F3971" s="32" t="s">
        <v>10490</v>
      </c>
      <c r="G3971" s="36" t="e">
        <v>#N/A</v>
      </c>
      <c r="H3971" s="33"/>
      <c r="I3971" s="33"/>
      <c r="J3971" s="33"/>
      <c r="K3971" s="33"/>
      <c r="L3971" s="33"/>
      <c r="M3971" s="33"/>
    </row>
    <row r="3972">
      <c r="A3972" s="32" t="s">
        <v>10491</v>
      </c>
      <c r="B3972" s="32" t="s">
        <v>10492</v>
      </c>
      <c r="C3972" s="35">
        <v>15.38749981</v>
      </c>
      <c r="D3972" s="35">
        <v>36.3288002</v>
      </c>
      <c r="E3972" s="32" t="s">
        <v>844</v>
      </c>
      <c r="F3972" s="32" t="s">
        <v>10493</v>
      </c>
      <c r="G3972" s="36" t="e">
        <v>#N/A</v>
      </c>
      <c r="H3972" s="33"/>
      <c r="I3972" s="33"/>
      <c r="J3972" s="33"/>
      <c r="K3972" s="33"/>
      <c r="L3972" s="33"/>
      <c r="M3972" s="33"/>
    </row>
    <row r="3973">
      <c r="A3973" s="32" t="s">
        <v>10494</v>
      </c>
      <c r="B3973" s="32" t="s">
        <v>10495</v>
      </c>
      <c r="C3973" s="35">
        <v>62.0605011</v>
      </c>
      <c r="D3973" s="35">
        <v>-163.302002</v>
      </c>
      <c r="E3973" s="32" t="s">
        <v>180</v>
      </c>
      <c r="F3973" s="32" t="s">
        <v>10496</v>
      </c>
      <c r="G3973" s="39" t="s">
        <v>181</v>
      </c>
      <c r="H3973" s="33"/>
      <c r="I3973" s="33"/>
      <c r="J3973" s="33"/>
      <c r="K3973" s="33"/>
      <c r="L3973" s="33"/>
      <c r="M3973" s="33"/>
    </row>
    <row r="3974">
      <c r="A3974" s="32" t="s">
        <v>10497</v>
      </c>
      <c r="B3974" s="32" t="s">
        <v>10498</v>
      </c>
      <c r="C3974" s="35">
        <v>53.20690155</v>
      </c>
      <c r="D3974" s="35">
        <v>63.5503006</v>
      </c>
      <c r="E3974" s="32" t="s">
        <v>2817</v>
      </c>
      <c r="F3974" s="32" t="s">
        <v>10499</v>
      </c>
      <c r="G3974" s="36" t="e">
        <v>#N/A</v>
      </c>
      <c r="H3974" s="33"/>
      <c r="I3974" s="33"/>
      <c r="J3974" s="33"/>
      <c r="K3974" s="33"/>
      <c r="L3974" s="33"/>
      <c r="M3974" s="33"/>
    </row>
    <row r="3975">
      <c r="A3975" s="32" t="s">
        <v>10500</v>
      </c>
      <c r="B3975" s="32" t="s">
        <v>10501</v>
      </c>
      <c r="C3975" s="35">
        <v>40.44630051</v>
      </c>
      <c r="D3975" s="35">
        <v>21.28219986</v>
      </c>
      <c r="E3975" s="32" t="s">
        <v>339</v>
      </c>
      <c r="F3975" s="32" t="s">
        <v>10502</v>
      </c>
      <c r="G3975" s="36" t="e">
        <v>#N/A</v>
      </c>
      <c r="H3975" s="33"/>
      <c r="I3975" s="33"/>
      <c r="J3975" s="33"/>
      <c r="K3975" s="33"/>
      <c r="L3975" s="33"/>
      <c r="M3975" s="33"/>
    </row>
    <row r="3976">
      <c r="A3976" s="32" t="s">
        <v>10503</v>
      </c>
      <c r="B3976" s="32" t="s">
        <v>10504</v>
      </c>
      <c r="C3976" s="35">
        <v>38.83359909</v>
      </c>
      <c r="D3976" s="35">
        <v>65.92150116</v>
      </c>
      <c r="E3976" s="32" t="s">
        <v>3332</v>
      </c>
      <c r="F3976" s="32" t="s">
        <v>10505</v>
      </c>
      <c r="G3976" s="36" t="e">
        <v>#N/A</v>
      </c>
      <c r="H3976" s="33"/>
      <c r="I3976" s="33"/>
      <c r="J3976" s="33"/>
      <c r="K3976" s="33"/>
      <c r="L3976" s="33"/>
      <c r="M3976" s="33"/>
    </row>
    <row r="3977">
      <c r="A3977" s="32" t="s">
        <v>10506</v>
      </c>
      <c r="B3977" s="32" t="s">
        <v>10507</v>
      </c>
      <c r="C3977" s="35">
        <v>11.33300018</v>
      </c>
      <c r="D3977" s="35">
        <v>-5.699999809</v>
      </c>
      <c r="E3977" s="32" t="s">
        <v>807</v>
      </c>
      <c r="F3977" s="32" t="s">
        <v>10508</v>
      </c>
      <c r="G3977" s="36" t="e">
        <v>#N/A</v>
      </c>
      <c r="H3977" s="33"/>
      <c r="I3977" s="33"/>
      <c r="J3977" s="33"/>
      <c r="K3977" s="33"/>
      <c r="L3977" s="33"/>
      <c r="M3977" s="33"/>
    </row>
    <row r="3978">
      <c r="A3978" s="32" t="s">
        <v>10509</v>
      </c>
      <c r="B3978" s="32" t="s">
        <v>10510</v>
      </c>
      <c r="C3978" s="35">
        <v>63.11180115</v>
      </c>
      <c r="D3978" s="35">
        <v>7.824520111</v>
      </c>
      <c r="E3978" s="32" t="s">
        <v>343</v>
      </c>
      <c r="F3978" s="32" t="s">
        <v>10511</v>
      </c>
      <c r="G3978" s="36" t="e">
        <v>#N/A</v>
      </c>
      <c r="H3978" s="33"/>
      <c r="I3978" s="33"/>
      <c r="J3978" s="33"/>
      <c r="K3978" s="33"/>
      <c r="L3978" s="33"/>
      <c r="M3978" s="33"/>
    </row>
    <row r="3979">
      <c r="A3979" s="32" t="s">
        <v>10512</v>
      </c>
      <c r="B3979" s="32" t="s">
        <v>10513</v>
      </c>
      <c r="C3979" s="35">
        <v>40.56219864</v>
      </c>
      <c r="D3979" s="35">
        <v>43.11500168</v>
      </c>
      <c r="E3979" s="32" t="s">
        <v>133</v>
      </c>
      <c r="F3979" s="32" t="s">
        <v>10514</v>
      </c>
      <c r="G3979" s="39" t="s">
        <v>134</v>
      </c>
      <c r="H3979" s="33"/>
      <c r="I3979" s="33"/>
      <c r="J3979" s="33"/>
      <c r="K3979" s="33"/>
      <c r="L3979" s="33"/>
      <c r="M3979" s="33"/>
    </row>
    <row r="3980">
      <c r="A3980" s="32" t="s">
        <v>10515</v>
      </c>
      <c r="B3980" s="32" t="s">
        <v>10516</v>
      </c>
      <c r="C3980" s="35">
        <v>61.2358017</v>
      </c>
      <c r="D3980" s="35">
        <v>46.69749832</v>
      </c>
      <c r="E3980" s="32" t="s">
        <v>2040</v>
      </c>
      <c r="F3980" s="32" t="s">
        <v>10517</v>
      </c>
      <c r="G3980" s="36" t="e">
        <v>#N/A</v>
      </c>
      <c r="H3980" s="33"/>
      <c r="I3980" s="33"/>
      <c r="J3980" s="33"/>
      <c r="K3980" s="33"/>
      <c r="L3980" s="33"/>
      <c r="M3980" s="33"/>
    </row>
    <row r="3981">
      <c r="A3981" s="32" t="s">
        <v>10518</v>
      </c>
      <c r="B3981" s="32" t="s">
        <v>10519</v>
      </c>
      <c r="C3981" s="35">
        <v>-20.71220016</v>
      </c>
      <c r="D3981" s="35">
        <v>116.7730026</v>
      </c>
      <c r="E3981" s="32" t="s">
        <v>1968</v>
      </c>
      <c r="F3981" s="32" t="s">
        <v>10520</v>
      </c>
      <c r="G3981" s="36" t="e">
        <v>#N/A</v>
      </c>
      <c r="H3981" s="33"/>
      <c r="I3981" s="33"/>
      <c r="J3981" s="33"/>
      <c r="K3981" s="33"/>
      <c r="L3981" s="33"/>
      <c r="M3981" s="33"/>
    </row>
    <row r="3982">
      <c r="A3982" s="32" t="s">
        <v>10521</v>
      </c>
      <c r="B3982" s="32" t="s">
        <v>10522</v>
      </c>
      <c r="C3982" s="35">
        <v>25.94470024</v>
      </c>
      <c r="D3982" s="35">
        <v>131.3269959</v>
      </c>
      <c r="E3982" s="32" t="s">
        <v>170</v>
      </c>
      <c r="F3982" s="32" t="s">
        <v>10523</v>
      </c>
      <c r="G3982" s="39" t="s">
        <v>171</v>
      </c>
      <c r="H3982" s="33"/>
      <c r="I3982" s="33"/>
      <c r="J3982" s="33"/>
      <c r="K3982" s="33"/>
      <c r="L3982" s="33"/>
      <c r="M3982" s="33"/>
    </row>
    <row r="3983">
      <c r="A3983" s="32" t="s">
        <v>10524</v>
      </c>
      <c r="B3983" s="32" t="s">
        <v>10525</v>
      </c>
      <c r="C3983" s="35">
        <v>4.537220001</v>
      </c>
      <c r="D3983" s="35">
        <v>103.427002</v>
      </c>
      <c r="E3983" s="32" t="s">
        <v>284</v>
      </c>
      <c r="F3983" s="32" t="s">
        <v>10526</v>
      </c>
      <c r="G3983" s="36" t="e">
        <v>#N/A</v>
      </c>
      <c r="H3983" s="33"/>
      <c r="I3983" s="33"/>
      <c r="J3983" s="33"/>
      <c r="K3983" s="33"/>
      <c r="L3983" s="33"/>
      <c r="M3983" s="33"/>
    </row>
    <row r="3984">
      <c r="A3984" s="32" t="s">
        <v>10527</v>
      </c>
      <c r="B3984" s="32" t="s">
        <v>10528</v>
      </c>
      <c r="C3984" s="35">
        <v>-40.81330109</v>
      </c>
      <c r="D3984" s="35">
        <v>172.7749939</v>
      </c>
      <c r="E3984" s="32" t="s">
        <v>1328</v>
      </c>
      <c r="F3984" s="32" t="s">
        <v>10529</v>
      </c>
      <c r="G3984" s="36" t="e">
        <v>#N/A</v>
      </c>
      <c r="H3984" s="33"/>
      <c r="I3984" s="33"/>
      <c r="J3984" s="33"/>
      <c r="K3984" s="33"/>
      <c r="L3984" s="33"/>
      <c r="M3984" s="33"/>
    </row>
    <row r="3985">
      <c r="A3985" s="32" t="s">
        <v>10530</v>
      </c>
      <c r="B3985" s="32" t="s">
        <v>10531</v>
      </c>
      <c r="C3985" s="35">
        <v>-1.816640019</v>
      </c>
      <c r="D3985" s="35">
        <v>109.9629974</v>
      </c>
      <c r="E3985" s="32" t="s">
        <v>280</v>
      </c>
      <c r="F3985" s="32" t="s">
        <v>10532</v>
      </c>
      <c r="G3985" s="36" t="e">
        <v>#N/A</v>
      </c>
      <c r="H3985" s="33"/>
      <c r="I3985" s="33"/>
      <c r="J3985" s="33"/>
      <c r="K3985" s="33"/>
      <c r="L3985" s="33"/>
      <c r="M3985" s="33"/>
    </row>
    <row r="3986">
      <c r="A3986" s="32" t="s">
        <v>10533</v>
      </c>
      <c r="B3986" s="32" t="s">
        <v>10534</v>
      </c>
      <c r="C3986" s="35">
        <v>12.48799992</v>
      </c>
      <c r="D3986" s="35">
        <v>106.0550003</v>
      </c>
      <c r="E3986" s="32" t="s">
        <v>1832</v>
      </c>
      <c r="F3986" s="32" t="s">
        <v>10535</v>
      </c>
      <c r="G3986" s="36" t="e">
        <v>#N/A</v>
      </c>
      <c r="H3986" s="33"/>
      <c r="I3986" s="33"/>
      <c r="J3986" s="33"/>
      <c r="K3986" s="33"/>
      <c r="L3986" s="33"/>
      <c r="M3986" s="33"/>
    </row>
    <row r="3987">
      <c r="A3987" s="32" t="s">
        <v>10536</v>
      </c>
      <c r="B3987" s="32" t="s">
        <v>10537</v>
      </c>
      <c r="C3987" s="35">
        <v>0.971988976</v>
      </c>
      <c r="D3987" s="35">
        <v>34.95859909</v>
      </c>
      <c r="E3987" s="32" t="s">
        <v>21</v>
      </c>
      <c r="F3987" s="32" t="s">
        <v>10538</v>
      </c>
      <c r="G3987" s="36" t="e">
        <v>#N/A</v>
      </c>
      <c r="H3987" s="33"/>
      <c r="I3987" s="33"/>
      <c r="J3987" s="33"/>
      <c r="K3987" s="33"/>
      <c r="L3987" s="33"/>
      <c r="M3987" s="33"/>
    </row>
    <row r="3988">
      <c r="A3988" s="32" t="s">
        <v>10539</v>
      </c>
      <c r="B3988" s="32" t="s">
        <v>10540</v>
      </c>
      <c r="C3988" s="35">
        <v>27.69659996</v>
      </c>
      <c r="D3988" s="35">
        <v>85.35910034</v>
      </c>
      <c r="E3988" s="32" t="s">
        <v>1877</v>
      </c>
      <c r="F3988" s="32" t="s">
        <v>10541</v>
      </c>
      <c r="G3988" s="36" t="e">
        <v>#N/A</v>
      </c>
      <c r="H3988" s="33"/>
      <c r="I3988" s="33"/>
      <c r="J3988" s="33"/>
      <c r="K3988" s="33"/>
      <c r="L3988" s="33"/>
      <c r="M3988" s="33"/>
    </row>
    <row r="3989">
      <c r="A3989" s="32" t="s">
        <v>10542</v>
      </c>
      <c r="B3989" s="32" t="s">
        <v>10543</v>
      </c>
      <c r="C3989" s="35">
        <v>55.35559845</v>
      </c>
      <c r="D3989" s="35">
        <v>-131.7140045</v>
      </c>
      <c r="E3989" s="32" t="s">
        <v>180</v>
      </c>
      <c r="F3989" s="32" t="s">
        <v>10544</v>
      </c>
      <c r="G3989" s="39" t="s">
        <v>181</v>
      </c>
      <c r="H3989" s="33"/>
      <c r="I3989" s="33"/>
      <c r="J3989" s="33"/>
      <c r="K3989" s="33"/>
      <c r="L3989" s="33"/>
      <c r="M3989" s="33"/>
    </row>
    <row r="3990">
      <c r="A3990" s="32" t="s">
        <v>10545</v>
      </c>
      <c r="B3990" s="32" t="s">
        <v>10546</v>
      </c>
      <c r="C3990" s="35">
        <v>17.98859978</v>
      </c>
      <c r="D3990" s="35">
        <v>-76.82379913</v>
      </c>
      <c r="E3990" s="32" t="s">
        <v>10180</v>
      </c>
      <c r="F3990" s="32" t="s">
        <v>10181</v>
      </c>
      <c r="G3990" s="36" t="e">
        <v>#N/A</v>
      </c>
      <c r="H3990" s="33"/>
      <c r="I3990" s="33"/>
      <c r="J3990" s="33"/>
      <c r="K3990" s="33"/>
      <c r="L3990" s="33"/>
      <c r="M3990" s="33"/>
    </row>
    <row r="3991">
      <c r="A3991" s="32" t="s">
        <v>10547</v>
      </c>
      <c r="B3991" s="32" t="s">
        <v>10548</v>
      </c>
      <c r="C3991" s="35">
        <v>-14.52110004</v>
      </c>
      <c r="D3991" s="35">
        <v>132.378006</v>
      </c>
      <c r="E3991" s="32" t="s">
        <v>1968</v>
      </c>
      <c r="F3991" s="32" t="s">
        <v>10549</v>
      </c>
      <c r="G3991" s="36" t="e">
        <v>#N/A</v>
      </c>
      <c r="H3991" s="33"/>
      <c r="I3991" s="33"/>
      <c r="J3991" s="33"/>
      <c r="K3991" s="33"/>
      <c r="L3991" s="33"/>
      <c r="M3991" s="33"/>
    </row>
    <row r="3992">
      <c r="A3992" s="32" t="s">
        <v>10550</v>
      </c>
      <c r="B3992" s="32" t="s">
        <v>10551</v>
      </c>
      <c r="C3992" s="35">
        <v>65.33129883</v>
      </c>
      <c r="D3992" s="35">
        <v>-166.4660034</v>
      </c>
      <c r="E3992" s="32" t="s">
        <v>180</v>
      </c>
      <c r="F3992" s="32" t="s">
        <v>10552</v>
      </c>
      <c r="G3992" s="39" t="s">
        <v>181</v>
      </c>
      <c r="H3992" s="33"/>
      <c r="I3992" s="33"/>
      <c r="J3992" s="33"/>
      <c r="K3992" s="33"/>
      <c r="L3992" s="33"/>
      <c r="M3992" s="33"/>
    </row>
    <row r="3993">
      <c r="A3993" s="32" t="s">
        <v>10553</v>
      </c>
      <c r="B3993" s="32" t="s">
        <v>10554</v>
      </c>
      <c r="C3993" s="35">
        <v>67.7009964</v>
      </c>
      <c r="D3993" s="35">
        <v>24.84679985</v>
      </c>
      <c r="E3993" s="32" t="s">
        <v>408</v>
      </c>
      <c r="F3993" s="32" t="s">
        <v>10555</v>
      </c>
      <c r="G3993" s="36" t="e">
        <v>#N/A</v>
      </c>
      <c r="H3993" s="33"/>
      <c r="I3993" s="33"/>
      <c r="J3993" s="33"/>
      <c r="K3993" s="33"/>
      <c r="L3993" s="33"/>
      <c r="M3993" s="33"/>
    </row>
    <row r="3994">
      <c r="A3994" s="32" t="s">
        <v>10556</v>
      </c>
      <c r="B3994" s="32" t="s">
        <v>10557</v>
      </c>
      <c r="C3994" s="35">
        <v>25.16020012</v>
      </c>
      <c r="D3994" s="35">
        <v>75.84559631</v>
      </c>
      <c r="E3994" s="32" t="s">
        <v>217</v>
      </c>
      <c r="F3994" s="32" t="s">
        <v>10558</v>
      </c>
      <c r="G3994" s="39" t="s">
        <v>218</v>
      </c>
      <c r="H3994" s="33"/>
      <c r="I3994" s="33"/>
      <c r="J3994" s="33"/>
      <c r="K3994" s="33"/>
      <c r="L3994" s="33"/>
      <c r="M3994" s="33"/>
    </row>
    <row r="3995">
      <c r="A3995" s="32" t="s">
        <v>10559</v>
      </c>
      <c r="B3995" s="32" t="s">
        <v>10560</v>
      </c>
      <c r="C3995" s="35">
        <v>50.4743</v>
      </c>
      <c r="D3995" s="35">
        <v>19.08</v>
      </c>
      <c r="E3995" s="32" t="s">
        <v>192</v>
      </c>
      <c r="F3995" s="32" t="s">
        <v>556</v>
      </c>
      <c r="G3995" s="39" t="s">
        <v>193</v>
      </c>
      <c r="H3995" s="33"/>
      <c r="I3995" s="33"/>
      <c r="J3995" s="33"/>
      <c r="K3995" s="33"/>
      <c r="L3995" s="33"/>
      <c r="M3995" s="33"/>
    </row>
    <row r="3996">
      <c r="A3996" s="32" t="s">
        <v>10561</v>
      </c>
      <c r="B3996" s="32" t="s">
        <v>10562</v>
      </c>
      <c r="C3996" s="35">
        <v>3.77538991</v>
      </c>
      <c r="D3996" s="35">
        <v>103.2089996</v>
      </c>
      <c r="E3996" s="32" t="s">
        <v>284</v>
      </c>
      <c r="F3996" s="32" t="s">
        <v>10563</v>
      </c>
      <c r="G3996" s="36" t="e">
        <v>#N/A</v>
      </c>
      <c r="H3996" s="33"/>
      <c r="I3996" s="33"/>
      <c r="J3996" s="33"/>
      <c r="K3996" s="33"/>
      <c r="L3996" s="33"/>
      <c r="M3996" s="33"/>
    </row>
    <row r="3997">
      <c r="A3997" s="32" t="s">
        <v>10564</v>
      </c>
      <c r="B3997" s="32" t="s">
        <v>10565</v>
      </c>
      <c r="C3997" s="35">
        <v>0.218611002</v>
      </c>
      <c r="D3997" s="35">
        <v>173.4420013</v>
      </c>
      <c r="E3997" s="32" t="s">
        <v>3439</v>
      </c>
      <c r="F3997" s="32" t="s">
        <v>10566</v>
      </c>
      <c r="G3997" s="36" t="e">
        <v>#N/A</v>
      </c>
      <c r="H3997" s="33"/>
      <c r="I3997" s="33"/>
      <c r="J3997" s="33"/>
      <c r="K3997" s="33"/>
      <c r="L3997" s="33"/>
      <c r="M3997" s="33"/>
    </row>
    <row r="3998">
      <c r="A3998" s="32" t="s">
        <v>10567</v>
      </c>
      <c r="B3998" s="32" t="s">
        <v>10568</v>
      </c>
      <c r="C3998" s="35">
        <v>6.922500134</v>
      </c>
      <c r="D3998" s="35">
        <v>116.8359985</v>
      </c>
      <c r="E3998" s="32" t="s">
        <v>284</v>
      </c>
      <c r="F3998" s="32" t="s">
        <v>10569</v>
      </c>
      <c r="G3998" s="36" t="e">
        <v>#N/A</v>
      </c>
      <c r="H3998" s="33"/>
      <c r="I3998" s="33"/>
      <c r="J3998" s="33"/>
      <c r="K3998" s="33"/>
      <c r="L3998" s="33"/>
      <c r="M3998" s="33"/>
    </row>
    <row r="3999">
      <c r="A3999" s="32" t="s">
        <v>10570</v>
      </c>
      <c r="B3999" s="32" t="s">
        <v>10571</v>
      </c>
      <c r="C3999" s="35">
        <v>53.50490189</v>
      </c>
      <c r="D3999" s="35">
        <v>50.16429901</v>
      </c>
      <c r="E3999" s="32" t="s">
        <v>2040</v>
      </c>
      <c r="F3999" s="32" t="s">
        <v>3348</v>
      </c>
      <c r="G3999" s="36" t="e">
        <v>#N/A</v>
      </c>
      <c r="H3999" s="33"/>
      <c r="I3999" s="33"/>
      <c r="J3999" s="33"/>
      <c r="K3999" s="33"/>
      <c r="L3999" s="33"/>
      <c r="M3999" s="33"/>
    </row>
    <row r="4000">
      <c r="A4000" s="32" t="s">
        <v>10572</v>
      </c>
      <c r="B4000" s="32" t="s">
        <v>10573</v>
      </c>
      <c r="C4000" s="35">
        <v>-10.22500038</v>
      </c>
      <c r="D4000" s="35">
        <v>142.2180023</v>
      </c>
      <c r="E4000" s="32" t="s">
        <v>1968</v>
      </c>
      <c r="F4000" s="32" t="s">
        <v>10574</v>
      </c>
      <c r="G4000" s="36" t="e">
        <v>#N/A</v>
      </c>
      <c r="H4000" s="33"/>
      <c r="I4000" s="33"/>
      <c r="J4000" s="33"/>
      <c r="K4000" s="33"/>
      <c r="L4000" s="33"/>
      <c r="M4000" s="33"/>
    </row>
    <row r="4001">
      <c r="A4001" s="32" t="s">
        <v>10575</v>
      </c>
      <c r="B4001" s="32" t="s">
        <v>10576</v>
      </c>
      <c r="C4001" s="35">
        <v>43.04100037</v>
      </c>
      <c r="D4001" s="35">
        <v>144.1929932</v>
      </c>
      <c r="E4001" s="32" t="s">
        <v>170</v>
      </c>
      <c r="F4001" s="32" t="s">
        <v>10577</v>
      </c>
      <c r="G4001" s="39" t="s">
        <v>171</v>
      </c>
      <c r="H4001" s="33"/>
      <c r="I4001" s="33"/>
      <c r="J4001" s="33"/>
      <c r="K4001" s="33"/>
      <c r="L4001" s="33"/>
      <c r="M4001" s="33"/>
    </row>
    <row r="4002">
      <c r="A4002" s="32" t="s">
        <v>10578</v>
      </c>
      <c r="B4002" s="32" t="s">
        <v>10579</v>
      </c>
      <c r="C4002" s="35">
        <v>60.87440109</v>
      </c>
      <c r="D4002" s="35">
        <v>-162.5240021</v>
      </c>
      <c r="E4002" s="32" t="s">
        <v>180</v>
      </c>
      <c r="F4002" s="32" t="s">
        <v>10580</v>
      </c>
      <c r="G4002" s="39" t="s">
        <v>181</v>
      </c>
      <c r="H4002" s="33"/>
      <c r="I4002" s="33"/>
      <c r="J4002" s="33"/>
      <c r="K4002" s="33"/>
      <c r="L4002" s="33"/>
      <c r="M4002" s="33"/>
    </row>
    <row r="4003">
      <c r="A4003" s="32" t="s">
        <v>10581</v>
      </c>
      <c r="B4003" s="32" t="s">
        <v>10582</v>
      </c>
      <c r="C4003" s="35">
        <v>2.745579958</v>
      </c>
      <c r="D4003" s="35">
        <v>101.7099991</v>
      </c>
      <c r="E4003" s="32" t="s">
        <v>284</v>
      </c>
      <c r="F4003" s="32" t="s">
        <v>10583</v>
      </c>
      <c r="G4003" s="36" t="e">
        <v>#N/A</v>
      </c>
      <c r="H4003" s="33"/>
      <c r="I4003" s="33"/>
      <c r="J4003" s="33"/>
      <c r="K4003" s="33"/>
      <c r="L4003" s="33"/>
      <c r="M4003" s="33"/>
    </row>
    <row r="4004">
      <c r="A4004" s="32" t="s">
        <v>10584</v>
      </c>
      <c r="B4004" s="32" t="s">
        <v>10585</v>
      </c>
      <c r="C4004" s="35">
        <v>30.38559914</v>
      </c>
      <c r="D4004" s="35">
        <v>130.6589966</v>
      </c>
      <c r="E4004" s="32" t="s">
        <v>170</v>
      </c>
      <c r="F4004" s="32" t="s">
        <v>10586</v>
      </c>
      <c r="G4004" s="39" t="s">
        <v>171</v>
      </c>
      <c r="H4004" s="33"/>
      <c r="I4004" s="33"/>
      <c r="J4004" s="33"/>
      <c r="K4004" s="33"/>
      <c r="L4004" s="33"/>
      <c r="M4004" s="33"/>
    </row>
    <row r="4005">
      <c r="A4005" s="32" t="s">
        <v>10587</v>
      </c>
      <c r="B4005" s="32" t="s">
        <v>10588</v>
      </c>
      <c r="C4005" s="35">
        <v>54.96390152</v>
      </c>
      <c r="D4005" s="35">
        <v>24.08480072</v>
      </c>
      <c r="E4005" s="32" t="s">
        <v>2012</v>
      </c>
      <c r="F4005" s="32" t="s">
        <v>2013</v>
      </c>
      <c r="G4005" s="36" t="e">
        <v>#N/A</v>
      </c>
      <c r="H4005" s="33"/>
      <c r="I4005" s="33"/>
      <c r="J4005" s="33"/>
      <c r="K4005" s="33"/>
      <c r="L4005" s="33"/>
      <c r="M4005" s="33"/>
    </row>
    <row r="4006">
      <c r="A4006" s="32" t="s">
        <v>10589</v>
      </c>
      <c r="B4006" s="32" t="s">
        <v>10590</v>
      </c>
      <c r="C4006" s="35">
        <v>63.00709915</v>
      </c>
      <c r="D4006" s="35">
        <v>27.79780006</v>
      </c>
      <c r="E4006" s="32" t="s">
        <v>408</v>
      </c>
      <c r="F4006" s="32" t="s">
        <v>10591</v>
      </c>
      <c r="G4006" s="36" t="e">
        <v>#N/A</v>
      </c>
      <c r="H4006" s="33"/>
      <c r="I4006" s="33"/>
      <c r="J4006" s="33"/>
      <c r="K4006" s="33"/>
      <c r="L4006" s="33"/>
      <c r="M4006" s="33"/>
    </row>
    <row r="4007">
      <c r="A4007" s="32" t="s">
        <v>10592</v>
      </c>
      <c r="B4007" s="32" t="s">
        <v>10593</v>
      </c>
      <c r="C4007" s="35">
        <v>42.17670059</v>
      </c>
      <c r="D4007" s="35">
        <v>42.48260117</v>
      </c>
      <c r="E4007" s="32" t="s">
        <v>3041</v>
      </c>
      <c r="F4007" s="32" t="s">
        <v>10594</v>
      </c>
      <c r="G4007" s="36" t="e">
        <v>#N/A</v>
      </c>
      <c r="H4007" s="33"/>
      <c r="I4007" s="33"/>
      <c r="J4007" s="33"/>
      <c r="K4007" s="33"/>
      <c r="L4007" s="33"/>
      <c r="M4007" s="33"/>
    </row>
    <row r="4008">
      <c r="A4008" s="32" t="s">
        <v>10595</v>
      </c>
      <c r="B4008" s="32" t="s">
        <v>10596</v>
      </c>
      <c r="C4008" s="35">
        <v>31.87669945</v>
      </c>
      <c r="D4008" s="35">
        <v>77.15440369</v>
      </c>
      <c r="E4008" s="32" t="s">
        <v>217</v>
      </c>
      <c r="F4008" s="32" t="s">
        <v>10597</v>
      </c>
      <c r="G4008" s="39" t="s">
        <v>218</v>
      </c>
      <c r="H4008" s="33"/>
      <c r="I4008" s="33"/>
      <c r="J4008" s="33"/>
      <c r="K4008" s="33"/>
      <c r="L4008" s="33"/>
      <c r="M4008" s="33"/>
    </row>
    <row r="4009">
      <c r="A4009" s="32" t="s">
        <v>10598</v>
      </c>
      <c r="B4009" s="32" t="s">
        <v>10599</v>
      </c>
      <c r="C4009" s="35">
        <v>35.90380096</v>
      </c>
      <c r="D4009" s="35">
        <v>126.6159973</v>
      </c>
      <c r="E4009" s="32" t="s">
        <v>151</v>
      </c>
      <c r="F4009" s="32" t="s">
        <v>10600</v>
      </c>
      <c r="G4009" s="39" t="s">
        <v>152</v>
      </c>
      <c r="H4009" s="33"/>
      <c r="I4009" s="33"/>
      <c r="J4009" s="33"/>
      <c r="K4009" s="33"/>
      <c r="L4009" s="33"/>
      <c r="M4009" s="33"/>
    </row>
    <row r="4010">
      <c r="A4010" s="32" t="s">
        <v>10601</v>
      </c>
      <c r="B4010" s="32" t="s">
        <v>10602</v>
      </c>
      <c r="C4010" s="35">
        <v>40.91329956</v>
      </c>
      <c r="D4010" s="35">
        <v>24.61919975</v>
      </c>
      <c r="E4010" s="32" t="s">
        <v>339</v>
      </c>
      <c r="F4010" s="32" t="s">
        <v>1038</v>
      </c>
      <c r="G4010" s="36" t="e">
        <v>#N/A</v>
      </c>
      <c r="H4010" s="33"/>
      <c r="I4010" s="33"/>
      <c r="J4010" s="33"/>
      <c r="K4010" s="33"/>
      <c r="L4010" s="33"/>
      <c r="M4010" s="33"/>
    </row>
    <row r="4011">
      <c r="A4011" s="32" t="s">
        <v>10603</v>
      </c>
      <c r="B4011" s="32" t="s">
        <v>10604</v>
      </c>
      <c r="C4011" s="35">
        <v>58.45640182</v>
      </c>
      <c r="D4011" s="35">
        <v>13.97270012</v>
      </c>
      <c r="E4011" s="32" t="s">
        <v>347</v>
      </c>
      <c r="F4011" s="32" t="s">
        <v>10605</v>
      </c>
      <c r="G4011" s="36" t="e">
        <v>#N/A</v>
      </c>
      <c r="H4011" s="33"/>
      <c r="I4011" s="33"/>
      <c r="J4011" s="33"/>
      <c r="K4011" s="33"/>
      <c r="L4011" s="33"/>
      <c r="M4011" s="33"/>
    </row>
    <row r="4012">
      <c r="A4012" s="32" t="s">
        <v>10606</v>
      </c>
      <c r="B4012" s="32" t="s">
        <v>10607</v>
      </c>
      <c r="C4012" s="35">
        <v>55.11629868</v>
      </c>
      <c r="D4012" s="35">
        <v>-162.2660065</v>
      </c>
      <c r="E4012" s="32" t="s">
        <v>180</v>
      </c>
      <c r="F4012" s="32" t="s">
        <v>10608</v>
      </c>
      <c r="G4012" s="39" t="s">
        <v>181</v>
      </c>
      <c r="H4012" s="33"/>
      <c r="I4012" s="33"/>
      <c r="J4012" s="33"/>
      <c r="K4012" s="33"/>
      <c r="L4012" s="33"/>
      <c r="M4012" s="33"/>
    </row>
    <row r="4013">
      <c r="A4013" s="32" t="s">
        <v>10609</v>
      </c>
      <c r="B4013" s="32" t="s">
        <v>10610</v>
      </c>
      <c r="C4013" s="35">
        <v>40.73770142</v>
      </c>
      <c r="D4013" s="35">
        <v>46.31760025</v>
      </c>
      <c r="E4013" s="32" t="s">
        <v>2259</v>
      </c>
      <c r="F4013" s="32" t="s">
        <v>10611</v>
      </c>
      <c r="G4013" s="36" t="e">
        <v>#N/A</v>
      </c>
      <c r="H4013" s="33"/>
      <c r="I4013" s="33"/>
      <c r="J4013" s="33"/>
      <c r="K4013" s="33"/>
      <c r="L4013" s="33"/>
      <c r="M4013" s="33"/>
    </row>
    <row r="4014">
      <c r="A4014" s="32" t="s">
        <v>10612</v>
      </c>
      <c r="B4014" s="32" t="s">
        <v>10613</v>
      </c>
      <c r="C4014" s="35">
        <v>-2.579400063</v>
      </c>
      <c r="D4014" s="35">
        <v>150.8079987</v>
      </c>
      <c r="E4014" s="32" t="s">
        <v>5289</v>
      </c>
      <c r="F4014" s="32" t="s">
        <v>10614</v>
      </c>
      <c r="G4014" s="36" t="e">
        <v>#N/A</v>
      </c>
      <c r="H4014" s="33"/>
      <c r="I4014" s="33"/>
      <c r="J4014" s="33"/>
      <c r="K4014" s="33"/>
      <c r="L4014" s="33"/>
      <c r="M4014" s="33"/>
    </row>
    <row r="4015">
      <c r="A4015" s="32" t="s">
        <v>10615</v>
      </c>
      <c r="B4015" s="32" t="s">
        <v>10616</v>
      </c>
      <c r="C4015" s="35">
        <v>67.46330261</v>
      </c>
      <c r="D4015" s="35">
        <v>33.5882988</v>
      </c>
      <c r="E4015" s="32" t="s">
        <v>2040</v>
      </c>
      <c r="F4015" s="32" t="s">
        <v>10617</v>
      </c>
      <c r="G4015" s="36" t="e">
        <v>#N/A</v>
      </c>
      <c r="H4015" s="33"/>
      <c r="I4015" s="33"/>
      <c r="J4015" s="33"/>
      <c r="K4015" s="33"/>
      <c r="L4015" s="33"/>
      <c r="M4015" s="33"/>
    </row>
    <row r="4016">
      <c r="A4016" s="32" t="s">
        <v>10618</v>
      </c>
      <c r="B4016" s="32" t="s">
        <v>10619</v>
      </c>
      <c r="C4016" s="35">
        <v>67.73619843</v>
      </c>
      <c r="D4016" s="35">
        <v>-164.5630035</v>
      </c>
      <c r="E4016" s="32" t="s">
        <v>180</v>
      </c>
      <c r="F4016" s="32" t="s">
        <v>10620</v>
      </c>
      <c r="G4016" s="39" t="s">
        <v>181</v>
      </c>
      <c r="H4016" s="33"/>
      <c r="I4016" s="33"/>
      <c r="J4016" s="33"/>
      <c r="K4016" s="33"/>
      <c r="L4016" s="33"/>
      <c r="M4016" s="33"/>
    </row>
    <row r="4017">
      <c r="A4017" s="32" t="s">
        <v>10621</v>
      </c>
      <c r="B4017" s="32" t="s">
        <v>10622</v>
      </c>
      <c r="C4017" s="35">
        <v>64.66699982</v>
      </c>
      <c r="D4017" s="35">
        <v>170.4170074</v>
      </c>
      <c r="E4017" s="32" t="s">
        <v>2040</v>
      </c>
      <c r="F4017" s="32" t="s">
        <v>10623</v>
      </c>
      <c r="G4017" s="36" t="e">
        <v>#N/A</v>
      </c>
      <c r="H4017" s="33"/>
      <c r="I4017" s="33"/>
      <c r="J4017" s="33"/>
      <c r="K4017" s="33"/>
      <c r="L4017" s="33"/>
      <c r="M4017" s="33"/>
    </row>
    <row r="4018">
      <c r="A4018" s="32" t="s">
        <v>10624</v>
      </c>
      <c r="B4018" s="32" t="s">
        <v>10625</v>
      </c>
      <c r="C4018" s="35">
        <v>58.50329971</v>
      </c>
      <c r="D4018" s="35">
        <v>49.34830093</v>
      </c>
      <c r="E4018" s="32" t="s">
        <v>2040</v>
      </c>
      <c r="F4018" s="32" t="s">
        <v>10626</v>
      </c>
      <c r="G4018" s="36" t="e">
        <v>#N/A</v>
      </c>
      <c r="H4018" s="33"/>
      <c r="I4018" s="33"/>
      <c r="J4018" s="33"/>
      <c r="K4018" s="33"/>
      <c r="L4018" s="33"/>
      <c r="M4018" s="33"/>
    </row>
    <row r="4019">
      <c r="A4019" s="32" t="s">
        <v>10627</v>
      </c>
      <c r="B4019" s="32" t="s">
        <v>10628</v>
      </c>
      <c r="C4019" s="35">
        <v>8.72012043</v>
      </c>
      <c r="D4019" s="35">
        <v>167.7319946</v>
      </c>
      <c r="E4019" s="32" t="s">
        <v>1494</v>
      </c>
      <c r="F4019" s="32" t="s">
        <v>1495</v>
      </c>
      <c r="G4019" s="36" t="e">
        <v>#N/A</v>
      </c>
      <c r="H4019" s="33"/>
      <c r="I4019" s="33"/>
      <c r="J4019" s="33"/>
      <c r="K4019" s="33"/>
      <c r="L4019" s="33"/>
      <c r="M4019" s="33"/>
    </row>
    <row r="4020">
      <c r="A4020" s="32" t="s">
        <v>10629</v>
      </c>
      <c r="B4020" s="32" t="s">
        <v>10630</v>
      </c>
      <c r="C4020" s="35">
        <v>-5.80091</v>
      </c>
      <c r="D4020" s="35">
        <v>110.47838</v>
      </c>
      <c r="E4020" s="32" t="s">
        <v>280</v>
      </c>
      <c r="F4020" s="32" t="s">
        <v>10631</v>
      </c>
      <c r="G4020" s="36" t="e">
        <v>#N/A</v>
      </c>
      <c r="H4020" s="33"/>
      <c r="I4020" s="33"/>
      <c r="J4020" s="33"/>
      <c r="K4020" s="33"/>
      <c r="L4020" s="33"/>
      <c r="M4020" s="33"/>
    </row>
    <row r="4021">
      <c r="A4021" s="32" t="s">
        <v>10632</v>
      </c>
      <c r="B4021" s="32" t="s">
        <v>10633</v>
      </c>
      <c r="C4021" s="35">
        <v>26.53849983</v>
      </c>
      <c r="D4021" s="35">
        <v>106.8010025</v>
      </c>
      <c r="E4021" s="32" t="s">
        <v>205</v>
      </c>
      <c r="F4021" s="32" t="s">
        <v>10634</v>
      </c>
      <c r="G4021" s="39" t="s">
        <v>206</v>
      </c>
      <c r="H4021" s="33"/>
      <c r="I4021" s="33"/>
      <c r="J4021" s="33"/>
      <c r="K4021" s="33"/>
      <c r="L4021" s="33"/>
      <c r="M4021" s="33"/>
    </row>
    <row r="4022">
      <c r="A4022" s="32" t="s">
        <v>10635</v>
      </c>
      <c r="B4022" s="32" t="s">
        <v>10636</v>
      </c>
      <c r="C4022" s="35">
        <v>48.04330063</v>
      </c>
      <c r="D4022" s="35">
        <v>33.20999908</v>
      </c>
      <c r="E4022" s="32" t="s">
        <v>3293</v>
      </c>
      <c r="F4022" s="32" t="s">
        <v>10637</v>
      </c>
      <c r="G4022" s="36" t="e">
        <v>#N/A</v>
      </c>
      <c r="H4022" s="33"/>
      <c r="I4022" s="33"/>
      <c r="J4022" s="33"/>
      <c r="K4022" s="33"/>
      <c r="L4022" s="33"/>
      <c r="M4022" s="33"/>
    </row>
    <row r="4023">
      <c r="A4023" s="32" t="s">
        <v>10638</v>
      </c>
      <c r="B4023" s="32" t="s">
        <v>10639</v>
      </c>
      <c r="C4023" s="35">
        <v>29.22660065</v>
      </c>
      <c r="D4023" s="35">
        <v>47.96889877</v>
      </c>
      <c r="E4023" s="32" t="s">
        <v>233</v>
      </c>
      <c r="F4023" s="32" t="s">
        <v>233</v>
      </c>
      <c r="G4023" s="36" t="e">
        <v>#N/A</v>
      </c>
      <c r="H4023" s="33"/>
      <c r="I4023" s="33"/>
      <c r="J4023" s="33"/>
      <c r="K4023" s="33"/>
      <c r="L4023" s="33"/>
      <c r="M4023" s="33"/>
    </row>
    <row r="4024">
      <c r="A4024" s="32" t="s">
        <v>10640</v>
      </c>
      <c r="B4024" s="32" t="s">
        <v>10641</v>
      </c>
      <c r="C4024" s="35">
        <v>35.12639999</v>
      </c>
      <c r="D4024" s="35">
        <v>126.8089981</v>
      </c>
      <c r="E4024" s="32" t="s">
        <v>151</v>
      </c>
      <c r="F4024" s="32" t="s">
        <v>10642</v>
      </c>
      <c r="G4024" s="39" t="s">
        <v>152</v>
      </c>
      <c r="H4024" s="33"/>
      <c r="I4024" s="33"/>
      <c r="J4024" s="33"/>
      <c r="K4024" s="33"/>
      <c r="L4024" s="33"/>
      <c r="M4024" s="33"/>
    </row>
    <row r="4025">
      <c r="A4025" s="32" t="s">
        <v>10643</v>
      </c>
      <c r="B4025" s="32" t="s">
        <v>10644</v>
      </c>
      <c r="C4025" s="35">
        <v>59.876499</v>
      </c>
      <c r="D4025" s="35">
        <v>-163.169005</v>
      </c>
      <c r="E4025" s="32" t="s">
        <v>180</v>
      </c>
      <c r="F4025" s="32" t="s">
        <v>10645</v>
      </c>
      <c r="G4025" s="39" t="s">
        <v>181</v>
      </c>
      <c r="H4025" s="33"/>
      <c r="I4025" s="33"/>
      <c r="J4025" s="33"/>
      <c r="K4025" s="33"/>
      <c r="L4025" s="33"/>
      <c r="M4025" s="33"/>
    </row>
    <row r="4026">
      <c r="A4026" s="32" t="s">
        <v>10646</v>
      </c>
      <c r="B4026" s="32" t="s">
        <v>10647</v>
      </c>
      <c r="C4026" s="35">
        <v>25.21809959</v>
      </c>
      <c r="D4026" s="35">
        <v>110.0390015</v>
      </c>
      <c r="E4026" s="32" t="s">
        <v>205</v>
      </c>
      <c r="F4026" s="32" t="s">
        <v>10648</v>
      </c>
      <c r="G4026" s="39" t="s">
        <v>206</v>
      </c>
      <c r="H4026" s="33"/>
      <c r="I4026" s="33"/>
      <c r="J4026" s="33"/>
      <c r="K4026" s="33"/>
      <c r="L4026" s="33"/>
      <c r="M4026" s="33"/>
    </row>
    <row r="4027">
      <c r="A4027" s="32" t="s">
        <v>10649</v>
      </c>
      <c r="B4027" s="32" t="s">
        <v>10650</v>
      </c>
      <c r="C4027" s="35">
        <v>-15.48560047</v>
      </c>
      <c r="D4027" s="35">
        <v>141.7510071</v>
      </c>
      <c r="E4027" s="32" t="s">
        <v>1968</v>
      </c>
      <c r="F4027" s="32" t="s">
        <v>10651</v>
      </c>
      <c r="G4027" s="36" t="e">
        <v>#N/A</v>
      </c>
      <c r="H4027" s="33"/>
      <c r="I4027" s="33"/>
      <c r="J4027" s="33"/>
      <c r="K4027" s="33"/>
      <c r="L4027" s="33"/>
      <c r="M4027" s="33"/>
    </row>
    <row r="4028">
      <c r="A4028" s="32" t="s">
        <v>10652</v>
      </c>
      <c r="B4028" s="32" t="s">
        <v>10653</v>
      </c>
      <c r="C4028" s="35">
        <v>59.75510025</v>
      </c>
      <c r="D4028" s="35">
        <v>-161.8450012</v>
      </c>
      <c r="E4028" s="32" t="s">
        <v>180</v>
      </c>
      <c r="F4028" s="32" t="s">
        <v>10654</v>
      </c>
      <c r="G4028" s="39" t="s">
        <v>181</v>
      </c>
      <c r="H4028" s="33"/>
      <c r="I4028" s="33"/>
      <c r="J4028" s="33"/>
      <c r="K4028" s="33"/>
      <c r="L4028" s="33"/>
      <c r="M4028" s="33"/>
    </row>
    <row r="4029">
      <c r="A4029" s="32" t="s">
        <v>10655</v>
      </c>
      <c r="B4029" s="32" t="s">
        <v>10656</v>
      </c>
      <c r="C4029" s="35">
        <v>60.79029846</v>
      </c>
      <c r="D4029" s="35">
        <v>-161.4440002</v>
      </c>
      <c r="E4029" s="32" t="s">
        <v>180</v>
      </c>
      <c r="F4029" s="32" t="s">
        <v>10657</v>
      </c>
      <c r="G4029" s="39" t="s">
        <v>181</v>
      </c>
      <c r="H4029" s="33"/>
      <c r="I4029" s="33"/>
      <c r="J4029" s="33"/>
      <c r="K4029" s="33"/>
      <c r="L4029" s="33"/>
      <c r="M4029" s="33"/>
    </row>
    <row r="4030">
      <c r="A4030" s="32" t="s">
        <v>10658</v>
      </c>
      <c r="B4030" s="32" t="s">
        <v>10659</v>
      </c>
      <c r="C4030" s="35">
        <v>-10.76589966</v>
      </c>
      <c r="D4030" s="35">
        <v>25.50569916</v>
      </c>
      <c r="E4030" s="32" t="s">
        <v>800</v>
      </c>
      <c r="F4030" s="32" t="s">
        <v>10660</v>
      </c>
      <c r="G4030" s="36" t="e">
        <v>#N/A</v>
      </c>
      <c r="H4030" s="33"/>
      <c r="I4030" s="33"/>
      <c r="J4030" s="33"/>
      <c r="K4030" s="33"/>
      <c r="L4030" s="33"/>
      <c r="M4030" s="33"/>
    </row>
    <row r="4031">
      <c r="A4031" s="32" t="s">
        <v>10661</v>
      </c>
      <c r="B4031" s="32" t="s">
        <v>10662</v>
      </c>
      <c r="C4031" s="35">
        <v>-17.3458004</v>
      </c>
      <c r="D4031" s="35">
        <v>179.4219971</v>
      </c>
      <c r="E4031" s="32" t="s">
        <v>9136</v>
      </c>
      <c r="F4031" s="32" t="s">
        <v>10663</v>
      </c>
      <c r="G4031" s="36" t="e">
        <v>#N/A</v>
      </c>
      <c r="H4031" s="33"/>
      <c r="I4031" s="33"/>
      <c r="J4031" s="33"/>
      <c r="K4031" s="33"/>
      <c r="L4031" s="33"/>
      <c r="M4031" s="33"/>
    </row>
    <row r="4032">
      <c r="A4032" s="32" t="s">
        <v>10664</v>
      </c>
      <c r="B4032" s="32" t="s">
        <v>10665</v>
      </c>
      <c r="C4032" s="35">
        <v>50.4090004</v>
      </c>
      <c r="D4032" s="35">
        <v>136.9340057</v>
      </c>
      <c r="E4032" s="32" t="s">
        <v>2040</v>
      </c>
      <c r="F4032" s="32" t="s">
        <v>2146</v>
      </c>
      <c r="G4032" s="36" t="e">
        <v>#N/A</v>
      </c>
      <c r="H4032" s="33"/>
      <c r="I4032" s="33"/>
      <c r="J4032" s="33"/>
      <c r="K4032" s="33"/>
      <c r="L4032" s="33"/>
      <c r="M4032" s="33"/>
    </row>
    <row r="4033">
      <c r="A4033" s="32" t="s">
        <v>10666</v>
      </c>
      <c r="B4033" s="32" t="s">
        <v>10667</v>
      </c>
      <c r="C4033" s="35">
        <v>37.979</v>
      </c>
      <c r="D4033" s="35">
        <v>32.561901</v>
      </c>
      <c r="E4033" s="32" t="s">
        <v>133</v>
      </c>
      <c r="F4033" s="32" t="s">
        <v>10668</v>
      </c>
      <c r="G4033" s="39" t="s">
        <v>134</v>
      </c>
      <c r="H4033" s="33"/>
      <c r="I4033" s="33"/>
      <c r="J4033" s="33"/>
      <c r="K4033" s="33"/>
      <c r="L4033" s="33"/>
      <c r="M4033" s="33"/>
    </row>
    <row r="4034">
      <c r="A4034" s="32" t="s">
        <v>10669</v>
      </c>
      <c r="B4034" s="32" t="s">
        <v>10670</v>
      </c>
      <c r="C4034" s="35">
        <v>22.02700043</v>
      </c>
      <c r="D4034" s="35">
        <v>121.5350037</v>
      </c>
      <c r="E4034" s="32" t="s">
        <v>1497</v>
      </c>
      <c r="F4034" s="32" t="s">
        <v>10671</v>
      </c>
      <c r="G4034" s="36" t="e">
        <v>#N/A</v>
      </c>
      <c r="H4034" s="33"/>
      <c r="I4034" s="33"/>
      <c r="J4034" s="33"/>
      <c r="K4034" s="33"/>
      <c r="L4034" s="33"/>
      <c r="M4034" s="33"/>
    </row>
    <row r="4035">
      <c r="A4035" s="32" t="s">
        <v>10672</v>
      </c>
      <c r="B4035" s="32" t="s">
        <v>10673</v>
      </c>
      <c r="C4035" s="35">
        <v>57.56710052</v>
      </c>
      <c r="D4035" s="35">
        <v>-154.4499969</v>
      </c>
      <c r="E4035" s="32" t="s">
        <v>180</v>
      </c>
      <c r="F4035" s="32" t="s">
        <v>10674</v>
      </c>
      <c r="G4035" s="39" t="s">
        <v>181</v>
      </c>
      <c r="H4035" s="33"/>
      <c r="I4035" s="33"/>
      <c r="J4035" s="33"/>
      <c r="K4035" s="33"/>
      <c r="L4035" s="33"/>
      <c r="M4035" s="33"/>
    </row>
    <row r="4036">
      <c r="A4036" s="32" t="s">
        <v>10675</v>
      </c>
      <c r="B4036" s="32" t="s">
        <v>10676</v>
      </c>
      <c r="C4036" s="35">
        <v>19.42639923</v>
      </c>
      <c r="D4036" s="35">
        <v>93.53479767</v>
      </c>
      <c r="E4036" s="32" t="s">
        <v>1918</v>
      </c>
      <c r="F4036" s="32" t="s">
        <v>10677</v>
      </c>
      <c r="G4036" s="36" t="e">
        <v>#N/A</v>
      </c>
      <c r="H4036" s="33"/>
      <c r="I4036" s="33"/>
      <c r="J4036" s="33"/>
      <c r="K4036" s="33"/>
      <c r="L4036" s="33"/>
      <c r="M4036" s="33"/>
    </row>
    <row r="4037">
      <c r="A4037" s="32" t="s">
        <v>10678</v>
      </c>
      <c r="B4037" s="32" t="s">
        <v>10679</v>
      </c>
      <c r="C4037" s="35">
        <v>14.48120022</v>
      </c>
      <c r="D4037" s="35">
        <v>-11.40439987</v>
      </c>
      <c r="E4037" s="32" t="s">
        <v>807</v>
      </c>
      <c r="F4037" s="32" t="s">
        <v>10680</v>
      </c>
      <c r="G4037" s="36" t="e">
        <v>#N/A</v>
      </c>
      <c r="H4037" s="33"/>
      <c r="I4037" s="33"/>
      <c r="J4037" s="33"/>
      <c r="K4037" s="33"/>
      <c r="L4037" s="33"/>
      <c r="M4037" s="33"/>
    </row>
    <row r="4038">
      <c r="A4038" s="32" t="s">
        <v>10681</v>
      </c>
      <c r="B4038" s="32" t="s">
        <v>10682</v>
      </c>
      <c r="C4038" s="35">
        <v>64.87609863</v>
      </c>
      <c r="D4038" s="35">
        <v>-157.727005</v>
      </c>
      <c r="E4038" s="32" t="s">
        <v>180</v>
      </c>
      <c r="F4038" s="32" t="s">
        <v>10683</v>
      </c>
      <c r="G4038" s="39" t="s">
        <v>181</v>
      </c>
      <c r="H4038" s="33"/>
      <c r="I4038" s="33"/>
      <c r="J4038" s="33"/>
      <c r="K4038" s="33"/>
      <c r="L4038" s="33"/>
      <c r="M4038" s="33"/>
    </row>
    <row r="4039">
      <c r="A4039" s="32" t="s">
        <v>10684</v>
      </c>
      <c r="B4039" s="32" t="s">
        <v>10685</v>
      </c>
      <c r="C4039" s="35">
        <v>51.66939926</v>
      </c>
      <c r="D4039" s="35">
        <v>94.40059662</v>
      </c>
      <c r="E4039" s="32" t="s">
        <v>2040</v>
      </c>
      <c r="F4039" s="32" t="s">
        <v>10686</v>
      </c>
      <c r="G4039" s="36" t="e">
        <v>#N/A</v>
      </c>
      <c r="H4039" s="33"/>
      <c r="I4039" s="33"/>
      <c r="J4039" s="33"/>
      <c r="K4039" s="33"/>
      <c r="L4039" s="33"/>
      <c r="M4039" s="33"/>
    </row>
    <row r="4040">
      <c r="A4040" s="32" t="s">
        <v>10687</v>
      </c>
      <c r="B4040" s="32" t="s">
        <v>10688</v>
      </c>
      <c r="C4040" s="35">
        <v>40.28609848</v>
      </c>
      <c r="D4040" s="35">
        <v>21.84079933</v>
      </c>
      <c r="E4040" s="32" t="s">
        <v>339</v>
      </c>
      <c r="F4040" s="32" t="s">
        <v>10689</v>
      </c>
      <c r="G4040" s="36" t="e">
        <v>#N/A</v>
      </c>
      <c r="H4040" s="33"/>
      <c r="I4040" s="33"/>
      <c r="J4040" s="33"/>
      <c r="K4040" s="33"/>
      <c r="L4040" s="33"/>
      <c r="M4040" s="33"/>
    </row>
    <row r="4041">
      <c r="A4041" s="32" t="s">
        <v>10690</v>
      </c>
      <c r="B4041" s="32" t="s">
        <v>10691</v>
      </c>
      <c r="C4041" s="35">
        <v>55.60620117</v>
      </c>
      <c r="D4041" s="35">
        <v>49.27870178</v>
      </c>
      <c r="E4041" s="32" t="s">
        <v>2040</v>
      </c>
      <c r="F4041" s="32" t="s">
        <v>3342</v>
      </c>
      <c r="G4041" s="36" t="e">
        <v>#N/A</v>
      </c>
      <c r="H4041" s="33"/>
      <c r="I4041" s="33"/>
      <c r="J4041" s="33"/>
      <c r="K4041" s="33"/>
      <c r="L4041" s="33"/>
      <c r="M4041" s="33"/>
    </row>
    <row r="4042">
      <c r="A4042" s="32" t="s">
        <v>10692</v>
      </c>
      <c r="B4042" s="32" t="s">
        <v>10693</v>
      </c>
      <c r="C4042" s="35">
        <v>44.70690155</v>
      </c>
      <c r="D4042" s="35">
        <v>65.59249878</v>
      </c>
      <c r="E4042" s="32" t="s">
        <v>2817</v>
      </c>
      <c r="F4042" s="32" t="s">
        <v>10694</v>
      </c>
      <c r="G4042" s="36" t="e">
        <v>#N/A</v>
      </c>
      <c r="H4042" s="33"/>
      <c r="I4042" s="33"/>
      <c r="J4042" s="33"/>
      <c r="K4042" s="33"/>
      <c r="L4042" s="33"/>
      <c r="M4042" s="33"/>
    </row>
    <row r="4043">
      <c r="A4043" s="32" t="s">
        <v>10695</v>
      </c>
      <c r="B4043" s="32" t="s">
        <v>10696</v>
      </c>
      <c r="C4043" s="35">
        <v>39.107377</v>
      </c>
      <c r="D4043" s="35">
        <v>30.115724</v>
      </c>
      <c r="E4043" s="32" t="s">
        <v>133</v>
      </c>
      <c r="F4043" s="32" t="s">
        <v>1212</v>
      </c>
      <c r="G4043" s="39" t="s">
        <v>134</v>
      </c>
      <c r="H4043" s="33"/>
      <c r="I4043" s="33"/>
      <c r="J4043" s="33"/>
      <c r="K4043" s="33"/>
      <c r="L4043" s="33"/>
      <c r="M4043" s="33"/>
    </row>
    <row r="4044">
      <c r="A4044" s="32" t="s">
        <v>10697</v>
      </c>
      <c r="B4044" s="32" t="s">
        <v>10698</v>
      </c>
      <c r="C4044" s="35">
        <v>36.14170074</v>
      </c>
      <c r="D4044" s="35">
        <v>29.57640076</v>
      </c>
      <c r="E4044" s="32" t="s">
        <v>339</v>
      </c>
      <c r="F4044" s="32" t="s">
        <v>10699</v>
      </c>
      <c r="G4044" s="36" t="e">
        <v>#N/A</v>
      </c>
      <c r="H4044" s="33"/>
      <c r="I4044" s="33"/>
      <c r="J4044" s="33"/>
      <c r="K4044" s="33"/>
      <c r="L4044" s="33"/>
      <c r="M4044" s="33"/>
    </row>
    <row r="4045">
      <c r="A4045" s="32" t="s">
        <v>10700</v>
      </c>
      <c r="B4045" s="32" t="s">
        <v>10701</v>
      </c>
      <c r="C4045" s="35">
        <v>38.06969833</v>
      </c>
      <c r="D4045" s="35">
        <v>-102.6880035</v>
      </c>
      <c r="E4045" s="32" t="s">
        <v>180</v>
      </c>
      <c r="F4045" s="32" t="s">
        <v>10702</v>
      </c>
      <c r="G4045" s="39" t="s">
        <v>181</v>
      </c>
      <c r="H4045" s="33"/>
      <c r="I4045" s="33"/>
      <c r="J4045" s="33"/>
      <c r="K4045" s="33"/>
      <c r="L4045" s="33"/>
      <c r="M4045" s="33"/>
    </row>
    <row r="4046">
      <c r="A4046" s="32" t="s">
        <v>10703</v>
      </c>
      <c r="B4046" s="32" t="s">
        <v>10704</v>
      </c>
      <c r="C4046" s="35">
        <v>-8.858369827</v>
      </c>
      <c r="D4046" s="35">
        <v>13.23120022</v>
      </c>
      <c r="E4046" s="32" t="s">
        <v>764</v>
      </c>
      <c r="F4046" s="32" t="s">
        <v>10705</v>
      </c>
      <c r="G4046" s="36" t="e">
        <v>#N/A</v>
      </c>
      <c r="H4046" s="33"/>
      <c r="I4046" s="33"/>
      <c r="J4046" s="33"/>
      <c r="K4046" s="33"/>
      <c r="L4046" s="33"/>
      <c r="M4046" s="33"/>
    </row>
    <row r="4047">
      <c r="A4047" s="32" t="s">
        <v>10706</v>
      </c>
      <c r="B4047" s="32" t="s">
        <v>10707</v>
      </c>
      <c r="C4047" s="35">
        <v>-6.569803</v>
      </c>
      <c r="D4047" s="35">
        <v>146.725977</v>
      </c>
      <c r="E4047" s="32" t="s">
        <v>5289</v>
      </c>
      <c r="F4047" s="32" t="s">
        <v>10708</v>
      </c>
      <c r="G4047" s="36" t="e">
        <v>#N/A</v>
      </c>
      <c r="H4047" s="33"/>
      <c r="I4047" s="33"/>
      <c r="J4047" s="33"/>
      <c r="K4047" s="33"/>
      <c r="L4047" s="33"/>
      <c r="M4047" s="33"/>
    </row>
    <row r="4048">
      <c r="A4048" s="32" t="s">
        <v>10709</v>
      </c>
      <c r="B4048" s="32" t="s">
        <v>10710</v>
      </c>
      <c r="C4048" s="35">
        <v>40.41230011</v>
      </c>
      <c r="D4048" s="35">
        <v>-86.93689728</v>
      </c>
      <c r="E4048" s="32" t="s">
        <v>180</v>
      </c>
      <c r="F4048" s="32" t="s">
        <v>10711</v>
      </c>
      <c r="G4048" s="39" t="s">
        <v>181</v>
      </c>
      <c r="H4048" s="33"/>
      <c r="I4048" s="33"/>
      <c r="J4048" s="33"/>
      <c r="K4048" s="33"/>
      <c r="L4048" s="33"/>
      <c r="M4048" s="33"/>
    </row>
    <row r="4049">
      <c r="A4049" s="32" t="s">
        <v>10712</v>
      </c>
      <c r="B4049" s="32" t="s">
        <v>10713</v>
      </c>
      <c r="C4049" s="35">
        <v>48.75439835</v>
      </c>
      <c r="D4049" s="35">
        <v>-3.471659899</v>
      </c>
      <c r="E4049" s="32" t="s">
        <v>96</v>
      </c>
      <c r="F4049" s="32" t="s">
        <v>10714</v>
      </c>
      <c r="G4049" s="39" t="s">
        <v>97</v>
      </c>
      <c r="H4049" s="33"/>
      <c r="I4049" s="33"/>
      <c r="J4049" s="33"/>
      <c r="K4049" s="33"/>
      <c r="L4049" s="33"/>
      <c r="M4049" s="33"/>
    </row>
    <row r="4050">
      <c r="A4050" s="32" t="s">
        <v>10715</v>
      </c>
      <c r="B4050" s="32" t="s">
        <v>10716</v>
      </c>
      <c r="C4050" s="35">
        <v>68.223297</v>
      </c>
      <c r="D4050" s="35">
        <v>-135.00599</v>
      </c>
      <c r="E4050" s="32" t="s">
        <v>94</v>
      </c>
      <c r="F4050" s="32" t="s">
        <v>10717</v>
      </c>
      <c r="G4050" s="36" t="e">
        <v>#N/A</v>
      </c>
      <c r="H4050" s="33"/>
      <c r="I4050" s="33"/>
      <c r="J4050" s="33"/>
      <c r="K4050" s="33"/>
      <c r="L4050" s="33"/>
      <c r="M4050" s="33"/>
    </row>
    <row r="4051">
      <c r="A4051" s="32" t="s">
        <v>10718</v>
      </c>
      <c r="B4051" s="32" t="s">
        <v>10719</v>
      </c>
      <c r="C4051" s="35">
        <v>27.98889923</v>
      </c>
      <c r="D4051" s="35">
        <v>-82.01860046</v>
      </c>
      <c r="E4051" s="32" t="s">
        <v>180</v>
      </c>
      <c r="F4051" s="32" t="s">
        <v>10720</v>
      </c>
      <c r="G4051" s="39" t="s">
        <v>181</v>
      </c>
      <c r="H4051" s="33"/>
      <c r="I4051" s="33"/>
      <c r="J4051" s="33"/>
      <c r="K4051" s="33"/>
      <c r="L4051" s="33"/>
      <c r="M4051" s="33"/>
    </row>
    <row r="4052">
      <c r="A4052" s="32" t="s">
        <v>10721</v>
      </c>
      <c r="B4052" s="32" t="s">
        <v>10722</v>
      </c>
      <c r="C4052" s="35">
        <v>35.879798890000004</v>
      </c>
      <c r="D4052" s="35">
        <v>-106.2689972</v>
      </c>
      <c r="E4052" s="32" t="s">
        <v>180</v>
      </c>
      <c r="F4052" s="32" t="s">
        <v>10723</v>
      </c>
      <c r="G4052" s="39" t="s">
        <v>181</v>
      </c>
      <c r="H4052" s="33"/>
      <c r="I4052" s="33"/>
      <c r="J4052" s="33"/>
      <c r="K4052" s="33"/>
      <c r="L4052" s="33"/>
      <c r="M4052" s="33"/>
    </row>
    <row r="4053">
      <c r="A4053" s="32" t="s">
        <v>10724</v>
      </c>
      <c r="B4053" s="32" t="s">
        <v>6438</v>
      </c>
      <c r="C4053" s="35">
        <v>42.77870178</v>
      </c>
      <c r="D4053" s="35">
        <v>-84.58740234</v>
      </c>
      <c r="E4053" s="32" t="s">
        <v>180</v>
      </c>
      <c r="F4053" s="32" t="s">
        <v>9197</v>
      </c>
      <c r="G4053" s="39" t="s">
        <v>181</v>
      </c>
      <c r="H4053" s="33"/>
      <c r="I4053" s="33"/>
      <c r="J4053" s="33"/>
      <c r="K4053" s="33"/>
      <c r="L4053" s="33"/>
      <c r="M4053" s="33"/>
    </row>
    <row r="4054">
      <c r="A4054" s="32" t="s">
        <v>10725</v>
      </c>
      <c r="B4054" s="32" t="s">
        <v>10726</v>
      </c>
      <c r="C4054" s="35">
        <v>18.17810059</v>
      </c>
      <c r="D4054" s="35">
        <v>120.5319977</v>
      </c>
      <c r="E4054" s="32" t="s">
        <v>270</v>
      </c>
      <c r="F4054" s="32" t="s">
        <v>10727</v>
      </c>
      <c r="G4054" s="36" t="e">
        <v>#N/A</v>
      </c>
      <c r="H4054" s="33"/>
      <c r="I4054" s="33"/>
      <c r="J4054" s="33"/>
      <c r="K4054" s="33"/>
      <c r="L4054" s="33"/>
      <c r="M4054" s="33"/>
    </row>
    <row r="4055">
      <c r="A4055" s="32" t="s">
        <v>10728</v>
      </c>
      <c r="B4055" s="32" t="s">
        <v>10729</v>
      </c>
      <c r="C4055" s="35">
        <v>24.0727005</v>
      </c>
      <c r="D4055" s="35">
        <v>-110.3619995</v>
      </c>
      <c r="E4055" s="32" t="s">
        <v>186</v>
      </c>
      <c r="F4055" s="32" t="s">
        <v>10730</v>
      </c>
      <c r="G4055" s="39" t="s">
        <v>187</v>
      </c>
      <c r="H4055" s="33"/>
      <c r="I4055" s="33"/>
      <c r="J4055" s="33"/>
      <c r="K4055" s="33"/>
      <c r="L4055" s="33"/>
      <c r="M4055" s="33"/>
    </row>
    <row r="4056">
      <c r="A4056" s="32" t="s">
        <v>10731</v>
      </c>
      <c r="B4056" s="32" t="s">
        <v>10732</v>
      </c>
      <c r="C4056" s="35">
        <v>32.7887001</v>
      </c>
      <c r="D4056" s="35">
        <v>21.96430016</v>
      </c>
      <c r="E4056" s="32" t="s">
        <v>829</v>
      </c>
      <c r="F4056" s="32" t="s">
        <v>10733</v>
      </c>
      <c r="G4056" s="36" t="e">
        <v>#N/A</v>
      </c>
      <c r="H4056" s="33"/>
      <c r="I4056" s="33"/>
      <c r="J4056" s="33"/>
      <c r="K4056" s="33"/>
      <c r="L4056" s="33"/>
      <c r="M4056" s="33"/>
    </row>
    <row r="4057">
      <c r="A4057" s="32" t="s">
        <v>10734</v>
      </c>
      <c r="B4057" s="32" t="s">
        <v>10735</v>
      </c>
      <c r="C4057" s="35">
        <v>41.31209946</v>
      </c>
      <c r="D4057" s="35">
        <v>-105.6750031</v>
      </c>
      <c r="E4057" s="32" t="s">
        <v>180</v>
      </c>
      <c r="F4057" s="32" t="s">
        <v>10736</v>
      </c>
      <c r="G4057" s="39" t="s">
        <v>181</v>
      </c>
      <c r="H4057" s="33"/>
      <c r="I4057" s="33"/>
      <c r="J4057" s="33"/>
      <c r="K4057" s="33"/>
      <c r="L4057" s="33"/>
      <c r="M4057" s="33"/>
    </row>
    <row r="4058">
      <c r="A4058" s="32" t="s">
        <v>10737</v>
      </c>
      <c r="B4058" s="32" t="s">
        <v>10738</v>
      </c>
      <c r="C4058" s="35">
        <v>36.08010101</v>
      </c>
      <c r="D4058" s="35">
        <v>-115.1520004</v>
      </c>
      <c r="E4058" s="32" t="s">
        <v>180</v>
      </c>
      <c r="F4058" s="32" t="s">
        <v>10739</v>
      </c>
      <c r="G4058" s="39" t="s">
        <v>181</v>
      </c>
      <c r="H4058" s="33"/>
      <c r="I4058" s="33"/>
      <c r="J4058" s="33"/>
      <c r="K4058" s="33"/>
      <c r="L4058" s="33"/>
      <c r="M4058" s="33"/>
    </row>
    <row r="4059">
      <c r="A4059" s="32" t="s">
        <v>10740</v>
      </c>
      <c r="B4059" s="32" t="s">
        <v>10741</v>
      </c>
      <c r="C4059" s="35">
        <v>-2.252419949</v>
      </c>
      <c r="D4059" s="35">
        <v>40.9131012</v>
      </c>
      <c r="E4059" s="32" t="s">
        <v>21</v>
      </c>
      <c r="F4059" s="32" t="s">
        <v>10742</v>
      </c>
      <c r="G4059" s="36" t="e">
        <v>#N/A</v>
      </c>
      <c r="H4059" s="33"/>
      <c r="I4059" s="33"/>
      <c r="J4059" s="33"/>
      <c r="K4059" s="33"/>
      <c r="L4059" s="33"/>
      <c r="M4059" s="33"/>
    </row>
    <row r="4060">
      <c r="A4060" s="32" t="s">
        <v>10743</v>
      </c>
      <c r="B4060" s="32" t="s">
        <v>10744</v>
      </c>
      <c r="C4060" s="35">
        <v>34.56769943</v>
      </c>
      <c r="D4060" s="35">
        <v>-98.41660309</v>
      </c>
      <c r="E4060" s="32" t="s">
        <v>180</v>
      </c>
      <c r="F4060" s="32" t="s">
        <v>10745</v>
      </c>
      <c r="G4060" s="39" t="s">
        <v>181</v>
      </c>
      <c r="H4060" s="33"/>
      <c r="I4060" s="33"/>
      <c r="J4060" s="33"/>
      <c r="K4060" s="33"/>
      <c r="L4060" s="33"/>
      <c r="M4060" s="33"/>
    </row>
    <row r="4061">
      <c r="A4061" s="32" t="s">
        <v>10746</v>
      </c>
      <c r="B4061" s="32" t="s">
        <v>10747</v>
      </c>
      <c r="C4061" s="35">
        <v>33.94250107</v>
      </c>
      <c r="D4061" s="35">
        <v>-118.4079971</v>
      </c>
      <c r="E4061" s="32" t="s">
        <v>180</v>
      </c>
      <c r="F4061" s="32" t="s">
        <v>10748</v>
      </c>
      <c r="G4061" s="39" t="s">
        <v>181</v>
      </c>
      <c r="H4061" s="33"/>
      <c r="I4061" s="33"/>
      <c r="J4061" s="33"/>
      <c r="K4061" s="33"/>
      <c r="L4061" s="33"/>
      <c r="M4061" s="33"/>
    </row>
    <row r="4062">
      <c r="A4062" s="32" t="s">
        <v>10749</v>
      </c>
      <c r="B4062" s="32" t="s">
        <v>10750</v>
      </c>
      <c r="C4062" s="35">
        <v>-28.58169937</v>
      </c>
      <c r="D4062" s="35">
        <v>29.74970055</v>
      </c>
      <c r="E4062" s="32" t="s">
        <v>16</v>
      </c>
      <c r="F4062" s="32" t="s">
        <v>10751</v>
      </c>
      <c r="G4062" s="36" t="e">
        <v>#N/A</v>
      </c>
      <c r="H4062" s="33"/>
      <c r="I4062" s="33"/>
      <c r="J4062" s="33"/>
      <c r="K4062" s="33"/>
      <c r="L4062" s="33"/>
      <c r="M4062" s="33"/>
    </row>
    <row r="4063">
      <c r="A4063" s="32" t="s">
        <v>10752</v>
      </c>
      <c r="B4063" s="32" t="s">
        <v>10753</v>
      </c>
      <c r="C4063" s="35">
        <v>-13.26210022</v>
      </c>
      <c r="D4063" s="35">
        <v>-43.40810013</v>
      </c>
      <c r="E4063" s="32" t="s">
        <v>288</v>
      </c>
      <c r="F4063" s="32" t="s">
        <v>10754</v>
      </c>
      <c r="G4063" s="36" t="e">
        <v>#N/A</v>
      </c>
      <c r="H4063" s="33"/>
      <c r="I4063" s="33"/>
      <c r="J4063" s="33"/>
      <c r="K4063" s="33"/>
      <c r="L4063" s="33"/>
      <c r="M4063" s="33"/>
    </row>
    <row r="4064">
      <c r="A4064" s="32" t="s">
        <v>10755</v>
      </c>
      <c r="B4064" s="32" t="s">
        <v>10756</v>
      </c>
      <c r="C4064" s="35">
        <v>53.86589813</v>
      </c>
      <c r="D4064" s="35">
        <v>-1.660570025</v>
      </c>
      <c r="E4064" s="32" t="s">
        <v>90</v>
      </c>
      <c r="F4064" s="32" t="s">
        <v>2950</v>
      </c>
      <c r="G4064" s="39" t="s">
        <v>91</v>
      </c>
      <c r="H4064" s="33"/>
      <c r="I4064" s="33"/>
      <c r="J4064" s="33"/>
      <c r="K4064" s="33"/>
      <c r="L4064" s="33"/>
      <c r="M4064" s="33"/>
    </row>
    <row r="4065">
      <c r="A4065" s="32" t="s">
        <v>10757</v>
      </c>
      <c r="B4065" s="32" t="s">
        <v>10758</v>
      </c>
      <c r="C4065" s="35">
        <v>33.66360092</v>
      </c>
      <c r="D4065" s="35">
        <v>-101.822998</v>
      </c>
      <c r="E4065" s="32" t="s">
        <v>180</v>
      </c>
      <c r="F4065" s="32" t="s">
        <v>10759</v>
      </c>
      <c r="G4065" s="39" t="s">
        <v>181</v>
      </c>
      <c r="H4065" s="33"/>
      <c r="I4065" s="33"/>
      <c r="J4065" s="33"/>
      <c r="K4065" s="33"/>
      <c r="L4065" s="33"/>
      <c r="M4065" s="33"/>
    </row>
    <row r="4066">
      <c r="A4066" s="32" t="s">
        <v>10760</v>
      </c>
      <c r="B4066" s="32" t="s">
        <v>10761</v>
      </c>
      <c r="C4066" s="35">
        <v>53.80540085</v>
      </c>
      <c r="D4066" s="35">
        <v>10.71920013</v>
      </c>
      <c r="E4066" s="32" t="s">
        <v>109</v>
      </c>
      <c r="F4066" s="32" t="s">
        <v>10762</v>
      </c>
      <c r="G4066" s="39" t="s">
        <v>110</v>
      </c>
      <c r="H4066" s="33"/>
      <c r="I4066" s="33"/>
      <c r="J4066" s="33"/>
      <c r="K4066" s="33"/>
      <c r="L4066" s="33"/>
      <c r="M4066" s="33"/>
    </row>
    <row r="4067">
      <c r="A4067" s="32" t="s">
        <v>10763</v>
      </c>
      <c r="B4067" s="32" t="s">
        <v>10764</v>
      </c>
      <c r="C4067" s="35">
        <v>40.215400700000004</v>
      </c>
      <c r="D4067" s="35">
        <v>69.69470215</v>
      </c>
      <c r="E4067" s="32" t="s">
        <v>2237</v>
      </c>
      <c r="F4067" s="32" t="s">
        <v>10765</v>
      </c>
      <c r="G4067" s="36" t="e">
        <v>#N/A</v>
      </c>
      <c r="H4067" s="33"/>
      <c r="I4067" s="33"/>
      <c r="J4067" s="33"/>
      <c r="K4067" s="33"/>
      <c r="L4067" s="33"/>
      <c r="M4067" s="33"/>
    </row>
    <row r="4068">
      <c r="A4068" s="32" t="s">
        <v>10766</v>
      </c>
      <c r="B4068" s="32" t="s">
        <v>10767</v>
      </c>
      <c r="C4068" s="35">
        <v>40.27590179</v>
      </c>
      <c r="D4068" s="35">
        <v>-79.40480042</v>
      </c>
      <c r="E4068" s="32" t="s">
        <v>180</v>
      </c>
      <c r="F4068" s="32" t="s">
        <v>10768</v>
      </c>
      <c r="G4068" s="39" t="s">
        <v>181</v>
      </c>
      <c r="H4068" s="33"/>
      <c r="I4068" s="33"/>
      <c r="J4068" s="33"/>
      <c r="K4068" s="33"/>
      <c r="L4068" s="33"/>
      <c r="M4068" s="33"/>
    </row>
    <row r="4069">
      <c r="A4069" s="32" t="s">
        <v>10769</v>
      </c>
      <c r="B4069" s="32" t="s">
        <v>10770</v>
      </c>
      <c r="C4069" s="35">
        <v>41.12620163</v>
      </c>
      <c r="D4069" s="35">
        <v>-100.6839981</v>
      </c>
      <c r="E4069" s="32" t="s">
        <v>180</v>
      </c>
      <c r="F4069" s="32" t="s">
        <v>10771</v>
      </c>
      <c r="G4069" s="39" t="s">
        <v>181</v>
      </c>
      <c r="H4069" s="33"/>
      <c r="I4069" s="33"/>
      <c r="J4069" s="33"/>
      <c r="K4069" s="33"/>
      <c r="L4069" s="33"/>
      <c r="M4069" s="33"/>
    </row>
    <row r="4070">
      <c r="A4070" s="32" t="s">
        <v>10772</v>
      </c>
      <c r="B4070" s="32" t="s">
        <v>10773</v>
      </c>
      <c r="C4070" s="35">
        <v>48.9693985</v>
      </c>
      <c r="D4070" s="35">
        <v>2.441390038</v>
      </c>
      <c r="E4070" s="32" t="s">
        <v>96</v>
      </c>
      <c r="F4070" s="32" t="s">
        <v>5670</v>
      </c>
      <c r="G4070" s="39" t="s">
        <v>97</v>
      </c>
      <c r="H4070" s="33"/>
      <c r="I4070" s="33"/>
      <c r="J4070" s="33"/>
      <c r="K4070" s="33"/>
      <c r="L4070" s="33"/>
      <c r="M4070" s="33"/>
    </row>
    <row r="4071">
      <c r="A4071" s="32" t="s">
        <v>10774</v>
      </c>
      <c r="B4071" s="32" t="s">
        <v>10775</v>
      </c>
      <c r="C4071" s="35">
        <v>43.91389847</v>
      </c>
      <c r="D4071" s="35">
        <v>2.113059998</v>
      </c>
      <c r="E4071" s="32" t="s">
        <v>96</v>
      </c>
      <c r="F4071" s="32" t="s">
        <v>10776</v>
      </c>
      <c r="G4071" s="39" t="s">
        <v>97</v>
      </c>
      <c r="H4071" s="33"/>
      <c r="I4071" s="33"/>
      <c r="J4071" s="33"/>
      <c r="K4071" s="33"/>
      <c r="L4071" s="33"/>
      <c r="M4071" s="33"/>
    </row>
    <row r="4072">
      <c r="A4072" s="32" t="s">
        <v>10777</v>
      </c>
      <c r="B4072" s="32" t="s">
        <v>10778</v>
      </c>
      <c r="C4072" s="35">
        <v>-8.486660004</v>
      </c>
      <c r="D4072" s="35">
        <v>119.8889999</v>
      </c>
      <c r="E4072" s="32" t="s">
        <v>280</v>
      </c>
      <c r="F4072" s="32" t="s">
        <v>10779</v>
      </c>
      <c r="G4072" s="36" t="e">
        <v>#N/A</v>
      </c>
      <c r="H4072" s="33"/>
      <c r="I4072" s="33"/>
      <c r="J4072" s="33"/>
      <c r="K4072" s="33"/>
      <c r="L4072" s="33"/>
      <c r="M4072" s="33"/>
    </row>
    <row r="4073">
      <c r="A4073" s="32" t="s">
        <v>10780</v>
      </c>
      <c r="B4073" s="32" t="s">
        <v>10781</v>
      </c>
      <c r="C4073" s="35">
        <v>37.0442009</v>
      </c>
      <c r="D4073" s="35">
        <v>-100.9599991</v>
      </c>
      <c r="E4073" s="32" t="s">
        <v>180</v>
      </c>
      <c r="F4073" s="32" t="s">
        <v>10782</v>
      </c>
      <c r="G4073" s="39" t="s">
        <v>181</v>
      </c>
      <c r="H4073" s="33"/>
      <c r="I4073" s="33"/>
      <c r="J4073" s="33"/>
      <c r="K4073" s="33"/>
      <c r="L4073" s="33"/>
      <c r="M4073" s="33"/>
    </row>
    <row r="4074">
      <c r="A4074" s="32" t="s">
        <v>10783</v>
      </c>
      <c r="B4074" s="32" t="s">
        <v>10784</v>
      </c>
      <c r="C4074" s="35">
        <v>-0.7043889759999999</v>
      </c>
      <c r="D4074" s="35">
        <v>10.24569988</v>
      </c>
      <c r="E4074" s="32" t="s">
        <v>4974</v>
      </c>
      <c r="F4074" s="32" t="s">
        <v>10785</v>
      </c>
      <c r="G4074" s="36" t="e">
        <v>#N/A</v>
      </c>
      <c r="H4074" s="33"/>
      <c r="I4074" s="33"/>
      <c r="J4074" s="33"/>
      <c r="K4074" s="33"/>
      <c r="L4074" s="33"/>
      <c r="M4074" s="33"/>
    </row>
    <row r="4075">
      <c r="A4075" s="32" t="s">
        <v>10786</v>
      </c>
      <c r="B4075" s="32" t="s">
        <v>10787</v>
      </c>
      <c r="C4075" s="35">
        <v>-7.278969765</v>
      </c>
      <c r="D4075" s="35">
        <v>-64.76950073</v>
      </c>
      <c r="E4075" s="32" t="s">
        <v>288</v>
      </c>
      <c r="F4075" s="32" t="s">
        <v>10788</v>
      </c>
      <c r="G4075" s="36" t="e">
        <v>#N/A</v>
      </c>
      <c r="H4075" s="33"/>
      <c r="I4075" s="33"/>
      <c r="J4075" s="33"/>
      <c r="K4075" s="33"/>
      <c r="L4075" s="33"/>
      <c r="M4075" s="33"/>
    </row>
    <row r="4076">
      <c r="A4076" s="32" t="s">
        <v>10789</v>
      </c>
      <c r="B4076" s="32" t="s">
        <v>10790</v>
      </c>
      <c r="C4076" s="35">
        <v>-16.4666996</v>
      </c>
      <c r="D4076" s="35">
        <v>179.3399963</v>
      </c>
      <c r="E4076" s="32" t="s">
        <v>9136</v>
      </c>
      <c r="F4076" s="32" t="s">
        <v>10791</v>
      </c>
      <c r="G4076" s="36" t="e">
        <v>#N/A</v>
      </c>
      <c r="H4076" s="33"/>
      <c r="I4076" s="33"/>
      <c r="J4076" s="33"/>
      <c r="K4076" s="33"/>
      <c r="L4076" s="33"/>
      <c r="M4076" s="33"/>
    </row>
    <row r="4077">
      <c r="A4077" s="32" t="s">
        <v>10792</v>
      </c>
      <c r="B4077" s="32" t="s">
        <v>10793</v>
      </c>
      <c r="C4077" s="35">
        <v>34.60990143</v>
      </c>
      <c r="D4077" s="35">
        <v>-79.05940247</v>
      </c>
      <c r="E4077" s="32" t="s">
        <v>180</v>
      </c>
      <c r="F4077" s="32" t="s">
        <v>10794</v>
      </c>
      <c r="G4077" s="39" t="s">
        <v>181</v>
      </c>
      <c r="H4077" s="33"/>
      <c r="I4077" s="33"/>
      <c r="J4077" s="33"/>
      <c r="K4077" s="33"/>
      <c r="L4077" s="33"/>
      <c r="M4077" s="33"/>
    </row>
    <row r="4078">
      <c r="A4078" s="32" t="s">
        <v>10795</v>
      </c>
      <c r="B4078" s="32" t="s">
        <v>10796</v>
      </c>
      <c r="C4078" s="35">
        <v>5.300680161</v>
      </c>
      <c r="D4078" s="35">
        <v>115.25</v>
      </c>
      <c r="E4078" s="32" t="s">
        <v>284</v>
      </c>
      <c r="F4078" s="32" t="s">
        <v>10797</v>
      </c>
      <c r="G4078" s="36" t="e">
        <v>#N/A</v>
      </c>
      <c r="H4078" s="33"/>
      <c r="I4078" s="33"/>
      <c r="J4078" s="33"/>
      <c r="K4078" s="33"/>
      <c r="L4078" s="33"/>
      <c r="M4078" s="33"/>
    </row>
    <row r="4079">
      <c r="A4079" s="32" t="s">
        <v>10798</v>
      </c>
      <c r="B4079" s="32" t="s">
        <v>10799</v>
      </c>
      <c r="C4079" s="35">
        <v>0.458600014</v>
      </c>
      <c r="D4079" s="35">
        <v>9.412280083</v>
      </c>
      <c r="E4079" s="32" t="s">
        <v>4974</v>
      </c>
      <c r="F4079" s="32" t="s">
        <v>10800</v>
      </c>
      <c r="G4079" s="36" t="e">
        <v>#N/A</v>
      </c>
      <c r="H4079" s="33"/>
      <c r="I4079" s="33"/>
      <c r="J4079" s="33"/>
      <c r="K4079" s="33"/>
      <c r="L4079" s="33"/>
      <c r="M4079" s="33"/>
    </row>
    <row r="4080">
      <c r="A4080" s="32" t="s">
        <v>10801</v>
      </c>
      <c r="B4080" s="32" t="s">
        <v>10802</v>
      </c>
      <c r="C4080" s="35">
        <v>3.9028</v>
      </c>
      <c r="D4080" s="35">
        <v>115.6921</v>
      </c>
      <c r="E4080" s="32" t="s">
        <v>280</v>
      </c>
      <c r="F4080" s="32" t="s">
        <v>10803</v>
      </c>
      <c r="G4080" s="36" t="e">
        <v>#N/A</v>
      </c>
      <c r="H4080" s="33"/>
      <c r="I4080" s="33"/>
      <c r="J4080" s="33"/>
      <c r="K4080" s="33"/>
      <c r="L4080" s="33"/>
      <c r="M4080" s="33"/>
    </row>
    <row r="4081">
      <c r="A4081" s="32" t="s">
        <v>10804</v>
      </c>
      <c r="B4081" s="32" t="s">
        <v>10805</v>
      </c>
      <c r="C4081" s="35">
        <v>13.85540009</v>
      </c>
      <c r="D4081" s="35">
        <v>120.1050034</v>
      </c>
      <c r="E4081" s="32" t="s">
        <v>270</v>
      </c>
      <c r="F4081" s="32" t="s">
        <v>10806</v>
      </c>
      <c r="G4081" s="36" t="e">
        <v>#N/A</v>
      </c>
      <c r="H4081" s="33"/>
      <c r="I4081" s="33"/>
      <c r="J4081" s="33"/>
      <c r="K4081" s="33"/>
      <c r="L4081" s="33"/>
      <c r="M4081" s="33"/>
    </row>
    <row r="4082">
      <c r="A4082" s="32" t="s">
        <v>10807</v>
      </c>
      <c r="B4082" s="32" t="s">
        <v>10808</v>
      </c>
      <c r="C4082" s="35">
        <v>-8.445727348</v>
      </c>
      <c r="D4082" s="35">
        <v>20.73208618</v>
      </c>
      <c r="E4082" s="32" t="s">
        <v>764</v>
      </c>
      <c r="F4082" s="32" t="s">
        <v>10809</v>
      </c>
      <c r="G4082" s="36" t="e">
        <v>#N/A</v>
      </c>
      <c r="H4082" s="33"/>
      <c r="I4082" s="33"/>
      <c r="J4082" s="33"/>
      <c r="K4082" s="33"/>
      <c r="L4082" s="33"/>
      <c r="M4082" s="33"/>
    </row>
    <row r="4083">
      <c r="A4083" s="32" t="s">
        <v>10810</v>
      </c>
      <c r="B4083" s="32" t="s">
        <v>10811</v>
      </c>
      <c r="C4083" s="35">
        <v>34.87509918</v>
      </c>
      <c r="D4083" s="35">
        <v>33.62490082</v>
      </c>
      <c r="E4083" s="32" t="s">
        <v>3847</v>
      </c>
      <c r="F4083" s="32" t="s">
        <v>10812</v>
      </c>
      <c r="G4083" s="36" t="e">
        <v>#N/A</v>
      </c>
      <c r="H4083" s="33"/>
      <c r="I4083" s="33"/>
      <c r="J4083" s="33"/>
      <c r="K4083" s="33"/>
      <c r="L4083" s="33"/>
      <c r="M4083" s="33"/>
    </row>
    <row r="4084">
      <c r="A4084" s="32" t="s">
        <v>10813</v>
      </c>
      <c r="B4084" s="32" t="s">
        <v>10814</v>
      </c>
      <c r="C4084" s="35">
        <v>40.239201</v>
      </c>
      <c r="D4084" s="35">
        <v>18.133301</v>
      </c>
      <c r="E4084" s="32" t="s">
        <v>103</v>
      </c>
      <c r="F4084" s="32" t="s">
        <v>10815</v>
      </c>
      <c r="G4084" s="39" t="s">
        <v>104</v>
      </c>
      <c r="H4084" s="33"/>
      <c r="I4084" s="33"/>
      <c r="J4084" s="33"/>
      <c r="K4084" s="33"/>
      <c r="L4084" s="33"/>
      <c r="M4084" s="33"/>
    </row>
    <row r="4085">
      <c r="A4085" s="32" t="s">
        <v>10816</v>
      </c>
      <c r="B4085" s="32" t="s">
        <v>10817</v>
      </c>
      <c r="C4085" s="35">
        <v>15.7425</v>
      </c>
      <c r="D4085" s="35">
        <v>-86.852997</v>
      </c>
      <c r="E4085" s="32" t="s">
        <v>1245</v>
      </c>
      <c r="F4085" s="32" t="s">
        <v>10818</v>
      </c>
      <c r="G4085" s="36" t="e">
        <v>#N/A</v>
      </c>
      <c r="H4085" s="33"/>
      <c r="I4085" s="33"/>
      <c r="J4085" s="33"/>
      <c r="K4085" s="33"/>
      <c r="L4085" s="33"/>
      <c r="M4085" s="33"/>
    </row>
    <row r="4086">
      <c r="A4086" s="32" t="s">
        <v>10819</v>
      </c>
      <c r="B4086" s="32" t="s">
        <v>10820</v>
      </c>
      <c r="C4086" s="35">
        <v>43.30210114</v>
      </c>
      <c r="D4086" s="35">
        <v>-8.377260208</v>
      </c>
      <c r="E4086" s="32" t="s">
        <v>115</v>
      </c>
      <c r="F4086" s="32" t="s">
        <v>10821</v>
      </c>
      <c r="G4086" s="39" t="s">
        <v>116</v>
      </c>
      <c r="H4086" s="33"/>
      <c r="I4086" s="33"/>
      <c r="J4086" s="33"/>
      <c r="K4086" s="33"/>
      <c r="L4086" s="33"/>
      <c r="M4086" s="33"/>
    </row>
    <row r="4087">
      <c r="A4087" s="32" t="s">
        <v>10822</v>
      </c>
      <c r="B4087" s="32" t="s">
        <v>10823</v>
      </c>
      <c r="C4087" s="35">
        <v>30.12610054</v>
      </c>
      <c r="D4087" s="35">
        <v>-93.22329712</v>
      </c>
      <c r="E4087" s="32" t="s">
        <v>180</v>
      </c>
      <c r="F4087" s="32" t="s">
        <v>10824</v>
      </c>
      <c r="G4087" s="39" t="s">
        <v>181</v>
      </c>
      <c r="H4087" s="33"/>
      <c r="I4087" s="33"/>
      <c r="J4087" s="33"/>
      <c r="K4087" s="33"/>
      <c r="L4087" s="33"/>
      <c r="M4087" s="33"/>
    </row>
    <row r="4088">
      <c r="A4088" s="32" t="s">
        <v>10825</v>
      </c>
      <c r="B4088" s="32" t="s">
        <v>10826</v>
      </c>
      <c r="C4088" s="35">
        <v>51.72190094</v>
      </c>
      <c r="D4088" s="35">
        <v>19.3980999</v>
      </c>
      <c r="E4088" s="32" t="s">
        <v>192</v>
      </c>
      <c r="F4088" s="32" t="s">
        <v>10827</v>
      </c>
      <c r="G4088" s="39" t="s">
        <v>193</v>
      </c>
      <c r="H4088" s="33"/>
      <c r="I4088" s="33"/>
      <c r="J4088" s="33"/>
      <c r="K4088" s="33"/>
      <c r="L4088" s="33"/>
      <c r="M4088" s="33"/>
    </row>
    <row r="4089">
      <c r="A4089" s="32" t="s">
        <v>10828</v>
      </c>
      <c r="B4089" s="32" t="s">
        <v>10829</v>
      </c>
      <c r="C4089" s="35">
        <v>39.813801</v>
      </c>
      <c r="D4089" s="35">
        <v>-82.927803</v>
      </c>
      <c r="E4089" s="32" t="s">
        <v>180</v>
      </c>
      <c r="F4089" s="32" t="s">
        <v>6005</v>
      </c>
      <c r="G4089" s="39" t="s">
        <v>181</v>
      </c>
      <c r="H4089" s="33"/>
      <c r="I4089" s="33"/>
      <c r="J4089" s="33"/>
      <c r="K4089" s="33"/>
      <c r="L4089" s="33"/>
      <c r="M4089" s="33"/>
    </row>
    <row r="4090">
      <c r="A4090" s="32" t="s">
        <v>10830</v>
      </c>
      <c r="B4090" s="32" t="s">
        <v>10831</v>
      </c>
      <c r="C4090" s="35">
        <v>22.33609962</v>
      </c>
      <c r="D4090" s="35">
        <v>-83.64189911</v>
      </c>
      <c r="E4090" s="32" t="s">
        <v>1294</v>
      </c>
      <c r="F4090" s="32" t="s">
        <v>10832</v>
      </c>
      <c r="G4090" s="36" t="e">
        <v>#N/A</v>
      </c>
      <c r="H4090" s="33"/>
      <c r="I4090" s="33"/>
      <c r="J4090" s="33"/>
      <c r="K4090" s="33"/>
      <c r="L4090" s="33"/>
      <c r="M4090" s="33"/>
    </row>
    <row r="4091">
      <c r="A4091" s="32" t="s">
        <v>10833</v>
      </c>
      <c r="B4091" s="32" t="s">
        <v>10834</v>
      </c>
      <c r="C4091" s="35">
        <v>30.18199921</v>
      </c>
      <c r="D4091" s="35">
        <v>-82.57689667</v>
      </c>
      <c r="E4091" s="32" t="s">
        <v>180</v>
      </c>
      <c r="F4091" s="32" t="s">
        <v>10835</v>
      </c>
      <c r="G4091" s="39" t="s">
        <v>181</v>
      </c>
      <c r="H4091" s="33"/>
      <c r="I4091" s="33"/>
      <c r="J4091" s="33"/>
      <c r="K4091" s="33"/>
      <c r="L4091" s="33"/>
      <c r="M4091" s="33"/>
    </row>
    <row r="4092">
      <c r="A4092" s="32" t="s">
        <v>10836</v>
      </c>
      <c r="B4092" s="32" t="s">
        <v>10837</v>
      </c>
      <c r="C4092" s="35">
        <v>25.67469978</v>
      </c>
      <c r="D4092" s="35">
        <v>116.7470016</v>
      </c>
      <c r="E4092" s="32" t="s">
        <v>205</v>
      </c>
      <c r="F4092" s="32" t="s">
        <v>10838</v>
      </c>
      <c r="G4092" s="39" t="s">
        <v>206</v>
      </c>
      <c r="H4092" s="33"/>
      <c r="I4092" s="33"/>
      <c r="J4092" s="33"/>
      <c r="K4092" s="33"/>
      <c r="L4092" s="33"/>
      <c r="M4092" s="33"/>
    </row>
    <row r="4093">
      <c r="A4093" s="32" t="s">
        <v>10839</v>
      </c>
      <c r="B4093" s="32" t="s">
        <v>10840</v>
      </c>
      <c r="C4093" s="35">
        <v>51.505299</v>
      </c>
      <c r="D4093" s="35">
        <v>0.055278</v>
      </c>
      <c r="E4093" s="32" t="s">
        <v>90</v>
      </c>
      <c r="F4093" s="32" t="s">
        <v>2298</v>
      </c>
      <c r="G4093" s="39" t="s">
        <v>91</v>
      </c>
      <c r="H4093" s="33"/>
      <c r="I4093" s="33"/>
      <c r="J4093" s="33"/>
      <c r="K4093" s="33"/>
      <c r="L4093" s="33"/>
      <c r="M4093" s="33"/>
    </row>
    <row r="4094">
      <c r="A4094" s="32" t="s">
        <v>10841</v>
      </c>
      <c r="B4094" s="32" t="s">
        <v>10842</v>
      </c>
      <c r="C4094" s="35">
        <v>-23.33359909</v>
      </c>
      <c r="D4094" s="35">
        <v>-51.13010025</v>
      </c>
      <c r="E4094" s="32" t="s">
        <v>288</v>
      </c>
      <c r="F4094" s="32" t="s">
        <v>10843</v>
      </c>
      <c r="G4094" s="36" t="e">
        <v>#N/A</v>
      </c>
      <c r="H4094" s="33"/>
      <c r="I4094" s="33"/>
      <c r="J4094" s="33"/>
      <c r="K4094" s="33"/>
      <c r="L4094" s="33"/>
      <c r="M4094" s="33"/>
    </row>
    <row r="4095">
      <c r="A4095" s="32" t="s">
        <v>10844</v>
      </c>
      <c r="B4095" s="32" t="s">
        <v>10845</v>
      </c>
      <c r="C4095" s="35">
        <v>43.17869949</v>
      </c>
      <c r="D4095" s="35">
        <v>-0.006439</v>
      </c>
      <c r="E4095" s="32" t="s">
        <v>96</v>
      </c>
      <c r="F4095" s="32" t="s">
        <v>10846</v>
      </c>
      <c r="G4095" s="39" t="s">
        <v>97</v>
      </c>
      <c r="H4095" s="33"/>
      <c r="I4095" s="33"/>
      <c r="J4095" s="33"/>
      <c r="K4095" s="33"/>
      <c r="L4095" s="33"/>
      <c r="M4095" s="33"/>
    </row>
    <row r="4096">
      <c r="A4096" s="32" t="s">
        <v>10847</v>
      </c>
      <c r="B4096" s="32" t="s">
        <v>10848</v>
      </c>
      <c r="C4096" s="35">
        <v>64.89600372</v>
      </c>
      <c r="D4096" s="35">
        <v>45.72299957</v>
      </c>
      <c r="E4096" s="32" t="s">
        <v>2040</v>
      </c>
      <c r="F4096" s="32" t="s">
        <v>2294</v>
      </c>
      <c r="G4096" s="36" t="e">
        <v>#N/A</v>
      </c>
      <c r="H4096" s="33"/>
      <c r="I4096" s="33"/>
      <c r="J4096" s="33"/>
      <c r="K4096" s="33"/>
      <c r="L4096" s="33"/>
      <c r="M4096" s="33"/>
    </row>
    <row r="4097">
      <c r="A4097" s="32" t="s">
        <v>10849</v>
      </c>
      <c r="B4097" s="32" t="s">
        <v>10850</v>
      </c>
      <c r="C4097" s="35">
        <v>-31.53829956</v>
      </c>
      <c r="D4097" s="35">
        <v>159.0769959</v>
      </c>
      <c r="E4097" s="32" t="s">
        <v>1968</v>
      </c>
      <c r="F4097" s="32" t="s">
        <v>10851</v>
      </c>
      <c r="G4097" s="36" t="e">
        <v>#N/A</v>
      </c>
      <c r="H4097" s="33"/>
      <c r="I4097" s="33"/>
      <c r="J4097" s="33"/>
      <c r="K4097" s="33"/>
      <c r="L4097" s="33"/>
      <c r="M4097" s="33"/>
    </row>
    <row r="4098">
      <c r="A4098" s="32" t="s">
        <v>10852</v>
      </c>
      <c r="B4098" s="32" t="s">
        <v>10853</v>
      </c>
      <c r="C4098" s="35">
        <v>-9.851110458</v>
      </c>
      <c r="D4098" s="35">
        <v>39.75780106</v>
      </c>
      <c r="E4098" s="32" t="s">
        <v>2937</v>
      </c>
      <c r="F4098" s="32" t="s">
        <v>10854</v>
      </c>
      <c r="G4098" s="36" t="e">
        <v>#N/A</v>
      </c>
      <c r="H4098" s="33"/>
      <c r="I4098" s="33"/>
      <c r="J4098" s="33"/>
      <c r="K4098" s="33"/>
      <c r="L4098" s="33"/>
      <c r="M4098" s="33"/>
    </row>
    <row r="4099">
      <c r="A4099" s="32" t="s">
        <v>10855</v>
      </c>
      <c r="B4099" s="32" t="s">
        <v>1821</v>
      </c>
      <c r="C4099" s="35">
        <v>40.61740112</v>
      </c>
      <c r="D4099" s="35">
        <v>-74.24459839</v>
      </c>
      <c r="E4099" s="32" t="s">
        <v>180</v>
      </c>
      <c r="F4099" s="32" t="s">
        <v>1823</v>
      </c>
      <c r="G4099" s="39" t="s">
        <v>181</v>
      </c>
      <c r="H4099" s="33"/>
      <c r="I4099" s="33"/>
      <c r="J4099" s="33"/>
      <c r="K4099" s="33"/>
      <c r="L4099" s="33"/>
      <c r="M4099" s="33"/>
    </row>
    <row r="4100">
      <c r="A4100" s="32" t="s">
        <v>10856</v>
      </c>
      <c r="B4100" s="32" t="s">
        <v>10857</v>
      </c>
      <c r="C4100" s="35">
        <v>58.46549988</v>
      </c>
      <c r="D4100" s="35">
        <v>13.17440033</v>
      </c>
      <c r="E4100" s="32" t="s">
        <v>347</v>
      </c>
      <c r="F4100" s="32" t="s">
        <v>10858</v>
      </c>
      <c r="G4100" s="36" t="e">
        <v>#N/A</v>
      </c>
      <c r="H4100" s="33"/>
      <c r="I4100" s="33"/>
      <c r="J4100" s="33"/>
      <c r="K4100" s="33"/>
      <c r="L4100" s="33"/>
      <c r="M4100" s="33"/>
    </row>
    <row r="4101">
      <c r="A4101" s="32" t="s">
        <v>10859</v>
      </c>
      <c r="B4101" s="32" t="s">
        <v>10860</v>
      </c>
      <c r="C4101" s="35">
        <v>43.96250153</v>
      </c>
      <c r="D4101" s="35">
        <v>-86.40789795</v>
      </c>
      <c r="E4101" s="32" t="s">
        <v>180</v>
      </c>
      <c r="F4101" s="32" t="s">
        <v>10861</v>
      </c>
      <c r="G4101" s="39" t="s">
        <v>181</v>
      </c>
      <c r="H4101" s="33"/>
      <c r="I4101" s="33"/>
      <c r="J4101" s="33"/>
      <c r="K4101" s="33"/>
      <c r="L4101" s="33"/>
      <c r="M4101" s="33"/>
    </row>
    <row r="4102">
      <c r="A4102" s="32" t="s">
        <v>10862</v>
      </c>
      <c r="B4102" s="32" t="s">
        <v>10863</v>
      </c>
      <c r="C4102" s="35">
        <v>27.25309944</v>
      </c>
      <c r="D4102" s="35">
        <v>86.66999817</v>
      </c>
      <c r="E4102" s="32" t="s">
        <v>1877</v>
      </c>
      <c r="F4102" s="32" t="s">
        <v>10864</v>
      </c>
      <c r="G4102" s="36" t="e">
        <v>#N/A</v>
      </c>
      <c r="H4102" s="33"/>
      <c r="I4102" s="33"/>
      <c r="J4102" s="33"/>
      <c r="K4102" s="33"/>
      <c r="L4102" s="33"/>
      <c r="M4102" s="33"/>
    </row>
    <row r="4103">
      <c r="A4103" s="32" t="s">
        <v>10865</v>
      </c>
      <c r="B4103" s="32" t="s">
        <v>10866</v>
      </c>
      <c r="C4103" s="35">
        <v>47.75205556</v>
      </c>
      <c r="D4103" s="35">
        <v>129.019125</v>
      </c>
      <c r="E4103" s="32" t="s">
        <v>205</v>
      </c>
      <c r="F4103" s="32" t="s">
        <v>10867</v>
      </c>
      <c r="G4103" s="39" t="s">
        <v>206</v>
      </c>
      <c r="H4103" s="33"/>
      <c r="I4103" s="33"/>
      <c r="J4103" s="33"/>
      <c r="K4103" s="33"/>
      <c r="L4103" s="33"/>
      <c r="M4103" s="33"/>
    </row>
    <row r="4104">
      <c r="A4104" s="32" t="s">
        <v>10868</v>
      </c>
      <c r="B4104" s="32" t="s">
        <v>10869</v>
      </c>
      <c r="C4104" s="35">
        <v>5.032249928</v>
      </c>
      <c r="D4104" s="35">
        <v>118.3239975</v>
      </c>
      <c r="E4104" s="32" t="s">
        <v>284</v>
      </c>
      <c r="F4104" s="32" t="s">
        <v>10870</v>
      </c>
      <c r="G4104" s="36" t="e">
        <v>#N/A</v>
      </c>
      <c r="H4104" s="33"/>
      <c r="I4104" s="33"/>
      <c r="J4104" s="33"/>
      <c r="K4104" s="33"/>
      <c r="L4104" s="33"/>
      <c r="M4104" s="33"/>
    </row>
    <row r="4105">
      <c r="A4105" s="32" t="s">
        <v>10871</v>
      </c>
      <c r="B4105" s="32" t="s">
        <v>10872</v>
      </c>
      <c r="C4105" s="35">
        <v>5.48306</v>
      </c>
      <c r="D4105" s="35">
        <v>-54.034401</v>
      </c>
      <c r="E4105" s="32" t="s">
        <v>1754</v>
      </c>
      <c r="F4105" s="32" t="s">
        <v>10873</v>
      </c>
      <c r="G4105" s="36" t="e">
        <v>#N/A</v>
      </c>
      <c r="H4105" s="33"/>
      <c r="I4105" s="33"/>
      <c r="J4105" s="33"/>
      <c r="K4105" s="33"/>
      <c r="L4105" s="33"/>
      <c r="M4105" s="33"/>
    </row>
    <row r="4106">
      <c r="A4106" s="32" t="s">
        <v>10874</v>
      </c>
      <c r="B4106" s="32" t="s">
        <v>10875</v>
      </c>
      <c r="C4106" s="35">
        <v>55.0428009</v>
      </c>
      <c r="D4106" s="35">
        <v>-7.161109924</v>
      </c>
      <c r="E4106" s="32" t="s">
        <v>90</v>
      </c>
      <c r="F4106" s="32" t="s">
        <v>10876</v>
      </c>
      <c r="G4106" s="39" t="s">
        <v>91</v>
      </c>
      <c r="H4106" s="33"/>
      <c r="I4106" s="33"/>
      <c r="J4106" s="33"/>
      <c r="K4106" s="33"/>
      <c r="L4106" s="33"/>
      <c r="M4106" s="33"/>
    </row>
    <row r="4107">
      <c r="A4107" s="32" t="s">
        <v>10877</v>
      </c>
      <c r="B4107" s="32" t="s">
        <v>10878</v>
      </c>
      <c r="C4107" s="35">
        <v>-22.23559952</v>
      </c>
      <c r="D4107" s="35">
        <v>114.0889969</v>
      </c>
      <c r="E4107" s="32" t="s">
        <v>1968</v>
      </c>
      <c r="F4107" s="32" t="s">
        <v>10879</v>
      </c>
      <c r="G4107" s="36" t="e">
        <v>#N/A</v>
      </c>
      <c r="H4107" s="33"/>
      <c r="I4107" s="33"/>
      <c r="J4107" s="33"/>
      <c r="K4107" s="33"/>
      <c r="L4107" s="33"/>
      <c r="M4107" s="33"/>
    </row>
    <row r="4108">
      <c r="A4108" s="32" t="s">
        <v>10880</v>
      </c>
      <c r="B4108" s="32" t="s">
        <v>10881</v>
      </c>
      <c r="C4108" s="35">
        <v>43.62609863</v>
      </c>
      <c r="D4108" s="35">
        <v>-72.30419922</v>
      </c>
      <c r="E4108" s="32" t="s">
        <v>180</v>
      </c>
      <c r="F4108" s="32" t="s">
        <v>1455</v>
      </c>
      <c r="G4108" s="39" t="s">
        <v>181</v>
      </c>
      <c r="H4108" s="33"/>
      <c r="I4108" s="33"/>
      <c r="J4108" s="33"/>
      <c r="K4108" s="33"/>
      <c r="L4108" s="33"/>
      <c r="M4108" s="33"/>
    </row>
    <row r="4109">
      <c r="A4109" s="32" t="s">
        <v>10882</v>
      </c>
      <c r="B4109" s="32" t="s">
        <v>10883</v>
      </c>
      <c r="C4109" s="35">
        <v>-12.4822998</v>
      </c>
      <c r="D4109" s="35">
        <v>-41.27700043</v>
      </c>
      <c r="E4109" s="32" t="s">
        <v>288</v>
      </c>
      <c r="F4109" s="32" t="s">
        <v>10884</v>
      </c>
      <c r="G4109" s="36" t="e">
        <v>#N/A</v>
      </c>
      <c r="H4109" s="33"/>
      <c r="I4109" s="33"/>
      <c r="J4109" s="33"/>
      <c r="K4109" s="33"/>
      <c r="L4109" s="33"/>
      <c r="M4109" s="33"/>
    </row>
    <row r="4110">
      <c r="A4110" s="32" t="s">
        <v>10885</v>
      </c>
      <c r="B4110" s="32" t="s">
        <v>10886</v>
      </c>
      <c r="C4110" s="35">
        <v>59.8003006</v>
      </c>
      <c r="D4110" s="35">
        <v>30.26250076</v>
      </c>
      <c r="E4110" s="32" t="s">
        <v>2040</v>
      </c>
      <c r="F4110" s="32" t="s">
        <v>3304</v>
      </c>
      <c r="G4110" s="36" t="e">
        <v>#N/A</v>
      </c>
      <c r="H4110" s="33"/>
      <c r="I4110" s="33"/>
      <c r="J4110" s="33"/>
      <c r="K4110" s="33"/>
      <c r="L4110" s="33"/>
      <c r="M4110" s="33"/>
    </row>
    <row r="4111">
      <c r="A4111" s="32" t="s">
        <v>10887</v>
      </c>
      <c r="B4111" s="32" t="s">
        <v>10888</v>
      </c>
      <c r="C4111" s="35">
        <v>28.82309914</v>
      </c>
      <c r="D4111" s="35">
        <v>-81.80870056</v>
      </c>
      <c r="E4111" s="32" t="s">
        <v>180</v>
      </c>
      <c r="F4111" s="32" t="s">
        <v>9906</v>
      </c>
      <c r="G4111" s="39" t="s">
        <v>181</v>
      </c>
      <c r="H4111" s="33"/>
      <c r="I4111" s="33"/>
      <c r="J4111" s="33"/>
      <c r="K4111" s="33"/>
      <c r="L4111" s="33"/>
      <c r="M4111" s="33"/>
    </row>
    <row r="4112">
      <c r="A4112" s="32" t="s">
        <v>10889</v>
      </c>
      <c r="B4112" s="32" t="s">
        <v>10890</v>
      </c>
      <c r="C4112" s="35">
        <v>49.53390121</v>
      </c>
      <c r="D4112" s="35">
        <v>0.088055998</v>
      </c>
      <c r="E4112" s="32" t="s">
        <v>96</v>
      </c>
      <c r="F4112" s="32" t="s">
        <v>10891</v>
      </c>
      <c r="G4112" s="39" t="s">
        <v>97</v>
      </c>
      <c r="H4112" s="33"/>
      <c r="I4112" s="33"/>
      <c r="J4112" s="33"/>
      <c r="K4112" s="33"/>
      <c r="L4112" s="33"/>
      <c r="M4112" s="33"/>
    </row>
    <row r="4113">
      <c r="A4113" s="32" t="s">
        <v>10892</v>
      </c>
      <c r="B4113" s="32" t="s">
        <v>10893</v>
      </c>
      <c r="C4113" s="35">
        <v>36.84389877</v>
      </c>
      <c r="D4113" s="35">
        <v>-2.370100021</v>
      </c>
      <c r="E4113" s="32" t="s">
        <v>115</v>
      </c>
      <c r="F4113" s="32" t="s">
        <v>10894</v>
      </c>
      <c r="G4113" s="39" t="s">
        <v>116</v>
      </c>
      <c r="H4113" s="33"/>
      <c r="I4113" s="33"/>
      <c r="J4113" s="33"/>
      <c r="K4113" s="33"/>
      <c r="L4113" s="33"/>
      <c r="M4113" s="33"/>
    </row>
    <row r="4114">
      <c r="A4114" s="32" t="s">
        <v>10895</v>
      </c>
      <c r="B4114" s="32" t="s">
        <v>10896</v>
      </c>
      <c r="C4114" s="35">
        <v>51.4238889</v>
      </c>
      <c r="D4114" s="35">
        <v>12.2363889</v>
      </c>
      <c r="E4114" s="32" t="s">
        <v>109</v>
      </c>
      <c r="F4114" s="32" t="s">
        <v>10897</v>
      </c>
      <c r="G4114" s="39" t="s">
        <v>110</v>
      </c>
      <c r="H4114" s="33"/>
      <c r="I4114" s="33"/>
      <c r="J4114" s="33"/>
      <c r="K4114" s="33"/>
      <c r="L4114" s="33"/>
      <c r="M4114" s="33"/>
    </row>
    <row r="4115">
      <c r="A4115" s="32" t="s">
        <v>10898</v>
      </c>
      <c r="B4115" s="32" t="s">
        <v>10899</v>
      </c>
      <c r="C4115" s="35">
        <v>11.32610035</v>
      </c>
      <c r="D4115" s="35">
        <v>-12.28680038</v>
      </c>
      <c r="E4115" s="32" t="s">
        <v>2970</v>
      </c>
      <c r="F4115" s="32" t="s">
        <v>10900</v>
      </c>
      <c r="G4115" s="36" t="e">
        <v>#N/A</v>
      </c>
      <c r="H4115" s="33"/>
      <c r="I4115" s="33"/>
      <c r="J4115" s="33"/>
      <c r="K4115" s="33"/>
      <c r="L4115" s="33"/>
      <c r="M4115" s="33"/>
    </row>
    <row r="4116">
      <c r="A4116" s="32" t="s">
        <v>10901</v>
      </c>
      <c r="B4116" s="32" t="s">
        <v>10902</v>
      </c>
      <c r="C4116" s="35">
        <v>-12.49890041</v>
      </c>
      <c r="D4116" s="35">
        <v>135.8059998</v>
      </c>
      <c r="E4116" s="32" t="s">
        <v>1968</v>
      </c>
      <c r="F4116" s="32" t="s">
        <v>10903</v>
      </c>
      <c r="G4116" s="36" t="e">
        <v>#N/A</v>
      </c>
      <c r="H4116" s="33"/>
      <c r="I4116" s="33"/>
      <c r="J4116" s="33"/>
      <c r="K4116" s="33"/>
      <c r="L4116" s="33"/>
      <c r="M4116" s="33"/>
    </row>
    <row r="4117">
      <c r="A4117" s="32" t="s">
        <v>10904</v>
      </c>
      <c r="B4117" s="32" t="s">
        <v>10905</v>
      </c>
      <c r="C4117" s="35">
        <v>42.5890007</v>
      </c>
      <c r="D4117" s="35">
        <v>-5.655560017</v>
      </c>
      <c r="E4117" s="32" t="s">
        <v>115</v>
      </c>
      <c r="F4117" s="32" t="s">
        <v>1263</v>
      </c>
      <c r="G4117" s="39" t="s">
        <v>116</v>
      </c>
      <c r="H4117" s="33"/>
      <c r="I4117" s="33"/>
      <c r="J4117" s="33"/>
      <c r="K4117" s="33"/>
      <c r="L4117" s="33"/>
      <c r="M4117" s="33"/>
    </row>
    <row r="4118">
      <c r="A4118" s="32" t="s">
        <v>10906</v>
      </c>
      <c r="B4118" s="32" t="s">
        <v>10907</v>
      </c>
      <c r="C4118" s="35">
        <v>50.10279846</v>
      </c>
      <c r="D4118" s="35">
        <v>-5.670559883</v>
      </c>
      <c r="E4118" s="32" t="s">
        <v>90</v>
      </c>
      <c r="F4118" s="32" t="s">
        <v>10908</v>
      </c>
      <c r="G4118" s="39" t="s">
        <v>91</v>
      </c>
      <c r="H4118" s="33"/>
      <c r="I4118" s="33"/>
      <c r="J4118" s="33"/>
      <c r="K4118" s="33"/>
      <c r="L4118" s="33"/>
      <c r="M4118" s="33"/>
    </row>
    <row r="4119">
      <c r="A4119" s="32" t="s">
        <v>10909</v>
      </c>
      <c r="B4119" s="32" t="s">
        <v>10910</v>
      </c>
      <c r="C4119" s="35">
        <v>-27.84329987</v>
      </c>
      <c r="D4119" s="35">
        <v>120.7030029</v>
      </c>
      <c r="E4119" s="32" t="s">
        <v>1968</v>
      </c>
      <c r="F4119" s="32" t="s">
        <v>10911</v>
      </c>
      <c r="G4119" s="36" t="e">
        <v>#N/A</v>
      </c>
      <c r="H4119" s="33"/>
      <c r="I4119" s="33"/>
      <c r="J4119" s="33"/>
      <c r="K4119" s="33"/>
      <c r="L4119" s="33"/>
      <c r="M4119" s="33"/>
    </row>
    <row r="4120">
      <c r="A4120" s="32" t="s">
        <v>10912</v>
      </c>
      <c r="B4120" s="32" t="s">
        <v>10913</v>
      </c>
      <c r="C4120" s="35">
        <v>-4.19355</v>
      </c>
      <c r="D4120" s="35">
        <v>-69.9432</v>
      </c>
      <c r="E4120" s="32" t="s">
        <v>292</v>
      </c>
      <c r="F4120" s="32" t="s">
        <v>10914</v>
      </c>
      <c r="G4120" s="36" t="e">
        <v>#N/A</v>
      </c>
      <c r="H4120" s="33"/>
      <c r="I4120" s="33"/>
      <c r="J4120" s="33"/>
      <c r="K4120" s="33"/>
      <c r="L4120" s="33"/>
      <c r="M4120" s="33"/>
    </row>
    <row r="4121">
      <c r="A4121" s="32" t="s">
        <v>10915</v>
      </c>
      <c r="B4121" s="32" t="s">
        <v>10916</v>
      </c>
      <c r="C4121" s="35">
        <v>42.3386</v>
      </c>
      <c r="D4121" s="35">
        <v>1.40917</v>
      </c>
      <c r="E4121" s="32" t="s">
        <v>115</v>
      </c>
      <c r="F4121" s="32" t="s">
        <v>10917</v>
      </c>
      <c r="G4121" s="39" t="s">
        <v>116</v>
      </c>
      <c r="H4121" s="33"/>
      <c r="I4121" s="33"/>
      <c r="J4121" s="33"/>
      <c r="K4121" s="33"/>
      <c r="L4121" s="33"/>
      <c r="M4121" s="33"/>
    </row>
    <row r="4122">
      <c r="A4122" s="32" t="s">
        <v>10918</v>
      </c>
      <c r="B4122" s="32" t="s">
        <v>10919</v>
      </c>
      <c r="C4122" s="35">
        <v>-17.71109962</v>
      </c>
      <c r="D4122" s="35">
        <v>178.7590027</v>
      </c>
      <c r="E4122" s="32" t="s">
        <v>9136</v>
      </c>
      <c r="F4122" s="32" t="s">
        <v>10920</v>
      </c>
      <c r="G4122" s="36" t="e">
        <v>#N/A</v>
      </c>
      <c r="H4122" s="33"/>
      <c r="I4122" s="33"/>
      <c r="J4122" s="33"/>
      <c r="K4122" s="33"/>
      <c r="L4122" s="33"/>
      <c r="M4122" s="33"/>
    </row>
    <row r="4123">
      <c r="A4123" s="32" t="s">
        <v>10921</v>
      </c>
      <c r="B4123" s="32" t="s">
        <v>10922</v>
      </c>
      <c r="C4123" s="35">
        <v>44.04850006</v>
      </c>
      <c r="D4123" s="35">
        <v>-70.28350067</v>
      </c>
      <c r="E4123" s="32" t="s">
        <v>180</v>
      </c>
      <c r="F4123" s="32" t="s">
        <v>10923</v>
      </c>
      <c r="G4123" s="39" t="s">
        <v>181</v>
      </c>
      <c r="H4123" s="33"/>
      <c r="I4123" s="33"/>
      <c r="J4123" s="33"/>
      <c r="K4123" s="33"/>
      <c r="L4123" s="33"/>
      <c r="M4123" s="33"/>
    </row>
    <row r="4124">
      <c r="A4124" s="32" t="s">
        <v>10924</v>
      </c>
      <c r="B4124" s="32" t="s">
        <v>10925</v>
      </c>
      <c r="C4124" s="35">
        <v>38.03649902</v>
      </c>
      <c r="D4124" s="35">
        <v>-84.60590363</v>
      </c>
      <c r="E4124" s="32" t="s">
        <v>180</v>
      </c>
      <c r="F4124" s="32" t="s">
        <v>10926</v>
      </c>
      <c r="G4124" s="39" t="s">
        <v>181</v>
      </c>
      <c r="H4124" s="33"/>
      <c r="I4124" s="33"/>
      <c r="J4124" s="33"/>
      <c r="K4124" s="33"/>
      <c r="L4124" s="33"/>
      <c r="M4124" s="33"/>
    </row>
    <row r="4125">
      <c r="A4125" s="32" t="s">
        <v>10927</v>
      </c>
      <c r="B4125" s="32" t="s">
        <v>10928</v>
      </c>
      <c r="C4125" s="35">
        <v>52.46030045</v>
      </c>
      <c r="D4125" s="35">
        <v>5.527219772</v>
      </c>
      <c r="E4125" s="32" t="s">
        <v>127</v>
      </c>
      <c r="F4125" s="32" t="s">
        <v>10929</v>
      </c>
      <c r="G4125" s="39" t="s">
        <v>128</v>
      </c>
      <c r="H4125" s="33"/>
      <c r="I4125" s="33"/>
      <c r="J4125" s="33"/>
      <c r="K4125" s="33"/>
      <c r="L4125" s="33"/>
      <c r="M4125" s="33"/>
    </row>
    <row r="4126">
      <c r="A4126" s="32" t="s">
        <v>10930</v>
      </c>
      <c r="B4126" s="32" t="s">
        <v>10931</v>
      </c>
      <c r="C4126" s="35">
        <v>37.082901</v>
      </c>
      <c r="D4126" s="35">
        <v>-76.36049652</v>
      </c>
      <c r="E4126" s="32" t="s">
        <v>180</v>
      </c>
      <c r="F4126" s="32" t="s">
        <v>3391</v>
      </c>
      <c r="G4126" s="39" t="s">
        <v>181</v>
      </c>
      <c r="H4126" s="33"/>
      <c r="I4126" s="33"/>
      <c r="J4126" s="33"/>
      <c r="K4126" s="33"/>
      <c r="L4126" s="33"/>
      <c r="M4126" s="33"/>
    </row>
    <row r="4127">
      <c r="A4127" s="32" t="s">
        <v>10932</v>
      </c>
      <c r="B4127" s="32" t="s">
        <v>10933</v>
      </c>
      <c r="C4127" s="35">
        <v>31.23399925</v>
      </c>
      <c r="D4127" s="35">
        <v>-94.75</v>
      </c>
      <c r="E4127" s="32" t="s">
        <v>180</v>
      </c>
      <c r="F4127" s="32" t="s">
        <v>10934</v>
      </c>
      <c r="G4127" s="39" t="s">
        <v>181</v>
      </c>
      <c r="H4127" s="33"/>
      <c r="I4127" s="33"/>
      <c r="J4127" s="33"/>
      <c r="K4127" s="33"/>
      <c r="L4127" s="33"/>
      <c r="M4127" s="33"/>
    </row>
    <row r="4128">
      <c r="A4128" s="32" t="s">
        <v>10935</v>
      </c>
      <c r="B4128" s="32" t="s">
        <v>10936</v>
      </c>
      <c r="C4128" s="35">
        <v>8.239167213</v>
      </c>
      <c r="D4128" s="35">
        <v>-72.27102661</v>
      </c>
      <c r="E4128" s="32" t="s">
        <v>315</v>
      </c>
      <c r="F4128" s="32" t="s">
        <v>10937</v>
      </c>
      <c r="G4128" s="36" t="e">
        <v>#N/A</v>
      </c>
      <c r="H4128" s="33"/>
      <c r="I4128" s="33"/>
      <c r="J4128" s="33"/>
      <c r="K4128" s="33"/>
      <c r="L4128" s="33"/>
      <c r="M4128" s="33"/>
    </row>
    <row r="4129">
      <c r="A4129" s="32" t="s">
        <v>10938</v>
      </c>
      <c r="B4129" s="32" t="s">
        <v>10939</v>
      </c>
      <c r="C4129" s="35">
        <v>30.20529938</v>
      </c>
      <c r="D4129" s="35">
        <v>-91.98760223</v>
      </c>
      <c r="E4129" s="32" t="s">
        <v>180</v>
      </c>
      <c r="F4129" s="32" t="s">
        <v>10711</v>
      </c>
      <c r="G4129" s="39" t="s">
        <v>181</v>
      </c>
      <c r="H4129" s="33"/>
      <c r="I4129" s="33"/>
      <c r="J4129" s="33"/>
      <c r="K4129" s="33"/>
      <c r="L4129" s="33"/>
      <c r="M4129" s="33"/>
    </row>
    <row r="4130">
      <c r="A4130" s="32" t="s">
        <v>10940</v>
      </c>
      <c r="B4130" s="32" t="s">
        <v>10941</v>
      </c>
      <c r="C4130" s="35">
        <v>6.165609837</v>
      </c>
      <c r="D4130" s="35">
        <v>1.254510045</v>
      </c>
      <c r="E4130" s="32" t="s">
        <v>10942</v>
      </c>
      <c r="F4130" s="32" t="s">
        <v>10943</v>
      </c>
      <c r="G4130" s="36" t="e">
        <v>#N/A</v>
      </c>
      <c r="H4130" s="33"/>
      <c r="I4130" s="33"/>
      <c r="J4130" s="33"/>
      <c r="K4130" s="33"/>
      <c r="L4130" s="33"/>
      <c r="M4130" s="33"/>
    </row>
    <row r="4131">
      <c r="A4131" s="32" t="s">
        <v>10944</v>
      </c>
      <c r="B4131" s="32" t="s">
        <v>10945</v>
      </c>
      <c r="C4131" s="35">
        <v>40.77719879</v>
      </c>
      <c r="D4131" s="35">
        <v>-73.87259674</v>
      </c>
      <c r="E4131" s="32" t="s">
        <v>180</v>
      </c>
      <c r="F4131" s="32" t="s">
        <v>2486</v>
      </c>
      <c r="G4131" s="39" t="s">
        <v>181</v>
      </c>
      <c r="H4131" s="33"/>
      <c r="I4131" s="33"/>
      <c r="J4131" s="33"/>
      <c r="K4131" s="33"/>
      <c r="L4131" s="33"/>
      <c r="M4131" s="33"/>
    </row>
    <row r="4132">
      <c r="A4132" s="32" t="s">
        <v>10946</v>
      </c>
      <c r="B4132" s="32" t="s">
        <v>10947</v>
      </c>
      <c r="C4132" s="35">
        <v>33.81769943</v>
      </c>
      <c r="D4132" s="35">
        <v>-118.1520004</v>
      </c>
      <c r="E4132" s="32" t="s">
        <v>180</v>
      </c>
      <c r="F4132" s="32" t="s">
        <v>10948</v>
      </c>
      <c r="G4132" s="39" t="s">
        <v>181</v>
      </c>
      <c r="H4132" s="33"/>
      <c r="I4132" s="33"/>
      <c r="J4132" s="33"/>
      <c r="K4132" s="33"/>
      <c r="L4132" s="33"/>
      <c r="M4132" s="33"/>
    </row>
    <row r="4133">
      <c r="A4133" s="32" t="s">
        <v>10949</v>
      </c>
      <c r="B4133" s="32" t="s">
        <v>10950</v>
      </c>
      <c r="C4133" s="35">
        <v>33.00889969</v>
      </c>
      <c r="D4133" s="35">
        <v>-85.07260132</v>
      </c>
      <c r="E4133" s="32" t="s">
        <v>180</v>
      </c>
      <c r="F4133" s="32" t="s">
        <v>10951</v>
      </c>
      <c r="G4133" s="39" t="s">
        <v>181</v>
      </c>
      <c r="H4133" s="33"/>
      <c r="I4133" s="33"/>
      <c r="J4133" s="33"/>
      <c r="K4133" s="33"/>
      <c r="L4133" s="33"/>
      <c r="M4133" s="33"/>
    </row>
    <row r="4134">
      <c r="A4134" s="32" t="s">
        <v>10952</v>
      </c>
      <c r="B4134" s="32" t="s">
        <v>10953</v>
      </c>
      <c r="C4134" s="35">
        <v>45.29019928</v>
      </c>
      <c r="D4134" s="35">
        <v>-118.0070038</v>
      </c>
      <c r="E4134" s="32" t="s">
        <v>180</v>
      </c>
      <c r="F4134" s="32" t="s">
        <v>10954</v>
      </c>
      <c r="G4134" s="39" t="s">
        <v>181</v>
      </c>
      <c r="H4134" s="33"/>
      <c r="I4134" s="33"/>
      <c r="J4134" s="33"/>
      <c r="K4134" s="33"/>
      <c r="L4134" s="33"/>
      <c r="M4134" s="33"/>
    </row>
    <row r="4135">
      <c r="A4135" s="32" t="s">
        <v>10955</v>
      </c>
      <c r="B4135" s="32" t="s">
        <v>10956</v>
      </c>
      <c r="C4135" s="35">
        <v>50.63740158</v>
      </c>
      <c r="D4135" s="35">
        <v>5.443220139</v>
      </c>
      <c r="E4135" s="32" t="s">
        <v>197</v>
      </c>
      <c r="F4135" s="32" t="s">
        <v>10957</v>
      </c>
      <c r="G4135" s="36" t="e">
        <v>#N/A</v>
      </c>
      <c r="H4135" s="33"/>
      <c r="I4135" s="33"/>
      <c r="J4135" s="33"/>
      <c r="K4135" s="33"/>
      <c r="L4135" s="33"/>
      <c r="M4135" s="33"/>
    </row>
    <row r="4136">
      <c r="A4136" s="32" t="s">
        <v>10958</v>
      </c>
      <c r="B4136" s="32" t="s">
        <v>10959</v>
      </c>
      <c r="C4136" s="35">
        <v>-30.59830093</v>
      </c>
      <c r="D4136" s="35">
        <v>138.4259949</v>
      </c>
      <c r="E4136" s="32" t="s">
        <v>1968</v>
      </c>
      <c r="F4136" s="32" t="s">
        <v>10960</v>
      </c>
      <c r="G4136" s="36" t="e">
        <v>#N/A</v>
      </c>
      <c r="H4136" s="33"/>
      <c r="I4136" s="33"/>
      <c r="J4136" s="33"/>
      <c r="K4136" s="33"/>
      <c r="L4136" s="33"/>
      <c r="M4136" s="33"/>
    </row>
    <row r="4137">
      <c r="A4137" s="32" t="s">
        <v>10961</v>
      </c>
      <c r="B4137" s="32" t="s">
        <v>10962</v>
      </c>
      <c r="C4137" s="35">
        <v>23.17900085</v>
      </c>
      <c r="D4137" s="35">
        <v>-75.09359741</v>
      </c>
      <c r="E4137" s="32" t="s">
        <v>319</v>
      </c>
      <c r="F4137" s="32" t="s">
        <v>10963</v>
      </c>
      <c r="G4137" s="36" t="e">
        <v>#N/A</v>
      </c>
      <c r="H4137" s="33"/>
      <c r="I4137" s="33"/>
      <c r="J4137" s="33"/>
      <c r="K4137" s="33"/>
      <c r="L4137" s="33"/>
      <c r="M4137" s="33"/>
    </row>
    <row r="4138">
      <c r="A4138" s="32" t="s">
        <v>10964</v>
      </c>
      <c r="B4138" s="32" t="s">
        <v>10965</v>
      </c>
      <c r="C4138" s="35">
        <v>6.329730034</v>
      </c>
      <c r="D4138" s="35">
        <v>99.72869873</v>
      </c>
      <c r="E4138" s="32" t="s">
        <v>284</v>
      </c>
      <c r="F4138" s="32" t="s">
        <v>10966</v>
      </c>
      <c r="G4138" s="36" t="e">
        <v>#N/A</v>
      </c>
      <c r="H4138" s="33"/>
      <c r="I4138" s="33"/>
      <c r="J4138" s="33"/>
      <c r="K4138" s="33"/>
      <c r="L4138" s="33"/>
      <c r="M4138" s="33"/>
    </row>
    <row r="4139">
      <c r="A4139" s="32" t="s">
        <v>10967</v>
      </c>
      <c r="B4139" s="32" t="s">
        <v>10968</v>
      </c>
      <c r="C4139" s="35">
        <v>3.421000004</v>
      </c>
      <c r="D4139" s="35">
        <v>115.1539993</v>
      </c>
      <c r="E4139" s="32" t="s">
        <v>284</v>
      </c>
      <c r="F4139" s="32" t="s">
        <v>10969</v>
      </c>
      <c r="G4139" s="36" t="e">
        <v>#N/A</v>
      </c>
      <c r="H4139" s="33"/>
      <c r="I4139" s="33"/>
      <c r="J4139" s="33"/>
      <c r="K4139" s="33"/>
      <c r="L4139" s="33"/>
      <c r="M4139" s="33"/>
    </row>
    <row r="4140">
      <c r="A4140" s="32" t="s">
        <v>10970</v>
      </c>
      <c r="B4140" s="32" t="s">
        <v>10971</v>
      </c>
      <c r="C4140" s="35">
        <v>53.74250031</v>
      </c>
      <c r="D4140" s="35">
        <v>7.497777939</v>
      </c>
      <c r="E4140" s="32" t="s">
        <v>109</v>
      </c>
      <c r="F4140" s="32" t="s">
        <v>10972</v>
      </c>
      <c r="G4140" s="39" t="s">
        <v>110</v>
      </c>
      <c r="H4140" s="33"/>
      <c r="I4140" s="33"/>
      <c r="J4140" s="33"/>
      <c r="K4140" s="33"/>
      <c r="L4140" s="33"/>
      <c r="M4140" s="33"/>
    </row>
    <row r="4141">
      <c r="A4141" s="32" t="s">
        <v>10973</v>
      </c>
      <c r="B4141" s="32" t="s">
        <v>10974</v>
      </c>
      <c r="C4141" s="35">
        <v>13.1575</v>
      </c>
      <c r="D4141" s="35">
        <v>123.735</v>
      </c>
      <c r="E4141" s="32" t="s">
        <v>270</v>
      </c>
      <c r="F4141" s="32" t="s">
        <v>10975</v>
      </c>
      <c r="G4141" s="36" t="e">
        <v>#N/A</v>
      </c>
      <c r="H4141" s="33"/>
      <c r="I4141" s="33"/>
      <c r="J4141" s="33"/>
      <c r="K4141" s="33"/>
      <c r="L4141" s="33"/>
      <c r="M4141" s="33"/>
    </row>
    <row r="4142">
      <c r="A4142" s="32" t="s">
        <v>10976</v>
      </c>
      <c r="B4142" s="32" t="s">
        <v>10977</v>
      </c>
      <c r="C4142" s="35">
        <v>-47.24380112</v>
      </c>
      <c r="D4142" s="35">
        <v>-72.58840179</v>
      </c>
      <c r="E4142" s="32" t="s">
        <v>300</v>
      </c>
      <c r="F4142" s="32" t="s">
        <v>10978</v>
      </c>
      <c r="G4142" s="36" t="e">
        <v>#N/A</v>
      </c>
      <c r="H4142" s="33"/>
      <c r="I4142" s="33"/>
      <c r="J4142" s="33"/>
      <c r="K4142" s="33"/>
      <c r="L4142" s="33"/>
      <c r="M4142" s="33"/>
    </row>
    <row r="4143">
      <c r="A4143" s="32" t="s">
        <v>10979</v>
      </c>
      <c r="B4143" s="32" t="s">
        <v>10980</v>
      </c>
      <c r="C4143" s="35">
        <v>-35.49359894</v>
      </c>
      <c r="D4143" s="35">
        <v>-69.57430267</v>
      </c>
      <c r="E4143" s="32" t="s">
        <v>296</v>
      </c>
      <c r="F4143" s="32" t="s">
        <v>10981</v>
      </c>
      <c r="G4143" s="36" t="e">
        <v>#N/A</v>
      </c>
      <c r="H4143" s="33"/>
      <c r="I4143" s="33"/>
      <c r="J4143" s="33"/>
      <c r="K4143" s="33"/>
      <c r="L4143" s="33"/>
      <c r="M4143" s="33"/>
    </row>
    <row r="4144">
      <c r="A4144" s="32" t="s">
        <v>10982</v>
      </c>
      <c r="B4144" s="32" t="s">
        <v>10983</v>
      </c>
      <c r="C4144" s="35">
        <v>41.79119873</v>
      </c>
      <c r="D4144" s="35">
        <v>-111.8519974</v>
      </c>
      <c r="E4144" s="32" t="s">
        <v>180</v>
      </c>
      <c r="F4144" s="32" t="s">
        <v>10984</v>
      </c>
      <c r="G4144" s="39" t="s">
        <v>181</v>
      </c>
      <c r="H4144" s="33"/>
      <c r="I4144" s="33"/>
      <c r="J4144" s="33"/>
      <c r="K4144" s="33"/>
      <c r="L4144" s="33"/>
      <c r="M4144" s="33"/>
    </row>
    <row r="4145">
      <c r="A4145" s="32" t="s">
        <v>10985</v>
      </c>
      <c r="B4145" s="32" t="s">
        <v>10986</v>
      </c>
      <c r="C4145" s="35">
        <v>51.14810181</v>
      </c>
      <c r="D4145" s="35">
        <v>-0.190277994</v>
      </c>
      <c r="E4145" s="32" t="s">
        <v>90</v>
      </c>
      <c r="F4145" s="32" t="s">
        <v>2298</v>
      </c>
      <c r="G4145" s="39" t="s">
        <v>91</v>
      </c>
      <c r="H4145" s="33"/>
      <c r="I4145" s="33"/>
      <c r="J4145" s="33"/>
      <c r="K4145" s="33"/>
      <c r="L4145" s="33"/>
      <c r="M4145" s="33"/>
    </row>
    <row r="4146">
      <c r="A4146" s="32" t="s">
        <v>10987</v>
      </c>
      <c r="B4146" s="32" t="s">
        <v>10988</v>
      </c>
      <c r="C4146" s="35">
        <v>48.36930084</v>
      </c>
      <c r="D4146" s="35">
        <v>7.827720165</v>
      </c>
      <c r="E4146" s="32" t="s">
        <v>109</v>
      </c>
      <c r="F4146" s="32" t="s">
        <v>10989</v>
      </c>
      <c r="G4146" s="39" t="s">
        <v>110</v>
      </c>
      <c r="H4146" s="33"/>
      <c r="I4146" s="33"/>
      <c r="J4146" s="33"/>
      <c r="K4146" s="33"/>
      <c r="L4146" s="33"/>
      <c r="M4146" s="33"/>
    </row>
    <row r="4147">
      <c r="A4147" s="32" t="s">
        <v>10990</v>
      </c>
      <c r="B4147" s="32" t="s">
        <v>10991</v>
      </c>
      <c r="C4147" s="35">
        <v>-3.916860104</v>
      </c>
      <c r="D4147" s="35">
        <v>-70.5082016</v>
      </c>
      <c r="E4147" s="32" t="s">
        <v>307</v>
      </c>
      <c r="F4147" s="32" t="s">
        <v>10992</v>
      </c>
      <c r="G4147" s="36" t="e">
        <v>#N/A</v>
      </c>
      <c r="H4147" s="33"/>
      <c r="I4147" s="33"/>
      <c r="J4147" s="33"/>
      <c r="K4147" s="33"/>
      <c r="L4147" s="33"/>
      <c r="M4147" s="33"/>
    </row>
    <row r="4148">
      <c r="A4148" s="32" t="s">
        <v>10993</v>
      </c>
      <c r="B4148" s="32" t="s">
        <v>10994</v>
      </c>
      <c r="C4148" s="35">
        <v>61.18000031</v>
      </c>
      <c r="D4148" s="35">
        <v>-149.9720001</v>
      </c>
      <c r="E4148" s="32" t="s">
        <v>180</v>
      </c>
      <c r="F4148" s="32" t="s">
        <v>3952</v>
      </c>
      <c r="G4148" s="39" t="s">
        <v>181</v>
      </c>
      <c r="H4148" s="33"/>
      <c r="I4148" s="33"/>
      <c r="J4148" s="33"/>
      <c r="K4148" s="33"/>
      <c r="L4148" s="33"/>
      <c r="M4148" s="33"/>
    </row>
    <row r="4149">
      <c r="A4149" s="32" t="s">
        <v>10995</v>
      </c>
      <c r="B4149" s="32" t="s">
        <v>10996</v>
      </c>
      <c r="C4149" s="35">
        <v>31.52160072</v>
      </c>
      <c r="D4149" s="35">
        <v>74.4036026</v>
      </c>
      <c r="E4149" s="32" t="s">
        <v>1470</v>
      </c>
      <c r="F4149" s="32" t="s">
        <v>1475</v>
      </c>
      <c r="G4149" s="36" t="e">
        <v>#N/A</v>
      </c>
      <c r="H4149" s="33"/>
      <c r="I4149" s="33"/>
      <c r="J4149" s="33"/>
      <c r="K4149" s="33"/>
      <c r="L4149" s="33"/>
      <c r="M4149" s="33"/>
    </row>
    <row r="4150">
      <c r="A4150" s="32" t="s">
        <v>10997</v>
      </c>
      <c r="B4150" s="32" t="s">
        <v>10998</v>
      </c>
      <c r="C4150" s="35">
        <v>-29.45669937</v>
      </c>
      <c r="D4150" s="35">
        <v>147.9839935</v>
      </c>
      <c r="E4150" s="32" t="s">
        <v>1968</v>
      </c>
      <c r="F4150" s="32" t="s">
        <v>10999</v>
      </c>
      <c r="G4150" s="36" t="e">
        <v>#N/A</v>
      </c>
      <c r="H4150" s="33"/>
      <c r="I4150" s="33"/>
      <c r="J4150" s="33"/>
      <c r="K4150" s="33"/>
      <c r="L4150" s="33"/>
      <c r="M4150" s="33"/>
    </row>
    <row r="4151">
      <c r="A4151" s="32" t="s">
        <v>11000</v>
      </c>
      <c r="B4151" s="32" t="s">
        <v>11001</v>
      </c>
      <c r="C4151" s="35">
        <v>32.38940048</v>
      </c>
      <c r="D4151" s="35">
        <v>111.6949997</v>
      </c>
      <c r="E4151" s="32" t="s">
        <v>205</v>
      </c>
      <c r="F4151" s="32" t="s">
        <v>11002</v>
      </c>
      <c r="G4151" s="39" t="s">
        <v>206</v>
      </c>
      <c r="H4151" s="33"/>
      <c r="I4151" s="33"/>
      <c r="J4151" s="33"/>
      <c r="K4151" s="33"/>
      <c r="L4151" s="33"/>
      <c r="M4151" s="33"/>
    </row>
    <row r="4152">
      <c r="A4152" s="32" t="s">
        <v>11003</v>
      </c>
      <c r="B4152" s="32" t="s">
        <v>11004</v>
      </c>
      <c r="C4152" s="35">
        <v>38.90919876</v>
      </c>
      <c r="D4152" s="35">
        <v>-121.3509979</v>
      </c>
      <c r="E4152" s="32" t="s">
        <v>180</v>
      </c>
      <c r="F4152" s="32" t="s">
        <v>11005</v>
      </c>
      <c r="G4152" s="39" t="s">
        <v>181</v>
      </c>
      <c r="H4152" s="33"/>
      <c r="I4152" s="33"/>
      <c r="J4152" s="33"/>
      <c r="K4152" s="33"/>
      <c r="L4152" s="33"/>
      <c r="M4152" s="33"/>
    </row>
    <row r="4153">
      <c r="A4153" s="32" t="s">
        <v>11006</v>
      </c>
      <c r="B4153" s="32" t="s">
        <v>11007</v>
      </c>
      <c r="C4153" s="35">
        <v>51.4706</v>
      </c>
      <c r="D4153" s="35">
        <v>-0.461941</v>
      </c>
      <c r="E4153" s="32" t="s">
        <v>90</v>
      </c>
      <c r="F4153" s="32" t="s">
        <v>2298</v>
      </c>
      <c r="G4153" s="39" t="s">
        <v>91</v>
      </c>
      <c r="H4153" s="33"/>
      <c r="I4153" s="33"/>
      <c r="J4153" s="33"/>
      <c r="K4153" s="33"/>
      <c r="L4153" s="33"/>
      <c r="M4153" s="33"/>
    </row>
    <row r="4154">
      <c r="A4154" s="32" t="s">
        <v>11008</v>
      </c>
      <c r="B4154" s="32" t="s">
        <v>11009</v>
      </c>
      <c r="C4154" s="35">
        <v>-46.53829956</v>
      </c>
      <c r="D4154" s="35">
        <v>-68.96530151</v>
      </c>
      <c r="E4154" s="32" t="s">
        <v>296</v>
      </c>
      <c r="F4154" s="32" t="s">
        <v>11010</v>
      </c>
      <c r="G4154" s="36" t="e">
        <v>#N/A</v>
      </c>
      <c r="H4154" s="33"/>
      <c r="I4154" s="33"/>
      <c r="J4154" s="33"/>
      <c r="K4154" s="33"/>
      <c r="L4154" s="33"/>
      <c r="M4154" s="33"/>
    </row>
    <row r="4155">
      <c r="A4155" s="32" t="s">
        <v>11011</v>
      </c>
      <c r="B4155" s="32" t="s">
        <v>11012</v>
      </c>
      <c r="C4155" s="35">
        <v>41.13560104</v>
      </c>
      <c r="D4155" s="35">
        <v>-77.42230225</v>
      </c>
      <c r="E4155" s="32" t="s">
        <v>180</v>
      </c>
      <c r="F4155" s="32" t="s">
        <v>11013</v>
      </c>
      <c r="G4155" s="39" t="s">
        <v>181</v>
      </c>
      <c r="H4155" s="33"/>
      <c r="I4155" s="33"/>
      <c r="J4155" s="33"/>
      <c r="K4155" s="33"/>
      <c r="L4155" s="33"/>
      <c r="M4155" s="33"/>
    </row>
    <row r="4156">
      <c r="A4156" s="32" t="s">
        <v>11014</v>
      </c>
      <c r="B4156" s="32" t="s">
        <v>11015</v>
      </c>
      <c r="C4156" s="35">
        <v>36.51520157</v>
      </c>
      <c r="D4156" s="35">
        <v>103.6200027</v>
      </c>
      <c r="E4156" s="32" t="s">
        <v>205</v>
      </c>
      <c r="F4156" s="32" t="s">
        <v>2058</v>
      </c>
      <c r="G4156" s="39" t="s">
        <v>206</v>
      </c>
      <c r="H4156" s="33"/>
      <c r="I4156" s="33"/>
      <c r="J4156" s="33"/>
      <c r="K4156" s="33"/>
      <c r="L4156" s="33"/>
      <c r="M4156" s="33"/>
    </row>
    <row r="4157">
      <c r="A4157" s="32" t="s">
        <v>11016</v>
      </c>
      <c r="B4157" s="32" t="s">
        <v>11017</v>
      </c>
      <c r="C4157" s="35">
        <v>38.04970169</v>
      </c>
      <c r="D4157" s="35">
        <v>-103.5090027</v>
      </c>
      <c r="E4157" s="32" t="s">
        <v>180</v>
      </c>
      <c r="F4157" s="32" t="s">
        <v>11018</v>
      </c>
      <c r="G4157" s="39" t="s">
        <v>181</v>
      </c>
      <c r="H4157" s="33"/>
      <c r="I4157" s="33"/>
      <c r="J4157" s="33"/>
      <c r="K4157" s="33"/>
      <c r="L4157" s="33"/>
      <c r="M4157" s="33"/>
    </row>
    <row r="4158">
      <c r="A4158" s="32" t="s">
        <v>11019</v>
      </c>
      <c r="B4158" s="32" t="s">
        <v>11020</v>
      </c>
      <c r="C4158" s="35">
        <v>52.16609955</v>
      </c>
      <c r="D4158" s="35">
        <v>4.41794014</v>
      </c>
      <c r="E4158" s="32" t="s">
        <v>127</v>
      </c>
      <c r="F4158" s="32" t="s">
        <v>11021</v>
      </c>
      <c r="G4158" s="39" t="s">
        <v>128</v>
      </c>
      <c r="H4158" s="33"/>
      <c r="I4158" s="33"/>
      <c r="J4158" s="33"/>
      <c r="K4158" s="33"/>
      <c r="L4158" s="33"/>
      <c r="M4158" s="33"/>
    </row>
    <row r="4159">
      <c r="A4159" s="32" t="s">
        <v>11022</v>
      </c>
      <c r="B4159" s="32" t="s">
        <v>11023</v>
      </c>
      <c r="C4159" s="35">
        <v>-20.77479935</v>
      </c>
      <c r="D4159" s="35">
        <v>167.2400055</v>
      </c>
      <c r="E4159" s="32" t="s">
        <v>5002</v>
      </c>
      <c r="F4159" s="32" t="s">
        <v>11024</v>
      </c>
      <c r="G4159" s="36" t="e">
        <v>#N/A</v>
      </c>
      <c r="H4159" s="33"/>
      <c r="I4159" s="33"/>
      <c r="J4159" s="33"/>
      <c r="K4159" s="33"/>
      <c r="L4159" s="33"/>
      <c r="M4159" s="33"/>
    </row>
    <row r="4160">
      <c r="A4160" s="32" t="s">
        <v>11025</v>
      </c>
      <c r="B4160" s="32" t="s">
        <v>11026</v>
      </c>
      <c r="C4160" s="35">
        <v>45.8628006</v>
      </c>
      <c r="D4160" s="35">
        <v>1.179440022</v>
      </c>
      <c r="E4160" s="32" t="s">
        <v>96</v>
      </c>
      <c r="F4160" s="32" t="s">
        <v>11027</v>
      </c>
      <c r="G4160" s="39" t="s">
        <v>97</v>
      </c>
      <c r="H4160" s="33"/>
      <c r="I4160" s="33"/>
      <c r="J4160" s="33"/>
      <c r="K4160" s="33"/>
      <c r="L4160" s="33"/>
      <c r="M4160" s="33"/>
    </row>
    <row r="4161">
      <c r="A4161" s="32" t="s">
        <v>11028</v>
      </c>
      <c r="B4161" s="32" t="s">
        <v>11029</v>
      </c>
      <c r="C4161" s="35">
        <v>21.97599983</v>
      </c>
      <c r="D4161" s="35">
        <v>-159.3390045</v>
      </c>
      <c r="E4161" s="32" t="s">
        <v>180</v>
      </c>
      <c r="F4161" s="32" t="s">
        <v>11030</v>
      </c>
      <c r="G4161" s="39" t="s">
        <v>181</v>
      </c>
      <c r="H4161" s="33"/>
      <c r="I4161" s="33"/>
      <c r="J4161" s="33"/>
      <c r="K4161" s="33"/>
      <c r="L4161" s="33"/>
      <c r="M4161" s="33"/>
    </row>
    <row r="4162">
      <c r="A4162" s="32" t="s">
        <v>11031</v>
      </c>
      <c r="B4162" s="32" t="s">
        <v>11032</v>
      </c>
      <c r="C4162" s="35">
        <v>-3.7018</v>
      </c>
      <c r="D4162" s="35">
        <v>137.957</v>
      </c>
      <c r="E4162" s="32" t="s">
        <v>280</v>
      </c>
      <c r="F4162" s="32" t="s">
        <v>11033</v>
      </c>
      <c r="G4162" s="36" t="e">
        <v>#N/A</v>
      </c>
      <c r="H4162" s="33"/>
      <c r="I4162" s="33"/>
      <c r="J4162" s="33"/>
      <c r="K4162" s="33"/>
      <c r="L4162" s="33"/>
      <c r="M4162" s="33"/>
    </row>
    <row r="4163">
      <c r="A4163" s="32" t="s">
        <v>11034</v>
      </c>
      <c r="B4163" s="32" t="s">
        <v>11035</v>
      </c>
      <c r="C4163" s="35">
        <v>50.563332</v>
      </c>
      <c r="D4163" s="35">
        <v>3.086886</v>
      </c>
      <c r="E4163" s="32" t="s">
        <v>96</v>
      </c>
      <c r="F4163" s="32" t="s">
        <v>11036</v>
      </c>
      <c r="G4163" s="39" t="s">
        <v>97</v>
      </c>
      <c r="H4163" s="33"/>
      <c r="I4163" s="33"/>
      <c r="J4163" s="33"/>
      <c r="K4163" s="33"/>
      <c r="L4163" s="33"/>
      <c r="M4163" s="33"/>
    </row>
    <row r="4164">
      <c r="A4164" s="32" t="s">
        <v>11037</v>
      </c>
      <c r="B4164" s="32" t="s">
        <v>11038</v>
      </c>
      <c r="C4164" s="35">
        <v>-12.0219</v>
      </c>
      <c r="D4164" s="35">
        <v>-77.114304</v>
      </c>
      <c r="E4164" s="32" t="s">
        <v>307</v>
      </c>
      <c r="F4164" s="32" t="s">
        <v>4008</v>
      </c>
      <c r="G4164" s="36" t="e">
        <v>#N/A</v>
      </c>
      <c r="H4164" s="33"/>
      <c r="I4164" s="33"/>
      <c r="J4164" s="33"/>
      <c r="K4164" s="33"/>
      <c r="L4164" s="33"/>
      <c r="M4164" s="33"/>
    </row>
    <row r="4165">
      <c r="A4165" s="32" t="s">
        <v>11039</v>
      </c>
      <c r="B4165" s="32" t="s">
        <v>11040</v>
      </c>
      <c r="C4165" s="35">
        <v>45.445099</v>
      </c>
      <c r="D4165" s="35">
        <v>9.27674</v>
      </c>
      <c r="E4165" s="32" t="s">
        <v>103</v>
      </c>
      <c r="F4165" s="32" t="s">
        <v>11041</v>
      </c>
      <c r="G4165" s="39" t="s">
        <v>104</v>
      </c>
      <c r="H4165" s="33"/>
      <c r="I4165" s="33"/>
      <c r="J4165" s="33"/>
      <c r="K4165" s="33"/>
      <c r="L4165" s="33"/>
      <c r="M4165" s="33"/>
    </row>
    <row r="4166">
      <c r="A4166" s="32" t="s">
        <v>11042</v>
      </c>
      <c r="B4166" s="32" t="s">
        <v>11043</v>
      </c>
      <c r="C4166" s="35">
        <v>9.957960129</v>
      </c>
      <c r="D4166" s="35">
        <v>-83.02200317</v>
      </c>
      <c r="E4166" s="32" t="s">
        <v>1267</v>
      </c>
      <c r="F4166" s="32" t="s">
        <v>11044</v>
      </c>
      <c r="G4166" s="36" t="e">
        <v>#N/A</v>
      </c>
      <c r="H4166" s="33"/>
      <c r="I4166" s="33"/>
      <c r="J4166" s="33"/>
      <c r="K4166" s="33"/>
      <c r="L4166" s="33"/>
      <c r="M4166" s="33"/>
    </row>
    <row r="4167">
      <c r="A4167" s="32" t="s">
        <v>11045</v>
      </c>
      <c r="B4167" s="32" t="s">
        <v>11046</v>
      </c>
      <c r="C4167" s="35">
        <v>-21.66399956</v>
      </c>
      <c r="D4167" s="35">
        <v>-49.73049927</v>
      </c>
      <c r="E4167" s="32" t="s">
        <v>288</v>
      </c>
      <c r="F4167" s="32" t="s">
        <v>11047</v>
      </c>
      <c r="G4167" s="36" t="e">
        <v>#N/A</v>
      </c>
      <c r="H4167" s="33"/>
      <c r="I4167" s="33"/>
      <c r="J4167" s="33"/>
      <c r="K4167" s="33"/>
      <c r="L4167" s="33"/>
      <c r="M4167" s="33"/>
    </row>
    <row r="4168">
      <c r="A4168" s="32" t="s">
        <v>11048</v>
      </c>
      <c r="B4168" s="32" t="s">
        <v>11049</v>
      </c>
      <c r="C4168" s="35">
        <v>2.170660019</v>
      </c>
      <c r="D4168" s="35">
        <v>21.49690056</v>
      </c>
      <c r="E4168" s="32" t="s">
        <v>800</v>
      </c>
      <c r="F4168" s="32" t="s">
        <v>11050</v>
      </c>
      <c r="G4168" s="36" t="e">
        <v>#N/A</v>
      </c>
      <c r="H4168" s="33"/>
      <c r="I4168" s="33"/>
      <c r="J4168" s="33"/>
      <c r="K4168" s="33"/>
      <c r="L4168" s="33"/>
      <c r="M4168" s="33"/>
    </row>
    <row r="4169">
      <c r="A4169" s="32" t="s">
        <v>11051</v>
      </c>
      <c r="B4169" s="32" t="s">
        <v>11052</v>
      </c>
      <c r="C4169" s="35">
        <v>10.59329987</v>
      </c>
      <c r="D4169" s="35">
        <v>-85.54440308</v>
      </c>
      <c r="E4169" s="32" t="s">
        <v>1267</v>
      </c>
      <c r="F4169" s="32" t="s">
        <v>6163</v>
      </c>
      <c r="G4169" s="36" t="e">
        <v>#N/A</v>
      </c>
      <c r="H4169" s="33"/>
      <c r="I4169" s="33"/>
      <c r="J4169" s="33"/>
      <c r="K4169" s="33"/>
      <c r="L4169" s="33"/>
      <c r="M4169" s="33"/>
    </row>
    <row r="4170">
      <c r="A4170" s="32" t="s">
        <v>11053</v>
      </c>
      <c r="B4170" s="32" t="s">
        <v>11054</v>
      </c>
      <c r="C4170" s="35">
        <v>38.78129959</v>
      </c>
      <c r="D4170" s="35">
        <v>-9.135919571</v>
      </c>
      <c r="E4170" s="32" t="s">
        <v>121</v>
      </c>
      <c r="F4170" s="32" t="s">
        <v>11055</v>
      </c>
      <c r="G4170" s="39" t="s">
        <v>122</v>
      </c>
      <c r="H4170" s="33"/>
      <c r="I4170" s="33"/>
      <c r="J4170" s="33"/>
      <c r="K4170" s="33"/>
      <c r="L4170" s="33"/>
      <c r="M4170" s="33"/>
    </row>
    <row r="4171">
      <c r="A4171" s="32" t="s">
        <v>11056</v>
      </c>
      <c r="B4171" s="32" t="s">
        <v>11057</v>
      </c>
      <c r="C4171" s="35">
        <v>34.72940063</v>
      </c>
      <c r="D4171" s="35">
        <v>-92.22429657</v>
      </c>
      <c r="E4171" s="32" t="s">
        <v>180</v>
      </c>
      <c r="F4171" s="32" t="s">
        <v>11058</v>
      </c>
      <c r="G4171" s="39" t="s">
        <v>181</v>
      </c>
      <c r="H4171" s="33"/>
      <c r="I4171" s="33"/>
      <c r="J4171" s="33"/>
      <c r="K4171" s="33"/>
      <c r="L4171" s="33"/>
      <c r="M4171" s="33"/>
    </row>
    <row r="4172">
      <c r="A4172" s="32" t="s">
        <v>11059</v>
      </c>
      <c r="B4172" s="32" t="s">
        <v>11060</v>
      </c>
      <c r="C4172" s="35">
        <v>19.69149971</v>
      </c>
      <c r="D4172" s="35">
        <v>97.21479797</v>
      </c>
      <c r="E4172" s="32" t="s">
        <v>1918</v>
      </c>
      <c r="F4172" s="32" t="s">
        <v>11061</v>
      </c>
      <c r="G4172" s="36" t="e">
        <v>#N/A</v>
      </c>
      <c r="H4172" s="33"/>
      <c r="I4172" s="33"/>
      <c r="J4172" s="33"/>
      <c r="K4172" s="33"/>
      <c r="L4172" s="33"/>
      <c r="M4172" s="33"/>
    </row>
    <row r="4173">
      <c r="A4173" s="32" t="s">
        <v>11062</v>
      </c>
      <c r="B4173" s="32" t="s">
        <v>11063</v>
      </c>
      <c r="C4173" s="35">
        <v>-12.08300018</v>
      </c>
      <c r="D4173" s="35">
        <v>34.73300171</v>
      </c>
      <c r="E4173" s="32" t="s">
        <v>794</v>
      </c>
      <c r="F4173" s="32" t="s">
        <v>11064</v>
      </c>
      <c r="G4173" s="36" t="e">
        <v>#N/A</v>
      </c>
      <c r="H4173" s="33"/>
      <c r="I4173" s="33"/>
      <c r="J4173" s="33"/>
      <c r="K4173" s="33"/>
      <c r="L4173" s="33"/>
      <c r="M4173" s="33"/>
    </row>
    <row r="4174">
      <c r="A4174" s="32" t="s">
        <v>11065</v>
      </c>
      <c r="B4174" s="32" t="s">
        <v>11066</v>
      </c>
      <c r="C4174" s="35">
        <v>-3.417000055</v>
      </c>
      <c r="D4174" s="35">
        <v>23.45000076</v>
      </c>
      <c r="E4174" s="32" t="s">
        <v>800</v>
      </c>
      <c r="F4174" s="32" t="s">
        <v>11067</v>
      </c>
      <c r="G4174" s="36" t="e">
        <v>#N/A</v>
      </c>
      <c r="H4174" s="33"/>
      <c r="I4174" s="33"/>
      <c r="J4174" s="33"/>
      <c r="K4174" s="33"/>
      <c r="L4174" s="33"/>
      <c r="M4174" s="33"/>
    </row>
    <row r="4175">
      <c r="A4175" s="32" t="s">
        <v>11068</v>
      </c>
      <c r="B4175" s="32" t="s">
        <v>11069</v>
      </c>
      <c r="C4175" s="35">
        <v>26.68000031</v>
      </c>
      <c r="D4175" s="35">
        <v>100.2460022</v>
      </c>
      <c r="E4175" s="32" t="s">
        <v>205</v>
      </c>
      <c r="F4175" s="32" t="s">
        <v>11070</v>
      </c>
      <c r="G4175" s="39" t="s">
        <v>206</v>
      </c>
      <c r="H4175" s="33"/>
      <c r="I4175" s="33"/>
      <c r="J4175" s="33"/>
      <c r="K4175" s="33"/>
      <c r="L4175" s="33"/>
      <c r="M4175" s="33"/>
    </row>
    <row r="4176">
      <c r="A4176" s="32" t="s">
        <v>11071</v>
      </c>
      <c r="B4176" s="32" t="s">
        <v>11072</v>
      </c>
      <c r="C4176" s="35">
        <v>46.223701</v>
      </c>
      <c r="D4176" s="35">
        <v>14.4576</v>
      </c>
      <c r="E4176" s="32" t="s">
        <v>1099</v>
      </c>
      <c r="F4176" s="32" t="s">
        <v>11073</v>
      </c>
      <c r="G4176" s="36" t="e">
        <v>#N/A</v>
      </c>
      <c r="H4176" s="33"/>
      <c r="I4176" s="33"/>
      <c r="J4176" s="33"/>
      <c r="K4176" s="33"/>
      <c r="L4176" s="33"/>
      <c r="M4176" s="33"/>
    </row>
    <row r="4177">
      <c r="A4177" s="32" t="s">
        <v>11074</v>
      </c>
      <c r="B4177" s="32" t="s">
        <v>11075</v>
      </c>
      <c r="C4177" s="35">
        <v>-18.19919968</v>
      </c>
      <c r="D4177" s="35">
        <v>-178.8170013</v>
      </c>
      <c r="E4177" s="32" t="s">
        <v>9136</v>
      </c>
      <c r="F4177" s="32" t="s">
        <v>11076</v>
      </c>
      <c r="G4177" s="36" t="e">
        <v>#N/A</v>
      </c>
      <c r="H4177" s="33"/>
      <c r="I4177" s="33"/>
      <c r="J4177" s="33"/>
      <c r="K4177" s="33"/>
      <c r="L4177" s="33"/>
      <c r="M4177" s="33"/>
    </row>
    <row r="4178">
      <c r="A4178" s="32" t="s">
        <v>11077</v>
      </c>
      <c r="B4178" s="32" t="s">
        <v>11078</v>
      </c>
      <c r="C4178" s="35">
        <v>4.204120159</v>
      </c>
      <c r="D4178" s="35">
        <v>34.34820175</v>
      </c>
      <c r="E4178" s="32" t="s">
        <v>21</v>
      </c>
      <c r="F4178" s="32" t="s">
        <v>11079</v>
      </c>
      <c r="G4178" s="36" t="e">
        <v>#N/A</v>
      </c>
      <c r="H4178" s="33"/>
      <c r="I4178" s="33"/>
      <c r="J4178" s="33"/>
      <c r="K4178" s="33"/>
      <c r="L4178" s="33"/>
      <c r="M4178" s="33"/>
    </row>
    <row r="4179">
      <c r="A4179" s="32" t="s">
        <v>11080</v>
      </c>
      <c r="B4179" s="32" t="s">
        <v>11081</v>
      </c>
      <c r="C4179" s="35">
        <v>3.299999952</v>
      </c>
      <c r="D4179" s="35">
        <v>114.7829971</v>
      </c>
      <c r="E4179" s="32" t="s">
        <v>284</v>
      </c>
      <c r="F4179" s="32" t="s">
        <v>11082</v>
      </c>
      <c r="G4179" s="36" t="e">
        <v>#N/A</v>
      </c>
      <c r="H4179" s="33"/>
      <c r="I4179" s="33"/>
      <c r="J4179" s="33"/>
      <c r="K4179" s="33"/>
      <c r="L4179" s="33"/>
      <c r="M4179" s="33"/>
    </row>
    <row r="4180">
      <c r="A4180" s="32" t="s">
        <v>11083</v>
      </c>
      <c r="B4180" s="32" t="s">
        <v>11084</v>
      </c>
      <c r="C4180" s="35">
        <v>70.06880188</v>
      </c>
      <c r="D4180" s="35">
        <v>24.9734993</v>
      </c>
      <c r="E4180" s="32" t="s">
        <v>343</v>
      </c>
      <c r="F4180" s="32" t="s">
        <v>11085</v>
      </c>
      <c r="G4180" s="36" t="e">
        <v>#N/A</v>
      </c>
      <c r="H4180" s="33"/>
      <c r="I4180" s="33"/>
      <c r="J4180" s="33"/>
      <c r="K4180" s="33"/>
      <c r="L4180" s="33"/>
      <c r="M4180" s="33"/>
    </row>
    <row r="4181">
      <c r="A4181" s="32" t="s">
        <v>11086</v>
      </c>
      <c r="B4181" s="32" t="s">
        <v>11087</v>
      </c>
      <c r="C4181" s="35">
        <v>68.15249634</v>
      </c>
      <c r="D4181" s="35">
        <v>13.6093998</v>
      </c>
      <c r="E4181" s="32" t="s">
        <v>343</v>
      </c>
      <c r="F4181" s="32" t="s">
        <v>11088</v>
      </c>
      <c r="G4181" s="36" t="e">
        <v>#N/A</v>
      </c>
      <c r="H4181" s="33"/>
      <c r="I4181" s="33"/>
      <c r="J4181" s="33"/>
      <c r="K4181" s="33"/>
      <c r="L4181" s="33"/>
      <c r="M4181" s="33"/>
    </row>
    <row r="4182">
      <c r="A4182" s="32" t="s">
        <v>11089</v>
      </c>
      <c r="B4182" s="32" t="s">
        <v>11090</v>
      </c>
      <c r="C4182" s="35">
        <v>26.76059914</v>
      </c>
      <c r="D4182" s="35">
        <v>80.88929749</v>
      </c>
      <c r="E4182" s="32" t="s">
        <v>217</v>
      </c>
      <c r="F4182" s="32" t="s">
        <v>11091</v>
      </c>
      <c r="G4182" s="39" t="s">
        <v>218</v>
      </c>
      <c r="H4182" s="33"/>
      <c r="I4182" s="33"/>
      <c r="J4182" s="33"/>
      <c r="K4182" s="33"/>
      <c r="L4182" s="33"/>
      <c r="M4182" s="33"/>
    </row>
    <row r="4183">
      <c r="A4183" s="32" t="s">
        <v>11092</v>
      </c>
      <c r="B4183" s="32" t="s">
        <v>11093</v>
      </c>
      <c r="C4183" s="35">
        <v>44.26449966</v>
      </c>
      <c r="D4183" s="35">
        <v>-73.9618988</v>
      </c>
      <c r="E4183" s="32" t="s">
        <v>180</v>
      </c>
      <c r="F4183" s="32" t="s">
        <v>11094</v>
      </c>
      <c r="G4183" s="39" t="s">
        <v>181</v>
      </c>
      <c r="H4183" s="33"/>
      <c r="I4183" s="33"/>
      <c r="J4183" s="33"/>
      <c r="K4183" s="33"/>
      <c r="L4183" s="33"/>
      <c r="M4183" s="33"/>
    </row>
    <row r="4184">
      <c r="A4184" s="32" t="s">
        <v>11095</v>
      </c>
      <c r="B4184" s="32" t="s">
        <v>11096</v>
      </c>
      <c r="C4184" s="35">
        <v>50.3246994</v>
      </c>
      <c r="D4184" s="35">
        <v>14.25889969</v>
      </c>
      <c r="E4184" s="32" t="s">
        <v>1104</v>
      </c>
      <c r="F4184" s="32" t="s">
        <v>11097</v>
      </c>
      <c r="G4184" s="36" t="e">
        <v>#N/A</v>
      </c>
      <c r="H4184" s="33"/>
      <c r="I4184" s="33"/>
      <c r="J4184" s="33"/>
      <c r="K4184" s="33"/>
      <c r="L4184" s="33"/>
      <c r="M4184" s="33"/>
    </row>
    <row r="4185">
      <c r="A4185" s="32" t="s">
        <v>11098</v>
      </c>
      <c r="B4185" s="32" t="s">
        <v>11099</v>
      </c>
      <c r="C4185" s="35">
        <v>-3.37631011</v>
      </c>
      <c r="D4185" s="35">
        <v>35.81829834</v>
      </c>
      <c r="E4185" s="32" t="s">
        <v>2937</v>
      </c>
      <c r="F4185" s="32" t="s">
        <v>11100</v>
      </c>
      <c r="G4185" s="36" t="e">
        <v>#N/A</v>
      </c>
      <c r="H4185" s="33"/>
      <c r="I4185" s="33"/>
      <c r="J4185" s="33"/>
      <c r="K4185" s="33"/>
      <c r="L4185" s="33"/>
      <c r="M4185" s="33"/>
    </row>
    <row r="4186">
      <c r="A4186" s="32" t="s">
        <v>11101</v>
      </c>
      <c r="B4186" s="32" t="s">
        <v>11102</v>
      </c>
      <c r="C4186" s="35">
        <v>65.54380035</v>
      </c>
      <c r="D4186" s="35">
        <v>22.12199974</v>
      </c>
      <c r="E4186" s="32" t="s">
        <v>347</v>
      </c>
      <c r="F4186" s="32" t="s">
        <v>11103</v>
      </c>
      <c r="G4186" s="36" t="e">
        <v>#N/A</v>
      </c>
      <c r="H4186" s="33"/>
      <c r="I4186" s="33"/>
      <c r="J4186" s="33"/>
      <c r="K4186" s="33"/>
      <c r="L4186" s="33"/>
      <c r="M4186" s="33"/>
    </row>
    <row r="4187">
      <c r="A4187" s="32" t="s">
        <v>11104</v>
      </c>
      <c r="B4187" s="32" t="s">
        <v>11105</v>
      </c>
      <c r="C4187" s="35">
        <v>26.338661</v>
      </c>
      <c r="D4187" s="35">
        <v>111.610043</v>
      </c>
      <c r="E4187" s="32" t="s">
        <v>205</v>
      </c>
      <c r="F4187" s="32" t="s">
        <v>11106</v>
      </c>
      <c r="G4187" s="39" t="s">
        <v>206</v>
      </c>
      <c r="H4187" s="33"/>
      <c r="I4187" s="33"/>
      <c r="J4187" s="33"/>
      <c r="K4187" s="33"/>
      <c r="L4187" s="33"/>
      <c r="M4187" s="33"/>
    </row>
    <row r="4188">
      <c r="A4188" s="32" t="s">
        <v>11107</v>
      </c>
      <c r="B4188" s="32" t="s">
        <v>11108</v>
      </c>
      <c r="C4188" s="35">
        <v>11.97500038</v>
      </c>
      <c r="D4188" s="35">
        <v>38.97999954</v>
      </c>
      <c r="E4188" s="32" t="s">
        <v>18</v>
      </c>
      <c r="F4188" s="32" t="s">
        <v>11109</v>
      </c>
      <c r="G4188" s="36" t="e">
        <v>#N/A</v>
      </c>
      <c r="H4188" s="33"/>
      <c r="I4188" s="33"/>
      <c r="J4188" s="33"/>
      <c r="K4188" s="33"/>
      <c r="L4188" s="33"/>
      <c r="M4188" s="33"/>
    </row>
    <row r="4189">
      <c r="A4189" s="32" t="s">
        <v>11110</v>
      </c>
      <c r="B4189" s="32" t="s">
        <v>11111</v>
      </c>
      <c r="C4189" s="35">
        <v>38.74639893</v>
      </c>
      <c r="D4189" s="35">
        <v>48.81800079</v>
      </c>
      <c r="E4189" s="32" t="s">
        <v>2259</v>
      </c>
      <c r="F4189" s="32" t="s">
        <v>11112</v>
      </c>
      <c r="G4189" s="36" t="e">
        <v>#N/A</v>
      </c>
      <c r="H4189" s="33"/>
      <c r="I4189" s="33"/>
      <c r="J4189" s="33"/>
      <c r="K4189" s="33"/>
      <c r="L4189" s="33"/>
      <c r="M4189" s="33"/>
    </row>
    <row r="4190">
      <c r="A4190" s="32" t="s">
        <v>11113</v>
      </c>
      <c r="B4190" s="32" t="s">
        <v>11114</v>
      </c>
      <c r="C4190" s="35">
        <v>33.6385994</v>
      </c>
      <c r="D4190" s="35">
        <v>-91.75099945</v>
      </c>
      <c r="E4190" s="32" t="s">
        <v>180</v>
      </c>
      <c r="F4190" s="32" t="s">
        <v>11115</v>
      </c>
      <c r="G4190" s="39" t="s">
        <v>181</v>
      </c>
      <c r="H4190" s="33"/>
      <c r="I4190" s="33"/>
      <c r="J4190" s="33"/>
      <c r="K4190" s="33"/>
      <c r="L4190" s="33"/>
      <c r="M4190" s="33"/>
    </row>
    <row r="4191">
      <c r="A4191" s="32" t="s">
        <v>11116</v>
      </c>
      <c r="B4191" s="32" t="s">
        <v>11117</v>
      </c>
      <c r="C4191" s="35">
        <v>60.46445</v>
      </c>
      <c r="D4191" s="35">
        <v>-45.56917</v>
      </c>
      <c r="E4191" s="32" t="s">
        <v>3703</v>
      </c>
      <c r="F4191" s="32" t="s">
        <v>11118</v>
      </c>
      <c r="G4191" s="36" t="e">
        <v>#N/A</v>
      </c>
      <c r="H4191" s="33"/>
      <c r="I4191" s="33"/>
      <c r="J4191" s="33"/>
      <c r="K4191" s="33"/>
      <c r="L4191" s="33"/>
      <c r="M4191" s="33"/>
    </row>
    <row r="4192">
      <c r="A4192" s="32" t="s">
        <v>11119</v>
      </c>
      <c r="B4192" s="32" t="s">
        <v>11120</v>
      </c>
      <c r="C4192" s="35">
        <v>-13.7894001</v>
      </c>
      <c r="D4192" s="35">
        <v>33.78099823</v>
      </c>
      <c r="E4192" s="32" t="s">
        <v>794</v>
      </c>
      <c r="F4192" s="32" t="s">
        <v>11121</v>
      </c>
      <c r="G4192" s="36" t="e">
        <v>#N/A</v>
      </c>
      <c r="H4192" s="33"/>
      <c r="I4192" s="33"/>
      <c r="J4192" s="33"/>
      <c r="K4192" s="33"/>
      <c r="L4192" s="33"/>
      <c r="M4192" s="33"/>
    </row>
    <row r="4193">
      <c r="A4193" s="32" t="s">
        <v>11122</v>
      </c>
      <c r="B4193" s="32" t="s">
        <v>11123</v>
      </c>
      <c r="C4193" s="35">
        <v>47.94860077</v>
      </c>
      <c r="D4193" s="35">
        <v>0.201666996</v>
      </c>
      <c r="E4193" s="32" t="s">
        <v>96</v>
      </c>
      <c r="F4193" s="32" t="s">
        <v>11124</v>
      </c>
      <c r="G4193" s="39" t="s">
        <v>97</v>
      </c>
      <c r="H4193" s="33"/>
      <c r="I4193" s="33"/>
      <c r="J4193" s="33"/>
      <c r="K4193" s="33"/>
      <c r="L4193" s="33"/>
      <c r="M4193" s="33"/>
    </row>
    <row r="4194">
      <c r="A4194" s="32" t="s">
        <v>11125</v>
      </c>
      <c r="B4194" s="32" t="s">
        <v>11126</v>
      </c>
      <c r="C4194" s="35">
        <v>25.68519974</v>
      </c>
      <c r="D4194" s="35">
        <v>-109.0810013</v>
      </c>
      <c r="E4194" s="32" t="s">
        <v>186</v>
      </c>
      <c r="F4194" s="32" t="s">
        <v>11127</v>
      </c>
      <c r="G4194" s="39" t="s">
        <v>187</v>
      </c>
      <c r="H4194" s="33"/>
      <c r="I4194" s="33"/>
      <c r="J4194" s="33"/>
      <c r="K4194" s="33"/>
      <c r="L4194" s="33"/>
      <c r="M4194" s="33"/>
    </row>
    <row r="4195">
      <c r="A4195" s="32" t="s">
        <v>11128</v>
      </c>
      <c r="B4195" s="32" t="s">
        <v>11129</v>
      </c>
      <c r="C4195" s="35">
        <v>4.808300018</v>
      </c>
      <c r="D4195" s="35">
        <v>115.0100021</v>
      </c>
      <c r="E4195" s="32" t="s">
        <v>284</v>
      </c>
      <c r="F4195" s="32" t="s">
        <v>11130</v>
      </c>
      <c r="G4195" s="36" t="e">
        <v>#N/A</v>
      </c>
      <c r="H4195" s="33"/>
      <c r="I4195" s="33"/>
      <c r="J4195" s="33"/>
      <c r="K4195" s="33"/>
      <c r="L4195" s="33"/>
      <c r="M4195" s="33"/>
    </row>
    <row r="4196">
      <c r="A4196" s="32" t="s">
        <v>11131</v>
      </c>
      <c r="B4196" s="32" t="s">
        <v>11132</v>
      </c>
      <c r="C4196" s="35">
        <v>57.7052002</v>
      </c>
      <c r="D4196" s="35">
        <v>-3.339169979</v>
      </c>
      <c r="E4196" s="32" t="s">
        <v>90</v>
      </c>
      <c r="F4196" s="32" t="s">
        <v>11133</v>
      </c>
      <c r="G4196" s="39" t="s">
        <v>91</v>
      </c>
      <c r="H4196" s="33"/>
      <c r="I4196" s="33"/>
      <c r="J4196" s="33"/>
      <c r="K4196" s="33"/>
      <c r="L4196" s="33"/>
      <c r="M4196" s="33"/>
    </row>
    <row r="4197">
      <c r="A4197" s="32" t="s">
        <v>11134</v>
      </c>
      <c r="B4197" s="32" t="s">
        <v>11135</v>
      </c>
      <c r="C4197" s="35">
        <v>35.497898</v>
      </c>
      <c r="D4197" s="35">
        <v>12.6181</v>
      </c>
      <c r="E4197" s="32" t="s">
        <v>103</v>
      </c>
      <c r="F4197" s="32" t="s">
        <v>11136</v>
      </c>
      <c r="G4197" s="39" t="s">
        <v>104</v>
      </c>
      <c r="H4197" s="33"/>
      <c r="I4197" s="33"/>
      <c r="J4197" s="33"/>
      <c r="K4197" s="33"/>
      <c r="L4197" s="33"/>
      <c r="M4197" s="33"/>
    </row>
    <row r="4198">
      <c r="A4198" s="32" t="s">
        <v>11137</v>
      </c>
      <c r="B4198" s="32" t="s">
        <v>11138</v>
      </c>
      <c r="C4198" s="35">
        <v>-28.36009979</v>
      </c>
      <c r="D4198" s="35">
        <v>23.43910027</v>
      </c>
      <c r="E4198" s="32" t="s">
        <v>16</v>
      </c>
      <c r="F4198" s="32" t="s">
        <v>11139</v>
      </c>
      <c r="G4198" s="36" t="e">
        <v>#N/A</v>
      </c>
      <c r="H4198" s="33"/>
      <c r="I4198" s="33"/>
      <c r="J4198" s="33"/>
      <c r="K4198" s="33"/>
      <c r="L4198" s="33"/>
      <c r="M4198" s="33"/>
    </row>
    <row r="4199">
      <c r="A4199" s="32" t="s">
        <v>11140</v>
      </c>
      <c r="B4199" s="32" t="s">
        <v>11141</v>
      </c>
      <c r="C4199" s="35">
        <v>42.15610123</v>
      </c>
      <c r="D4199" s="35">
        <v>-121.7330017</v>
      </c>
      <c r="E4199" s="32" t="s">
        <v>180</v>
      </c>
      <c r="F4199" s="32" t="s">
        <v>11142</v>
      </c>
      <c r="G4199" s="39" t="s">
        <v>181</v>
      </c>
      <c r="H4199" s="33"/>
      <c r="I4199" s="33"/>
      <c r="J4199" s="33"/>
      <c r="K4199" s="33"/>
      <c r="L4199" s="33"/>
      <c r="M4199" s="33"/>
    </row>
    <row r="4200">
      <c r="A4200" s="32" t="s">
        <v>11143</v>
      </c>
      <c r="B4200" s="32" t="s">
        <v>11144</v>
      </c>
      <c r="C4200" s="35">
        <v>26.59300041</v>
      </c>
      <c r="D4200" s="35">
        <v>-80.08509827</v>
      </c>
      <c r="E4200" s="32" t="s">
        <v>180</v>
      </c>
      <c r="F4200" s="32" t="s">
        <v>11145</v>
      </c>
      <c r="G4200" s="39" t="s">
        <v>181</v>
      </c>
      <c r="H4200" s="33"/>
      <c r="I4200" s="33"/>
      <c r="J4200" s="33"/>
      <c r="K4200" s="33"/>
      <c r="L4200" s="33"/>
      <c r="M4200" s="33"/>
    </row>
    <row r="4201">
      <c r="A4201" s="32" t="s">
        <v>11146</v>
      </c>
      <c r="B4201" s="32" t="s">
        <v>11147</v>
      </c>
      <c r="C4201" s="35">
        <v>-16.58419991</v>
      </c>
      <c r="D4201" s="35">
        <v>168.1589966</v>
      </c>
      <c r="E4201" s="32" t="s">
        <v>4279</v>
      </c>
      <c r="F4201" s="32" t="s">
        <v>11148</v>
      </c>
      <c r="G4201" s="36" t="e">
        <v>#N/A</v>
      </c>
      <c r="H4201" s="33"/>
      <c r="I4201" s="33"/>
      <c r="J4201" s="33"/>
      <c r="K4201" s="33"/>
      <c r="L4201" s="33"/>
      <c r="M4201" s="33"/>
    </row>
    <row r="4202">
      <c r="A4202" s="32" t="s">
        <v>11149</v>
      </c>
      <c r="B4202" s="32" t="s">
        <v>11150</v>
      </c>
      <c r="C4202" s="35">
        <v>42.81520081</v>
      </c>
      <c r="D4202" s="35">
        <v>-108.7300034</v>
      </c>
      <c r="E4202" s="32" t="s">
        <v>109</v>
      </c>
      <c r="F4202" s="32" t="s">
        <v>11151</v>
      </c>
      <c r="G4202" s="39" t="s">
        <v>110</v>
      </c>
      <c r="H4202" s="33"/>
      <c r="I4202" s="33"/>
      <c r="J4202" s="33"/>
      <c r="K4202" s="33"/>
      <c r="L4202" s="33"/>
      <c r="M4202" s="33"/>
    </row>
    <row r="4203">
      <c r="A4203" s="32" t="s">
        <v>11152</v>
      </c>
      <c r="B4203" s="32" t="s">
        <v>11153</v>
      </c>
      <c r="C4203" s="35">
        <v>-15.86559963</v>
      </c>
      <c r="D4203" s="35">
        <v>168.1719971</v>
      </c>
      <c r="E4203" s="32" t="s">
        <v>4279</v>
      </c>
      <c r="F4203" s="32" t="s">
        <v>11154</v>
      </c>
      <c r="G4203" s="36" t="e">
        <v>#N/A</v>
      </c>
      <c r="H4203" s="33"/>
      <c r="I4203" s="33"/>
      <c r="J4203" s="33"/>
      <c r="K4203" s="33"/>
      <c r="L4203" s="33"/>
      <c r="M4203" s="33"/>
    </row>
    <row r="4204">
      <c r="A4204" s="32" t="s">
        <v>11155</v>
      </c>
      <c r="B4204" s="32" t="s">
        <v>11156</v>
      </c>
      <c r="C4204" s="35">
        <v>40.85100174</v>
      </c>
      <c r="D4204" s="35">
        <v>-96.75920105</v>
      </c>
      <c r="E4204" s="32" t="s">
        <v>180</v>
      </c>
      <c r="F4204" s="32" t="s">
        <v>11005</v>
      </c>
      <c r="G4204" s="39" t="s">
        <v>181</v>
      </c>
      <c r="H4204" s="33"/>
      <c r="I4204" s="33"/>
      <c r="J4204" s="33"/>
      <c r="K4204" s="33"/>
      <c r="L4204" s="33"/>
      <c r="M4204" s="33"/>
    </row>
    <row r="4205">
      <c r="A4205" s="32" t="s">
        <v>11157</v>
      </c>
      <c r="B4205" s="32" t="s">
        <v>11158</v>
      </c>
      <c r="C4205" s="35">
        <v>41.68399811</v>
      </c>
      <c r="D4205" s="35">
        <v>-81.38970184</v>
      </c>
      <c r="E4205" s="32" t="s">
        <v>180</v>
      </c>
      <c r="F4205" s="32" t="s">
        <v>11159</v>
      </c>
      <c r="G4205" s="39" t="s">
        <v>181</v>
      </c>
      <c r="H4205" s="33"/>
      <c r="I4205" s="33"/>
      <c r="J4205" s="33"/>
      <c r="K4205" s="33"/>
      <c r="L4205" s="33"/>
      <c r="M4205" s="33"/>
    </row>
    <row r="4206">
      <c r="A4206" s="32" t="s">
        <v>11160</v>
      </c>
      <c r="B4206" s="32" t="s">
        <v>11161</v>
      </c>
      <c r="C4206" s="35">
        <v>-28.87809944</v>
      </c>
      <c r="D4206" s="35">
        <v>121.3150024</v>
      </c>
      <c r="E4206" s="32" t="s">
        <v>1968</v>
      </c>
      <c r="F4206" s="32" t="s">
        <v>11162</v>
      </c>
      <c r="G4206" s="36" t="e">
        <v>#N/A</v>
      </c>
      <c r="H4206" s="33"/>
      <c r="I4206" s="33"/>
      <c r="J4206" s="33"/>
      <c r="K4206" s="33"/>
      <c r="L4206" s="33"/>
      <c r="M4206" s="33"/>
    </row>
    <row r="4207">
      <c r="A4207" s="32" t="s">
        <v>11163</v>
      </c>
      <c r="B4207" s="32" t="s">
        <v>11164</v>
      </c>
      <c r="C4207" s="35">
        <v>43.21170044</v>
      </c>
      <c r="D4207" s="35">
        <v>-90.18160248</v>
      </c>
      <c r="E4207" s="32" t="s">
        <v>180</v>
      </c>
      <c r="F4207" s="32" t="s">
        <v>11165</v>
      </c>
      <c r="G4207" s="39" t="s">
        <v>181</v>
      </c>
      <c r="H4207" s="33"/>
      <c r="I4207" s="33"/>
      <c r="J4207" s="33"/>
      <c r="K4207" s="33"/>
      <c r="L4207" s="33"/>
      <c r="M4207" s="33"/>
    </row>
    <row r="4208">
      <c r="A4208" s="32" t="s">
        <v>11166</v>
      </c>
      <c r="B4208" s="32" t="s">
        <v>11167</v>
      </c>
      <c r="C4208" s="35">
        <v>40.12170029</v>
      </c>
      <c r="D4208" s="35">
        <v>-76.2960968</v>
      </c>
      <c r="E4208" s="32" t="s">
        <v>180</v>
      </c>
      <c r="F4208" s="32" t="s">
        <v>11168</v>
      </c>
      <c r="G4208" s="39" t="s">
        <v>181</v>
      </c>
      <c r="H4208" s="33"/>
      <c r="I4208" s="33"/>
      <c r="J4208" s="33"/>
      <c r="K4208" s="33"/>
      <c r="L4208" s="33"/>
      <c r="M4208" s="33"/>
    </row>
    <row r="4209">
      <c r="A4209" s="32" t="s">
        <v>11169</v>
      </c>
      <c r="B4209" s="32" t="s">
        <v>11170</v>
      </c>
      <c r="C4209" s="35">
        <v>20.78560066</v>
      </c>
      <c r="D4209" s="35">
        <v>-156.951004</v>
      </c>
      <c r="E4209" s="32" t="s">
        <v>180</v>
      </c>
      <c r="F4209" s="32" t="s">
        <v>11171</v>
      </c>
      <c r="G4209" s="39" t="s">
        <v>181</v>
      </c>
      <c r="H4209" s="33"/>
      <c r="I4209" s="33"/>
      <c r="J4209" s="33"/>
      <c r="K4209" s="33"/>
      <c r="L4209" s="33"/>
      <c r="M4209" s="33"/>
    </row>
    <row r="4210">
      <c r="A4210" s="32" t="s">
        <v>11172</v>
      </c>
      <c r="B4210" s="32" t="s">
        <v>11173</v>
      </c>
      <c r="C4210" s="35">
        <v>48.2332</v>
      </c>
      <c r="D4210" s="35">
        <v>14.1875</v>
      </c>
      <c r="E4210" s="32" t="s">
        <v>1145</v>
      </c>
      <c r="F4210" s="32" t="s">
        <v>11174</v>
      </c>
      <c r="G4210" s="36" t="e">
        <v>#N/A</v>
      </c>
      <c r="H4210" s="33"/>
      <c r="I4210" s="33"/>
      <c r="J4210" s="33"/>
      <c r="K4210" s="33"/>
      <c r="L4210" s="33"/>
      <c r="M4210" s="33"/>
    </row>
    <row r="4211">
      <c r="A4211" s="32" t="s">
        <v>11175</v>
      </c>
      <c r="B4211" s="32" t="s">
        <v>11176</v>
      </c>
      <c r="C4211" s="35">
        <v>-15.30669975</v>
      </c>
      <c r="D4211" s="35">
        <v>167.9669952</v>
      </c>
      <c r="E4211" s="32" t="s">
        <v>4279</v>
      </c>
      <c r="F4211" s="32" t="s">
        <v>11177</v>
      </c>
      <c r="G4211" s="36" t="e">
        <v>#N/A</v>
      </c>
      <c r="H4211" s="33"/>
      <c r="I4211" s="33"/>
      <c r="J4211" s="33"/>
      <c r="K4211" s="33"/>
      <c r="L4211" s="33"/>
      <c r="M4211" s="33"/>
    </row>
    <row r="4212">
      <c r="A4212" s="32" t="s">
        <v>11178</v>
      </c>
      <c r="B4212" s="32" t="s">
        <v>11179</v>
      </c>
      <c r="C4212" s="35">
        <v>17.43910027</v>
      </c>
      <c r="D4212" s="35">
        <v>101.7220001</v>
      </c>
      <c r="E4212" s="32" t="s">
        <v>175</v>
      </c>
      <c r="F4212" s="32" t="s">
        <v>11180</v>
      </c>
      <c r="G4212" s="39" t="s">
        <v>176</v>
      </c>
      <c r="H4212" s="33"/>
      <c r="I4212" s="33"/>
      <c r="J4212" s="33"/>
      <c r="K4212" s="33"/>
      <c r="L4212" s="33"/>
      <c r="M4212" s="33"/>
    </row>
    <row r="4213">
      <c r="A4213" s="32" t="s">
        <v>11181</v>
      </c>
      <c r="B4213" s="32" t="s">
        <v>11182</v>
      </c>
      <c r="C4213" s="35">
        <v>-3.995889902</v>
      </c>
      <c r="D4213" s="35">
        <v>-79.37190247</v>
      </c>
      <c r="E4213" s="32" t="s">
        <v>311</v>
      </c>
      <c r="F4213" s="32" t="s">
        <v>11183</v>
      </c>
      <c r="G4213" s="36" t="e">
        <v>#N/A</v>
      </c>
      <c r="H4213" s="33"/>
      <c r="I4213" s="33"/>
      <c r="J4213" s="33"/>
      <c r="K4213" s="33"/>
      <c r="L4213" s="33"/>
      <c r="M4213" s="33"/>
    </row>
    <row r="4214">
      <c r="A4214" s="32" t="s">
        <v>11184</v>
      </c>
      <c r="B4214" s="32" t="s">
        <v>11185</v>
      </c>
      <c r="C4214" s="35">
        <v>3.121969938</v>
      </c>
      <c r="D4214" s="35">
        <v>35.6086998</v>
      </c>
      <c r="E4214" s="32" t="s">
        <v>21</v>
      </c>
      <c r="F4214" s="32" t="s">
        <v>11186</v>
      </c>
      <c r="G4214" s="36" t="e">
        <v>#N/A</v>
      </c>
      <c r="H4214" s="33"/>
      <c r="I4214" s="33"/>
      <c r="J4214" s="33"/>
      <c r="K4214" s="33"/>
      <c r="L4214" s="33"/>
      <c r="M4214" s="33"/>
    </row>
    <row r="4215">
      <c r="A4215" s="32" t="s">
        <v>11187</v>
      </c>
      <c r="B4215" s="32" t="s">
        <v>11188</v>
      </c>
      <c r="C4215" s="35">
        <v>40.06639862</v>
      </c>
      <c r="D4215" s="35">
        <v>-118.5650024</v>
      </c>
      <c r="E4215" s="32" t="s">
        <v>180</v>
      </c>
      <c r="F4215" s="32" t="s">
        <v>11189</v>
      </c>
      <c r="G4215" s="39" t="s">
        <v>181</v>
      </c>
      <c r="H4215" s="33"/>
      <c r="I4215" s="33"/>
      <c r="J4215" s="33"/>
      <c r="K4215" s="33"/>
      <c r="L4215" s="33"/>
      <c r="M4215" s="33"/>
    </row>
    <row r="4216">
      <c r="A4216" s="32" t="s">
        <v>11190</v>
      </c>
      <c r="B4216" s="32" t="s">
        <v>11191</v>
      </c>
      <c r="C4216" s="35">
        <v>33.76440048</v>
      </c>
      <c r="D4216" s="35">
        <v>2.928339958</v>
      </c>
      <c r="E4216" s="32" t="s">
        <v>20</v>
      </c>
      <c r="F4216" s="32" t="s">
        <v>11192</v>
      </c>
      <c r="G4216" s="36" t="e">
        <v>#N/A</v>
      </c>
      <c r="H4216" s="33"/>
      <c r="I4216" s="33"/>
      <c r="J4216" s="33"/>
      <c r="K4216" s="33"/>
      <c r="L4216" s="33"/>
      <c r="M4216" s="33"/>
    </row>
    <row r="4217">
      <c r="A4217" s="32" t="s">
        <v>11193</v>
      </c>
      <c r="B4217" s="32" t="s">
        <v>11194</v>
      </c>
      <c r="C4217" s="35">
        <v>-8.757322</v>
      </c>
      <c r="D4217" s="35">
        <v>116.276675</v>
      </c>
      <c r="E4217" s="32" t="s">
        <v>280</v>
      </c>
      <c r="F4217" s="32" t="s">
        <v>11195</v>
      </c>
      <c r="G4217" s="36" t="e">
        <v>#N/A</v>
      </c>
      <c r="H4217" s="33"/>
      <c r="I4217" s="33"/>
      <c r="J4217" s="33"/>
      <c r="K4217" s="33"/>
      <c r="L4217" s="33"/>
      <c r="M4217" s="33"/>
    </row>
    <row r="4218">
      <c r="A4218" s="32" t="s">
        <v>56</v>
      </c>
      <c r="B4218" s="32" t="s">
        <v>11196</v>
      </c>
      <c r="C4218" s="35">
        <v>6.577370167</v>
      </c>
      <c r="D4218" s="35">
        <v>3.321160078</v>
      </c>
      <c r="E4218" s="32" t="s">
        <v>19</v>
      </c>
      <c r="F4218" s="32" t="s">
        <v>57</v>
      </c>
      <c r="G4218" s="36" t="e">
        <v>#N/A</v>
      </c>
      <c r="H4218" s="33"/>
      <c r="I4218" s="33"/>
      <c r="J4218" s="33"/>
      <c r="K4218" s="33"/>
      <c r="L4218" s="33"/>
      <c r="M4218" s="33"/>
    </row>
    <row r="4219">
      <c r="A4219" s="32" t="s">
        <v>11197</v>
      </c>
      <c r="B4219" s="32" t="s">
        <v>11198</v>
      </c>
      <c r="C4219" s="35">
        <v>41.6072998</v>
      </c>
      <c r="D4219" s="35">
        <v>-88.09619904</v>
      </c>
      <c r="E4219" s="32" t="s">
        <v>180</v>
      </c>
      <c r="F4219" s="32" t="s">
        <v>11199</v>
      </c>
      <c r="G4219" s="39" t="s">
        <v>181</v>
      </c>
      <c r="H4219" s="33"/>
      <c r="I4219" s="33"/>
      <c r="J4219" s="33"/>
      <c r="K4219" s="33"/>
      <c r="L4219" s="33"/>
      <c r="M4219" s="33"/>
    </row>
    <row r="4220">
      <c r="A4220" s="32" t="s">
        <v>11200</v>
      </c>
      <c r="B4220" s="32" t="s">
        <v>11201</v>
      </c>
      <c r="C4220" s="35">
        <v>38.22800064</v>
      </c>
      <c r="D4220" s="35">
        <v>-85.66369629</v>
      </c>
      <c r="E4220" s="32" t="s">
        <v>180</v>
      </c>
      <c r="F4220" s="32" t="s">
        <v>11202</v>
      </c>
      <c r="G4220" s="39" t="s">
        <v>181</v>
      </c>
      <c r="H4220" s="33"/>
      <c r="I4220" s="33"/>
      <c r="J4220" s="33"/>
      <c r="K4220" s="33"/>
      <c r="L4220" s="33"/>
      <c r="M4220" s="33"/>
    </row>
    <row r="4221">
      <c r="A4221" s="32" t="s">
        <v>11203</v>
      </c>
      <c r="B4221" s="32" t="s">
        <v>11204</v>
      </c>
      <c r="C4221" s="35">
        <v>26.95569992</v>
      </c>
      <c r="D4221" s="35">
        <v>-101.4700012</v>
      </c>
      <c r="E4221" s="32" t="s">
        <v>186</v>
      </c>
      <c r="F4221" s="32" t="s">
        <v>11205</v>
      </c>
      <c r="G4221" s="39" t="s">
        <v>187</v>
      </c>
      <c r="H4221" s="33"/>
      <c r="I4221" s="33"/>
      <c r="J4221" s="33"/>
      <c r="K4221" s="33"/>
      <c r="L4221" s="33"/>
      <c r="M4221" s="33"/>
    </row>
    <row r="4222">
      <c r="A4222" s="32" t="s">
        <v>11206</v>
      </c>
      <c r="B4222" s="32" t="s">
        <v>11207</v>
      </c>
      <c r="C4222" s="35">
        <v>37.0821991</v>
      </c>
      <c r="D4222" s="35">
        <v>-84.0848999</v>
      </c>
      <c r="E4222" s="32" t="s">
        <v>180</v>
      </c>
      <c r="F4222" s="32" t="s">
        <v>2298</v>
      </c>
      <c r="G4222" s="39" t="s">
        <v>181</v>
      </c>
      <c r="H4222" s="33"/>
      <c r="I4222" s="33"/>
      <c r="J4222" s="33"/>
      <c r="K4222" s="33"/>
      <c r="L4222" s="33"/>
      <c r="M4222" s="33"/>
    </row>
    <row r="4223">
      <c r="A4223" s="32" t="s">
        <v>11208</v>
      </c>
      <c r="B4223" s="32" t="s">
        <v>11209</v>
      </c>
      <c r="C4223" s="35">
        <v>27.93190002</v>
      </c>
      <c r="D4223" s="35">
        <v>-15.38659954</v>
      </c>
      <c r="E4223" s="32" t="s">
        <v>115</v>
      </c>
      <c r="F4223" s="32" t="s">
        <v>11210</v>
      </c>
      <c r="G4223" s="39" t="s">
        <v>116</v>
      </c>
      <c r="H4223" s="33"/>
      <c r="I4223" s="33"/>
      <c r="J4223" s="33"/>
      <c r="K4223" s="33"/>
      <c r="L4223" s="33"/>
      <c r="M4223" s="33"/>
    </row>
    <row r="4224">
      <c r="A4224" s="32" t="s">
        <v>11211</v>
      </c>
      <c r="B4224" s="32" t="s">
        <v>11212</v>
      </c>
      <c r="C4224" s="35">
        <v>-16.51329994</v>
      </c>
      <c r="D4224" s="35">
        <v>-68.19229889</v>
      </c>
      <c r="E4224" s="32" t="s">
        <v>323</v>
      </c>
      <c r="F4224" s="32" t="s">
        <v>10730</v>
      </c>
      <c r="G4224" s="36" t="e">
        <v>#N/A</v>
      </c>
      <c r="H4224" s="33"/>
      <c r="I4224" s="33"/>
      <c r="J4224" s="33"/>
      <c r="K4224" s="33"/>
      <c r="L4224" s="33"/>
      <c r="M4224" s="33"/>
    </row>
    <row r="4225">
      <c r="A4225" s="32" t="s">
        <v>11213</v>
      </c>
      <c r="B4225" s="32" t="s">
        <v>11214</v>
      </c>
      <c r="C4225" s="35">
        <v>34.66559982</v>
      </c>
      <c r="D4225" s="35">
        <v>-120.4680023</v>
      </c>
      <c r="E4225" s="32" t="s">
        <v>180</v>
      </c>
      <c r="F4225" s="32" t="s">
        <v>11215</v>
      </c>
      <c r="G4225" s="39" t="s">
        <v>181</v>
      </c>
      <c r="H4225" s="33"/>
      <c r="I4225" s="33"/>
      <c r="J4225" s="33"/>
      <c r="K4225" s="33"/>
      <c r="L4225" s="33"/>
      <c r="M4225" s="33"/>
    </row>
    <row r="4226">
      <c r="A4226" s="32" t="s">
        <v>11216</v>
      </c>
      <c r="B4226" s="32" t="s">
        <v>11217</v>
      </c>
      <c r="C4226" s="35">
        <v>-1.32861</v>
      </c>
      <c r="D4226" s="35">
        <v>-69.5797</v>
      </c>
      <c r="E4226" s="32" t="s">
        <v>292</v>
      </c>
      <c r="F4226" s="32" t="s">
        <v>11218</v>
      </c>
      <c r="G4226" s="36" t="e">
        <v>#N/A</v>
      </c>
      <c r="H4226" s="33"/>
      <c r="I4226" s="33"/>
      <c r="J4226" s="33"/>
      <c r="K4226" s="33"/>
      <c r="L4226" s="33"/>
      <c r="M4226" s="33"/>
    </row>
    <row r="4227">
      <c r="A4227" s="32" t="s">
        <v>11219</v>
      </c>
      <c r="B4227" s="32" t="s">
        <v>11220</v>
      </c>
      <c r="C4227" s="35">
        <v>-34.9722</v>
      </c>
      <c r="D4227" s="35">
        <v>-57.8947</v>
      </c>
      <c r="E4227" s="32" t="s">
        <v>296</v>
      </c>
      <c r="F4227" s="32" t="s">
        <v>11221</v>
      </c>
      <c r="G4227" s="36" t="e">
        <v>#N/A</v>
      </c>
      <c r="H4227" s="33"/>
      <c r="I4227" s="33"/>
      <c r="J4227" s="33"/>
      <c r="K4227" s="33"/>
      <c r="L4227" s="33"/>
      <c r="M4227" s="33"/>
    </row>
    <row r="4228">
      <c r="A4228" s="32" t="s">
        <v>11222</v>
      </c>
      <c r="B4228" s="32" t="s">
        <v>11223</v>
      </c>
      <c r="C4228" s="35">
        <v>58.40620041</v>
      </c>
      <c r="D4228" s="35">
        <v>15.68050003</v>
      </c>
      <c r="E4228" s="32" t="s">
        <v>347</v>
      </c>
      <c r="F4228" s="32" t="s">
        <v>562</v>
      </c>
      <c r="G4228" s="36" t="e">
        <v>#N/A</v>
      </c>
      <c r="H4228" s="33"/>
      <c r="I4228" s="33"/>
      <c r="J4228" s="33"/>
      <c r="K4228" s="33"/>
      <c r="L4228" s="33"/>
      <c r="M4228" s="33"/>
    </row>
    <row r="4229">
      <c r="A4229" s="32" t="s">
        <v>11224</v>
      </c>
      <c r="B4229" s="32" t="s">
        <v>11225</v>
      </c>
      <c r="C4229" s="35">
        <v>52.70280075</v>
      </c>
      <c r="D4229" s="35">
        <v>39.53779984</v>
      </c>
      <c r="E4229" s="32" t="s">
        <v>2040</v>
      </c>
      <c r="F4229" s="32" t="s">
        <v>11226</v>
      </c>
      <c r="G4229" s="36" t="e">
        <v>#N/A</v>
      </c>
      <c r="H4229" s="33"/>
      <c r="I4229" s="33"/>
      <c r="J4229" s="33"/>
      <c r="K4229" s="33"/>
      <c r="L4229" s="33"/>
      <c r="M4229" s="33"/>
    </row>
    <row r="4230">
      <c r="A4230" s="32" t="s">
        <v>11227</v>
      </c>
      <c r="B4230" s="32" t="s">
        <v>11228</v>
      </c>
      <c r="C4230" s="35">
        <v>53.33359909</v>
      </c>
      <c r="D4230" s="35">
        <v>-2.849720001</v>
      </c>
      <c r="E4230" s="32" t="s">
        <v>90</v>
      </c>
      <c r="F4230" s="32" t="s">
        <v>95</v>
      </c>
      <c r="G4230" s="39" t="s">
        <v>91</v>
      </c>
      <c r="H4230" s="33"/>
      <c r="I4230" s="33"/>
      <c r="J4230" s="33"/>
      <c r="K4230" s="33"/>
      <c r="L4230" s="33"/>
      <c r="M4230" s="33"/>
    </row>
    <row r="4231">
      <c r="A4231" s="32" t="s">
        <v>11229</v>
      </c>
      <c r="B4231" s="32" t="s">
        <v>11230</v>
      </c>
      <c r="C4231" s="35">
        <v>-16.45400047</v>
      </c>
      <c r="D4231" s="35">
        <v>167.822998</v>
      </c>
      <c r="E4231" s="32" t="s">
        <v>4279</v>
      </c>
      <c r="F4231" s="32" t="s">
        <v>11231</v>
      </c>
      <c r="G4231" s="36" t="e">
        <v>#N/A</v>
      </c>
      <c r="H4231" s="33"/>
      <c r="I4231" s="33"/>
      <c r="J4231" s="33"/>
      <c r="K4231" s="33"/>
      <c r="L4231" s="33"/>
      <c r="M4231" s="33"/>
    </row>
    <row r="4232">
      <c r="A4232" s="32" t="s">
        <v>11232</v>
      </c>
      <c r="B4232" s="32" t="s">
        <v>11233</v>
      </c>
      <c r="C4232" s="35">
        <v>61.044601</v>
      </c>
      <c r="D4232" s="35">
        <v>28.144743</v>
      </c>
      <c r="E4232" s="32" t="s">
        <v>408</v>
      </c>
      <c r="F4232" s="32" t="s">
        <v>11234</v>
      </c>
      <c r="G4232" s="36" t="e">
        <v>#N/A</v>
      </c>
      <c r="H4232" s="33"/>
      <c r="I4232" s="33"/>
      <c r="J4232" s="33"/>
      <c r="K4232" s="33"/>
      <c r="L4232" s="33"/>
      <c r="M4232" s="33"/>
    </row>
    <row r="4233">
      <c r="A4233" s="32" t="s">
        <v>11235</v>
      </c>
      <c r="B4233" s="32" t="s">
        <v>11236</v>
      </c>
      <c r="C4233" s="35">
        <v>19.89730072</v>
      </c>
      <c r="D4233" s="35">
        <v>102.1610031</v>
      </c>
      <c r="E4233" s="32" t="s">
        <v>1872</v>
      </c>
      <c r="F4233" s="32" t="s">
        <v>11237</v>
      </c>
      <c r="G4233" s="36" t="e">
        <v>#N/A</v>
      </c>
      <c r="H4233" s="33"/>
      <c r="I4233" s="33"/>
      <c r="J4233" s="33"/>
      <c r="K4233" s="33"/>
      <c r="L4233" s="33"/>
      <c r="M4233" s="33"/>
    </row>
    <row r="4234">
      <c r="A4234" s="32" t="s">
        <v>11238</v>
      </c>
      <c r="B4234" s="32" t="s">
        <v>11239</v>
      </c>
      <c r="C4234" s="35">
        <v>41.34429932</v>
      </c>
      <c r="D4234" s="35">
        <v>-82.17759705</v>
      </c>
      <c r="E4234" s="32" t="s">
        <v>180</v>
      </c>
      <c r="F4234" s="32" t="s">
        <v>11240</v>
      </c>
      <c r="G4234" s="39" t="s">
        <v>181</v>
      </c>
      <c r="H4234" s="33"/>
      <c r="I4234" s="33"/>
      <c r="J4234" s="33"/>
      <c r="K4234" s="33"/>
      <c r="L4234" s="33"/>
      <c r="M4234" s="33"/>
    </row>
    <row r="4235">
      <c r="A4235" s="32" t="s">
        <v>11241</v>
      </c>
      <c r="B4235" s="32" t="s">
        <v>11242</v>
      </c>
      <c r="C4235" s="35">
        <v>48.48389816</v>
      </c>
      <c r="D4235" s="35">
        <v>-122.9380035</v>
      </c>
      <c r="E4235" s="32" t="s">
        <v>180</v>
      </c>
      <c r="F4235" s="32" t="s">
        <v>11243</v>
      </c>
      <c r="G4235" s="39" t="s">
        <v>181</v>
      </c>
      <c r="H4235" s="33"/>
      <c r="I4235" s="33"/>
      <c r="J4235" s="33"/>
      <c r="K4235" s="33"/>
      <c r="L4235" s="33"/>
      <c r="M4235" s="33"/>
    </row>
    <row r="4236">
      <c r="A4236" s="32" t="s">
        <v>11244</v>
      </c>
      <c r="B4236" s="32" t="s">
        <v>11245</v>
      </c>
      <c r="C4236" s="35">
        <v>18.27090073</v>
      </c>
      <c r="D4236" s="35">
        <v>99.5042038</v>
      </c>
      <c r="E4236" s="32" t="s">
        <v>175</v>
      </c>
      <c r="F4236" s="32" t="s">
        <v>11246</v>
      </c>
      <c r="G4236" s="39" t="s">
        <v>176</v>
      </c>
      <c r="H4236" s="33"/>
      <c r="I4236" s="33"/>
      <c r="J4236" s="33"/>
      <c r="K4236" s="33"/>
      <c r="L4236" s="33"/>
      <c r="M4236" s="33"/>
    </row>
    <row r="4237">
      <c r="A4237" s="32" t="s">
        <v>11247</v>
      </c>
      <c r="B4237" s="32" t="s">
        <v>11248</v>
      </c>
      <c r="C4237" s="35">
        <v>1.704486</v>
      </c>
      <c r="D4237" s="35">
        <v>114.970297</v>
      </c>
      <c r="E4237" s="32" t="s">
        <v>280</v>
      </c>
      <c r="F4237" s="32" t="s">
        <v>11249</v>
      </c>
      <c r="G4237" s="36" t="e">
        <v>#N/A</v>
      </c>
      <c r="H4237" s="33"/>
      <c r="I4237" s="33"/>
      <c r="J4237" s="33"/>
      <c r="K4237" s="33"/>
      <c r="L4237" s="33"/>
      <c r="M4237" s="33"/>
    </row>
    <row r="4238">
      <c r="A4238" s="32" t="s">
        <v>11250</v>
      </c>
      <c r="B4238" s="32" t="s">
        <v>11251</v>
      </c>
      <c r="C4238" s="35">
        <v>56.51750183</v>
      </c>
      <c r="D4238" s="35">
        <v>21.09690094</v>
      </c>
      <c r="E4238" s="32" t="s">
        <v>3184</v>
      </c>
      <c r="F4238" s="32" t="s">
        <v>11252</v>
      </c>
      <c r="G4238" s="36" t="e">
        <v>#N/A</v>
      </c>
      <c r="H4238" s="33"/>
      <c r="I4238" s="33"/>
      <c r="J4238" s="33"/>
      <c r="K4238" s="33"/>
      <c r="L4238" s="33"/>
      <c r="M4238" s="33"/>
    </row>
    <row r="4239">
      <c r="A4239" s="32" t="s">
        <v>11253</v>
      </c>
      <c r="B4239" s="32" t="s">
        <v>11254</v>
      </c>
      <c r="C4239" s="35">
        <v>45.08069992</v>
      </c>
      <c r="D4239" s="35">
        <v>3.7628901</v>
      </c>
      <c r="E4239" s="32" t="s">
        <v>96</v>
      </c>
      <c r="F4239" s="32" t="s">
        <v>11255</v>
      </c>
      <c r="G4239" s="39" t="s">
        <v>97</v>
      </c>
      <c r="H4239" s="33"/>
      <c r="I4239" s="33"/>
      <c r="J4239" s="33"/>
      <c r="K4239" s="33"/>
      <c r="L4239" s="33"/>
      <c r="M4239" s="33"/>
    </row>
    <row r="4240">
      <c r="A4240" s="32" t="s">
        <v>11256</v>
      </c>
      <c r="B4240" s="32" t="s">
        <v>11257</v>
      </c>
      <c r="C4240" s="35">
        <v>-0.182278</v>
      </c>
      <c r="D4240" s="35">
        <v>-74.7708</v>
      </c>
      <c r="E4240" s="32" t="s">
        <v>292</v>
      </c>
      <c r="F4240" s="32" t="s">
        <v>11258</v>
      </c>
      <c r="G4240" s="36" t="e">
        <v>#N/A</v>
      </c>
      <c r="H4240" s="33"/>
      <c r="I4240" s="33"/>
      <c r="J4240" s="33"/>
      <c r="K4240" s="33"/>
      <c r="L4240" s="33"/>
      <c r="M4240" s="33"/>
    </row>
    <row r="4241">
      <c r="A4241" s="32" t="s">
        <v>11259</v>
      </c>
      <c r="B4241" s="32" t="s">
        <v>11260</v>
      </c>
      <c r="C4241" s="35">
        <v>38.20859909</v>
      </c>
      <c r="D4241" s="35">
        <v>-99.08599854</v>
      </c>
      <c r="E4241" s="32" t="s">
        <v>180</v>
      </c>
      <c r="F4241" s="32" t="s">
        <v>11261</v>
      </c>
      <c r="G4241" s="39" t="s">
        <v>181</v>
      </c>
      <c r="H4241" s="33"/>
      <c r="I4241" s="33"/>
      <c r="J4241" s="33"/>
      <c r="K4241" s="33"/>
      <c r="L4241" s="33"/>
      <c r="M4241" s="33"/>
    </row>
    <row r="4242">
      <c r="A4242" s="32" t="s">
        <v>11262</v>
      </c>
      <c r="B4242" s="32" t="s">
        <v>11263</v>
      </c>
      <c r="C4242" s="35">
        <v>39.650253</v>
      </c>
      <c r="D4242" s="35">
        <v>22.4655</v>
      </c>
      <c r="E4242" s="32" t="s">
        <v>339</v>
      </c>
      <c r="F4242" s="32" t="s">
        <v>11264</v>
      </c>
      <c r="G4242" s="36" t="e">
        <v>#N/A</v>
      </c>
      <c r="H4242" s="33"/>
      <c r="I4242" s="33"/>
      <c r="J4242" s="33"/>
      <c r="K4242" s="33"/>
      <c r="L4242" s="33"/>
      <c r="M4242" s="33"/>
    </row>
    <row r="4243">
      <c r="A4243" s="32" t="s">
        <v>11265</v>
      </c>
      <c r="B4243" s="32" t="s">
        <v>11266</v>
      </c>
      <c r="C4243" s="35">
        <v>27.54380035</v>
      </c>
      <c r="D4243" s="35">
        <v>-99.46160126</v>
      </c>
      <c r="E4243" s="32" t="s">
        <v>180</v>
      </c>
      <c r="F4243" s="32" t="s">
        <v>11267</v>
      </c>
      <c r="G4243" s="39" t="s">
        <v>181</v>
      </c>
      <c r="H4243" s="33"/>
      <c r="I4243" s="33"/>
      <c r="J4243" s="33"/>
      <c r="K4243" s="33"/>
      <c r="L4243" s="33"/>
      <c r="M4243" s="33"/>
    </row>
    <row r="4244">
      <c r="A4244" s="32" t="s">
        <v>11268</v>
      </c>
      <c r="B4244" s="32" t="s">
        <v>11269</v>
      </c>
      <c r="C4244" s="35">
        <v>-23.43420029</v>
      </c>
      <c r="D4244" s="35">
        <v>144.2799988</v>
      </c>
      <c r="E4244" s="32" t="s">
        <v>1968</v>
      </c>
      <c r="F4244" s="32" t="s">
        <v>11270</v>
      </c>
      <c r="G4244" s="36" t="e">
        <v>#N/A</v>
      </c>
      <c r="H4244" s="33"/>
      <c r="I4244" s="33"/>
      <c r="J4244" s="33"/>
      <c r="K4244" s="33"/>
      <c r="L4244" s="33"/>
      <c r="M4244" s="33"/>
    </row>
    <row r="4245">
      <c r="A4245" s="32" t="s">
        <v>11271</v>
      </c>
      <c r="B4245" s="32" t="s">
        <v>11272</v>
      </c>
      <c r="C4245" s="35">
        <v>34.91690063</v>
      </c>
      <c r="D4245" s="35">
        <v>-92.14969635</v>
      </c>
      <c r="E4245" s="32" t="s">
        <v>180</v>
      </c>
      <c r="F4245" s="32" t="s">
        <v>1994</v>
      </c>
      <c r="G4245" s="39" t="s">
        <v>181</v>
      </c>
      <c r="H4245" s="33"/>
      <c r="I4245" s="33"/>
      <c r="J4245" s="33"/>
      <c r="K4245" s="33"/>
      <c r="L4245" s="33"/>
      <c r="M4245" s="33"/>
    </row>
    <row r="4246">
      <c r="A4246" s="32" t="s">
        <v>11273</v>
      </c>
      <c r="B4246" s="32" t="s">
        <v>11274</v>
      </c>
      <c r="C4246" s="35">
        <v>46.17919922</v>
      </c>
      <c r="D4246" s="35">
        <v>-1.195279956</v>
      </c>
      <c r="E4246" s="32" t="s">
        <v>96</v>
      </c>
      <c r="F4246" s="32" t="s">
        <v>894</v>
      </c>
      <c r="G4246" s="39" t="s">
        <v>97</v>
      </c>
      <c r="H4246" s="33"/>
      <c r="I4246" s="33"/>
      <c r="J4246" s="33"/>
      <c r="K4246" s="33"/>
      <c r="L4246" s="33"/>
      <c r="M4246" s="33"/>
    </row>
    <row r="4247">
      <c r="A4247" s="32" t="s">
        <v>11275</v>
      </c>
      <c r="B4247" s="32" t="s">
        <v>11276</v>
      </c>
      <c r="C4247" s="35">
        <v>9.76733017</v>
      </c>
      <c r="D4247" s="35">
        <v>1.091249943</v>
      </c>
      <c r="E4247" s="32" t="s">
        <v>10942</v>
      </c>
      <c r="F4247" s="32" t="s">
        <v>11277</v>
      </c>
      <c r="G4247" s="36" t="e">
        <v>#N/A</v>
      </c>
      <c r="H4247" s="33"/>
      <c r="I4247" s="33"/>
      <c r="J4247" s="33"/>
      <c r="K4247" s="33"/>
      <c r="L4247" s="33"/>
      <c r="M4247" s="33"/>
    </row>
    <row r="4248">
      <c r="A4248" s="32" t="s">
        <v>11278</v>
      </c>
      <c r="B4248" s="32" t="s">
        <v>11279</v>
      </c>
      <c r="C4248" s="35">
        <v>18.45070076</v>
      </c>
      <c r="D4248" s="35">
        <v>-68.91179657</v>
      </c>
      <c r="E4248" s="32" t="s">
        <v>335</v>
      </c>
      <c r="F4248" s="32" t="s">
        <v>11280</v>
      </c>
      <c r="G4248" s="36" t="e">
        <v>#N/A</v>
      </c>
      <c r="H4248" s="33"/>
      <c r="I4248" s="33"/>
      <c r="J4248" s="33"/>
      <c r="K4248" s="33"/>
      <c r="L4248" s="33"/>
      <c r="M4248" s="33"/>
    </row>
    <row r="4249">
      <c r="A4249" s="32" t="s">
        <v>11281</v>
      </c>
      <c r="B4249" s="32" t="s">
        <v>11282</v>
      </c>
      <c r="C4249" s="35">
        <v>32.89780045</v>
      </c>
      <c r="D4249" s="35">
        <v>-79.78289795</v>
      </c>
      <c r="E4249" s="32" t="s">
        <v>180</v>
      </c>
      <c r="F4249" s="32" t="s">
        <v>11283</v>
      </c>
      <c r="G4249" s="39" t="s">
        <v>181</v>
      </c>
      <c r="H4249" s="33"/>
      <c r="I4249" s="33"/>
      <c r="J4249" s="33"/>
      <c r="K4249" s="33"/>
      <c r="L4249" s="33"/>
      <c r="M4249" s="33"/>
    </row>
    <row r="4250">
      <c r="A4250" s="32" t="s">
        <v>11284</v>
      </c>
      <c r="B4250" s="32" t="s">
        <v>11285</v>
      </c>
      <c r="C4250" s="35">
        <v>27.67469978</v>
      </c>
      <c r="D4250" s="35">
        <v>54.38330078</v>
      </c>
      <c r="E4250" s="32" t="s">
        <v>1378</v>
      </c>
      <c r="F4250" s="32" t="s">
        <v>11286</v>
      </c>
      <c r="G4250" s="36" t="e">
        <v>#N/A</v>
      </c>
      <c r="H4250" s="33"/>
      <c r="I4250" s="33"/>
      <c r="J4250" s="33"/>
      <c r="K4250" s="33"/>
      <c r="L4250" s="33"/>
      <c r="M4250" s="33"/>
    </row>
    <row r="4251">
      <c r="A4251" s="32" t="s">
        <v>11287</v>
      </c>
      <c r="B4251" s="32" t="s">
        <v>11288</v>
      </c>
      <c r="C4251" s="35">
        <v>37.18489838</v>
      </c>
      <c r="D4251" s="35">
        <v>26.8003006</v>
      </c>
      <c r="E4251" s="32" t="s">
        <v>339</v>
      </c>
      <c r="F4251" s="32" t="s">
        <v>11289</v>
      </c>
      <c r="G4251" s="36" t="e">
        <v>#N/A</v>
      </c>
      <c r="H4251" s="33"/>
      <c r="I4251" s="33"/>
      <c r="J4251" s="33"/>
      <c r="K4251" s="33"/>
      <c r="L4251" s="33"/>
      <c r="M4251" s="33"/>
    </row>
    <row r="4252">
      <c r="A4252" s="32" t="s">
        <v>11290</v>
      </c>
      <c r="B4252" s="32" t="s">
        <v>11291</v>
      </c>
      <c r="C4252" s="35">
        <v>47.76060104</v>
      </c>
      <c r="D4252" s="35">
        <v>-3.4400000569999998</v>
      </c>
      <c r="E4252" s="32" t="s">
        <v>96</v>
      </c>
      <c r="F4252" s="32" t="s">
        <v>11292</v>
      </c>
      <c r="G4252" s="39" t="s">
        <v>97</v>
      </c>
      <c r="H4252" s="33"/>
      <c r="I4252" s="33"/>
      <c r="J4252" s="33"/>
      <c r="K4252" s="33"/>
      <c r="L4252" s="33"/>
      <c r="M4252" s="33"/>
    </row>
    <row r="4253">
      <c r="A4253" s="32" t="s">
        <v>11293</v>
      </c>
      <c r="B4253" s="32" t="s">
        <v>11294</v>
      </c>
      <c r="C4253" s="35">
        <v>32.28939819</v>
      </c>
      <c r="D4253" s="35">
        <v>-106.9219971</v>
      </c>
      <c r="E4253" s="32" t="s">
        <v>180</v>
      </c>
      <c r="F4253" s="32" t="s">
        <v>11295</v>
      </c>
      <c r="G4253" s="39" t="s">
        <v>181</v>
      </c>
      <c r="H4253" s="33"/>
      <c r="I4253" s="33"/>
      <c r="J4253" s="33"/>
      <c r="K4253" s="33"/>
      <c r="L4253" s="33"/>
      <c r="M4253" s="33"/>
    </row>
    <row r="4254">
      <c r="A4254" s="32" t="s">
        <v>11296</v>
      </c>
      <c r="B4254" s="32" t="s">
        <v>11297</v>
      </c>
      <c r="C4254" s="35">
        <v>11.94999981</v>
      </c>
      <c r="D4254" s="35">
        <v>-66.66999817</v>
      </c>
      <c r="E4254" s="32" t="s">
        <v>315</v>
      </c>
      <c r="F4254" s="32" t="s">
        <v>11298</v>
      </c>
      <c r="G4254" s="36" t="e">
        <v>#N/A</v>
      </c>
      <c r="H4254" s="33"/>
      <c r="I4254" s="33"/>
      <c r="J4254" s="33"/>
      <c r="K4254" s="33"/>
      <c r="L4254" s="33"/>
      <c r="M4254" s="33"/>
    </row>
    <row r="4255">
      <c r="A4255" s="32" t="s">
        <v>11299</v>
      </c>
      <c r="B4255" s="32" t="s">
        <v>11300</v>
      </c>
      <c r="C4255" s="35">
        <v>-29.91620064</v>
      </c>
      <c r="D4255" s="35">
        <v>-71.19950104</v>
      </c>
      <c r="E4255" s="32" t="s">
        <v>300</v>
      </c>
      <c r="F4255" s="32" t="s">
        <v>11301</v>
      </c>
      <c r="G4255" s="36" t="e">
        <v>#N/A</v>
      </c>
      <c r="H4255" s="33"/>
      <c r="I4255" s="33"/>
      <c r="J4255" s="33"/>
      <c r="K4255" s="33"/>
      <c r="L4255" s="33"/>
      <c r="M4255" s="33"/>
    </row>
    <row r="4256">
      <c r="A4256" s="32" t="s">
        <v>11302</v>
      </c>
      <c r="B4256" s="32" t="s">
        <v>11303</v>
      </c>
      <c r="C4256" s="35">
        <v>43.879002</v>
      </c>
      <c r="D4256" s="35">
        <v>-91.256699</v>
      </c>
      <c r="E4256" s="32" t="s">
        <v>180</v>
      </c>
      <c r="F4256" s="32" t="s">
        <v>11304</v>
      </c>
      <c r="G4256" s="39" t="s">
        <v>181</v>
      </c>
      <c r="H4256" s="33"/>
      <c r="I4256" s="33"/>
      <c r="J4256" s="33"/>
      <c r="K4256" s="33"/>
      <c r="L4256" s="33"/>
      <c r="M4256" s="33"/>
    </row>
    <row r="4257">
      <c r="A4257" s="32" t="s">
        <v>11305</v>
      </c>
      <c r="B4257" s="32" t="s">
        <v>11306</v>
      </c>
      <c r="C4257" s="35">
        <v>32.33729935</v>
      </c>
      <c r="D4257" s="35">
        <v>-84.99130249</v>
      </c>
      <c r="E4257" s="32" t="s">
        <v>180</v>
      </c>
      <c r="F4257" s="32" t="s">
        <v>11307</v>
      </c>
      <c r="G4257" s="39" t="s">
        <v>181</v>
      </c>
      <c r="H4257" s="33"/>
      <c r="I4257" s="33"/>
      <c r="J4257" s="33"/>
      <c r="K4257" s="33"/>
      <c r="L4257" s="33"/>
      <c r="M4257" s="33"/>
    </row>
    <row r="4258">
      <c r="A4258" s="32" t="s">
        <v>11308</v>
      </c>
      <c r="B4258" s="32" t="s">
        <v>11309</v>
      </c>
      <c r="C4258" s="35">
        <v>22.97789955</v>
      </c>
      <c r="D4258" s="35">
        <v>97.75219727</v>
      </c>
      <c r="E4258" s="32" t="s">
        <v>1918</v>
      </c>
      <c r="F4258" s="32" t="s">
        <v>11310</v>
      </c>
      <c r="G4258" s="36" t="e">
        <v>#N/A</v>
      </c>
      <c r="H4258" s="33"/>
      <c r="I4258" s="33"/>
      <c r="J4258" s="33"/>
      <c r="K4258" s="33"/>
      <c r="L4258" s="33"/>
      <c r="M4258" s="33"/>
    </row>
    <row r="4259">
      <c r="A4259" s="32" t="s">
        <v>11311</v>
      </c>
      <c r="B4259" s="32" t="s">
        <v>11312</v>
      </c>
      <c r="C4259" s="35">
        <v>59.87889862</v>
      </c>
      <c r="D4259" s="35">
        <v>-1.295560002</v>
      </c>
      <c r="E4259" s="32" t="s">
        <v>90</v>
      </c>
      <c r="F4259" s="32" t="s">
        <v>11313</v>
      </c>
      <c r="G4259" s="39" t="s">
        <v>91</v>
      </c>
      <c r="H4259" s="33"/>
      <c r="I4259" s="33"/>
      <c r="J4259" s="33"/>
      <c r="K4259" s="33"/>
      <c r="L4259" s="33"/>
      <c r="M4259" s="33"/>
    </row>
    <row r="4260">
      <c r="A4260" s="32" t="s">
        <v>11314</v>
      </c>
      <c r="B4260" s="32" t="s">
        <v>11315</v>
      </c>
      <c r="C4260" s="35">
        <v>11.78077507</v>
      </c>
      <c r="D4260" s="35">
        <v>-70.15149689</v>
      </c>
      <c r="E4260" s="32" t="s">
        <v>315</v>
      </c>
      <c r="F4260" s="32" t="s">
        <v>11316</v>
      </c>
      <c r="G4260" s="36" t="e">
        <v>#N/A</v>
      </c>
      <c r="H4260" s="33"/>
      <c r="I4260" s="33"/>
      <c r="J4260" s="33"/>
      <c r="K4260" s="33"/>
      <c r="L4260" s="33"/>
      <c r="M4260" s="33"/>
    </row>
    <row r="4261">
      <c r="A4261" s="32" t="s">
        <v>11317</v>
      </c>
      <c r="B4261" s="32" t="s">
        <v>11318</v>
      </c>
      <c r="C4261" s="35">
        <v>-37.40169907</v>
      </c>
      <c r="D4261" s="35">
        <v>-72.42539978</v>
      </c>
      <c r="E4261" s="32" t="s">
        <v>300</v>
      </c>
      <c r="F4261" s="32" t="s">
        <v>10748</v>
      </c>
      <c r="G4261" s="36" t="e">
        <v>#N/A</v>
      </c>
      <c r="H4261" s="33"/>
      <c r="I4261" s="33"/>
      <c r="J4261" s="33"/>
      <c r="K4261" s="33"/>
      <c r="L4261" s="33"/>
      <c r="M4261" s="33"/>
    </row>
    <row r="4262">
      <c r="A4262" s="32" t="s">
        <v>11319</v>
      </c>
      <c r="B4262" s="32" t="s">
        <v>11320</v>
      </c>
      <c r="C4262" s="35">
        <v>15.86439991</v>
      </c>
      <c r="D4262" s="35">
        <v>-61.58060074</v>
      </c>
      <c r="E4262" s="32" t="s">
        <v>4470</v>
      </c>
      <c r="F4262" s="32" t="s">
        <v>11321</v>
      </c>
      <c r="G4262" s="36" t="e">
        <v>#N/A</v>
      </c>
      <c r="H4262" s="33"/>
      <c r="I4262" s="33"/>
      <c r="J4262" s="33"/>
      <c r="K4262" s="33"/>
      <c r="L4262" s="33"/>
      <c r="M4262" s="33"/>
    </row>
    <row r="4263">
      <c r="A4263" s="32" t="s">
        <v>11322</v>
      </c>
      <c r="B4263" s="32" t="s">
        <v>11323</v>
      </c>
      <c r="C4263" s="35">
        <v>-41.54529953</v>
      </c>
      <c r="D4263" s="35">
        <v>147.2140045</v>
      </c>
      <c r="E4263" s="32" t="s">
        <v>1968</v>
      </c>
      <c r="F4263" s="32" t="s">
        <v>11324</v>
      </c>
      <c r="G4263" s="36" t="e">
        <v>#N/A</v>
      </c>
      <c r="H4263" s="33"/>
      <c r="I4263" s="33"/>
      <c r="J4263" s="33"/>
      <c r="K4263" s="33"/>
      <c r="L4263" s="33"/>
      <c r="M4263" s="33"/>
    </row>
    <row r="4264">
      <c r="A4264" s="32" t="s">
        <v>11325</v>
      </c>
      <c r="B4264" s="32" t="s">
        <v>11326</v>
      </c>
      <c r="C4264" s="35">
        <v>36.23619843</v>
      </c>
      <c r="D4264" s="35">
        <v>-115.0339966</v>
      </c>
      <c r="E4264" s="32" t="s">
        <v>180</v>
      </c>
      <c r="F4264" s="32" t="s">
        <v>10739</v>
      </c>
      <c r="G4264" s="39" t="s">
        <v>181</v>
      </c>
      <c r="H4264" s="33"/>
      <c r="I4264" s="33"/>
      <c r="J4264" s="33"/>
      <c r="K4264" s="33"/>
      <c r="L4264" s="33"/>
      <c r="M4264" s="33"/>
    </row>
    <row r="4265">
      <c r="A4265" s="32" t="s">
        <v>11327</v>
      </c>
      <c r="B4265" s="32" t="s">
        <v>11328</v>
      </c>
      <c r="C4265" s="35">
        <v>5.226679802</v>
      </c>
      <c r="D4265" s="35">
        <v>96.95030212</v>
      </c>
      <c r="E4265" s="32" t="s">
        <v>280</v>
      </c>
      <c r="F4265" s="32" t="s">
        <v>11329</v>
      </c>
      <c r="G4265" s="36" t="e">
        <v>#N/A</v>
      </c>
      <c r="H4265" s="33"/>
      <c r="I4265" s="33"/>
      <c r="J4265" s="33"/>
      <c r="K4265" s="33"/>
      <c r="L4265" s="33"/>
      <c r="M4265" s="33"/>
    </row>
    <row r="4266">
      <c r="A4266" s="32" t="s">
        <v>11330</v>
      </c>
      <c r="B4266" s="32" t="s">
        <v>11331</v>
      </c>
      <c r="C4266" s="35">
        <v>-28.83029938</v>
      </c>
      <c r="D4266" s="35">
        <v>153.2599945</v>
      </c>
      <c r="E4266" s="32" t="s">
        <v>1968</v>
      </c>
      <c r="F4266" s="32" t="s">
        <v>11332</v>
      </c>
      <c r="G4266" s="36" t="e">
        <v>#N/A</v>
      </c>
      <c r="H4266" s="33"/>
      <c r="I4266" s="33"/>
      <c r="J4266" s="33"/>
      <c r="K4266" s="33"/>
      <c r="L4266" s="33"/>
      <c r="M4266" s="33"/>
    </row>
    <row r="4267">
      <c r="A4267" s="32" t="s">
        <v>11333</v>
      </c>
      <c r="B4267" s="32" t="s">
        <v>11334</v>
      </c>
      <c r="C4267" s="35">
        <v>44.56579971</v>
      </c>
      <c r="D4267" s="35">
        <v>14.39309978</v>
      </c>
      <c r="E4267" s="32" t="s">
        <v>211</v>
      </c>
      <c r="F4267" s="32" t="s">
        <v>11335</v>
      </c>
      <c r="G4267" s="39" t="s">
        <v>212</v>
      </c>
      <c r="H4267" s="33"/>
      <c r="I4267" s="33"/>
      <c r="J4267" s="33"/>
      <c r="K4267" s="33"/>
      <c r="L4267" s="33"/>
      <c r="M4267" s="33"/>
    </row>
    <row r="4268">
      <c r="A4268" s="32" t="s">
        <v>11336</v>
      </c>
      <c r="B4268" s="32" t="s">
        <v>11337</v>
      </c>
      <c r="C4268" s="35">
        <v>-23.82439995</v>
      </c>
      <c r="D4268" s="35">
        <v>30.32929993</v>
      </c>
      <c r="E4268" s="32" t="s">
        <v>16</v>
      </c>
      <c r="F4268" s="32" t="s">
        <v>11338</v>
      </c>
      <c r="G4268" s="36" t="e">
        <v>#N/A</v>
      </c>
      <c r="H4268" s="33"/>
      <c r="I4268" s="33"/>
      <c r="J4268" s="33"/>
      <c r="K4268" s="33"/>
      <c r="L4268" s="33"/>
      <c r="M4268" s="33"/>
    </row>
    <row r="4269">
      <c r="A4269" s="32" t="s">
        <v>11339</v>
      </c>
      <c r="B4269" s="32" t="s">
        <v>11340</v>
      </c>
      <c r="C4269" s="35">
        <v>30.15169907</v>
      </c>
      <c r="D4269" s="35">
        <v>9.715310097</v>
      </c>
      <c r="E4269" s="32" t="s">
        <v>829</v>
      </c>
      <c r="F4269" s="32" t="s">
        <v>11341</v>
      </c>
      <c r="G4269" s="36" t="e">
        <v>#N/A</v>
      </c>
      <c r="H4269" s="33"/>
      <c r="I4269" s="33"/>
      <c r="J4269" s="33"/>
      <c r="K4269" s="33"/>
      <c r="L4269" s="33"/>
      <c r="M4269" s="33"/>
    </row>
    <row r="4270">
      <c r="A4270" s="32" t="s">
        <v>11342</v>
      </c>
      <c r="B4270" s="32" t="s">
        <v>11343</v>
      </c>
      <c r="C4270" s="35">
        <v>46.37639999</v>
      </c>
      <c r="D4270" s="35">
        <v>96.22109985</v>
      </c>
      <c r="E4270" s="32" t="s">
        <v>2274</v>
      </c>
      <c r="F4270" s="32" t="s">
        <v>11344</v>
      </c>
      <c r="G4270" s="36" t="e">
        <v>#N/A</v>
      </c>
      <c r="H4270" s="33"/>
      <c r="I4270" s="33"/>
      <c r="J4270" s="33"/>
      <c r="K4270" s="33"/>
      <c r="L4270" s="33"/>
      <c r="M4270" s="33"/>
    </row>
    <row r="4271">
      <c r="A4271" s="32" t="s">
        <v>11345</v>
      </c>
      <c r="B4271" s="32" t="s">
        <v>11346</v>
      </c>
      <c r="C4271" s="35">
        <v>35.40110016</v>
      </c>
      <c r="D4271" s="35">
        <v>35.94869995</v>
      </c>
      <c r="E4271" s="32" t="s">
        <v>3896</v>
      </c>
      <c r="F4271" s="32" t="s">
        <v>11347</v>
      </c>
      <c r="G4271" s="36" t="e">
        <v>#N/A</v>
      </c>
      <c r="H4271" s="33"/>
      <c r="I4271" s="33"/>
      <c r="J4271" s="33"/>
      <c r="K4271" s="33"/>
      <c r="L4271" s="33"/>
      <c r="M4271" s="33"/>
    </row>
    <row r="4272">
      <c r="A4272" s="32" t="s">
        <v>11348</v>
      </c>
      <c r="B4272" s="32" t="s">
        <v>11349</v>
      </c>
      <c r="C4272" s="35">
        <v>3.372760057</v>
      </c>
      <c r="D4272" s="35">
        <v>-59.78939819</v>
      </c>
      <c r="E4272" s="32" t="s">
        <v>1822</v>
      </c>
      <c r="F4272" s="32" t="s">
        <v>11350</v>
      </c>
      <c r="G4272" s="36" t="e">
        <v>#N/A</v>
      </c>
      <c r="H4272" s="33"/>
      <c r="I4272" s="33"/>
      <c r="J4272" s="33"/>
      <c r="K4272" s="33"/>
      <c r="L4272" s="33"/>
      <c r="M4272" s="33"/>
    </row>
    <row r="4273">
      <c r="A4273" s="32" t="s">
        <v>11351</v>
      </c>
      <c r="B4273" s="32" t="s">
        <v>11352</v>
      </c>
      <c r="C4273" s="35">
        <v>51.87469864</v>
      </c>
      <c r="D4273" s="35">
        <v>-0.368333012</v>
      </c>
      <c r="E4273" s="32" t="s">
        <v>90</v>
      </c>
      <c r="F4273" s="32" t="s">
        <v>2298</v>
      </c>
      <c r="G4273" s="39" t="s">
        <v>91</v>
      </c>
      <c r="H4273" s="33"/>
      <c r="I4273" s="33"/>
      <c r="J4273" s="33"/>
      <c r="K4273" s="33"/>
      <c r="L4273" s="33"/>
      <c r="M4273" s="33"/>
    </row>
    <row r="4274">
      <c r="A4274" s="32" t="s">
        <v>11353</v>
      </c>
      <c r="B4274" s="32" t="s">
        <v>11354</v>
      </c>
      <c r="C4274" s="35">
        <v>25.98920059</v>
      </c>
      <c r="D4274" s="35">
        <v>-111.3479996</v>
      </c>
      <c r="E4274" s="32" t="s">
        <v>186</v>
      </c>
      <c r="F4274" s="32" t="s">
        <v>11355</v>
      </c>
      <c r="G4274" s="39" t="s">
        <v>187</v>
      </c>
      <c r="H4274" s="33"/>
      <c r="I4274" s="33"/>
      <c r="J4274" s="33"/>
      <c r="K4274" s="33"/>
      <c r="L4274" s="33"/>
      <c r="M4274" s="33"/>
    </row>
    <row r="4275">
      <c r="A4275" s="32" t="s">
        <v>11356</v>
      </c>
      <c r="B4275" s="32" t="s">
        <v>11357</v>
      </c>
      <c r="C4275" s="35">
        <v>50.51739883</v>
      </c>
      <c r="D4275" s="35">
        <v>1.620589972</v>
      </c>
      <c r="E4275" s="32" t="s">
        <v>96</v>
      </c>
      <c r="F4275" s="32" t="s">
        <v>11358</v>
      </c>
      <c r="G4275" s="39" t="s">
        <v>97</v>
      </c>
      <c r="H4275" s="33"/>
      <c r="I4275" s="33"/>
      <c r="J4275" s="33"/>
      <c r="K4275" s="33"/>
      <c r="L4275" s="33"/>
      <c r="M4275" s="33"/>
    </row>
    <row r="4276">
      <c r="A4276" s="32" t="s">
        <v>11359</v>
      </c>
      <c r="B4276" s="32" t="s">
        <v>11360</v>
      </c>
      <c r="C4276" s="35">
        <v>34.667099</v>
      </c>
      <c r="D4276" s="35">
        <v>-99.26670074</v>
      </c>
      <c r="E4276" s="32" t="s">
        <v>180</v>
      </c>
      <c r="F4276" s="32" t="s">
        <v>11361</v>
      </c>
      <c r="G4276" s="39" t="s">
        <v>181</v>
      </c>
      <c r="H4276" s="33"/>
      <c r="I4276" s="33"/>
      <c r="J4276" s="33"/>
      <c r="K4276" s="33"/>
      <c r="L4276" s="33"/>
      <c r="M4276" s="33"/>
    </row>
    <row r="4277">
      <c r="A4277" s="32" t="s">
        <v>11362</v>
      </c>
      <c r="B4277" s="32" t="s">
        <v>11363</v>
      </c>
      <c r="C4277" s="35">
        <v>43.20539856</v>
      </c>
      <c r="D4277" s="35">
        <v>6.481999874</v>
      </c>
      <c r="E4277" s="32" t="s">
        <v>96</v>
      </c>
      <c r="F4277" s="32" t="s">
        <v>11364</v>
      </c>
      <c r="G4277" s="39" t="s">
        <v>97</v>
      </c>
      <c r="H4277" s="33"/>
      <c r="I4277" s="33"/>
      <c r="J4277" s="33"/>
      <c r="K4277" s="33"/>
      <c r="L4277" s="33"/>
      <c r="M4277" s="33"/>
    </row>
    <row r="4278">
      <c r="A4278" s="32" t="s">
        <v>11365</v>
      </c>
      <c r="B4278" s="32" t="s">
        <v>11366</v>
      </c>
      <c r="C4278" s="35">
        <v>-0.906832993</v>
      </c>
      <c r="D4278" s="35">
        <v>-78.61579895</v>
      </c>
      <c r="E4278" s="32" t="s">
        <v>311</v>
      </c>
      <c r="F4278" s="32" t="s">
        <v>11367</v>
      </c>
      <c r="G4278" s="36" t="e">
        <v>#N/A</v>
      </c>
      <c r="H4278" s="33"/>
      <c r="I4278" s="33"/>
      <c r="J4278" s="33"/>
      <c r="K4278" s="33"/>
      <c r="L4278" s="33"/>
      <c r="M4278" s="33"/>
    </row>
    <row r="4279">
      <c r="A4279" s="32" t="s">
        <v>11368</v>
      </c>
      <c r="B4279" s="32" t="s">
        <v>11369</v>
      </c>
      <c r="C4279" s="35">
        <v>27.68689919</v>
      </c>
      <c r="D4279" s="35">
        <v>86.72969818</v>
      </c>
      <c r="E4279" s="32" t="s">
        <v>1877</v>
      </c>
      <c r="F4279" s="32" t="s">
        <v>11370</v>
      </c>
      <c r="G4279" s="36" t="e">
        <v>#N/A</v>
      </c>
      <c r="H4279" s="33"/>
      <c r="I4279" s="33"/>
      <c r="J4279" s="33"/>
      <c r="K4279" s="33"/>
      <c r="L4279" s="33"/>
      <c r="M4279" s="33"/>
    </row>
    <row r="4280">
      <c r="A4280" s="32" t="s">
        <v>11371</v>
      </c>
      <c r="B4280" s="32" t="s">
        <v>11372</v>
      </c>
      <c r="C4280" s="35">
        <v>-26.68740082</v>
      </c>
      <c r="D4280" s="35">
        <v>15.24289989</v>
      </c>
      <c r="E4280" s="32" t="s">
        <v>3193</v>
      </c>
      <c r="F4280" s="32" t="s">
        <v>11373</v>
      </c>
      <c r="G4280" s="36" t="e">
        <v>#N/A</v>
      </c>
      <c r="H4280" s="33"/>
      <c r="I4280" s="33"/>
      <c r="J4280" s="33"/>
      <c r="K4280" s="33"/>
      <c r="L4280" s="33"/>
      <c r="M4280" s="33"/>
    </row>
    <row r="4281">
      <c r="A4281" s="32" t="s">
        <v>11374</v>
      </c>
      <c r="B4281" s="32" t="s">
        <v>11375</v>
      </c>
      <c r="C4281" s="35">
        <v>33.53499985</v>
      </c>
      <c r="D4281" s="35">
        <v>-112.3830032</v>
      </c>
      <c r="E4281" s="32" t="s">
        <v>180</v>
      </c>
      <c r="F4281" s="32" t="s">
        <v>3418</v>
      </c>
      <c r="G4281" s="39" t="s">
        <v>181</v>
      </c>
      <c r="H4281" s="33"/>
      <c r="I4281" s="33"/>
      <c r="J4281" s="33"/>
      <c r="K4281" s="33"/>
      <c r="L4281" s="33"/>
      <c r="M4281" s="33"/>
    </row>
    <row r="4282">
      <c r="A4282" s="32" t="s">
        <v>11376</v>
      </c>
      <c r="B4282" s="32" t="s">
        <v>11377</v>
      </c>
      <c r="C4282" s="35">
        <v>46.00429916</v>
      </c>
      <c r="D4282" s="35">
        <v>8.910579681</v>
      </c>
      <c r="E4282" s="32" t="s">
        <v>1180</v>
      </c>
      <c r="F4282" s="32" t="s">
        <v>11378</v>
      </c>
      <c r="G4282" s="36" t="e">
        <v>#N/A</v>
      </c>
      <c r="H4282" s="33"/>
      <c r="I4282" s="33"/>
      <c r="J4282" s="33"/>
      <c r="K4282" s="33"/>
      <c r="L4282" s="33"/>
      <c r="M4282" s="33"/>
    </row>
    <row r="4283">
      <c r="A4283" s="32" t="s">
        <v>11379</v>
      </c>
      <c r="B4283" s="32" t="s">
        <v>11380</v>
      </c>
      <c r="C4283" s="35">
        <v>30.85470009</v>
      </c>
      <c r="D4283" s="35">
        <v>75.95259857</v>
      </c>
      <c r="E4283" s="32" t="s">
        <v>217</v>
      </c>
      <c r="F4283" s="32" t="s">
        <v>11381</v>
      </c>
      <c r="G4283" s="39" t="s">
        <v>218</v>
      </c>
      <c r="H4283" s="33"/>
      <c r="I4283" s="33"/>
      <c r="J4283" s="33"/>
      <c r="K4283" s="33"/>
      <c r="L4283" s="33"/>
      <c r="M4283" s="33"/>
    </row>
    <row r="4284">
      <c r="A4284" s="32" t="s">
        <v>11382</v>
      </c>
      <c r="B4284" s="32" t="s">
        <v>11383</v>
      </c>
      <c r="C4284" s="35">
        <v>39.10329819</v>
      </c>
      <c r="D4284" s="35">
        <v>-84.41860199</v>
      </c>
      <c r="E4284" s="32" t="s">
        <v>180</v>
      </c>
      <c r="F4284" s="32" t="s">
        <v>6369</v>
      </c>
      <c r="G4284" s="39" t="s">
        <v>181</v>
      </c>
      <c r="H4284" s="33"/>
      <c r="I4284" s="33"/>
      <c r="J4284" s="33"/>
      <c r="K4284" s="33"/>
      <c r="L4284" s="33"/>
      <c r="M4284" s="33"/>
    </row>
    <row r="4285">
      <c r="A4285" s="32" t="s">
        <v>11384</v>
      </c>
      <c r="B4285" s="32" t="s">
        <v>11385</v>
      </c>
      <c r="C4285" s="35">
        <v>24.4011</v>
      </c>
      <c r="D4285" s="35">
        <v>98.5317</v>
      </c>
      <c r="E4285" s="32" t="s">
        <v>205</v>
      </c>
      <c r="F4285" s="32" t="s">
        <v>11386</v>
      </c>
      <c r="G4285" s="39" t="s">
        <v>206</v>
      </c>
      <c r="H4285" s="33"/>
      <c r="I4285" s="33"/>
      <c r="J4285" s="33"/>
      <c r="K4285" s="33"/>
      <c r="L4285" s="33"/>
      <c r="M4285" s="33"/>
    </row>
    <row r="4286">
      <c r="A4286" s="32" t="s">
        <v>11387</v>
      </c>
      <c r="B4286" s="32" t="s">
        <v>11388</v>
      </c>
      <c r="C4286" s="35">
        <v>-15.33080006</v>
      </c>
      <c r="D4286" s="35">
        <v>28.45260048</v>
      </c>
      <c r="E4286" s="32" t="s">
        <v>759</v>
      </c>
      <c r="F4286" s="32" t="s">
        <v>3191</v>
      </c>
      <c r="G4286" s="36" t="e">
        <v>#N/A</v>
      </c>
      <c r="H4286" s="33"/>
      <c r="I4286" s="33"/>
      <c r="J4286" s="33"/>
      <c r="K4286" s="33"/>
      <c r="L4286" s="33"/>
      <c r="M4286" s="33"/>
    </row>
    <row r="4287">
      <c r="A4287" s="32" t="s">
        <v>11389</v>
      </c>
      <c r="B4287" s="32" t="s">
        <v>11390</v>
      </c>
      <c r="C4287" s="35">
        <v>-11.76809978</v>
      </c>
      <c r="D4287" s="35">
        <v>19.89769936</v>
      </c>
      <c r="E4287" s="32" t="s">
        <v>764</v>
      </c>
      <c r="F4287" s="32" t="s">
        <v>11391</v>
      </c>
      <c r="G4287" s="36" t="e">
        <v>#N/A</v>
      </c>
      <c r="H4287" s="33"/>
      <c r="I4287" s="33"/>
      <c r="J4287" s="33"/>
      <c r="K4287" s="33"/>
      <c r="L4287" s="33"/>
      <c r="M4287" s="33"/>
    </row>
    <row r="4288">
      <c r="A4288" s="32" t="s">
        <v>11392</v>
      </c>
      <c r="B4288" s="32" t="s">
        <v>11393</v>
      </c>
      <c r="C4288" s="35">
        <v>21.21100044</v>
      </c>
      <c r="D4288" s="35">
        <v>-156.973999</v>
      </c>
      <c r="E4288" s="32" t="s">
        <v>180</v>
      </c>
      <c r="F4288" s="32" t="s">
        <v>11394</v>
      </c>
      <c r="G4288" s="39" t="s">
        <v>181</v>
      </c>
      <c r="H4288" s="33"/>
      <c r="I4288" s="33"/>
      <c r="J4288" s="33"/>
      <c r="K4288" s="33"/>
      <c r="L4288" s="33"/>
      <c r="M4288" s="33"/>
    </row>
    <row r="4289">
      <c r="A4289" s="32" t="s">
        <v>11395</v>
      </c>
      <c r="B4289" s="32" t="s">
        <v>11396</v>
      </c>
      <c r="C4289" s="35">
        <v>-33.27320099</v>
      </c>
      <c r="D4289" s="35">
        <v>-66.35639954</v>
      </c>
      <c r="E4289" s="32" t="s">
        <v>296</v>
      </c>
      <c r="F4289" s="32" t="s">
        <v>874</v>
      </c>
      <c r="G4289" s="36" t="e">
        <v>#N/A</v>
      </c>
      <c r="H4289" s="33"/>
      <c r="I4289" s="33"/>
      <c r="J4289" s="33"/>
      <c r="K4289" s="33"/>
      <c r="L4289" s="33"/>
      <c r="M4289" s="33"/>
    </row>
    <row r="4290">
      <c r="A4290" s="32" t="s">
        <v>11397</v>
      </c>
      <c r="B4290" s="32" t="s">
        <v>11398</v>
      </c>
      <c r="C4290" s="35">
        <v>68.87509918</v>
      </c>
      <c r="D4290" s="35">
        <v>-166.1100006</v>
      </c>
      <c r="E4290" s="32" t="s">
        <v>180</v>
      </c>
      <c r="F4290" s="32" t="s">
        <v>11399</v>
      </c>
      <c r="G4290" s="39" t="s">
        <v>181</v>
      </c>
      <c r="H4290" s="33"/>
      <c r="I4290" s="33"/>
      <c r="J4290" s="33"/>
      <c r="K4290" s="33"/>
      <c r="L4290" s="33"/>
      <c r="M4290" s="33"/>
    </row>
    <row r="4291">
      <c r="A4291" s="32" t="s">
        <v>11400</v>
      </c>
      <c r="B4291" s="32" t="s">
        <v>11401</v>
      </c>
      <c r="C4291" s="35">
        <v>-5.66162014</v>
      </c>
      <c r="D4291" s="35">
        <v>132.7310028</v>
      </c>
      <c r="E4291" s="32" t="s">
        <v>280</v>
      </c>
      <c r="F4291" s="32" t="s">
        <v>11402</v>
      </c>
      <c r="G4291" s="36" t="e">
        <v>#N/A</v>
      </c>
      <c r="H4291" s="33"/>
      <c r="I4291" s="33"/>
      <c r="J4291" s="33"/>
      <c r="K4291" s="33"/>
      <c r="L4291" s="33"/>
      <c r="M4291" s="33"/>
    </row>
    <row r="4292">
      <c r="A4292" s="32" t="s">
        <v>11403</v>
      </c>
      <c r="B4292" s="32" t="s">
        <v>11404</v>
      </c>
      <c r="C4292" s="35">
        <v>-1.038920045</v>
      </c>
      <c r="D4292" s="35">
        <v>122.7720032</v>
      </c>
      <c r="E4292" s="32" t="s">
        <v>280</v>
      </c>
      <c r="F4292" s="32" t="s">
        <v>11405</v>
      </c>
      <c r="G4292" s="36" t="e">
        <v>#N/A</v>
      </c>
      <c r="H4292" s="33"/>
      <c r="I4292" s="33"/>
      <c r="J4292" s="33"/>
      <c r="K4292" s="33"/>
      <c r="L4292" s="33"/>
      <c r="M4292" s="33"/>
    </row>
    <row r="4293">
      <c r="A4293" s="32" t="s">
        <v>11406</v>
      </c>
      <c r="B4293" s="32" t="s">
        <v>11407</v>
      </c>
      <c r="C4293" s="35">
        <v>49.6233333</v>
      </c>
      <c r="D4293" s="35">
        <v>6.2044444</v>
      </c>
      <c r="E4293" s="32" t="s">
        <v>11408</v>
      </c>
      <c r="F4293" s="32" t="s">
        <v>11409</v>
      </c>
      <c r="G4293" s="36" t="e">
        <v>#N/A</v>
      </c>
      <c r="H4293" s="33"/>
      <c r="I4293" s="33"/>
      <c r="J4293" s="33"/>
      <c r="K4293" s="33"/>
      <c r="L4293" s="33"/>
      <c r="M4293" s="33"/>
    </row>
    <row r="4294">
      <c r="A4294" s="32" t="s">
        <v>11410</v>
      </c>
      <c r="B4294" s="32" t="s">
        <v>11411</v>
      </c>
      <c r="C4294" s="35">
        <v>48.03139877</v>
      </c>
      <c r="D4294" s="35">
        <v>-0.742986023</v>
      </c>
      <c r="E4294" s="32" t="s">
        <v>96</v>
      </c>
      <c r="F4294" s="32" t="s">
        <v>11412</v>
      </c>
      <c r="G4294" s="39" t="s">
        <v>97</v>
      </c>
      <c r="H4294" s="33"/>
      <c r="I4294" s="33"/>
      <c r="J4294" s="33"/>
      <c r="K4294" s="33"/>
      <c r="L4294" s="33"/>
      <c r="M4294" s="33"/>
    </row>
    <row r="4295">
      <c r="A4295" s="32" t="s">
        <v>11413</v>
      </c>
      <c r="B4295" s="32" t="s">
        <v>11414</v>
      </c>
      <c r="C4295" s="35">
        <v>-17.82180023</v>
      </c>
      <c r="D4295" s="35">
        <v>25.8227005</v>
      </c>
      <c r="E4295" s="32" t="s">
        <v>759</v>
      </c>
      <c r="F4295" s="32" t="s">
        <v>11415</v>
      </c>
      <c r="G4295" s="36" t="e">
        <v>#N/A</v>
      </c>
      <c r="H4295" s="33"/>
      <c r="I4295" s="33"/>
      <c r="J4295" s="33"/>
      <c r="K4295" s="33"/>
      <c r="L4295" s="33"/>
      <c r="M4295" s="33"/>
    </row>
    <row r="4296">
      <c r="A4296" s="32" t="s">
        <v>11416</v>
      </c>
      <c r="B4296" s="32" t="s">
        <v>11417</v>
      </c>
      <c r="C4296" s="35">
        <v>37.69340134</v>
      </c>
      <c r="D4296" s="35">
        <v>-121.8199997</v>
      </c>
      <c r="E4296" s="32" t="s">
        <v>180</v>
      </c>
      <c r="F4296" s="32" t="s">
        <v>11418</v>
      </c>
      <c r="G4296" s="39" t="s">
        <v>181</v>
      </c>
      <c r="H4296" s="33"/>
      <c r="I4296" s="33"/>
      <c r="J4296" s="33"/>
      <c r="K4296" s="33"/>
      <c r="L4296" s="33"/>
      <c r="M4296" s="33"/>
    </row>
    <row r="4297">
      <c r="A4297" s="32" t="s">
        <v>11419</v>
      </c>
      <c r="B4297" s="32" t="s">
        <v>11420</v>
      </c>
      <c r="C4297" s="35">
        <v>45.69940186</v>
      </c>
      <c r="D4297" s="35">
        <v>-110.447998</v>
      </c>
      <c r="E4297" s="32" t="s">
        <v>180</v>
      </c>
      <c r="F4297" s="32" t="s">
        <v>11421</v>
      </c>
      <c r="G4297" s="39" t="s">
        <v>181</v>
      </c>
      <c r="H4297" s="33"/>
      <c r="I4297" s="33"/>
      <c r="J4297" s="33"/>
      <c r="K4297" s="33"/>
      <c r="L4297" s="33"/>
      <c r="M4297" s="33"/>
    </row>
    <row r="4298">
      <c r="A4298" s="32" t="s">
        <v>11422</v>
      </c>
      <c r="B4298" s="32" t="s">
        <v>11423</v>
      </c>
      <c r="C4298" s="35">
        <v>-28.61359978</v>
      </c>
      <c r="D4298" s="35">
        <v>122.4240036</v>
      </c>
      <c r="E4298" s="32" t="s">
        <v>1968</v>
      </c>
      <c r="F4298" s="32" t="s">
        <v>2126</v>
      </c>
      <c r="G4298" s="36" t="e">
        <v>#N/A</v>
      </c>
      <c r="H4298" s="33"/>
      <c r="I4298" s="33"/>
      <c r="J4298" s="33"/>
      <c r="K4298" s="33"/>
      <c r="L4298" s="33"/>
      <c r="M4298" s="33"/>
    </row>
    <row r="4299">
      <c r="A4299" s="32" t="s">
        <v>11424</v>
      </c>
      <c r="B4299" s="32" t="s">
        <v>11425</v>
      </c>
      <c r="C4299" s="35">
        <v>-13.31444359</v>
      </c>
      <c r="D4299" s="35">
        <v>-56.11277771</v>
      </c>
      <c r="E4299" s="32" t="s">
        <v>288</v>
      </c>
      <c r="F4299" s="32" t="s">
        <v>11426</v>
      </c>
      <c r="G4299" s="36" t="e">
        <v>#N/A</v>
      </c>
      <c r="H4299" s="33"/>
      <c r="I4299" s="33"/>
      <c r="J4299" s="33"/>
      <c r="K4299" s="33"/>
      <c r="L4299" s="33"/>
      <c r="M4299" s="33"/>
    </row>
    <row r="4300">
      <c r="A4300" s="32" t="s">
        <v>11427</v>
      </c>
      <c r="B4300" s="32" t="s">
        <v>11428</v>
      </c>
      <c r="C4300" s="35">
        <v>35.65420151</v>
      </c>
      <c r="D4300" s="35">
        <v>-105.1419983</v>
      </c>
      <c r="E4300" s="32" t="s">
        <v>180</v>
      </c>
      <c r="F4300" s="32" t="s">
        <v>10739</v>
      </c>
      <c r="G4300" s="39" t="s">
        <v>181</v>
      </c>
      <c r="H4300" s="33"/>
      <c r="I4300" s="33"/>
      <c r="J4300" s="33"/>
      <c r="K4300" s="33"/>
      <c r="L4300" s="33"/>
      <c r="M4300" s="33"/>
    </row>
    <row r="4301">
      <c r="A4301" s="32" t="s">
        <v>11429</v>
      </c>
      <c r="B4301" s="32" t="s">
        <v>11430</v>
      </c>
      <c r="C4301" s="35">
        <v>42.3512001</v>
      </c>
      <c r="D4301" s="35">
        <v>-86.25569916</v>
      </c>
      <c r="E4301" s="32" t="s">
        <v>180</v>
      </c>
      <c r="F4301" s="32" t="s">
        <v>11431</v>
      </c>
      <c r="G4301" s="39" t="s">
        <v>181</v>
      </c>
      <c r="H4301" s="33"/>
      <c r="I4301" s="33"/>
      <c r="J4301" s="33"/>
      <c r="K4301" s="33"/>
      <c r="L4301" s="33"/>
      <c r="M4301" s="33"/>
    </row>
    <row r="4302">
      <c r="A4302" s="32" t="s">
        <v>11432</v>
      </c>
      <c r="B4302" s="32" t="s">
        <v>11433</v>
      </c>
      <c r="C4302" s="35">
        <v>37.85829926</v>
      </c>
      <c r="D4302" s="35">
        <v>-80.39949799</v>
      </c>
      <c r="E4302" s="32" t="s">
        <v>180</v>
      </c>
      <c r="F4302" s="32" t="s">
        <v>11434</v>
      </c>
      <c r="G4302" s="39" t="s">
        <v>181</v>
      </c>
      <c r="H4302" s="33"/>
      <c r="I4302" s="33"/>
      <c r="J4302" s="33"/>
      <c r="K4302" s="33"/>
      <c r="L4302" s="33"/>
      <c r="M4302" s="33"/>
    </row>
    <row r="4303">
      <c r="A4303" s="32" t="s">
        <v>11435</v>
      </c>
      <c r="B4303" s="32" t="s">
        <v>11436</v>
      </c>
      <c r="C4303" s="35">
        <v>39.01119995</v>
      </c>
      <c r="D4303" s="35">
        <v>-95.21659851</v>
      </c>
      <c r="E4303" s="32" t="s">
        <v>180</v>
      </c>
      <c r="F4303" s="32" t="s">
        <v>11437</v>
      </c>
      <c r="G4303" s="39" t="s">
        <v>181</v>
      </c>
      <c r="H4303" s="33"/>
      <c r="I4303" s="33"/>
      <c r="J4303" s="33"/>
      <c r="K4303" s="33"/>
      <c r="L4303" s="33"/>
      <c r="M4303" s="33"/>
    </row>
    <row r="4304">
      <c r="A4304" s="32" t="s">
        <v>11438</v>
      </c>
      <c r="B4304" s="32" t="s">
        <v>11439</v>
      </c>
      <c r="C4304" s="35">
        <v>60.19219971</v>
      </c>
      <c r="D4304" s="35">
        <v>-1.243610024</v>
      </c>
      <c r="E4304" s="32" t="s">
        <v>90</v>
      </c>
      <c r="F4304" s="32" t="s">
        <v>11440</v>
      </c>
      <c r="G4304" s="39" t="s">
        <v>91</v>
      </c>
      <c r="H4304" s="33"/>
      <c r="I4304" s="33"/>
      <c r="J4304" s="33"/>
      <c r="K4304" s="33"/>
      <c r="L4304" s="33"/>
      <c r="M4304" s="33"/>
    </row>
    <row r="4305">
      <c r="A4305" s="32" t="s">
        <v>11441</v>
      </c>
      <c r="B4305" s="32" t="s">
        <v>11436</v>
      </c>
      <c r="C4305" s="35">
        <v>42.71720123</v>
      </c>
      <c r="D4305" s="35">
        <v>-71.12339783</v>
      </c>
      <c r="E4305" s="32" t="s">
        <v>180</v>
      </c>
      <c r="F4305" s="32" t="s">
        <v>11437</v>
      </c>
      <c r="G4305" s="39" t="s">
        <v>181</v>
      </c>
      <c r="H4305" s="33"/>
      <c r="I4305" s="33"/>
      <c r="J4305" s="33"/>
      <c r="K4305" s="33"/>
      <c r="L4305" s="33"/>
      <c r="M4305" s="33"/>
    </row>
    <row r="4306">
      <c r="A4306" s="32" t="s">
        <v>11442</v>
      </c>
      <c r="B4306" s="32" t="s">
        <v>11443</v>
      </c>
      <c r="C4306" s="35">
        <v>40.75040054</v>
      </c>
      <c r="D4306" s="35">
        <v>43.85929871</v>
      </c>
      <c r="E4306" s="32" t="s">
        <v>2015</v>
      </c>
      <c r="F4306" s="32" t="s">
        <v>11444</v>
      </c>
      <c r="G4306" s="36" t="e">
        <v>#N/A</v>
      </c>
      <c r="H4306" s="33"/>
      <c r="I4306" s="33"/>
      <c r="J4306" s="33"/>
      <c r="K4306" s="33"/>
      <c r="L4306" s="33"/>
      <c r="M4306" s="33"/>
    </row>
    <row r="4307">
      <c r="A4307" s="32" t="s">
        <v>11445</v>
      </c>
      <c r="B4307" s="32" t="s">
        <v>11446</v>
      </c>
      <c r="C4307" s="35">
        <v>49.8125</v>
      </c>
      <c r="D4307" s="35">
        <v>23.95610046</v>
      </c>
      <c r="E4307" s="32" t="s">
        <v>3293</v>
      </c>
      <c r="F4307" s="32" t="s">
        <v>11447</v>
      </c>
      <c r="G4307" s="36" t="e">
        <v>#N/A</v>
      </c>
      <c r="H4307" s="33"/>
      <c r="I4307" s="33"/>
      <c r="J4307" s="33"/>
      <c r="K4307" s="33"/>
      <c r="L4307" s="33"/>
      <c r="M4307" s="33"/>
    </row>
    <row r="4308">
      <c r="A4308" s="32" t="s">
        <v>11448</v>
      </c>
      <c r="B4308" s="32" t="s">
        <v>11449</v>
      </c>
      <c r="C4308" s="35">
        <v>53.22859955</v>
      </c>
      <c r="D4308" s="35">
        <v>5.760560036</v>
      </c>
      <c r="E4308" s="32" t="s">
        <v>127</v>
      </c>
      <c r="F4308" s="32" t="s">
        <v>11450</v>
      </c>
      <c r="G4308" s="39" t="s">
        <v>128</v>
      </c>
      <c r="H4308" s="33"/>
      <c r="I4308" s="33"/>
      <c r="J4308" s="33"/>
      <c r="K4308" s="33"/>
      <c r="L4308" s="33"/>
      <c r="M4308" s="33"/>
    </row>
    <row r="4309">
      <c r="A4309" s="32" t="s">
        <v>11451</v>
      </c>
      <c r="B4309" s="32" t="s">
        <v>11452</v>
      </c>
      <c r="C4309" s="35">
        <v>46.37450027</v>
      </c>
      <c r="D4309" s="35">
        <v>-117.0149994</v>
      </c>
      <c r="E4309" s="32" t="s">
        <v>180</v>
      </c>
      <c r="F4309" s="32" t="s">
        <v>10923</v>
      </c>
      <c r="G4309" s="39" t="s">
        <v>181</v>
      </c>
      <c r="H4309" s="33"/>
      <c r="I4309" s="33"/>
      <c r="J4309" s="33"/>
      <c r="K4309" s="33"/>
      <c r="L4309" s="33"/>
      <c r="M4309" s="33"/>
    </row>
    <row r="4310">
      <c r="A4310" s="32" t="s">
        <v>11453</v>
      </c>
      <c r="B4310" s="32" t="s">
        <v>11454</v>
      </c>
      <c r="C4310" s="35">
        <v>47.04930115</v>
      </c>
      <c r="D4310" s="35">
        <v>-109.4670029</v>
      </c>
      <c r="E4310" s="32" t="s">
        <v>180</v>
      </c>
      <c r="F4310" s="32" t="s">
        <v>11455</v>
      </c>
      <c r="G4310" s="39" t="s">
        <v>181</v>
      </c>
      <c r="H4310" s="33"/>
      <c r="I4310" s="33"/>
      <c r="J4310" s="33"/>
      <c r="K4310" s="33"/>
      <c r="L4310" s="33"/>
      <c r="M4310" s="33"/>
    </row>
    <row r="4311">
      <c r="A4311" s="32" t="s">
        <v>11456</v>
      </c>
      <c r="B4311" s="32" t="s">
        <v>11457</v>
      </c>
      <c r="C4311" s="35">
        <v>4.849170208</v>
      </c>
      <c r="D4311" s="35">
        <v>115.4079971</v>
      </c>
      <c r="E4311" s="32" t="s">
        <v>284</v>
      </c>
      <c r="F4311" s="32" t="s">
        <v>11458</v>
      </c>
      <c r="G4311" s="36" t="e">
        <v>#N/A</v>
      </c>
      <c r="H4311" s="33"/>
      <c r="I4311" s="33"/>
      <c r="J4311" s="33"/>
      <c r="K4311" s="33"/>
      <c r="L4311" s="33"/>
      <c r="M4311" s="33"/>
    </row>
    <row r="4312">
      <c r="A4312" s="32" t="s">
        <v>11459</v>
      </c>
      <c r="B4312" s="32" t="s">
        <v>11460</v>
      </c>
      <c r="C4312" s="35">
        <v>29.29780006</v>
      </c>
      <c r="D4312" s="35">
        <v>90.91190338</v>
      </c>
      <c r="E4312" s="32" t="s">
        <v>205</v>
      </c>
      <c r="F4312" s="32" t="s">
        <v>11461</v>
      </c>
      <c r="G4312" s="39" t="s">
        <v>206</v>
      </c>
      <c r="H4312" s="33"/>
      <c r="I4312" s="33"/>
      <c r="J4312" s="33"/>
      <c r="K4312" s="33"/>
      <c r="L4312" s="33"/>
      <c r="M4312" s="33"/>
    </row>
    <row r="4313">
      <c r="A4313" s="32" t="s">
        <v>11462</v>
      </c>
      <c r="B4313" s="32" t="s">
        <v>11463</v>
      </c>
      <c r="C4313" s="35">
        <v>20.96699905</v>
      </c>
      <c r="D4313" s="35">
        <v>101.4000015</v>
      </c>
      <c r="E4313" s="32" t="s">
        <v>1872</v>
      </c>
      <c r="F4313" s="32" t="s">
        <v>11464</v>
      </c>
      <c r="G4313" s="36" t="e">
        <v>#N/A</v>
      </c>
      <c r="H4313" s="33"/>
      <c r="I4313" s="33"/>
      <c r="J4313" s="33"/>
      <c r="K4313" s="33"/>
      <c r="L4313" s="33"/>
      <c r="M4313" s="33"/>
    </row>
    <row r="4314">
      <c r="A4314" s="32" t="s">
        <v>11465</v>
      </c>
      <c r="B4314" s="32" t="s">
        <v>11466</v>
      </c>
      <c r="C4314" s="35">
        <v>40.79100037</v>
      </c>
      <c r="D4314" s="35">
        <v>-99.77729797</v>
      </c>
      <c r="E4314" s="32" t="s">
        <v>180</v>
      </c>
      <c r="F4314" s="32" t="s">
        <v>11467</v>
      </c>
      <c r="G4314" s="39" t="s">
        <v>181</v>
      </c>
      <c r="H4314" s="33"/>
      <c r="I4314" s="33"/>
      <c r="J4314" s="33"/>
      <c r="K4314" s="33"/>
      <c r="L4314" s="33"/>
      <c r="M4314" s="33"/>
    </row>
    <row r="4315">
      <c r="A4315" s="32" t="s">
        <v>11468</v>
      </c>
      <c r="B4315" s="32" t="s">
        <v>11469</v>
      </c>
      <c r="C4315" s="35">
        <v>25.67099953</v>
      </c>
      <c r="D4315" s="35">
        <v>32.70660019</v>
      </c>
      <c r="E4315" s="32" t="s">
        <v>15</v>
      </c>
      <c r="F4315" s="32" t="s">
        <v>11470</v>
      </c>
      <c r="G4315" s="36" t="e">
        <v>#N/A</v>
      </c>
      <c r="H4315" s="33"/>
      <c r="I4315" s="33"/>
      <c r="J4315" s="33"/>
      <c r="K4315" s="33"/>
      <c r="L4315" s="33"/>
      <c r="M4315" s="33"/>
    </row>
    <row r="4316">
      <c r="A4316" s="32" t="s">
        <v>11471</v>
      </c>
      <c r="B4316" s="32" t="s">
        <v>11472</v>
      </c>
      <c r="C4316" s="35">
        <v>39.917099</v>
      </c>
      <c r="D4316" s="35">
        <v>25.23629951</v>
      </c>
      <c r="E4316" s="32" t="s">
        <v>339</v>
      </c>
      <c r="F4316" s="32" t="s">
        <v>11473</v>
      </c>
      <c r="G4316" s="36" t="e">
        <v>#N/A</v>
      </c>
      <c r="H4316" s="33"/>
      <c r="I4316" s="33"/>
      <c r="J4316" s="33"/>
      <c r="K4316" s="33"/>
      <c r="L4316" s="33"/>
      <c r="M4316" s="33"/>
    </row>
    <row r="4317">
      <c r="A4317" s="32" t="s">
        <v>11474</v>
      </c>
      <c r="B4317" s="32" t="s">
        <v>11475</v>
      </c>
      <c r="C4317" s="35">
        <v>34.74110031</v>
      </c>
      <c r="D4317" s="35">
        <v>112.3880005</v>
      </c>
      <c r="E4317" s="32" t="s">
        <v>205</v>
      </c>
      <c r="F4317" s="32" t="s">
        <v>11476</v>
      </c>
      <c r="G4317" s="39" t="s">
        <v>206</v>
      </c>
      <c r="H4317" s="33"/>
      <c r="I4317" s="33"/>
      <c r="J4317" s="33"/>
      <c r="K4317" s="33"/>
      <c r="L4317" s="33"/>
      <c r="M4317" s="33"/>
    </row>
    <row r="4318">
      <c r="A4318" s="32" t="s">
        <v>11477</v>
      </c>
      <c r="B4318" s="32" t="s">
        <v>11478</v>
      </c>
      <c r="C4318" s="35">
        <v>19.66699982</v>
      </c>
      <c r="D4318" s="35">
        <v>-80.09999847</v>
      </c>
      <c r="E4318" s="32" t="s">
        <v>6442</v>
      </c>
      <c r="F4318" s="32" t="s">
        <v>11479</v>
      </c>
      <c r="G4318" s="36" t="e">
        <v>#N/A</v>
      </c>
      <c r="H4318" s="33"/>
      <c r="I4318" s="33"/>
      <c r="J4318" s="33"/>
      <c r="K4318" s="33"/>
      <c r="L4318" s="33"/>
      <c r="M4318" s="33"/>
    </row>
    <row r="4319">
      <c r="A4319" s="32" t="s">
        <v>11480</v>
      </c>
      <c r="B4319" s="32" t="s">
        <v>11481</v>
      </c>
      <c r="C4319" s="35">
        <v>64.5483017</v>
      </c>
      <c r="D4319" s="35">
        <v>18.71619987</v>
      </c>
      <c r="E4319" s="32" t="s">
        <v>347</v>
      </c>
      <c r="F4319" s="32" t="s">
        <v>11482</v>
      </c>
      <c r="G4319" s="36" t="e">
        <v>#N/A</v>
      </c>
      <c r="H4319" s="33"/>
      <c r="I4319" s="33"/>
      <c r="J4319" s="33"/>
      <c r="K4319" s="33"/>
      <c r="L4319" s="33"/>
      <c r="M4319" s="33"/>
    </row>
    <row r="4320">
      <c r="A4320" s="32" t="s">
        <v>11483</v>
      </c>
      <c r="B4320" s="32" t="s">
        <v>11484</v>
      </c>
      <c r="C4320" s="35">
        <v>51.5051</v>
      </c>
      <c r="D4320" s="35">
        <v>-1.99343</v>
      </c>
      <c r="E4320" s="32" t="s">
        <v>90</v>
      </c>
      <c r="F4320" s="32" t="s">
        <v>11485</v>
      </c>
      <c r="G4320" s="39" t="s">
        <v>91</v>
      </c>
      <c r="H4320" s="33"/>
      <c r="I4320" s="33"/>
      <c r="J4320" s="33"/>
      <c r="K4320" s="33"/>
      <c r="L4320" s="33"/>
      <c r="M4320" s="33"/>
    </row>
    <row r="4321">
      <c r="A4321" s="32" t="s">
        <v>11486</v>
      </c>
      <c r="B4321" s="32" t="s">
        <v>11487</v>
      </c>
      <c r="C4321" s="35">
        <v>34.571667</v>
      </c>
      <c r="D4321" s="35">
        <v>118.873611</v>
      </c>
      <c r="E4321" s="32" t="s">
        <v>205</v>
      </c>
      <c r="F4321" s="32" t="s">
        <v>11488</v>
      </c>
      <c r="G4321" s="39" t="s">
        <v>206</v>
      </c>
      <c r="H4321" s="33"/>
      <c r="I4321" s="33"/>
      <c r="J4321" s="33"/>
      <c r="K4321" s="33"/>
      <c r="L4321" s="33"/>
      <c r="M4321" s="33"/>
    </row>
    <row r="4322">
      <c r="A4322" s="32" t="s">
        <v>11489</v>
      </c>
      <c r="B4322" s="32" t="s">
        <v>11490</v>
      </c>
      <c r="C4322" s="35">
        <v>37.3266983</v>
      </c>
      <c r="D4322" s="35">
        <v>-79.20040131</v>
      </c>
      <c r="E4322" s="32" t="s">
        <v>180</v>
      </c>
      <c r="F4322" s="32" t="s">
        <v>11491</v>
      </c>
      <c r="G4322" s="39" t="s">
        <v>181</v>
      </c>
      <c r="H4322" s="33"/>
      <c r="I4322" s="33"/>
      <c r="J4322" s="33"/>
      <c r="K4322" s="33"/>
      <c r="L4322" s="33"/>
      <c r="M4322" s="33"/>
    </row>
    <row r="4323">
      <c r="A4323" s="32" t="s">
        <v>11492</v>
      </c>
      <c r="B4323" s="32" t="s">
        <v>11493</v>
      </c>
      <c r="C4323" s="35">
        <v>35.04610062</v>
      </c>
      <c r="D4323" s="35">
        <v>118.4120026</v>
      </c>
      <c r="E4323" s="32" t="s">
        <v>205</v>
      </c>
      <c r="F4323" s="32" t="s">
        <v>11494</v>
      </c>
      <c r="G4323" s="39" t="s">
        <v>206</v>
      </c>
      <c r="H4323" s="33"/>
      <c r="I4323" s="33"/>
      <c r="J4323" s="33"/>
      <c r="K4323" s="33"/>
      <c r="L4323" s="33"/>
      <c r="M4323" s="33"/>
    </row>
    <row r="4324">
      <c r="A4324" s="32" t="s">
        <v>11495</v>
      </c>
      <c r="B4324" s="32" t="s">
        <v>11496</v>
      </c>
      <c r="C4324" s="35">
        <v>51.08</v>
      </c>
      <c r="D4324" s="35">
        <v>1.013</v>
      </c>
      <c r="E4324" s="32" t="s">
        <v>90</v>
      </c>
      <c r="F4324" s="32" t="s">
        <v>11497</v>
      </c>
      <c r="G4324" s="39" t="s">
        <v>91</v>
      </c>
      <c r="H4324" s="33"/>
      <c r="I4324" s="33"/>
      <c r="J4324" s="33"/>
      <c r="K4324" s="33"/>
      <c r="L4324" s="33"/>
      <c r="M4324" s="33"/>
    </row>
    <row r="4325">
      <c r="A4325" s="32" t="s">
        <v>11498</v>
      </c>
      <c r="B4325" s="32" t="s">
        <v>11499</v>
      </c>
      <c r="C4325" s="35">
        <v>45.72719955</v>
      </c>
      <c r="D4325" s="35">
        <v>4.944270134</v>
      </c>
      <c r="E4325" s="32" t="s">
        <v>96</v>
      </c>
      <c r="F4325" s="32" t="s">
        <v>11500</v>
      </c>
      <c r="G4325" s="39" t="s">
        <v>97</v>
      </c>
      <c r="H4325" s="33"/>
      <c r="I4325" s="33"/>
      <c r="J4325" s="33"/>
      <c r="K4325" s="33"/>
      <c r="L4325" s="33"/>
      <c r="M4325" s="33"/>
    </row>
    <row r="4326">
      <c r="A4326" s="32" t="s">
        <v>11501</v>
      </c>
      <c r="B4326" s="32" t="s">
        <v>11502</v>
      </c>
      <c r="C4326" s="35">
        <v>31.36499977</v>
      </c>
      <c r="D4326" s="35">
        <v>72.99479675</v>
      </c>
      <c r="E4326" s="32" t="s">
        <v>1470</v>
      </c>
      <c r="F4326" s="32" t="s">
        <v>11503</v>
      </c>
      <c r="G4326" s="36" t="e">
        <v>#N/A</v>
      </c>
      <c r="H4326" s="33"/>
      <c r="I4326" s="33"/>
      <c r="J4326" s="33"/>
      <c r="K4326" s="33"/>
      <c r="L4326" s="33"/>
      <c r="M4326" s="33"/>
    </row>
    <row r="4327">
      <c r="A4327" s="32" t="s">
        <v>11504</v>
      </c>
      <c r="B4327" s="32" t="s">
        <v>11505</v>
      </c>
      <c r="C4327" s="35">
        <v>78.24610138</v>
      </c>
      <c r="D4327" s="35">
        <v>15.46560001</v>
      </c>
      <c r="E4327" s="32" t="s">
        <v>343</v>
      </c>
      <c r="F4327" s="32" t="s">
        <v>2224</v>
      </c>
      <c r="G4327" s="36" t="e">
        <v>#N/A</v>
      </c>
      <c r="H4327" s="33"/>
      <c r="I4327" s="33"/>
      <c r="J4327" s="33"/>
      <c r="K4327" s="33"/>
      <c r="L4327" s="33"/>
      <c r="M4327" s="33"/>
    </row>
    <row r="4328">
      <c r="A4328" s="32" t="s">
        <v>11506</v>
      </c>
      <c r="B4328" s="32" t="s">
        <v>11507</v>
      </c>
      <c r="C4328" s="35">
        <v>45.7255556</v>
      </c>
      <c r="D4328" s="35">
        <v>5.0811111</v>
      </c>
      <c r="E4328" s="32" t="s">
        <v>96</v>
      </c>
      <c r="F4328" s="32" t="s">
        <v>11500</v>
      </c>
      <c r="G4328" s="39" t="s">
        <v>97</v>
      </c>
      <c r="H4328" s="33"/>
      <c r="I4328" s="33"/>
      <c r="J4328" s="33"/>
      <c r="K4328" s="33"/>
      <c r="L4328" s="33"/>
      <c r="M4328" s="33"/>
    </row>
    <row r="4329">
      <c r="A4329" s="32" t="s">
        <v>11508</v>
      </c>
      <c r="B4329" s="32" t="s">
        <v>11509</v>
      </c>
      <c r="C4329" s="35">
        <v>47.82450104</v>
      </c>
      <c r="D4329" s="35">
        <v>-91.83070374</v>
      </c>
      <c r="E4329" s="32" t="s">
        <v>180</v>
      </c>
      <c r="F4329" s="32" t="s">
        <v>7234</v>
      </c>
      <c r="G4329" s="39" t="s">
        <v>181</v>
      </c>
      <c r="H4329" s="33"/>
      <c r="I4329" s="33"/>
      <c r="J4329" s="33"/>
      <c r="K4329" s="33"/>
      <c r="L4329" s="33"/>
      <c r="M4329" s="33"/>
    </row>
    <row r="4330">
      <c r="A4330" s="32" t="s">
        <v>11510</v>
      </c>
      <c r="B4330" s="32" t="s">
        <v>11511</v>
      </c>
      <c r="C4330" s="35">
        <v>50.95610046</v>
      </c>
      <c r="D4330" s="35">
        <v>0.939167023</v>
      </c>
      <c r="E4330" s="32" t="s">
        <v>90</v>
      </c>
      <c r="F4330" s="32" t="s">
        <v>11512</v>
      </c>
      <c r="G4330" s="39" t="s">
        <v>91</v>
      </c>
      <c r="H4330" s="33"/>
      <c r="I4330" s="33"/>
      <c r="J4330" s="33"/>
      <c r="K4330" s="33"/>
      <c r="L4330" s="33"/>
      <c r="M4330" s="33"/>
    </row>
    <row r="4331">
      <c r="A4331" s="32" t="s">
        <v>11513</v>
      </c>
      <c r="B4331" s="32" t="s">
        <v>11514</v>
      </c>
      <c r="C4331" s="35">
        <v>18.00169945</v>
      </c>
      <c r="D4331" s="35">
        <v>-102.2210007</v>
      </c>
      <c r="E4331" s="32" t="s">
        <v>186</v>
      </c>
      <c r="F4331" s="32" t="s">
        <v>11515</v>
      </c>
      <c r="G4331" s="39" t="s">
        <v>187</v>
      </c>
      <c r="H4331" s="33"/>
      <c r="I4331" s="33"/>
      <c r="J4331" s="33"/>
      <c r="K4331" s="33"/>
      <c r="L4331" s="33"/>
      <c r="M4331" s="33"/>
    </row>
    <row r="4332">
      <c r="A4332" s="32" t="s">
        <v>11516</v>
      </c>
      <c r="B4332" s="32" t="s">
        <v>11517</v>
      </c>
      <c r="C4332" s="35">
        <v>24.2075</v>
      </c>
      <c r="D4332" s="35">
        <v>109.390999</v>
      </c>
      <c r="E4332" s="32" t="s">
        <v>205</v>
      </c>
      <c r="F4332" s="32" t="s">
        <v>11518</v>
      </c>
      <c r="G4332" s="39" t="s">
        <v>206</v>
      </c>
      <c r="H4332" s="33"/>
      <c r="I4332" s="33"/>
      <c r="J4332" s="33"/>
      <c r="K4332" s="33"/>
      <c r="L4332" s="33"/>
      <c r="M4332" s="33"/>
    </row>
    <row r="4333">
      <c r="A4333" s="32" t="s">
        <v>11519</v>
      </c>
      <c r="B4333" s="32" t="s">
        <v>11520</v>
      </c>
      <c r="C4333" s="35">
        <v>26.15979958</v>
      </c>
      <c r="D4333" s="35">
        <v>119.9580002</v>
      </c>
      <c r="E4333" s="32" t="s">
        <v>1497</v>
      </c>
      <c r="F4333" s="32" t="s">
        <v>11521</v>
      </c>
      <c r="G4333" s="36" t="e">
        <v>#N/A</v>
      </c>
      <c r="H4333" s="33"/>
      <c r="I4333" s="33"/>
      <c r="J4333" s="33"/>
      <c r="K4333" s="33"/>
      <c r="L4333" s="33"/>
      <c r="M4333" s="33"/>
    </row>
    <row r="4334">
      <c r="A4334" s="32" t="s">
        <v>11522</v>
      </c>
      <c r="B4334" s="32" t="s">
        <v>11523</v>
      </c>
      <c r="C4334" s="35">
        <v>28.85219955</v>
      </c>
      <c r="D4334" s="35">
        <v>105.3929977</v>
      </c>
      <c r="E4334" s="32" t="s">
        <v>205</v>
      </c>
      <c r="F4334" s="32" t="s">
        <v>11524</v>
      </c>
      <c r="G4334" s="39" t="s">
        <v>206</v>
      </c>
      <c r="H4334" s="33"/>
      <c r="I4334" s="33"/>
      <c r="J4334" s="33"/>
      <c r="K4334" s="33"/>
      <c r="L4334" s="33"/>
      <c r="M4334" s="33"/>
    </row>
    <row r="4335">
      <c r="A4335" s="32" t="s">
        <v>11525</v>
      </c>
      <c r="B4335" s="32" t="s">
        <v>11526</v>
      </c>
      <c r="C4335" s="35">
        <v>-14.673273</v>
      </c>
      <c r="D4335" s="35">
        <v>145.454571</v>
      </c>
      <c r="E4335" s="32" t="s">
        <v>1968</v>
      </c>
      <c r="F4335" s="32" t="s">
        <v>11527</v>
      </c>
      <c r="G4335" s="36" t="e">
        <v>#N/A</v>
      </c>
      <c r="H4335" s="33"/>
      <c r="I4335" s="33"/>
      <c r="J4335" s="33"/>
      <c r="K4335" s="33"/>
      <c r="L4335" s="33"/>
      <c r="M4335" s="33"/>
    </row>
    <row r="4336">
      <c r="A4336" s="32" t="s">
        <v>11528</v>
      </c>
      <c r="B4336" s="32" t="s">
        <v>11529</v>
      </c>
      <c r="C4336" s="35">
        <v>33.97809982</v>
      </c>
      <c r="D4336" s="35">
        <v>-83.96240234</v>
      </c>
      <c r="E4336" s="32" t="s">
        <v>180</v>
      </c>
      <c r="F4336" s="32" t="s">
        <v>11530</v>
      </c>
      <c r="G4336" s="39" t="s">
        <v>181</v>
      </c>
      <c r="H4336" s="33"/>
      <c r="I4336" s="33"/>
      <c r="J4336" s="33"/>
      <c r="K4336" s="33"/>
      <c r="L4336" s="33"/>
      <c r="M4336" s="33"/>
    </row>
    <row r="4337">
      <c r="A4337" s="32" t="s">
        <v>11531</v>
      </c>
      <c r="B4337" s="32" t="s">
        <v>11532</v>
      </c>
      <c r="C4337" s="35">
        <v>29.30330086</v>
      </c>
      <c r="D4337" s="35">
        <v>94.33529663</v>
      </c>
      <c r="E4337" s="32" t="s">
        <v>205</v>
      </c>
      <c r="F4337" s="32" t="s">
        <v>11533</v>
      </c>
      <c r="G4337" s="39" t="s">
        <v>206</v>
      </c>
      <c r="H4337" s="33"/>
      <c r="I4337" s="33"/>
      <c r="J4337" s="33"/>
      <c r="K4337" s="33"/>
      <c r="L4337" s="33"/>
      <c r="M4337" s="33"/>
    </row>
    <row r="4338">
      <c r="A4338" s="32" t="s">
        <v>11534</v>
      </c>
      <c r="B4338" s="32" t="s">
        <v>11535</v>
      </c>
      <c r="C4338" s="35">
        <v>31.10619926</v>
      </c>
      <c r="D4338" s="35">
        <v>-98.19589996</v>
      </c>
      <c r="E4338" s="32" t="s">
        <v>180</v>
      </c>
      <c r="F4338" s="32" t="s">
        <v>11536</v>
      </c>
      <c r="G4338" s="39" t="s">
        <v>181</v>
      </c>
      <c r="H4338" s="33"/>
      <c r="I4338" s="33"/>
      <c r="J4338" s="33"/>
      <c r="K4338" s="33"/>
      <c r="L4338" s="33"/>
      <c r="M4338" s="33"/>
    </row>
    <row r="4339">
      <c r="A4339" s="32" t="s">
        <v>11537</v>
      </c>
      <c r="B4339" s="32" t="s">
        <v>11538</v>
      </c>
      <c r="C4339" s="35">
        <v>46.68740082</v>
      </c>
      <c r="D4339" s="35">
        <v>-119.9209976</v>
      </c>
      <c r="E4339" s="32" t="s">
        <v>180</v>
      </c>
      <c r="F4339" s="32" t="s">
        <v>11539</v>
      </c>
      <c r="G4339" s="39" t="s">
        <v>181</v>
      </c>
      <c r="H4339" s="33"/>
      <c r="I4339" s="33"/>
      <c r="J4339" s="33"/>
      <c r="K4339" s="33"/>
      <c r="L4339" s="33"/>
      <c r="M4339" s="33"/>
    </row>
    <row r="4340">
      <c r="A4340" s="32" t="s">
        <v>11540</v>
      </c>
      <c r="B4340" s="32" t="s">
        <v>11541</v>
      </c>
      <c r="C4340" s="35">
        <v>12.99000549</v>
      </c>
      <c r="D4340" s="35">
        <v>80.16929626</v>
      </c>
      <c r="E4340" s="32" t="s">
        <v>217</v>
      </c>
      <c r="F4340" s="32" t="s">
        <v>11542</v>
      </c>
      <c r="G4340" s="39" t="s">
        <v>218</v>
      </c>
      <c r="H4340" s="33"/>
      <c r="I4340" s="33"/>
      <c r="J4340" s="33"/>
      <c r="K4340" s="33"/>
      <c r="L4340" s="33"/>
      <c r="M4340" s="33"/>
    </row>
    <row r="4341">
      <c r="A4341" s="32" t="s">
        <v>11543</v>
      </c>
      <c r="B4341" s="32" t="s">
        <v>11544</v>
      </c>
      <c r="C4341" s="35">
        <v>-5.368589878</v>
      </c>
      <c r="D4341" s="35">
        <v>-49.13800049</v>
      </c>
      <c r="E4341" s="32" t="s">
        <v>288</v>
      </c>
      <c r="F4341" s="32" t="s">
        <v>11545</v>
      </c>
      <c r="G4341" s="36" t="e">
        <v>#N/A</v>
      </c>
      <c r="H4341" s="33"/>
      <c r="I4341" s="33"/>
      <c r="J4341" s="33"/>
      <c r="K4341" s="33"/>
      <c r="L4341" s="33"/>
      <c r="M4341" s="33"/>
    </row>
    <row r="4342">
      <c r="A4342" s="32" t="s">
        <v>11546</v>
      </c>
      <c r="B4342" s="32" t="s">
        <v>11547</v>
      </c>
      <c r="C4342" s="35">
        <v>40.471926</v>
      </c>
      <c r="D4342" s="35">
        <v>-3.56264</v>
      </c>
      <c r="E4342" s="32" t="s">
        <v>115</v>
      </c>
      <c r="F4342" s="32" t="s">
        <v>864</v>
      </c>
      <c r="G4342" s="39" t="s">
        <v>116</v>
      </c>
      <c r="H4342" s="33"/>
      <c r="I4342" s="33"/>
      <c r="J4342" s="33"/>
      <c r="K4342" s="33"/>
      <c r="L4342" s="33"/>
      <c r="M4342" s="33"/>
    </row>
    <row r="4343">
      <c r="A4343" s="32" t="s">
        <v>11548</v>
      </c>
      <c r="B4343" s="32" t="s">
        <v>11549</v>
      </c>
      <c r="C4343" s="35">
        <v>36.98860168</v>
      </c>
      <c r="D4343" s="35">
        <v>-120.1119995</v>
      </c>
      <c r="E4343" s="32" t="s">
        <v>180</v>
      </c>
      <c r="F4343" s="32" t="s">
        <v>11550</v>
      </c>
      <c r="G4343" s="39" t="s">
        <v>181</v>
      </c>
      <c r="H4343" s="33"/>
      <c r="I4343" s="33"/>
      <c r="J4343" s="33"/>
      <c r="K4343" s="33"/>
      <c r="L4343" s="33"/>
      <c r="M4343" s="33"/>
    </row>
    <row r="4344">
      <c r="A4344" s="32" t="s">
        <v>11551</v>
      </c>
      <c r="B4344" s="32" t="s">
        <v>11552</v>
      </c>
      <c r="C4344" s="35">
        <v>31.94249916</v>
      </c>
      <c r="D4344" s="35">
        <v>-102.2020035</v>
      </c>
      <c r="E4344" s="32" t="s">
        <v>180</v>
      </c>
      <c r="F4344" s="32" t="s">
        <v>11553</v>
      </c>
      <c r="G4344" s="39" t="s">
        <v>181</v>
      </c>
      <c r="H4344" s="33"/>
      <c r="I4344" s="33"/>
      <c r="J4344" s="33"/>
      <c r="K4344" s="33"/>
      <c r="L4344" s="33"/>
      <c r="M4344" s="33"/>
    </row>
    <row r="4345">
      <c r="A4345" s="32" t="s">
        <v>11554</v>
      </c>
      <c r="B4345" s="32" t="s">
        <v>11555</v>
      </c>
      <c r="C4345" s="35">
        <v>-5.207079887</v>
      </c>
      <c r="D4345" s="35">
        <v>145.7890015</v>
      </c>
      <c r="E4345" s="32" t="s">
        <v>5289</v>
      </c>
      <c r="F4345" s="32" t="s">
        <v>11556</v>
      </c>
      <c r="G4345" s="36" t="e">
        <v>#N/A</v>
      </c>
      <c r="H4345" s="33"/>
      <c r="I4345" s="33"/>
      <c r="J4345" s="33"/>
      <c r="K4345" s="33"/>
      <c r="L4345" s="33"/>
      <c r="M4345" s="33"/>
    </row>
    <row r="4346">
      <c r="A4346" s="32" t="s">
        <v>11557</v>
      </c>
      <c r="B4346" s="32" t="s">
        <v>11558</v>
      </c>
      <c r="C4346" s="35">
        <v>39.86259842</v>
      </c>
      <c r="D4346" s="35">
        <v>4.218649864</v>
      </c>
      <c r="E4346" s="32" t="s">
        <v>115</v>
      </c>
      <c r="F4346" s="32" t="s">
        <v>11559</v>
      </c>
      <c r="G4346" s="39" t="s">
        <v>116</v>
      </c>
      <c r="H4346" s="33"/>
      <c r="I4346" s="33"/>
      <c r="J4346" s="33"/>
      <c r="K4346" s="33"/>
      <c r="L4346" s="33"/>
      <c r="M4346" s="33"/>
    </row>
    <row r="4347">
      <c r="A4347" s="32" t="s">
        <v>11560</v>
      </c>
      <c r="B4347" s="32" t="s">
        <v>11561</v>
      </c>
      <c r="C4347" s="35">
        <v>-14.4829998</v>
      </c>
      <c r="D4347" s="35">
        <v>35.26699829</v>
      </c>
      <c r="E4347" s="32" t="s">
        <v>794</v>
      </c>
      <c r="F4347" s="32" t="s">
        <v>11562</v>
      </c>
      <c r="G4347" s="36" t="e">
        <v>#N/A</v>
      </c>
      <c r="H4347" s="33"/>
      <c r="I4347" s="33"/>
      <c r="J4347" s="33"/>
      <c r="K4347" s="33"/>
      <c r="L4347" s="33"/>
      <c r="M4347" s="33"/>
    </row>
    <row r="4348">
      <c r="A4348" s="32" t="s">
        <v>11563</v>
      </c>
      <c r="B4348" s="32" t="s">
        <v>11564</v>
      </c>
      <c r="C4348" s="35">
        <v>7.064760208</v>
      </c>
      <c r="D4348" s="35">
        <v>171.2720032</v>
      </c>
      <c r="E4348" s="32" t="s">
        <v>1494</v>
      </c>
      <c r="F4348" s="32" t="s">
        <v>11565</v>
      </c>
      <c r="G4348" s="36" t="e">
        <v>#N/A</v>
      </c>
      <c r="H4348" s="33"/>
      <c r="I4348" s="33"/>
      <c r="J4348" s="33"/>
      <c r="K4348" s="33"/>
      <c r="L4348" s="33"/>
      <c r="M4348" s="33"/>
    </row>
    <row r="4349">
      <c r="A4349" s="32" t="s">
        <v>11566</v>
      </c>
      <c r="B4349" s="32" t="s">
        <v>11567</v>
      </c>
      <c r="C4349" s="35">
        <v>9.558970451</v>
      </c>
      <c r="D4349" s="35">
        <v>31.6522007</v>
      </c>
      <c r="E4349" s="32" t="s">
        <v>844</v>
      </c>
      <c r="F4349" s="32" t="s">
        <v>11568</v>
      </c>
      <c r="G4349" s="36" t="e">
        <v>#N/A</v>
      </c>
      <c r="H4349" s="33"/>
      <c r="I4349" s="33"/>
      <c r="J4349" s="33"/>
      <c r="K4349" s="33"/>
      <c r="L4349" s="33"/>
      <c r="M4349" s="33"/>
    </row>
    <row r="4350">
      <c r="A4350" s="32" t="s">
        <v>11569</v>
      </c>
      <c r="B4350" s="32" t="s">
        <v>11570</v>
      </c>
      <c r="C4350" s="35">
        <v>25.76989937</v>
      </c>
      <c r="D4350" s="35">
        <v>-97.52529907</v>
      </c>
      <c r="E4350" s="32" t="s">
        <v>186</v>
      </c>
      <c r="F4350" s="32" t="s">
        <v>11571</v>
      </c>
      <c r="G4350" s="39" t="s">
        <v>187</v>
      </c>
      <c r="H4350" s="33"/>
      <c r="I4350" s="33"/>
      <c r="J4350" s="33"/>
      <c r="K4350" s="33"/>
      <c r="L4350" s="33"/>
      <c r="M4350" s="33"/>
    </row>
    <row r="4351">
      <c r="A4351" s="32" t="s">
        <v>11572</v>
      </c>
      <c r="B4351" s="32" t="s">
        <v>11573</v>
      </c>
      <c r="C4351" s="35">
        <v>53.35369873</v>
      </c>
      <c r="D4351" s="35">
        <v>-2.274950027</v>
      </c>
      <c r="E4351" s="32" t="s">
        <v>90</v>
      </c>
      <c r="F4351" s="32" t="s">
        <v>2942</v>
      </c>
      <c r="G4351" s="39" t="s">
        <v>91</v>
      </c>
      <c r="H4351" s="33"/>
      <c r="I4351" s="33"/>
      <c r="J4351" s="33"/>
      <c r="K4351" s="33"/>
      <c r="L4351" s="33"/>
      <c r="M4351" s="33"/>
    </row>
    <row r="4352">
      <c r="A4352" s="32" t="s">
        <v>11574</v>
      </c>
      <c r="B4352" s="32" t="s">
        <v>11575</v>
      </c>
      <c r="C4352" s="35">
        <v>-3.038609982</v>
      </c>
      <c r="D4352" s="35">
        <v>-60.04970169</v>
      </c>
      <c r="E4352" s="32" t="s">
        <v>288</v>
      </c>
      <c r="F4352" s="32" t="s">
        <v>11576</v>
      </c>
      <c r="G4352" s="36" t="e">
        <v>#N/A</v>
      </c>
      <c r="H4352" s="33"/>
      <c r="I4352" s="33"/>
      <c r="J4352" s="33"/>
      <c r="K4352" s="33"/>
      <c r="L4352" s="33"/>
      <c r="M4352" s="33"/>
    </row>
    <row r="4353">
      <c r="A4353" s="32" t="s">
        <v>11577</v>
      </c>
      <c r="B4353" s="32" t="s">
        <v>11578</v>
      </c>
      <c r="C4353" s="35">
        <v>16.69989967</v>
      </c>
      <c r="D4353" s="35">
        <v>98.54509735</v>
      </c>
      <c r="E4353" s="32" t="s">
        <v>175</v>
      </c>
      <c r="F4353" s="32" t="s">
        <v>1899</v>
      </c>
      <c r="G4353" s="39" t="s">
        <v>176</v>
      </c>
      <c r="H4353" s="33"/>
      <c r="I4353" s="33"/>
      <c r="J4353" s="33"/>
      <c r="K4353" s="33"/>
      <c r="L4353" s="33"/>
      <c r="M4353" s="33"/>
    </row>
    <row r="4354">
      <c r="A4354" s="32" t="s">
        <v>11579</v>
      </c>
      <c r="B4354" s="32" t="s">
        <v>11580</v>
      </c>
      <c r="C4354" s="35">
        <v>10.55820847</v>
      </c>
      <c r="D4354" s="35">
        <v>-71.7278595</v>
      </c>
      <c r="E4354" s="32" t="s">
        <v>315</v>
      </c>
      <c r="F4354" s="32" t="s">
        <v>1786</v>
      </c>
      <c r="G4354" s="36" t="e">
        <v>#N/A</v>
      </c>
      <c r="H4354" s="33"/>
      <c r="I4354" s="33"/>
      <c r="J4354" s="33"/>
      <c r="K4354" s="33"/>
      <c r="L4354" s="33"/>
      <c r="M4354" s="33"/>
    </row>
    <row r="4355">
      <c r="A4355" s="32" t="s">
        <v>11581</v>
      </c>
      <c r="B4355" s="32" t="s">
        <v>11582</v>
      </c>
      <c r="C4355" s="35">
        <v>-2.06189</v>
      </c>
      <c r="D4355" s="35">
        <v>147.423996</v>
      </c>
      <c r="E4355" s="32" t="s">
        <v>5289</v>
      </c>
      <c r="F4355" s="32" t="s">
        <v>11583</v>
      </c>
      <c r="G4355" s="36" t="e">
        <v>#N/A</v>
      </c>
      <c r="H4355" s="33"/>
      <c r="I4355" s="33"/>
      <c r="J4355" s="33"/>
      <c r="K4355" s="33"/>
      <c r="L4355" s="33"/>
      <c r="M4355" s="33"/>
    </row>
    <row r="4356">
      <c r="A4356" s="32" t="s">
        <v>11584</v>
      </c>
      <c r="B4356" s="32" t="s">
        <v>11585</v>
      </c>
      <c r="C4356" s="35">
        <v>-5.799610138</v>
      </c>
      <c r="D4356" s="35">
        <v>13.44040012</v>
      </c>
      <c r="E4356" s="32" t="s">
        <v>800</v>
      </c>
      <c r="F4356" s="32" t="s">
        <v>11586</v>
      </c>
      <c r="G4356" s="36" t="e">
        <v>#N/A</v>
      </c>
      <c r="H4356" s="33"/>
      <c r="I4356" s="33"/>
      <c r="J4356" s="33"/>
      <c r="K4356" s="33"/>
      <c r="L4356" s="33"/>
      <c r="M4356" s="33"/>
    </row>
    <row r="4357">
      <c r="A4357" s="32" t="s">
        <v>11587</v>
      </c>
      <c r="B4357" s="32" t="s">
        <v>11588</v>
      </c>
      <c r="C4357" s="35">
        <v>-16.42650032</v>
      </c>
      <c r="D4357" s="35">
        <v>-152.2440033</v>
      </c>
      <c r="E4357" s="32" t="s">
        <v>1325</v>
      </c>
      <c r="F4357" s="32" t="s">
        <v>11589</v>
      </c>
      <c r="G4357" s="36" t="e">
        <v>#N/A</v>
      </c>
      <c r="H4357" s="33"/>
      <c r="I4357" s="33"/>
      <c r="J4357" s="33"/>
      <c r="K4357" s="33"/>
      <c r="L4357" s="33"/>
      <c r="M4357" s="33"/>
    </row>
    <row r="4358">
      <c r="A4358" s="32" t="s">
        <v>11590</v>
      </c>
      <c r="B4358" s="32" t="s">
        <v>11591</v>
      </c>
      <c r="C4358" s="35">
        <v>15.59360027</v>
      </c>
      <c r="D4358" s="35">
        <v>-13.32279968</v>
      </c>
      <c r="E4358" s="32" t="s">
        <v>5407</v>
      </c>
      <c r="F4358" s="32" t="s">
        <v>11592</v>
      </c>
      <c r="G4358" s="36" t="e">
        <v>#N/A</v>
      </c>
      <c r="H4358" s="33"/>
      <c r="I4358" s="33"/>
      <c r="J4358" s="33"/>
      <c r="K4358" s="33"/>
      <c r="L4358" s="33"/>
      <c r="M4358" s="33"/>
    </row>
    <row r="4359">
      <c r="A4359" s="32" t="s">
        <v>11593</v>
      </c>
      <c r="B4359" s="32" t="s">
        <v>11594</v>
      </c>
      <c r="C4359" s="35">
        <v>18.25569916</v>
      </c>
      <c r="D4359" s="35">
        <v>-67.14849854</v>
      </c>
      <c r="E4359" s="32" t="s">
        <v>331</v>
      </c>
      <c r="F4359" s="32" t="s">
        <v>11595</v>
      </c>
      <c r="G4359" s="36" t="e">
        <v>#N/A</v>
      </c>
      <c r="H4359" s="33"/>
      <c r="I4359" s="33"/>
      <c r="J4359" s="33"/>
      <c r="K4359" s="33"/>
      <c r="L4359" s="33"/>
      <c r="M4359" s="33"/>
    </row>
    <row r="4360">
      <c r="A4360" s="32" t="s">
        <v>11596</v>
      </c>
      <c r="B4360" s="32" t="s">
        <v>11597</v>
      </c>
      <c r="C4360" s="35">
        <v>-4.034830093</v>
      </c>
      <c r="D4360" s="35">
        <v>39.59420013</v>
      </c>
      <c r="E4360" s="32" t="s">
        <v>21</v>
      </c>
      <c r="F4360" s="32" t="s">
        <v>11598</v>
      </c>
      <c r="G4360" s="36" t="e">
        <v>#N/A</v>
      </c>
      <c r="H4360" s="33"/>
      <c r="I4360" s="33"/>
      <c r="J4360" s="33"/>
      <c r="K4360" s="33"/>
      <c r="L4360" s="33"/>
      <c r="M4360" s="33"/>
    </row>
    <row r="4361">
      <c r="A4361" s="32" t="s">
        <v>11599</v>
      </c>
      <c r="B4361" s="32" t="s">
        <v>11600</v>
      </c>
      <c r="C4361" s="35">
        <v>-25.79840088</v>
      </c>
      <c r="D4361" s="35">
        <v>25.54800034</v>
      </c>
      <c r="E4361" s="32" t="s">
        <v>16</v>
      </c>
      <c r="F4361" s="32" t="s">
        <v>11601</v>
      </c>
      <c r="G4361" s="36" t="e">
        <v>#N/A</v>
      </c>
      <c r="H4361" s="33"/>
      <c r="I4361" s="33"/>
      <c r="J4361" s="33"/>
      <c r="K4361" s="33"/>
      <c r="L4361" s="33"/>
      <c r="M4361" s="33"/>
    </row>
    <row r="4362">
      <c r="A4362" s="32" t="s">
        <v>11602</v>
      </c>
      <c r="B4362" s="32" t="s">
        <v>11603</v>
      </c>
      <c r="C4362" s="35">
        <v>44.30390167</v>
      </c>
      <c r="D4362" s="35">
        <v>143.404007</v>
      </c>
      <c r="E4362" s="32" t="s">
        <v>170</v>
      </c>
      <c r="F4362" s="32" t="s">
        <v>11604</v>
      </c>
      <c r="G4362" s="39" t="s">
        <v>171</v>
      </c>
      <c r="H4362" s="33"/>
      <c r="I4362" s="33"/>
      <c r="J4362" s="33"/>
      <c r="K4362" s="33"/>
      <c r="L4362" s="33"/>
      <c r="M4362" s="33"/>
    </row>
    <row r="4363">
      <c r="A4363" s="32" t="s">
        <v>11605</v>
      </c>
      <c r="B4363" s="32" t="s">
        <v>11606</v>
      </c>
      <c r="C4363" s="35">
        <v>45.54650116</v>
      </c>
      <c r="D4363" s="35">
        <v>-100.4079971</v>
      </c>
      <c r="E4363" s="32" t="s">
        <v>180</v>
      </c>
      <c r="F4363" s="32" t="s">
        <v>11607</v>
      </c>
      <c r="G4363" s="39" t="s">
        <v>181</v>
      </c>
      <c r="H4363" s="33"/>
      <c r="I4363" s="33"/>
      <c r="J4363" s="33"/>
      <c r="K4363" s="33"/>
      <c r="L4363" s="33"/>
      <c r="M4363" s="33"/>
    </row>
    <row r="4364">
      <c r="A4364" s="32" t="s">
        <v>11608</v>
      </c>
      <c r="B4364" s="32" t="s">
        <v>11609</v>
      </c>
      <c r="C4364" s="35">
        <v>-25.51329994</v>
      </c>
      <c r="D4364" s="35">
        <v>152.7149963</v>
      </c>
      <c r="E4364" s="32" t="s">
        <v>1968</v>
      </c>
      <c r="F4364" s="32" t="s">
        <v>11610</v>
      </c>
      <c r="G4364" s="36" t="e">
        <v>#N/A</v>
      </c>
      <c r="H4364" s="33"/>
      <c r="I4364" s="33"/>
      <c r="J4364" s="33"/>
      <c r="K4364" s="33"/>
      <c r="L4364" s="33"/>
      <c r="M4364" s="33"/>
    </row>
    <row r="4365">
      <c r="A4365" s="32" t="s">
        <v>11611</v>
      </c>
      <c r="B4365" s="32" t="s">
        <v>11612</v>
      </c>
      <c r="C4365" s="35">
        <v>-8.916999817</v>
      </c>
      <c r="D4365" s="35">
        <v>33.46699905</v>
      </c>
      <c r="E4365" s="32" t="s">
        <v>2937</v>
      </c>
      <c r="F4365" s="32" t="s">
        <v>11613</v>
      </c>
      <c r="G4365" s="36" t="e">
        <v>#N/A</v>
      </c>
      <c r="H4365" s="33"/>
      <c r="I4365" s="33"/>
      <c r="J4365" s="33"/>
      <c r="K4365" s="33"/>
      <c r="L4365" s="33"/>
      <c r="M4365" s="33"/>
    </row>
    <row r="4366">
      <c r="A4366" s="32" t="s">
        <v>11614</v>
      </c>
      <c r="B4366" s="32" t="s">
        <v>11615</v>
      </c>
      <c r="C4366" s="35">
        <v>18.50370026</v>
      </c>
      <c r="D4366" s="35">
        <v>-77.91339874</v>
      </c>
      <c r="E4366" s="32" t="s">
        <v>10180</v>
      </c>
      <c r="F4366" s="32" t="s">
        <v>11616</v>
      </c>
      <c r="G4366" s="36" t="e">
        <v>#N/A</v>
      </c>
      <c r="H4366" s="33"/>
      <c r="I4366" s="33"/>
      <c r="J4366" s="33"/>
      <c r="K4366" s="33"/>
      <c r="L4366" s="33"/>
      <c r="M4366" s="33"/>
    </row>
    <row r="4367">
      <c r="A4367" s="32" t="s">
        <v>11617</v>
      </c>
      <c r="B4367" s="32" t="s">
        <v>11618</v>
      </c>
      <c r="C4367" s="35">
        <v>44.2723999</v>
      </c>
      <c r="D4367" s="35">
        <v>-86.24690247</v>
      </c>
      <c r="E4367" s="32" t="s">
        <v>180</v>
      </c>
      <c r="F4367" s="32" t="s">
        <v>11619</v>
      </c>
      <c r="G4367" s="39" t="s">
        <v>181</v>
      </c>
      <c r="H4367" s="33"/>
      <c r="I4367" s="33"/>
      <c r="J4367" s="33"/>
      <c r="K4367" s="33"/>
      <c r="L4367" s="33"/>
      <c r="M4367" s="33"/>
    </row>
    <row r="4368">
      <c r="A4368" s="32" t="s">
        <v>11620</v>
      </c>
      <c r="B4368" s="32" t="s">
        <v>11621</v>
      </c>
      <c r="C4368" s="35">
        <v>43.53290176</v>
      </c>
      <c r="D4368" s="35">
        <v>-84.07959747</v>
      </c>
      <c r="E4368" s="32" t="s">
        <v>180</v>
      </c>
      <c r="F4368" s="32" t="s">
        <v>11622</v>
      </c>
      <c r="G4368" s="39" t="s">
        <v>181</v>
      </c>
      <c r="H4368" s="33"/>
      <c r="I4368" s="33"/>
      <c r="J4368" s="33"/>
      <c r="K4368" s="33"/>
      <c r="L4368" s="33"/>
      <c r="M4368" s="33"/>
    </row>
    <row r="4369">
      <c r="A4369" s="32" t="s">
        <v>11623</v>
      </c>
      <c r="B4369" s="32" t="s">
        <v>11624</v>
      </c>
      <c r="C4369" s="35">
        <v>12.36940002</v>
      </c>
      <c r="D4369" s="35">
        <v>123.6289978</v>
      </c>
      <c r="E4369" s="32" t="s">
        <v>270</v>
      </c>
      <c r="F4369" s="32" t="s">
        <v>11625</v>
      </c>
      <c r="G4369" s="36" t="e">
        <v>#N/A</v>
      </c>
      <c r="H4369" s="33"/>
      <c r="I4369" s="33"/>
      <c r="J4369" s="33"/>
      <c r="K4369" s="33"/>
      <c r="L4369" s="33"/>
      <c r="M4369" s="33"/>
    </row>
    <row r="4370">
      <c r="A4370" s="32" t="s">
        <v>11626</v>
      </c>
      <c r="B4370" s="32" t="s">
        <v>11627</v>
      </c>
      <c r="C4370" s="35">
        <v>-9.74750042</v>
      </c>
      <c r="D4370" s="35">
        <v>159.8390045</v>
      </c>
      <c r="E4370" s="32" t="s">
        <v>3666</v>
      </c>
      <c r="F4370" s="32" t="s">
        <v>11628</v>
      </c>
      <c r="G4370" s="36" t="e">
        <v>#N/A</v>
      </c>
      <c r="H4370" s="33"/>
      <c r="I4370" s="33"/>
      <c r="J4370" s="33"/>
      <c r="K4370" s="33"/>
      <c r="L4370" s="33"/>
      <c r="M4370" s="33"/>
    </row>
    <row r="4371">
      <c r="A4371" s="32" t="s">
        <v>11629</v>
      </c>
      <c r="B4371" s="32" t="s">
        <v>11630</v>
      </c>
      <c r="C4371" s="35">
        <v>-37.97579956</v>
      </c>
      <c r="D4371" s="35">
        <v>145.102005</v>
      </c>
      <c r="E4371" s="32" t="s">
        <v>1968</v>
      </c>
      <c r="F4371" s="32" t="s">
        <v>11631</v>
      </c>
      <c r="G4371" s="36" t="e">
        <v>#N/A</v>
      </c>
      <c r="H4371" s="33"/>
      <c r="I4371" s="33"/>
      <c r="J4371" s="33"/>
      <c r="K4371" s="33"/>
      <c r="L4371" s="33"/>
      <c r="M4371" s="33"/>
    </row>
    <row r="4372">
      <c r="A4372" s="32" t="s">
        <v>11632</v>
      </c>
      <c r="B4372" s="32" t="s">
        <v>11633</v>
      </c>
      <c r="C4372" s="35">
        <v>46.47990036</v>
      </c>
      <c r="D4372" s="35">
        <v>15.68610001</v>
      </c>
      <c r="E4372" s="32" t="s">
        <v>1099</v>
      </c>
      <c r="F4372" s="32" t="s">
        <v>11634</v>
      </c>
      <c r="G4372" s="36" t="e">
        <v>#N/A</v>
      </c>
      <c r="H4372" s="33"/>
      <c r="I4372" s="33"/>
      <c r="J4372" s="33"/>
      <c r="K4372" s="33"/>
      <c r="L4372" s="33"/>
      <c r="M4372" s="33"/>
    </row>
    <row r="4373">
      <c r="A4373" s="32" t="s">
        <v>11635</v>
      </c>
      <c r="B4373" s="32" t="s">
        <v>11636</v>
      </c>
      <c r="C4373" s="35">
        <v>-3.37217</v>
      </c>
      <c r="D4373" s="35">
        <v>-57.7248</v>
      </c>
      <c r="E4373" s="32" t="s">
        <v>288</v>
      </c>
      <c r="F4373" s="32" t="s">
        <v>11637</v>
      </c>
      <c r="G4373" s="36" t="e">
        <v>#N/A</v>
      </c>
      <c r="H4373" s="33"/>
      <c r="I4373" s="33"/>
      <c r="J4373" s="33"/>
      <c r="K4373" s="33"/>
      <c r="L4373" s="33"/>
      <c r="M4373" s="33"/>
    </row>
    <row r="4374">
      <c r="A4374" s="32" t="s">
        <v>11638</v>
      </c>
      <c r="B4374" s="32" t="s">
        <v>11639</v>
      </c>
      <c r="C4374" s="35">
        <v>31.17849922</v>
      </c>
      <c r="D4374" s="35">
        <v>-90.47190094</v>
      </c>
      <c r="E4374" s="32" t="s">
        <v>180</v>
      </c>
      <c r="F4374" s="32" t="s">
        <v>11640</v>
      </c>
      <c r="G4374" s="39" t="s">
        <v>181</v>
      </c>
      <c r="H4374" s="33"/>
      <c r="I4374" s="33"/>
      <c r="J4374" s="33"/>
      <c r="K4374" s="33"/>
      <c r="L4374" s="33"/>
      <c r="M4374" s="33"/>
    </row>
    <row r="4375">
      <c r="A4375" s="32" t="s">
        <v>11641</v>
      </c>
      <c r="B4375" s="32" t="s">
        <v>11642</v>
      </c>
      <c r="C4375" s="35">
        <v>38.66759872</v>
      </c>
      <c r="D4375" s="35">
        <v>-121.401001</v>
      </c>
      <c r="E4375" s="32" t="s">
        <v>180</v>
      </c>
      <c r="F4375" s="32" t="s">
        <v>11643</v>
      </c>
      <c r="G4375" s="39" t="s">
        <v>181</v>
      </c>
      <c r="H4375" s="33"/>
      <c r="I4375" s="33"/>
      <c r="J4375" s="33"/>
      <c r="K4375" s="33"/>
      <c r="L4375" s="33"/>
      <c r="M4375" s="33"/>
    </row>
    <row r="4376">
      <c r="A4376" s="32" t="s">
        <v>11644</v>
      </c>
      <c r="B4376" s="32" t="s">
        <v>11645</v>
      </c>
      <c r="C4376" s="35">
        <v>37.28469849</v>
      </c>
      <c r="D4376" s="35">
        <v>-120.5139999</v>
      </c>
      <c r="E4376" s="32" t="s">
        <v>180</v>
      </c>
      <c r="F4376" s="32" t="s">
        <v>11646</v>
      </c>
      <c r="G4376" s="39" t="s">
        <v>181</v>
      </c>
      <c r="H4376" s="33"/>
      <c r="I4376" s="33"/>
      <c r="J4376" s="33"/>
      <c r="K4376" s="33"/>
      <c r="L4376" s="33"/>
      <c r="M4376" s="33"/>
    </row>
    <row r="4377">
      <c r="A4377" s="32" t="s">
        <v>11647</v>
      </c>
      <c r="B4377" s="32" t="s">
        <v>11648</v>
      </c>
      <c r="C4377" s="35">
        <v>27.84930038</v>
      </c>
      <c r="D4377" s="35">
        <v>-82.52120209</v>
      </c>
      <c r="E4377" s="32" t="s">
        <v>180</v>
      </c>
      <c r="F4377" s="32" t="s">
        <v>11649</v>
      </c>
      <c r="G4377" s="39" t="s">
        <v>181</v>
      </c>
      <c r="H4377" s="33"/>
      <c r="I4377" s="33"/>
      <c r="J4377" s="33"/>
      <c r="K4377" s="33"/>
      <c r="L4377" s="33"/>
      <c r="M4377" s="33"/>
    </row>
    <row r="4378">
      <c r="A4378" s="32" t="s">
        <v>11650</v>
      </c>
      <c r="B4378" s="32" t="s">
        <v>11651</v>
      </c>
      <c r="C4378" s="35">
        <v>62.95289993</v>
      </c>
      <c r="D4378" s="35">
        <v>-155.6060028</v>
      </c>
      <c r="E4378" s="32" t="s">
        <v>180</v>
      </c>
      <c r="F4378" s="32" t="s">
        <v>11652</v>
      </c>
      <c r="G4378" s="39" t="s">
        <v>181</v>
      </c>
      <c r="H4378" s="33"/>
      <c r="I4378" s="33"/>
      <c r="J4378" s="33"/>
      <c r="K4378" s="33"/>
      <c r="L4378" s="33"/>
      <c r="M4378" s="33"/>
    </row>
    <row r="4379">
      <c r="A4379" s="32" t="s">
        <v>11653</v>
      </c>
      <c r="B4379" s="32" t="s">
        <v>11654</v>
      </c>
      <c r="C4379" s="35">
        <v>-3.2689</v>
      </c>
      <c r="D4379" s="35">
        <v>-79.961601</v>
      </c>
      <c r="E4379" s="32" t="s">
        <v>311</v>
      </c>
      <c r="F4379" s="32" t="s">
        <v>11655</v>
      </c>
      <c r="G4379" s="36" t="e">
        <v>#N/A</v>
      </c>
      <c r="H4379" s="33"/>
      <c r="I4379" s="33"/>
      <c r="J4379" s="33"/>
      <c r="K4379" s="33"/>
      <c r="L4379" s="33"/>
      <c r="M4379" s="33"/>
    </row>
    <row r="4380">
      <c r="A4380" s="32" t="s">
        <v>11656</v>
      </c>
      <c r="B4380" s="32" t="s">
        <v>11657</v>
      </c>
      <c r="C4380" s="35">
        <v>39.2976</v>
      </c>
      <c r="D4380" s="35">
        <v>-94.713898</v>
      </c>
      <c r="E4380" s="32" t="s">
        <v>180</v>
      </c>
      <c r="F4380" s="32" t="s">
        <v>11658</v>
      </c>
      <c r="G4380" s="39" t="s">
        <v>181</v>
      </c>
      <c r="H4380" s="33"/>
      <c r="I4380" s="33"/>
      <c r="J4380" s="33"/>
      <c r="K4380" s="33"/>
      <c r="L4380" s="33"/>
      <c r="M4380" s="33"/>
    </row>
    <row r="4381">
      <c r="A4381" s="32" t="s">
        <v>11659</v>
      </c>
      <c r="B4381" s="32" t="s">
        <v>11660</v>
      </c>
      <c r="C4381" s="35">
        <v>40.20629883</v>
      </c>
      <c r="D4381" s="35">
        <v>-100.5920029</v>
      </c>
      <c r="E4381" s="32" t="s">
        <v>180</v>
      </c>
      <c r="F4381" s="32" t="s">
        <v>11661</v>
      </c>
      <c r="G4381" s="39" t="s">
        <v>181</v>
      </c>
      <c r="H4381" s="33"/>
      <c r="I4381" s="33"/>
      <c r="J4381" s="33"/>
      <c r="K4381" s="33"/>
      <c r="L4381" s="33"/>
      <c r="M4381" s="33"/>
    </row>
    <row r="4382">
      <c r="A4382" s="32" t="s">
        <v>11662</v>
      </c>
      <c r="B4382" s="32" t="s">
        <v>11663</v>
      </c>
      <c r="C4382" s="35">
        <v>63.73260117</v>
      </c>
      <c r="D4382" s="35">
        <v>-148.9109955</v>
      </c>
      <c r="E4382" s="32" t="s">
        <v>180</v>
      </c>
      <c r="F4382" s="32" t="s">
        <v>11664</v>
      </c>
      <c r="G4382" s="39" t="s">
        <v>181</v>
      </c>
      <c r="H4382" s="33"/>
      <c r="I4382" s="33"/>
      <c r="J4382" s="33"/>
      <c r="K4382" s="33"/>
      <c r="L4382" s="33"/>
      <c r="M4382" s="33"/>
    </row>
    <row r="4383">
      <c r="A4383" s="32" t="s">
        <v>11665</v>
      </c>
      <c r="B4383" s="32" t="s">
        <v>11666</v>
      </c>
      <c r="C4383" s="35">
        <v>32.69279861</v>
      </c>
      <c r="D4383" s="35">
        <v>-83.64920044</v>
      </c>
      <c r="E4383" s="32" t="s">
        <v>180</v>
      </c>
      <c r="F4383" s="32" t="s">
        <v>11667</v>
      </c>
      <c r="G4383" s="39" t="s">
        <v>181</v>
      </c>
      <c r="H4383" s="33"/>
      <c r="I4383" s="33"/>
      <c r="J4383" s="33"/>
      <c r="K4383" s="33"/>
      <c r="L4383" s="33"/>
      <c r="M4383" s="33"/>
    </row>
    <row r="4384">
      <c r="A4384" s="32" t="s">
        <v>11668</v>
      </c>
      <c r="B4384" s="32" t="s">
        <v>11669</v>
      </c>
      <c r="C4384" s="35">
        <v>28.42939949</v>
      </c>
      <c r="D4384" s="35">
        <v>-81.30899811</v>
      </c>
      <c r="E4384" s="32" t="s">
        <v>180</v>
      </c>
      <c r="F4384" s="32" t="s">
        <v>11670</v>
      </c>
      <c r="G4384" s="39" t="s">
        <v>181</v>
      </c>
      <c r="H4384" s="33"/>
      <c r="I4384" s="33"/>
      <c r="J4384" s="33"/>
      <c r="K4384" s="33"/>
      <c r="L4384" s="33"/>
      <c r="M4384" s="33"/>
    </row>
    <row r="4385">
      <c r="A4385" s="32" t="s">
        <v>11671</v>
      </c>
      <c r="B4385" s="32" t="s">
        <v>11672</v>
      </c>
      <c r="C4385" s="35">
        <v>0.050664</v>
      </c>
      <c r="D4385" s="35">
        <v>-51.07220078</v>
      </c>
      <c r="E4385" s="32" t="s">
        <v>288</v>
      </c>
      <c r="F4385" s="32" t="s">
        <v>11673</v>
      </c>
      <c r="G4385" s="36" t="e">
        <v>#N/A</v>
      </c>
      <c r="H4385" s="33"/>
      <c r="I4385" s="33"/>
      <c r="J4385" s="33"/>
      <c r="K4385" s="33"/>
      <c r="L4385" s="33"/>
      <c r="M4385" s="33"/>
    </row>
    <row r="4386">
      <c r="A4386" s="32" t="s">
        <v>11674</v>
      </c>
      <c r="B4386" s="32" t="s">
        <v>11675</v>
      </c>
      <c r="C4386" s="35">
        <v>23.59329987</v>
      </c>
      <c r="D4386" s="35">
        <v>58.28440094</v>
      </c>
      <c r="E4386" s="32" t="s">
        <v>238</v>
      </c>
      <c r="F4386" s="32" t="s">
        <v>11676</v>
      </c>
      <c r="G4386" s="36" t="e">
        <v>#N/A</v>
      </c>
      <c r="H4386" s="33"/>
      <c r="I4386" s="33"/>
      <c r="J4386" s="33"/>
      <c r="K4386" s="33"/>
      <c r="L4386" s="33"/>
      <c r="M4386" s="33"/>
    </row>
    <row r="4387">
      <c r="A4387" s="32" t="s">
        <v>11677</v>
      </c>
      <c r="B4387" s="32" t="s">
        <v>11678</v>
      </c>
      <c r="C4387" s="35">
        <v>46.22259903</v>
      </c>
      <c r="D4387" s="35">
        <v>2.363960028</v>
      </c>
      <c r="E4387" s="32" t="s">
        <v>96</v>
      </c>
      <c r="F4387" s="32" t="s">
        <v>11679</v>
      </c>
      <c r="G4387" s="39" t="s">
        <v>97</v>
      </c>
      <c r="H4387" s="33"/>
      <c r="I4387" s="33"/>
      <c r="J4387" s="33"/>
      <c r="K4387" s="33"/>
      <c r="L4387" s="33"/>
      <c r="M4387" s="33"/>
    </row>
    <row r="4388">
      <c r="A4388" s="32" t="s">
        <v>11680</v>
      </c>
      <c r="B4388" s="32" t="s">
        <v>11681</v>
      </c>
      <c r="C4388" s="35">
        <v>-16.44249916</v>
      </c>
      <c r="D4388" s="35">
        <v>136.0839996</v>
      </c>
      <c r="E4388" s="32" t="s">
        <v>1968</v>
      </c>
      <c r="F4388" s="32" t="s">
        <v>11682</v>
      </c>
      <c r="G4388" s="36" t="e">
        <v>#N/A</v>
      </c>
      <c r="H4388" s="33"/>
      <c r="I4388" s="33"/>
      <c r="J4388" s="33"/>
      <c r="K4388" s="33"/>
      <c r="L4388" s="33"/>
      <c r="M4388" s="33"/>
    </row>
    <row r="4389">
      <c r="A4389" s="32" t="s">
        <v>11683</v>
      </c>
      <c r="B4389" s="32" t="s">
        <v>11684</v>
      </c>
      <c r="C4389" s="35">
        <v>43.15779877</v>
      </c>
      <c r="D4389" s="35">
        <v>-93.33129883</v>
      </c>
      <c r="E4389" s="32" t="s">
        <v>180</v>
      </c>
      <c r="F4389" s="32" t="s">
        <v>11685</v>
      </c>
      <c r="G4389" s="39" t="s">
        <v>181</v>
      </c>
      <c r="H4389" s="33"/>
      <c r="I4389" s="33"/>
      <c r="J4389" s="33"/>
      <c r="K4389" s="33"/>
      <c r="L4389" s="33"/>
      <c r="M4389" s="33"/>
    </row>
    <row r="4390">
      <c r="A4390" s="32" t="s">
        <v>11686</v>
      </c>
      <c r="B4390" s="32" t="s">
        <v>11687</v>
      </c>
      <c r="C4390" s="35">
        <v>42.81679916</v>
      </c>
      <c r="D4390" s="35">
        <v>47.65230179</v>
      </c>
      <c r="E4390" s="32" t="s">
        <v>2040</v>
      </c>
      <c r="F4390" s="32" t="s">
        <v>11688</v>
      </c>
      <c r="G4390" s="36" t="e">
        <v>#N/A</v>
      </c>
      <c r="H4390" s="33"/>
      <c r="I4390" s="33"/>
      <c r="J4390" s="33"/>
      <c r="K4390" s="33"/>
      <c r="L4390" s="33"/>
      <c r="M4390" s="33"/>
    </row>
    <row r="4391">
      <c r="A4391" s="32" t="s">
        <v>11689</v>
      </c>
      <c r="B4391" s="32" t="s">
        <v>11690</v>
      </c>
      <c r="C4391" s="35">
        <v>-26.60330009</v>
      </c>
      <c r="D4391" s="35">
        <v>153.0910034</v>
      </c>
      <c r="E4391" s="32" t="s">
        <v>1968</v>
      </c>
      <c r="F4391" s="32" t="s">
        <v>11691</v>
      </c>
      <c r="G4391" s="36" t="e">
        <v>#N/A</v>
      </c>
      <c r="H4391" s="33"/>
      <c r="I4391" s="33"/>
      <c r="J4391" s="33"/>
      <c r="K4391" s="33"/>
      <c r="L4391" s="33"/>
      <c r="M4391" s="33"/>
    </row>
    <row r="4392">
      <c r="A4392" s="32" t="s">
        <v>11692</v>
      </c>
      <c r="B4392" s="32" t="s">
        <v>11693</v>
      </c>
      <c r="C4392" s="35">
        <v>-9.510809898</v>
      </c>
      <c r="D4392" s="35">
        <v>-35.79169846</v>
      </c>
      <c r="E4392" s="32" t="s">
        <v>288</v>
      </c>
      <c r="F4392" s="32" t="s">
        <v>11694</v>
      </c>
      <c r="G4392" s="36" t="e">
        <v>#N/A</v>
      </c>
      <c r="H4392" s="33"/>
      <c r="I4392" s="33"/>
      <c r="J4392" s="33"/>
      <c r="K4392" s="33"/>
      <c r="L4392" s="33"/>
      <c r="M4392" s="33"/>
    </row>
    <row r="4393">
      <c r="A4393" s="32" t="s">
        <v>11695</v>
      </c>
      <c r="B4393" s="32" t="s">
        <v>11696</v>
      </c>
      <c r="C4393" s="35">
        <v>1.54926002</v>
      </c>
      <c r="D4393" s="35">
        <v>124.9260025</v>
      </c>
      <c r="E4393" s="32" t="s">
        <v>280</v>
      </c>
      <c r="F4393" s="32" t="s">
        <v>11697</v>
      </c>
      <c r="G4393" s="36" t="e">
        <v>#N/A</v>
      </c>
      <c r="H4393" s="33"/>
      <c r="I4393" s="33"/>
      <c r="J4393" s="33"/>
      <c r="K4393" s="33"/>
      <c r="L4393" s="33"/>
      <c r="M4393" s="33"/>
    </row>
    <row r="4394">
      <c r="A4394" s="32" t="s">
        <v>11698</v>
      </c>
      <c r="B4394" s="32" t="s">
        <v>11699</v>
      </c>
      <c r="C4394" s="35">
        <v>6.16454</v>
      </c>
      <c r="D4394" s="35">
        <v>-75.4231</v>
      </c>
      <c r="E4394" s="32" t="s">
        <v>292</v>
      </c>
      <c r="F4394" s="32" t="s">
        <v>11700</v>
      </c>
      <c r="G4394" s="36" t="e">
        <v>#N/A</v>
      </c>
      <c r="H4394" s="33"/>
      <c r="I4394" s="33"/>
      <c r="J4394" s="33"/>
      <c r="K4394" s="33"/>
      <c r="L4394" s="33"/>
      <c r="M4394" s="33"/>
    </row>
    <row r="4395">
      <c r="A4395" s="32" t="s">
        <v>11701</v>
      </c>
      <c r="B4395" s="32" t="s">
        <v>11702</v>
      </c>
      <c r="C4395" s="35">
        <v>44.52410126</v>
      </c>
      <c r="D4395" s="35">
        <v>129.5690002</v>
      </c>
      <c r="E4395" s="32" t="s">
        <v>205</v>
      </c>
      <c r="F4395" s="32" t="s">
        <v>11703</v>
      </c>
      <c r="G4395" s="39" t="s">
        <v>206</v>
      </c>
      <c r="H4395" s="33"/>
      <c r="I4395" s="33"/>
      <c r="J4395" s="33"/>
      <c r="K4395" s="33"/>
      <c r="L4395" s="33"/>
      <c r="M4395" s="33"/>
    </row>
    <row r="4396">
      <c r="A4396" s="32" t="s">
        <v>11704</v>
      </c>
      <c r="B4396" s="32" t="s">
        <v>11705</v>
      </c>
      <c r="C4396" s="35">
        <v>37.77809906</v>
      </c>
      <c r="D4396" s="35">
        <v>-89.2519989</v>
      </c>
      <c r="E4396" s="32" t="s">
        <v>180</v>
      </c>
      <c r="F4396" s="32" t="s">
        <v>11706</v>
      </c>
      <c r="G4396" s="39" t="s">
        <v>181</v>
      </c>
      <c r="H4396" s="33"/>
      <c r="I4396" s="33"/>
      <c r="J4396" s="33"/>
      <c r="K4396" s="33"/>
      <c r="L4396" s="33"/>
      <c r="M4396" s="33"/>
    </row>
    <row r="4397">
      <c r="A4397" s="32" t="s">
        <v>11707</v>
      </c>
      <c r="B4397" s="32" t="s">
        <v>11708</v>
      </c>
      <c r="C4397" s="35">
        <v>7.703879833</v>
      </c>
      <c r="D4397" s="35">
        <v>8.613940239</v>
      </c>
      <c r="E4397" s="32" t="s">
        <v>19</v>
      </c>
      <c r="F4397" s="32" t="s">
        <v>11709</v>
      </c>
      <c r="G4397" s="36" t="e">
        <v>#N/A</v>
      </c>
      <c r="H4397" s="33"/>
      <c r="I4397" s="33"/>
      <c r="J4397" s="33"/>
      <c r="K4397" s="33"/>
      <c r="L4397" s="33"/>
      <c r="M4397" s="33"/>
    </row>
    <row r="4398">
      <c r="A4398" s="32" t="s">
        <v>11710</v>
      </c>
      <c r="B4398" s="32" t="s">
        <v>11711</v>
      </c>
      <c r="C4398" s="35">
        <v>0.022600001</v>
      </c>
      <c r="D4398" s="35">
        <v>18.2887001</v>
      </c>
      <c r="E4398" s="32" t="s">
        <v>800</v>
      </c>
      <c r="F4398" s="32" t="s">
        <v>11712</v>
      </c>
      <c r="G4398" s="36" t="e">
        <v>#N/A</v>
      </c>
      <c r="H4398" s="33"/>
      <c r="I4398" s="33"/>
      <c r="J4398" s="33"/>
      <c r="K4398" s="33"/>
      <c r="L4398" s="33"/>
      <c r="M4398" s="33"/>
    </row>
    <row r="4399">
      <c r="A4399" s="32" t="s">
        <v>11713</v>
      </c>
      <c r="B4399" s="32" t="s">
        <v>11714</v>
      </c>
      <c r="C4399" s="35">
        <v>21.70219994</v>
      </c>
      <c r="D4399" s="35">
        <v>95.97789764</v>
      </c>
      <c r="E4399" s="32" t="s">
        <v>1918</v>
      </c>
      <c r="F4399" s="32" t="s">
        <v>11715</v>
      </c>
      <c r="G4399" s="36" t="e">
        <v>#N/A</v>
      </c>
      <c r="H4399" s="33"/>
      <c r="I4399" s="33"/>
      <c r="J4399" s="33"/>
      <c r="K4399" s="33"/>
      <c r="L4399" s="33"/>
      <c r="M4399" s="33"/>
    </row>
    <row r="4400">
      <c r="A4400" s="32" t="s">
        <v>11716</v>
      </c>
      <c r="B4400" s="32" t="s">
        <v>11717</v>
      </c>
      <c r="C4400" s="35">
        <v>-34.91699982</v>
      </c>
      <c r="D4400" s="35">
        <v>-54.91699982</v>
      </c>
      <c r="E4400" s="32" t="s">
        <v>1779</v>
      </c>
      <c r="F4400" s="32" t="s">
        <v>11718</v>
      </c>
      <c r="G4400" s="36" t="e">
        <v>#N/A</v>
      </c>
      <c r="H4400" s="33"/>
      <c r="I4400" s="33"/>
      <c r="J4400" s="33"/>
      <c r="K4400" s="33"/>
      <c r="L4400" s="33"/>
      <c r="M4400" s="33"/>
    </row>
    <row r="4401">
      <c r="A4401" s="32" t="s">
        <v>11719</v>
      </c>
      <c r="B4401" s="32" t="s">
        <v>11720</v>
      </c>
      <c r="C4401" s="35">
        <v>-37.9342</v>
      </c>
      <c r="D4401" s="35">
        <v>-57.5733</v>
      </c>
      <c r="E4401" s="32" t="s">
        <v>296</v>
      </c>
      <c r="F4401" s="32" t="s">
        <v>11721</v>
      </c>
      <c r="G4401" s="36" t="e">
        <v>#N/A</v>
      </c>
      <c r="H4401" s="33"/>
      <c r="I4401" s="33"/>
      <c r="J4401" s="33"/>
      <c r="K4401" s="33"/>
      <c r="L4401" s="33"/>
      <c r="M4401" s="33"/>
    </row>
    <row r="4402">
      <c r="A4402" s="32" t="s">
        <v>11722</v>
      </c>
      <c r="B4402" s="32" t="s">
        <v>11723</v>
      </c>
      <c r="C4402" s="35">
        <v>21.82602</v>
      </c>
      <c r="D4402" s="35">
        <v>-71.8025</v>
      </c>
      <c r="E4402" s="32" t="s">
        <v>7978</v>
      </c>
      <c r="F4402" s="32" t="s">
        <v>11724</v>
      </c>
      <c r="G4402" s="36" t="e">
        <v>#N/A</v>
      </c>
      <c r="H4402" s="33"/>
      <c r="I4402" s="33"/>
      <c r="J4402" s="33"/>
      <c r="K4402" s="33"/>
      <c r="L4402" s="33"/>
      <c r="M4402" s="33"/>
    </row>
    <row r="4403">
      <c r="A4403" s="32" t="s">
        <v>11725</v>
      </c>
      <c r="B4403" s="32" t="s">
        <v>11726</v>
      </c>
      <c r="C4403" s="35">
        <v>40.19350052</v>
      </c>
      <c r="D4403" s="35">
        <v>-76.76339722</v>
      </c>
      <c r="E4403" s="32" t="s">
        <v>180</v>
      </c>
      <c r="F4403" s="32" t="s">
        <v>6439</v>
      </c>
      <c r="G4403" s="39" t="s">
        <v>181</v>
      </c>
      <c r="H4403" s="33"/>
      <c r="I4403" s="33"/>
      <c r="J4403" s="33"/>
      <c r="K4403" s="33"/>
      <c r="L4403" s="33"/>
      <c r="M4403" s="33"/>
    </row>
    <row r="4404">
      <c r="A4404" s="32" t="s">
        <v>11727</v>
      </c>
      <c r="B4404" s="32" t="s">
        <v>11728</v>
      </c>
      <c r="C4404" s="35">
        <v>-6.14774</v>
      </c>
      <c r="D4404" s="35">
        <v>143.656998</v>
      </c>
      <c r="E4404" s="32" t="s">
        <v>5289</v>
      </c>
      <c r="F4404" s="32" t="s">
        <v>11729</v>
      </c>
      <c r="G4404" s="36" t="e">
        <v>#N/A</v>
      </c>
      <c r="H4404" s="33"/>
      <c r="I4404" s="33"/>
      <c r="J4404" s="33"/>
      <c r="K4404" s="33"/>
      <c r="L4404" s="33"/>
      <c r="M4404" s="33"/>
    </row>
    <row r="4405">
      <c r="A4405" s="32" t="s">
        <v>11730</v>
      </c>
      <c r="B4405" s="32" t="s">
        <v>11731</v>
      </c>
      <c r="C4405" s="35">
        <v>41.7859993</v>
      </c>
      <c r="D4405" s="35">
        <v>-87.75240326</v>
      </c>
      <c r="E4405" s="32" t="s">
        <v>180</v>
      </c>
      <c r="F4405" s="32" t="s">
        <v>5824</v>
      </c>
      <c r="G4405" s="39" t="s">
        <v>181</v>
      </c>
      <c r="H4405" s="33"/>
      <c r="I4405" s="33"/>
      <c r="J4405" s="33"/>
      <c r="K4405" s="33"/>
      <c r="L4405" s="33"/>
      <c r="M4405" s="33"/>
    </row>
    <row r="4406">
      <c r="A4406" s="32" t="s">
        <v>11732</v>
      </c>
      <c r="B4406" s="32" t="s">
        <v>2963</v>
      </c>
      <c r="C4406" s="35">
        <v>28.20170021</v>
      </c>
      <c r="D4406" s="35">
        <v>-177.3809967</v>
      </c>
      <c r="E4406" s="32" t="s">
        <v>11733</v>
      </c>
      <c r="F4406" s="32" t="s">
        <v>11734</v>
      </c>
      <c r="G4406" s="36" t="e">
        <v>#N/A</v>
      </c>
      <c r="H4406" s="33"/>
      <c r="I4406" s="33"/>
      <c r="J4406" s="33"/>
      <c r="K4406" s="33"/>
      <c r="L4406" s="33"/>
      <c r="M4406" s="33"/>
    </row>
    <row r="4407">
      <c r="A4407" s="32" t="s">
        <v>11735</v>
      </c>
      <c r="B4407" s="32" t="s">
        <v>11736</v>
      </c>
      <c r="C4407" s="35">
        <v>-32.83169937</v>
      </c>
      <c r="D4407" s="35">
        <v>-68.79290009</v>
      </c>
      <c r="E4407" s="32" t="s">
        <v>296</v>
      </c>
      <c r="F4407" s="32" t="s">
        <v>11737</v>
      </c>
      <c r="G4407" s="36" t="e">
        <v>#N/A</v>
      </c>
      <c r="H4407" s="33"/>
      <c r="I4407" s="33"/>
      <c r="J4407" s="33"/>
      <c r="K4407" s="33"/>
      <c r="L4407" s="33"/>
      <c r="M4407" s="33"/>
    </row>
    <row r="4408">
      <c r="A4408" s="32" t="s">
        <v>11738</v>
      </c>
      <c r="B4408" s="32" t="s">
        <v>11739</v>
      </c>
      <c r="C4408" s="35">
        <v>-22.34300041</v>
      </c>
      <c r="D4408" s="35">
        <v>-41.76599884</v>
      </c>
      <c r="E4408" s="32" t="s">
        <v>288</v>
      </c>
      <c r="F4408" s="32" t="s">
        <v>11740</v>
      </c>
      <c r="G4408" s="36" t="e">
        <v>#N/A</v>
      </c>
      <c r="H4408" s="33"/>
      <c r="I4408" s="33"/>
      <c r="J4408" s="33"/>
      <c r="K4408" s="33"/>
      <c r="L4408" s="33"/>
      <c r="M4408" s="33"/>
    </row>
    <row r="4409">
      <c r="A4409" s="32" t="s">
        <v>11741</v>
      </c>
      <c r="B4409" s="32" t="s">
        <v>11742</v>
      </c>
      <c r="C4409" s="35">
        <v>-37.72809982</v>
      </c>
      <c r="D4409" s="35">
        <v>144.9019928</v>
      </c>
      <c r="E4409" s="32" t="s">
        <v>1968</v>
      </c>
      <c r="F4409" s="32" t="s">
        <v>11631</v>
      </c>
      <c r="G4409" s="36" t="e">
        <v>#N/A</v>
      </c>
      <c r="H4409" s="33"/>
      <c r="I4409" s="33"/>
      <c r="J4409" s="33"/>
      <c r="K4409" s="33"/>
      <c r="L4409" s="33"/>
      <c r="M4409" s="33"/>
    </row>
    <row r="4410">
      <c r="A4410" s="32" t="s">
        <v>11743</v>
      </c>
      <c r="B4410" s="32" t="s">
        <v>11744</v>
      </c>
      <c r="C4410" s="35">
        <v>-0.946078002</v>
      </c>
      <c r="D4410" s="35">
        <v>-80.67880249</v>
      </c>
      <c r="E4410" s="32" t="s">
        <v>311</v>
      </c>
      <c r="F4410" s="32" t="s">
        <v>11745</v>
      </c>
      <c r="G4410" s="36" t="e">
        <v>#N/A</v>
      </c>
      <c r="H4410" s="33"/>
      <c r="I4410" s="33"/>
      <c r="J4410" s="33"/>
      <c r="K4410" s="33"/>
      <c r="L4410" s="33"/>
      <c r="M4410" s="33"/>
    </row>
    <row r="4411">
      <c r="A4411" s="32" t="s">
        <v>11746</v>
      </c>
      <c r="B4411" s="32" t="s">
        <v>11747</v>
      </c>
      <c r="C4411" s="35">
        <v>24.55340004</v>
      </c>
      <c r="D4411" s="35">
        <v>39.70510101</v>
      </c>
      <c r="E4411" s="32" t="s">
        <v>223</v>
      </c>
      <c r="F4411" s="32" t="s">
        <v>11748</v>
      </c>
      <c r="G4411" s="36" t="e">
        <v>#N/A</v>
      </c>
      <c r="H4411" s="33"/>
      <c r="I4411" s="33"/>
      <c r="J4411" s="33"/>
      <c r="K4411" s="33"/>
      <c r="L4411" s="33"/>
      <c r="M4411" s="33"/>
    </row>
    <row r="4412">
      <c r="A4412" s="32" t="s">
        <v>11749</v>
      </c>
      <c r="B4412" s="32" t="s">
        <v>11750</v>
      </c>
      <c r="C4412" s="35">
        <v>-21.4817009</v>
      </c>
      <c r="D4412" s="35">
        <v>168.0379944</v>
      </c>
      <c r="E4412" s="32" t="s">
        <v>5002</v>
      </c>
      <c r="F4412" s="32" t="s">
        <v>11751</v>
      </c>
      <c r="G4412" s="36" t="e">
        <v>#N/A</v>
      </c>
      <c r="H4412" s="33"/>
      <c r="I4412" s="33"/>
      <c r="J4412" s="33"/>
      <c r="K4412" s="33"/>
      <c r="L4412" s="33"/>
      <c r="M4412" s="33"/>
    </row>
    <row r="4413">
      <c r="A4413" s="32" t="s">
        <v>11752</v>
      </c>
      <c r="B4413" s="32" t="s">
        <v>11753</v>
      </c>
      <c r="C4413" s="35">
        <v>-9.525090218</v>
      </c>
      <c r="D4413" s="35">
        <v>16.31240082</v>
      </c>
      <c r="E4413" s="32" t="s">
        <v>764</v>
      </c>
      <c r="F4413" s="32" t="s">
        <v>11754</v>
      </c>
      <c r="G4413" s="36" t="e">
        <v>#N/A</v>
      </c>
      <c r="H4413" s="33"/>
      <c r="I4413" s="33"/>
      <c r="J4413" s="33"/>
      <c r="K4413" s="33"/>
      <c r="L4413" s="33"/>
      <c r="M4413" s="33"/>
    </row>
    <row r="4414">
      <c r="A4414" s="32" t="s">
        <v>11755</v>
      </c>
      <c r="B4414" s="32" t="s">
        <v>11756</v>
      </c>
      <c r="C4414" s="35">
        <v>71.02970123</v>
      </c>
      <c r="D4414" s="35">
        <v>27.82670021</v>
      </c>
      <c r="E4414" s="32" t="s">
        <v>343</v>
      </c>
      <c r="F4414" s="32" t="s">
        <v>11757</v>
      </c>
      <c r="G4414" s="36" t="e">
        <v>#N/A</v>
      </c>
      <c r="H4414" s="33"/>
      <c r="I4414" s="33"/>
      <c r="J4414" s="33"/>
      <c r="K4414" s="33"/>
      <c r="L4414" s="33"/>
      <c r="M4414" s="33"/>
    </row>
    <row r="4415">
      <c r="A4415" s="32" t="s">
        <v>11758</v>
      </c>
      <c r="B4415" s="32" t="s">
        <v>11759</v>
      </c>
      <c r="C4415" s="35">
        <v>32.33259964</v>
      </c>
      <c r="D4415" s="35">
        <v>-88.75189972</v>
      </c>
      <c r="E4415" s="32" t="s">
        <v>180</v>
      </c>
      <c r="F4415" s="32" t="s">
        <v>11760</v>
      </c>
      <c r="G4415" s="39" t="s">
        <v>181</v>
      </c>
      <c r="H4415" s="33"/>
      <c r="I4415" s="33"/>
      <c r="J4415" s="33"/>
      <c r="K4415" s="33"/>
      <c r="L4415" s="33"/>
      <c r="M4415" s="33"/>
    </row>
    <row r="4416">
      <c r="A4416" s="32" t="s">
        <v>11761</v>
      </c>
      <c r="B4416" s="32" t="s">
        <v>11762</v>
      </c>
      <c r="C4416" s="35">
        <v>37.27690125</v>
      </c>
      <c r="D4416" s="35">
        <v>-100.3560028</v>
      </c>
      <c r="E4416" s="32" t="s">
        <v>180</v>
      </c>
      <c r="F4416" s="32" t="s">
        <v>11763</v>
      </c>
      <c r="G4416" s="39" t="s">
        <v>181</v>
      </c>
      <c r="H4416" s="33"/>
      <c r="I4416" s="33"/>
      <c r="J4416" s="33"/>
      <c r="K4416" s="33"/>
      <c r="L4416" s="33"/>
      <c r="M4416" s="33"/>
    </row>
    <row r="4417">
      <c r="A4417" s="32" t="s">
        <v>11764</v>
      </c>
      <c r="B4417" s="32" t="s">
        <v>11765</v>
      </c>
      <c r="C4417" s="35">
        <v>33.8791008</v>
      </c>
      <c r="D4417" s="35">
        <v>-5.515120029</v>
      </c>
      <c r="E4417" s="32" t="s">
        <v>17</v>
      </c>
      <c r="F4417" s="32" t="s">
        <v>11766</v>
      </c>
      <c r="G4417" s="36" t="e">
        <v>#N/A</v>
      </c>
      <c r="H4417" s="33"/>
      <c r="I4417" s="33"/>
      <c r="J4417" s="33"/>
      <c r="K4417" s="33"/>
      <c r="L4417" s="33"/>
      <c r="M4417" s="33"/>
    </row>
    <row r="4418">
      <c r="A4418" s="32" t="s">
        <v>11767</v>
      </c>
      <c r="B4418" s="32" t="s">
        <v>11768</v>
      </c>
      <c r="C4418" s="35">
        <v>-37.6733017</v>
      </c>
      <c r="D4418" s="35">
        <v>144.8430023</v>
      </c>
      <c r="E4418" s="32" t="s">
        <v>1968</v>
      </c>
      <c r="F4418" s="32" t="s">
        <v>11631</v>
      </c>
      <c r="G4418" s="36" t="e">
        <v>#N/A</v>
      </c>
      <c r="H4418" s="33"/>
      <c r="I4418" s="33"/>
      <c r="J4418" s="33"/>
      <c r="K4418" s="33"/>
      <c r="L4418" s="33"/>
      <c r="M4418" s="33"/>
    </row>
    <row r="4419">
      <c r="A4419" s="32" t="s">
        <v>11769</v>
      </c>
      <c r="B4419" s="32" t="s">
        <v>11770</v>
      </c>
      <c r="C4419" s="35">
        <v>35.04240036</v>
      </c>
      <c r="D4419" s="35">
        <v>-89.97669983</v>
      </c>
      <c r="E4419" s="32" t="s">
        <v>180</v>
      </c>
      <c r="F4419" s="32" t="s">
        <v>3072</v>
      </c>
      <c r="G4419" s="39" t="s">
        <v>181</v>
      </c>
      <c r="H4419" s="33"/>
      <c r="I4419" s="33"/>
      <c r="J4419" s="33"/>
      <c r="K4419" s="33"/>
      <c r="L4419" s="33"/>
      <c r="M4419" s="33"/>
    </row>
    <row r="4420">
      <c r="A4420" s="32" t="s">
        <v>11771</v>
      </c>
      <c r="B4420" s="32" t="s">
        <v>11772</v>
      </c>
      <c r="C4420" s="35">
        <v>44.5021019</v>
      </c>
      <c r="D4420" s="35">
        <v>3.532819986</v>
      </c>
      <c r="E4420" s="32" t="s">
        <v>96</v>
      </c>
      <c r="F4420" s="32" t="s">
        <v>11773</v>
      </c>
      <c r="G4420" s="39" t="s">
        <v>97</v>
      </c>
      <c r="H4420" s="33"/>
      <c r="I4420" s="33"/>
      <c r="J4420" s="33"/>
      <c r="K4420" s="33"/>
      <c r="L4420" s="33"/>
      <c r="M4420" s="33"/>
    </row>
    <row r="4421">
      <c r="A4421" s="32" t="s">
        <v>11774</v>
      </c>
      <c r="B4421" s="32" t="s">
        <v>11775</v>
      </c>
      <c r="C4421" s="35">
        <v>35.91899872</v>
      </c>
      <c r="D4421" s="35">
        <v>-75.69550323</v>
      </c>
      <c r="E4421" s="32" t="s">
        <v>180</v>
      </c>
      <c r="F4421" s="32" t="s">
        <v>11776</v>
      </c>
      <c r="G4421" s="39" t="s">
        <v>181</v>
      </c>
      <c r="H4421" s="33"/>
      <c r="I4421" s="33"/>
      <c r="J4421" s="33"/>
      <c r="K4421" s="33"/>
      <c r="L4421" s="33"/>
      <c r="M4421" s="33"/>
    </row>
    <row r="4422">
      <c r="A4422" s="32" t="s">
        <v>11777</v>
      </c>
      <c r="B4422" s="32" t="s">
        <v>11778</v>
      </c>
      <c r="C4422" s="35">
        <v>4.25</v>
      </c>
      <c r="D4422" s="35">
        <v>96.21700287</v>
      </c>
      <c r="E4422" s="32" t="s">
        <v>280</v>
      </c>
      <c r="F4422" s="32" t="s">
        <v>11779</v>
      </c>
      <c r="G4422" s="36" t="e">
        <v>#N/A</v>
      </c>
      <c r="H4422" s="33"/>
      <c r="I4422" s="33"/>
      <c r="J4422" s="33"/>
      <c r="K4422" s="33"/>
      <c r="L4422" s="33"/>
      <c r="M4422" s="33"/>
    </row>
    <row r="4423">
      <c r="A4423" s="32" t="s">
        <v>11780</v>
      </c>
      <c r="B4423" s="32" t="s">
        <v>11781</v>
      </c>
      <c r="C4423" s="35">
        <v>37.38050079</v>
      </c>
      <c r="D4423" s="35">
        <v>-120.5680008</v>
      </c>
      <c r="E4423" s="32" t="s">
        <v>180</v>
      </c>
      <c r="F4423" s="32" t="s">
        <v>11646</v>
      </c>
      <c r="G4423" s="39" t="s">
        <v>181</v>
      </c>
      <c r="H4423" s="33"/>
      <c r="I4423" s="33"/>
      <c r="J4423" s="33"/>
      <c r="K4423" s="33"/>
      <c r="L4423" s="33"/>
      <c r="M4423" s="33"/>
    </row>
    <row r="4424">
      <c r="A4424" s="32" t="s">
        <v>11782</v>
      </c>
      <c r="B4424" s="32" t="s">
        <v>11783</v>
      </c>
      <c r="C4424" s="35">
        <v>3.559167</v>
      </c>
      <c r="D4424" s="35">
        <v>98.671111</v>
      </c>
      <c r="E4424" s="32" t="s">
        <v>280</v>
      </c>
      <c r="F4424" s="32" t="s">
        <v>10342</v>
      </c>
      <c r="G4424" s="36" t="e">
        <v>#N/A</v>
      </c>
      <c r="H4424" s="33"/>
      <c r="I4424" s="33"/>
      <c r="J4424" s="33"/>
      <c r="K4424" s="33"/>
      <c r="L4424" s="33"/>
      <c r="M4424" s="33"/>
    </row>
    <row r="4425">
      <c r="A4425" s="32" t="s">
        <v>11784</v>
      </c>
      <c r="B4425" s="32" t="s">
        <v>11785</v>
      </c>
      <c r="C4425" s="35">
        <v>19.4363</v>
      </c>
      <c r="D4425" s="35">
        <v>-99.072098</v>
      </c>
      <c r="E4425" s="32" t="s">
        <v>186</v>
      </c>
      <c r="F4425" s="32" t="s">
        <v>11786</v>
      </c>
      <c r="G4425" s="39" t="s">
        <v>187</v>
      </c>
      <c r="H4425" s="33"/>
      <c r="I4425" s="33"/>
      <c r="J4425" s="33"/>
      <c r="K4425" s="33"/>
      <c r="L4425" s="33"/>
      <c r="M4425" s="33"/>
    </row>
    <row r="4426">
      <c r="A4426" s="32" t="s">
        <v>11787</v>
      </c>
      <c r="B4426" s="32" t="s">
        <v>11788</v>
      </c>
      <c r="C4426" s="35">
        <v>27.5774</v>
      </c>
      <c r="D4426" s="35">
        <v>84.22875</v>
      </c>
      <c r="E4426" s="32" t="s">
        <v>1877</v>
      </c>
      <c r="F4426" s="32" t="s">
        <v>11789</v>
      </c>
      <c r="G4426" s="36" t="e">
        <v>#N/A</v>
      </c>
      <c r="H4426" s="33"/>
      <c r="I4426" s="33"/>
      <c r="J4426" s="33"/>
      <c r="K4426" s="33"/>
      <c r="L4426" s="33"/>
      <c r="M4426" s="33"/>
    </row>
    <row r="4427">
      <c r="A4427" s="32" t="s">
        <v>11790</v>
      </c>
      <c r="B4427" s="32" t="s">
        <v>11791</v>
      </c>
      <c r="C4427" s="35">
        <v>-25.7045002</v>
      </c>
      <c r="D4427" s="35">
        <v>26.9090004</v>
      </c>
      <c r="E4427" s="32" t="s">
        <v>16</v>
      </c>
      <c r="F4427" s="32" t="s">
        <v>11792</v>
      </c>
      <c r="G4427" s="36" t="e">
        <v>#N/A</v>
      </c>
      <c r="H4427" s="33"/>
      <c r="I4427" s="33"/>
      <c r="J4427" s="33"/>
      <c r="K4427" s="33"/>
      <c r="L4427" s="33"/>
      <c r="M4427" s="33"/>
    </row>
    <row r="4428">
      <c r="A4428" s="32" t="s">
        <v>11793</v>
      </c>
      <c r="B4428" s="32" t="s">
        <v>11794</v>
      </c>
      <c r="C4428" s="35">
        <v>-7.917478</v>
      </c>
      <c r="D4428" s="35">
        <v>39.668502</v>
      </c>
      <c r="E4428" s="32" t="s">
        <v>2937</v>
      </c>
      <c r="F4428" s="32" t="s">
        <v>11795</v>
      </c>
      <c r="G4428" s="36" t="e">
        <v>#N/A</v>
      </c>
      <c r="H4428" s="33"/>
      <c r="I4428" s="33"/>
      <c r="J4428" s="33"/>
      <c r="K4428" s="33"/>
      <c r="L4428" s="33"/>
      <c r="M4428" s="33"/>
    </row>
    <row r="4429">
      <c r="A4429" s="32" t="s">
        <v>11796</v>
      </c>
      <c r="B4429" s="32" t="s">
        <v>11797</v>
      </c>
      <c r="C4429" s="35">
        <v>40.82139969</v>
      </c>
      <c r="D4429" s="35">
        <v>-82.51660156</v>
      </c>
      <c r="E4429" s="32" t="s">
        <v>180</v>
      </c>
      <c r="F4429" s="32" t="s">
        <v>11798</v>
      </c>
      <c r="G4429" s="39" t="s">
        <v>181</v>
      </c>
      <c r="H4429" s="33"/>
      <c r="I4429" s="33"/>
      <c r="J4429" s="33"/>
      <c r="K4429" s="33"/>
      <c r="L4429" s="33"/>
      <c r="M4429" s="33"/>
    </row>
    <row r="4430">
      <c r="A4430" s="32" t="s">
        <v>11799</v>
      </c>
      <c r="B4430" s="32" t="s">
        <v>11800</v>
      </c>
      <c r="C4430" s="35">
        <v>26.17580032</v>
      </c>
      <c r="D4430" s="35">
        <v>-98.23860168</v>
      </c>
      <c r="E4430" s="32" t="s">
        <v>180</v>
      </c>
      <c r="F4430" s="32" t="s">
        <v>11801</v>
      </c>
      <c r="G4430" s="39" t="s">
        <v>181</v>
      </c>
      <c r="H4430" s="33"/>
      <c r="I4430" s="33"/>
      <c r="J4430" s="33"/>
      <c r="K4430" s="33"/>
      <c r="L4430" s="33"/>
      <c r="M4430" s="33"/>
    </row>
    <row r="4431">
      <c r="A4431" s="32" t="s">
        <v>11802</v>
      </c>
      <c r="B4431" s="32" t="s">
        <v>11803</v>
      </c>
      <c r="C4431" s="35">
        <v>34.3390007</v>
      </c>
      <c r="D4431" s="35">
        <v>73.50859833</v>
      </c>
      <c r="E4431" s="32" t="s">
        <v>1470</v>
      </c>
      <c r="F4431" s="32" t="s">
        <v>11804</v>
      </c>
      <c r="G4431" s="36" t="e">
        <v>#N/A</v>
      </c>
      <c r="H4431" s="33"/>
      <c r="I4431" s="33"/>
      <c r="J4431" s="33"/>
      <c r="K4431" s="33"/>
      <c r="L4431" s="33"/>
      <c r="M4431" s="33"/>
    </row>
    <row r="4432">
      <c r="A4432" s="32" t="s">
        <v>11805</v>
      </c>
      <c r="B4432" s="32" t="s">
        <v>11806</v>
      </c>
      <c r="C4432" s="35">
        <v>44.63690186</v>
      </c>
      <c r="D4432" s="35">
        <v>-90.18930054</v>
      </c>
      <c r="E4432" s="32" t="s">
        <v>180</v>
      </c>
      <c r="F4432" s="32" t="s">
        <v>8066</v>
      </c>
      <c r="G4432" s="39" t="s">
        <v>181</v>
      </c>
      <c r="H4432" s="33"/>
      <c r="I4432" s="33"/>
      <c r="J4432" s="33"/>
      <c r="K4432" s="33"/>
      <c r="L4432" s="33"/>
      <c r="M4432" s="33"/>
    </row>
    <row r="4433">
      <c r="A4433" s="32" t="s">
        <v>11807</v>
      </c>
      <c r="B4433" s="32" t="s">
        <v>11808</v>
      </c>
      <c r="C4433" s="35">
        <v>-18.56669998</v>
      </c>
      <c r="D4433" s="35">
        <v>179.951004</v>
      </c>
      <c r="E4433" s="32" t="s">
        <v>9136</v>
      </c>
      <c r="F4433" s="32" t="s">
        <v>11809</v>
      </c>
      <c r="G4433" s="36" t="e">
        <v>#N/A</v>
      </c>
      <c r="H4433" s="33"/>
      <c r="I4433" s="33"/>
      <c r="J4433" s="33"/>
      <c r="K4433" s="33"/>
      <c r="L4433" s="33"/>
      <c r="M4433" s="33"/>
    </row>
    <row r="4434">
      <c r="A4434" s="32" t="s">
        <v>11810</v>
      </c>
      <c r="B4434" s="32" t="s">
        <v>11811</v>
      </c>
      <c r="C4434" s="35">
        <v>26.2241993</v>
      </c>
      <c r="D4434" s="35">
        <v>120.0029984</v>
      </c>
      <c r="E4434" s="32" t="s">
        <v>1497</v>
      </c>
      <c r="F4434" s="32" t="s">
        <v>11521</v>
      </c>
      <c r="G4434" s="36" t="e">
        <v>#N/A</v>
      </c>
      <c r="H4434" s="33"/>
      <c r="I4434" s="33"/>
      <c r="J4434" s="33"/>
      <c r="K4434" s="33"/>
      <c r="L4434" s="33"/>
      <c r="M4434" s="33"/>
    </row>
    <row r="4435">
      <c r="A4435" s="32" t="s">
        <v>11812</v>
      </c>
      <c r="B4435" s="32" t="s">
        <v>11813</v>
      </c>
      <c r="C4435" s="35">
        <v>22.14959908</v>
      </c>
      <c r="D4435" s="35">
        <v>113.5920029</v>
      </c>
      <c r="E4435" s="32" t="s">
        <v>11814</v>
      </c>
      <c r="F4435" s="32" t="s">
        <v>11814</v>
      </c>
      <c r="G4435" s="36" t="e">
        <v>#N/A</v>
      </c>
      <c r="H4435" s="33"/>
      <c r="I4435" s="33"/>
      <c r="J4435" s="33"/>
      <c r="K4435" s="33"/>
      <c r="L4435" s="33"/>
      <c r="M4435" s="33"/>
    </row>
    <row r="4436">
      <c r="A4436" s="32" t="s">
        <v>11815</v>
      </c>
      <c r="B4436" s="32" t="s">
        <v>11816</v>
      </c>
      <c r="C4436" s="35">
        <v>-44.6733017</v>
      </c>
      <c r="D4436" s="35">
        <v>167.9230042</v>
      </c>
      <c r="E4436" s="32" t="s">
        <v>1328</v>
      </c>
      <c r="F4436" s="32" t="s">
        <v>11817</v>
      </c>
      <c r="G4436" s="36" t="e">
        <v>#N/A</v>
      </c>
      <c r="H4436" s="33"/>
      <c r="I4436" s="33"/>
      <c r="J4436" s="33"/>
      <c r="K4436" s="33"/>
      <c r="L4436" s="33"/>
      <c r="M4436" s="33"/>
    </row>
    <row r="4437">
      <c r="A4437" s="32" t="s">
        <v>11818</v>
      </c>
      <c r="B4437" s="32" t="s">
        <v>11819</v>
      </c>
      <c r="C4437" s="35">
        <v>13.50249958</v>
      </c>
      <c r="D4437" s="35">
        <v>7.126749992</v>
      </c>
      <c r="E4437" s="32" t="s">
        <v>168</v>
      </c>
      <c r="F4437" s="32" t="s">
        <v>11820</v>
      </c>
      <c r="G4437" s="36" t="e">
        <v>#N/A</v>
      </c>
      <c r="H4437" s="33"/>
      <c r="I4437" s="33"/>
      <c r="J4437" s="33"/>
      <c r="K4437" s="33"/>
      <c r="L4437" s="33"/>
      <c r="M4437" s="33"/>
    </row>
    <row r="4438">
      <c r="A4438" s="32" t="s">
        <v>11821</v>
      </c>
      <c r="B4438" s="32" t="s">
        <v>11822</v>
      </c>
      <c r="C4438" s="35">
        <v>42.37419891</v>
      </c>
      <c r="D4438" s="35">
        <v>-122.8730011</v>
      </c>
      <c r="E4438" s="32" t="s">
        <v>180</v>
      </c>
      <c r="F4438" s="32" t="s">
        <v>11823</v>
      </c>
      <c r="G4438" s="39" t="s">
        <v>181</v>
      </c>
      <c r="H4438" s="33"/>
      <c r="I4438" s="33"/>
      <c r="J4438" s="33"/>
      <c r="K4438" s="33"/>
      <c r="L4438" s="33"/>
      <c r="M4438" s="33"/>
    </row>
    <row r="4439">
      <c r="A4439" s="32" t="s">
        <v>11824</v>
      </c>
      <c r="B4439" s="32" t="s">
        <v>11825</v>
      </c>
      <c r="C4439" s="35">
        <v>-13.25889969</v>
      </c>
      <c r="D4439" s="35">
        <v>31.93659973</v>
      </c>
      <c r="E4439" s="32" t="s">
        <v>759</v>
      </c>
      <c r="F4439" s="32" t="s">
        <v>11826</v>
      </c>
      <c r="G4439" s="36" t="e">
        <v>#N/A</v>
      </c>
      <c r="H4439" s="33"/>
      <c r="I4439" s="33"/>
      <c r="J4439" s="33"/>
      <c r="K4439" s="33"/>
      <c r="L4439" s="33"/>
      <c r="M4439" s="33"/>
    </row>
    <row r="4440">
      <c r="A4440" s="32" t="s">
        <v>11827</v>
      </c>
      <c r="B4440" s="32" t="s">
        <v>11828</v>
      </c>
      <c r="C4440" s="35">
        <v>45.407003</v>
      </c>
      <c r="D4440" s="35">
        <v>6.577942</v>
      </c>
      <c r="E4440" s="32" t="s">
        <v>96</v>
      </c>
      <c r="F4440" s="32" t="s">
        <v>3782</v>
      </c>
      <c r="G4440" s="39" t="s">
        <v>97</v>
      </c>
      <c r="H4440" s="33"/>
      <c r="I4440" s="33"/>
      <c r="J4440" s="33"/>
      <c r="K4440" s="33"/>
      <c r="L4440" s="33"/>
      <c r="M4440" s="33"/>
    </row>
    <row r="4441">
      <c r="A4441" s="32" t="s">
        <v>11829</v>
      </c>
      <c r="B4441" s="32" t="s">
        <v>11830</v>
      </c>
      <c r="C4441" s="35">
        <v>12.14150047</v>
      </c>
      <c r="D4441" s="35">
        <v>-86.16819763</v>
      </c>
      <c r="E4441" s="32" t="s">
        <v>1260</v>
      </c>
      <c r="F4441" s="32" t="s">
        <v>11831</v>
      </c>
      <c r="G4441" s="36" t="e">
        <v>#N/A</v>
      </c>
      <c r="H4441" s="33"/>
      <c r="I4441" s="33"/>
      <c r="J4441" s="33"/>
      <c r="K4441" s="33"/>
      <c r="L4441" s="33"/>
      <c r="M4441" s="33"/>
    </row>
    <row r="4442">
      <c r="A4442" s="32" t="s">
        <v>11832</v>
      </c>
      <c r="B4442" s="32" t="s">
        <v>11833</v>
      </c>
      <c r="C4442" s="35">
        <v>-37.74560165</v>
      </c>
      <c r="D4442" s="35">
        <v>140.7850037</v>
      </c>
      <c r="E4442" s="32" t="s">
        <v>1968</v>
      </c>
      <c r="F4442" s="32" t="s">
        <v>11834</v>
      </c>
      <c r="G4442" s="36" t="e">
        <v>#N/A</v>
      </c>
      <c r="H4442" s="33"/>
      <c r="I4442" s="33"/>
      <c r="J4442" s="33"/>
      <c r="K4442" s="33"/>
      <c r="L4442" s="33"/>
      <c r="M4442" s="33"/>
    </row>
    <row r="4443">
      <c r="A4443" s="32" t="s">
        <v>11835</v>
      </c>
      <c r="B4443" s="32" t="s">
        <v>11836</v>
      </c>
      <c r="C4443" s="35">
        <v>41.70330048</v>
      </c>
      <c r="D4443" s="35">
        <v>-86.82119751</v>
      </c>
      <c r="E4443" s="32" t="s">
        <v>180</v>
      </c>
      <c r="F4443" s="32" t="s">
        <v>11837</v>
      </c>
      <c r="G4443" s="39" t="s">
        <v>181</v>
      </c>
      <c r="H4443" s="33"/>
      <c r="I4443" s="33"/>
      <c r="J4443" s="33"/>
      <c r="K4443" s="33"/>
      <c r="L4443" s="33"/>
      <c r="M4443" s="33"/>
    </row>
    <row r="4444">
      <c r="A4444" s="32" t="s">
        <v>11838</v>
      </c>
      <c r="B4444" s="32" t="s">
        <v>11839</v>
      </c>
      <c r="C4444" s="35">
        <v>33.91540146</v>
      </c>
      <c r="D4444" s="35">
        <v>-84.51629639</v>
      </c>
      <c r="E4444" s="32" t="s">
        <v>180</v>
      </c>
      <c r="F4444" s="32" t="s">
        <v>11840</v>
      </c>
      <c r="G4444" s="39" t="s">
        <v>181</v>
      </c>
      <c r="H4444" s="33"/>
      <c r="I4444" s="33"/>
      <c r="J4444" s="33"/>
      <c r="K4444" s="33"/>
      <c r="L4444" s="33"/>
      <c r="M4444" s="33"/>
    </row>
    <row r="4445">
      <c r="A4445" s="32" t="s">
        <v>11841</v>
      </c>
      <c r="B4445" s="32" t="s">
        <v>11842</v>
      </c>
      <c r="C4445" s="35">
        <v>-23.4794445</v>
      </c>
      <c r="D4445" s="35">
        <v>-52.01222229</v>
      </c>
      <c r="E4445" s="32" t="s">
        <v>288</v>
      </c>
      <c r="F4445" s="32" t="s">
        <v>11843</v>
      </c>
      <c r="G4445" s="36" t="e">
        <v>#N/A</v>
      </c>
      <c r="H4445" s="33"/>
      <c r="I4445" s="33"/>
      <c r="J4445" s="33"/>
      <c r="K4445" s="33"/>
      <c r="L4445" s="33"/>
      <c r="M4445" s="33"/>
    </row>
    <row r="4446">
      <c r="A4446" s="32" t="s">
        <v>11844</v>
      </c>
      <c r="B4446" s="32" t="s">
        <v>11845</v>
      </c>
      <c r="C4446" s="35">
        <v>-30.85740089</v>
      </c>
      <c r="D4446" s="35">
        <v>30.34300041</v>
      </c>
      <c r="E4446" s="32" t="s">
        <v>16</v>
      </c>
      <c r="F4446" s="32" t="s">
        <v>11846</v>
      </c>
      <c r="G4446" s="36" t="e">
        <v>#N/A</v>
      </c>
      <c r="H4446" s="33"/>
      <c r="I4446" s="33"/>
      <c r="J4446" s="33"/>
      <c r="K4446" s="33"/>
      <c r="L4446" s="33"/>
      <c r="M4446" s="33"/>
    </row>
    <row r="4447">
      <c r="A4447" s="32" t="s">
        <v>11847</v>
      </c>
      <c r="B4447" s="32" t="s">
        <v>11848</v>
      </c>
      <c r="C4447" s="35">
        <v>41.50999832</v>
      </c>
      <c r="D4447" s="35">
        <v>-74.26460266</v>
      </c>
      <c r="E4447" s="32" t="s">
        <v>180</v>
      </c>
      <c r="F4447" s="32" t="s">
        <v>11849</v>
      </c>
      <c r="G4447" s="39" t="s">
        <v>181</v>
      </c>
      <c r="H4447" s="33"/>
      <c r="I4447" s="33"/>
      <c r="J4447" s="33"/>
      <c r="K4447" s="33"/>
      <c r="L4447" s="33"/>
      <c r="M4447" s="33"/>
    </row>
    <row r="4448">
      <c r="A4448" s="32" t="s">
        <v>11850</v>
      </c>
      <c r="B4448" s="32" t="s">
        <v>11851</v>
      </c>
      <c r="C4448" s="35">
        <v>51.23027802</v>
      </c>
      <c r="D4448" s="35">
        <v>6.504444122</v>
      </c>
      <c r="E4448" s="32" t="s">
        <v>109</v>
      </c>
      <c r="F4448" s="32" t="s">
        <v>11852</v>
      </c>
      <c r="G4448" s="39" t="s">
        <v>110</v>
      </c>
      <c r="H4448" s="33"/>
      <c r="I4448" s="33"/>
      <c r="J4448" s="33"/>
      <c r="K4448" s="33"/>
      <c r="L4448" s="33"/>
      <c r="M4448" s="33"/>
    </row>
    <row r="4449">
      <c r="A4449" s="32" t="s">
        <v>11853</v>
      </c>
      <c r="B4449" s="32" t="s">
        <v>11854</v>
      </c>
      <c r="C4449" s="35">
        <v>32.30059814</v>
      </c>
      <c r="D4449" s="35">
        <v>-86.39399719</v>
      </c>
      <c r="E4449" s="32" t="s">
        <v>180</v>
      </c>
      <c r="F4449" s="32" t="s">
        <v>11855</v>
      </c>
      <c r="G4449" s="39" t="s">
        <v>181</v>
      </c>
      <c r="H4449" s="33"/>
      <c r="I4449" s="33"/>
      <c r="J4449" s="33"/>
      <c r="K4449" s="33"/>
      <c r="L4449" s="33"/>
      <c r="M4449" s="33"/>
    </row>
    <row r="4450">
      <c r="A4450" s="32" t="s">
        <v>11856</v>
      </c>
      <c r="B4450" s="32" t="s">
        <v>11857</v>
      </c>
      <c r="C4450" s="35">
        <v>9.28474</v>
      </c>
      <c r="D4450" s="35">
        <v>-74.8461</v>
      </c>
      <c r="E4450" s="32" t="s">
        <v>292</v>
      </c>
      <c r="F4450" s="32" t="s">
        <v>11858</v>
      </c>
      <c r="G4450" s="36" t="e">
        <v>#N/A</v>
      </c>
      <c r="H4450" s="33"/>
      <c r="I4450" s="33"/>
      <c r="J4450" s="33"/>
      <c r="K4450" s="33"/>
      <c r="L4450" s="33"/>
      <c r="M4450" s="33"/>
    </row>
    <row r="4451">
      <c r="A4451" s="32" t="s">
        <v>11859</v>
      </c>
      <c r="B4451" s="32" t="s">
        <v>11860</v>
      </c>
      <c r="C4451" s="35">
        <v>2.01444006</v>
      </c>
      <c r="D4451" s="35">
        <v>45.30469894</v>
      </c>
      <c r="E4451" s="32" t="s">
        <v>3906</v>
      </c>
      <c r="F4451" s="32" t="s">
        <v>11861</v>
      </c>
      <c r="G4451" s="36" t="e">
        <v>#N/A</v>
      </c>
      <c r="H4451" s="33"/>
      <c r="I4451" s="33"/>
      <c r="J4451" s="33"/>
      <c r="K4451" s="33"/>
      <c r="L4451" s="33"/>
      <c r="M4451" s="33"/>
    </row>
    <row r="4452">
      <c r="A4452" s="32" t="s">
        <v>11862</v>
      </c>
      <c r="B4452" s="32" t="s">
        <v>11863</v>
      </c>
      <c r="C4452" s="35">
        <v>-21.89598656</v>
      </c>
      <c r="D4452" s="35">
        <v>-157.906662</v>
      </c>
      <c r="E4452" s="32" t="s">
        <v>3772</v>
      </c>
      <c r="F4452" s="32" t="s">
        <v>11864</v>
      </c>
      <c r="G4452" s="36" t="e">
        <v>#N/A</v>
      </c>
      <c r="H4452" s="33"/>
      <c r="I4452" s="33"/>
      <c r="J4452" s="33"/>
      <c r="K4452" s="33"/>
      <c r="L4452" s="33"/>
      <c r="M4452" s="33"/>
    </row>
    <row r="4453">
      <c r="A4453" s="32" t="s">
        <v>11865</v>
      </c>
      <c r="B4453" s="32" t="s">
        <v>11866</v>
      </c>
      <c r="C4453" s="35">
        <v>-12.09440041</v>
      </c>
      <c r="D4453" s="35">
        <v>134.8939972</v>
      </c>
      <c r="E4453" s="32" t="s">
        <v>1968</v>
      </c>
      <c r="F4453" s="32" t="s">
        <v>11867</v>
      </c>
      <c r="G4453" s="36" t="e">
        <v>#N/A</v>
      </c>
      <c r="H4453" s="33"/>
      <c r="I4453" s="33"/>
      <c r="J4453" s="33"/>
      <c r="K4453" s="33"/>
      <c r="L4453" s="33"/>
      <c r="M4453" s="33"/>
    </row>
    <row r="4454">
      <c r="A4454" s="32" t="s">
        <v>11868</v>
      </c>
      <c r="B4454" s="32" t="s">
        <v>11869</v>
      </c>
      <c r="C4454" s="35">
        <v>39.64289856</v>
      </c>
      <c r="D4454" s="35">
        <v>-79.91629791</v>
      </c>
      <c r="E4454" s="32" t="s">
        <v>180</v>
      </c>
      <c r="F4454" s="32" t="s">
        <v>11870</v>
      </c>
      <c r="G4454" s="39" t="s">
        <v>181</v>
      </c>
      <c r="H4454" s="33"/>
      <c r="I4454" s="33"/>
      <c r="J4454" s="33"/>
      <c r="K4454" s="33"/>
      <c r="L4454" s="33"/>
      <c r="M4454" s="33"/>
    </row>
    <row r="4455">
      <c r="A4455" s="32" t="s">
        <v>11871</v>
      </c>
      <c r="B4455" s="32" t="s">
        <v>11872</v>
      </c>
      <c r="C4455" s="35">
        <v>39.5890007</v>
      </c>
      <c r="D4455" s="35">
        <v>-84.22489929</v>
      </c>
      <c r="E4455" s="32" t="s">
        <v>180</v>
      </c>
      <c r="F4455" s="32" t="s">
        <v>6547</v>
      </c>
      <c r="G4455" s="39" t="s">
        <v>181</v>
      </c>
      <c r="H4455" s="33"/>
      <c r="I4455" s="33"/>
      <c r="J4455" s="33"/>
      <c r="K4455" s="33"/>
      <c r="L4455" s="33"/>
      <c r="M4455" s="33"/>
    </row>
    <row r="4456">
      <c r="A4456" s="32" t="s">
        <v>11873</v>
      </c>
      <c r="B4456" s="32" t="s">
        <v>11874</v>
      </c>
      <c r="C4456" s="35">
        <v>12.43980026</v>
      </c>
      <c r="D4456" s="35">
        <v>98.62149811</v>
      </c>
      <c r="E4456" s="32" t="s">
        <v>1918</v>
      </c>
      <c r="F4456" s="32" t="s">
        <v>11875</v>
      </c>
      <c r="G4456" s="36" t="e">
        <v>#N/A</v>
      </c>
      <c r="H4456" s="33"/>
      <c r="I4456" s="33"/>
      <c r="J4456" s="33"/>
      <c r="K4456" s="33"/>
      <c r="L4456" s="33"/>
      <c r="M4456" s="33"/>
    </row>
    <row r="4457">
      <c r="A4457" s="32" t="s">
        <v>11876</v>
      </c>
      <c r="B4457" s="32" t="s">
        <v>11877</v>
      </c>
      <c r="C4457" s="35">
        <v>5.277490139</v>
      </c>
      <c r="D4457" s="35">
        <v>-59.15110016</v>
      </c>
      <c r="E4457" s="32" t="s">
        <v>1822</v>
      </c>
      <c r="F4457" s="32" t="s">
        <v>11878</v>
      </c>
      <c r="G4457" s="36" t="e">
        <v>#N/A</v>
      </c>
      <c r="H4457" s="33"/>
      <c r="I4457" s="33"/>
      <c r="J4457" s="33"/>
      <c r="K4457" s="33"/>
      <c r="L4457" s="33"/>
      <c r="M4457" s="33"/>
    </row>
    <row r="4458">
      <c r="A4458" s="32" t="s">
        <v>11879</v>
      </c>
      <c r="B4458" s="32" t="s">
        <v>11880</v>
      </c>
      <c r="C4458" s="35">
        <v>-42.340388</v>
      </c>
      <c r="D4458" s="35">
        <v>-73.715693</v>
      </c>
      <c r="E4458" s="32" t="s">
        <v>300</v>
      </c>
      <c r="F4458" s="32" t="s">
        <v>11881</v>
      </c>
      <c r="G4458" s="36" t="e">
        <v>#N/A</v>
      </c>
      <c r="H4458" s="33"/>
      <c r="I4458" s="33"/>
      <c r="J4458" s="33"/>
      <c r="K4458" s="33"/>
      <c r="L4458" s="33"/>
      <c r="M4458" s="33"/>
    </row>
    <row r="4459">
      <c r="A4459" s="32" t="s">
        <v>11882</v>
      </c>
      <c r="B4459" s="32" t="s">
        <v>11883</v>
      </c>
      <c r="C4459" s="35">
        <v>36.23519897</v>
      </c>
      <c r="D4459" s="35">
        <v>59.64099884</v>
      </c>
      <c r="E4459" s="32" t="s">
        <v>1378</v>
      </c>
      <c r="F4459" s="32" t="s">
        <v>11884</v>
      </c>
      <c r="G4459" s="36" t="e">
        <v>#N/A</v>
      </c>
      <c r="H4459" s="33"/>
      <c r="I4459" s="33"/>
      <c r="J4459" s="33"/>
      <c r="K4459" s="33"/>
      <c r="L4459" s="33"/>
      <c r="M4459" s="33"/>
    </row>
    <row r="4460">
      <c r="A4460" s="32" t="s">
        <v>11885</v>
      </c>
      <c r="B4460" s="32" t="s">
        <v>11886</v>
      </c>
      <c r="C4460" s="35">
        <v>49.47305679</v>
      </c>
      <c r="D4460" s="35">
        <v>8.514166832</v>
      </c>
      <c r="E4460" s="32" t="s">
        <v>109</v>
      </c>
      <c r="F4460" s="32" t="s">
        <v>11887</v>
      </c>
      <c r="G4460" s="39" t="s">
        <v>110</v>
      </c>
      <c r="H4460" s="33"/>
      <c r="I4460" s="33"/>
      <c r="J4460" s="33"/>
      <c r="K4460" s="33"/>
      <c r="L4460" s="33"/>
      <c r="M4460" s="33"/>
    </row>
    <row r="4461">
      <c r="A4461" s="32" t="s">
        <v>11888</v>
      </c>
      <c r="B4461" s="32" t="s">
        <v>11889</v>
      </c>
      <c r="C4461" s="35">
        <v>26.51140022</v>
      </c>
      <c r="D4461" s="35">
        <v>-77.08350372</v>
      </c>
      <c r="E4461" s="32" t="s">
        <v>319</v>
      </c>
      <c r="F4461" s="32" t="s">
        <v>11890</v>
      </c>
      <c r="G4461" s="36" t="e">
        <v>#N/A</v>
      </c>
      <c r="H4461" s="33"/>
      <c r="I4461" s="33"/>
      <c r="J4461" s="33"/>
      <c r="K4461" s="33"/>
      <c r="L4461" s="33"/>
      <c r="M4461" s="33"/>
    </row>
    <row r="4462">
      <c r="A4462" s="32" t="s">
        <v>11891</v>
      </c>
      <c r="B4462" s="32" t="s">
        <v>11892</v>
      </c>
      <c r="C4462" s="35">
        <v>39.14099884</v>
      </c>
      <c r="D4462" s="35">
        <v>-96.67079926</v>
      </c>
      <c r="E4462" s="32" t="s">
        <v>180</v>
      </c>
      <c r="F4462" s="32" t="s">
        <v>11893</v>
      </c>
      <c r="G4462" s="39" t="s">
        <v>181</v>
      </c>
      <c r="H4462" s="33"/>
      <c r="I4462" s="33"/>
      <c r="J4462" s="33"/>
      <c r="K4462" s="33"/>
      <c r="L4462" s="33"/>
      <c r="M4462" s="33"/>
    </row>
    <row r="4463">
      <c r="A4463" s="32" t="s">
        <v>11894</v>
      </c>
      <c r="B4463" s="32" t="s">
        <v>11895</v>
      </c>
      <c r="C4463" s="35">
        <v>63.88600159</v>
      </c>
      <c r="D4463" s="35">
        <v>-152.302002</v>
      </c>
      <c r="E4463" s="32" t="s">
        <v>180</v>
      </c>
      <c r="F4463" s="32" t="s">
        <v>11896</v>
      </c>
      <c r="G4463" s="39" t="s">
        <v>181</v>
      </c>
      <c r="H4463" s="33"/>
      <c r="I4463" s="33"/>
      <c r="J4463" s="33"/>
      <c r="K4463" s="33"/>
      <c r="L4463" s="33"/>
      <c r="M4463" s="33"/>
    </row>
    <row r="4464">
      <c r="A4464" s="32" t="s">
        <v>11897</v>
      </c>
      <c r="B4464" s="32" t="s">
        <v>11898</v>
      </c>
      <c r="C4464" s="35">
        <v>53.86449814</v>
      </c>
      <c r="D4464" s="35">
        <v>27.53969955</v>
      </c>
      <c r="E4464" s="32" t="s">
        <v>2097</v>
      </c>
      <c r="F4464" s="32" t="s">
        <v>2098</v>
      </c>
      <c r="G4464" s="36" t="e">
        <v>#N/A</v>
      </c>
      <c r="H4464" s="33"/>
      <c r="I4464" s="33"/>
      <c r="J4464" s="33"/>
      <c r="K4464" s="33"/>
      <c r="L4464" s="33"/>
      <c r="M4464" s="33"/>
    </row>
    <row r="4465">
      <c r="A4465" s="32" t="s">
        <v>11899</v>
      </c>
      <c r="B4465" s="32" t="s">
        <v>11900</v>
      </c>
      <c r="C4465" s="35">
        <v>60.12220001</v>
      </c>
      <c r="D4465" s="35">
        <v>19.89819908</v>
      </c>
      <c r="E4465" s="32" t="s">
        <v>408</v>
      </c>
      <c r="F4465" s="32" t="s">
        <v>11901</v>
      </c>
      <c r="G4465" s="36" t="e">
        <v>#N/A</v>
      </c>
      <c r="H4465" s="33"/>
      <c r="I4465" s="33"/>
      <c r="J4465" s="33"/>
      <c r="K4465" s="33"/>
      <c r="L4465" s="33"/>
      <c r="M4465" s="33"/>
    </row>
    <row r="4466">
      <c r="A4466" s="32" t="s">
        <v>11902</v>
      </c>
      <c r="B4466" s="32" t="s">
        <v>11903</v>
      </c>
      <c r="C4466" s="35">
        <v>38.55390167</v>
      </c>
      <c r="D4466" s="35">
        <v>-121.2979965</v>
      </c>
      <c r="E4466" s="32" t="s">
        <v>180</v>
      </c>
      <c r="F4466" s="32" t="s">
        <v>11643</v>
      </c>
      <c r="G4466" s="39" t="s">
        <v>181</v>
      </c>
      <c r="H4466" s="33"/>
      <c r="I4466" s="33"/>
      <c r="J4466" s="33"/>
      <c r="K4466" s="33"/>
      <c r="L4466" s="33"/>
      <c r="M4466" s="33"/>
    </row>
    <row r="4467">
      <c r="A4467" s="32" t="s">
        <v>11904</v>
      </c>
      <c r="B4467" s="32" t="s">
        <v>11573</v>
      </c>
      <c r="C4467" s="35">
        <v>42.93259811</v>
      </c>
      <c r="D4467" s="35">
        <v>-71.43569946</v>
      </c>
      <c r="E4467" s="32" t="s">
        <v>180</v>
      </c>
      <c r="F4467" s="32" t="s">
        <v>11905</v>
      </c>
      <c r="G4467" s="39" t="s">
        <v>181</v>
      </c>
      <c r="H4467" s="33"/>
      <c r="I4467" s="33"/>
      <c r="J4467" s="33"/>
      <c r="K4467" s="33"/>
      <c r="L4467" s="33"/>
      <c r="M4467" s="33"/>
    </row>
    <row r="4468">
      <c r="A4468" s="32" t="s">
        <v>11906</v>
      </c>
      <c r="B4468" s="32" t="s">
        <v>11907</v>
      </c>
      <c r="C4468" s="35">
        <v>-37.04750061</v>
      </c>
      <c r="D4468" s="35">
        <v>147.3339996</v>
      </c>
      <c r="E4468" s="32" t="s">
        <v>1968</v>
      </c>
      <c r="F4468" s="32" t="s">
        <v>11908</v>
      </c>
      <c r="G4468" s="36" t="e">
        <v>#N/A</v>
      </c>
      <c r="H4468" s="33"/>
      <c r="I4468" s="33"/>
      <c r="J4468" s="33"/>
      <c r="K4468" s="33"/>
      <c r="L4468" s="33"/>
      <c r="M4468" s="33"/>
    </row>
    <row r="4469">
      <c r="A4469" s="32" t="s">
        <v>11909</v>
      </c>
      <c r="B4469" s="32" t="s">
        <v>11910</v>
      </c>
      <c r="C4469" s="35">
        <v>35.05939865</v>
      </c>
      <c r="D4469" s="35">
        <v>-118.1520004</v>
      </c>
      <c r="E4469" s="32" t="s">
        <v>180</v>
      </c>
      <c r="F4469" s="32" t="s">
        <v>11911</v>
      </c>
      <c r="G4469" s="39" t="s">
        <v>181</v>
      </c>
      <c r="H4469" s="33"/>
      <c r="I4469" s="33"/>
      <c r="J4469" s="33"/>
      <c r="K4469" s="33"/>
      <c r="L4469" s="33"/>
      <c r="M4469" s="33"/>
    </row>
    <row r="4470">
      <c r="A4470" s="32" t="s">
        <v>11912</v>
      </c>
      <c r="B4470" s="32" t="s">
        <v>11913</v>
      </c>
      <c r="C4470" s="35">
        <v>-10.3767004</v>
      </c>
      <c r="D4470" s="35">
        <v>-161.0019989</v>
      </c>
      <c r="E4470" s="32" t="s">
        <v>3772</v>
      </c>
      <c r="F4470" s="32" t="s">
        <v>11914</v>
      </c>
      <c r="G4470" s="36" t="e">
        <v>#N/A</v>
      </c>
      <c r="H4470" s="33"/>
      <c r="I4470" s="33"/>
      <c r="J4470" s="33"/>
      <c r="K4470" s="33"/>
      <c r="L4470" s="33"/>
      <c r="M4470" s="33"/>
    </row>
    <row r="4471">
      <c r="A4471" s="32" t="s">
        <v>11915</v>
      </c>
      <c r="B4471" s="32" t="s">
        <v>11916</v>
      </c>
      <c r="C4471" s="35">
        <v>52.36190033</v>
      </c>
      <c r="D4471" s="35">
        <v>0.486405998</v>
      </c>
      <c r="E4471" s="32" t="s">
        <v>90</v>
      </c>
      <c r="F4471" s="32" t="s">
        <v>11917</v>
      </c>
      <c r="G4471" s="39" t="s">
        <v>91</v>
      </c>
      <c r="H4471" s="33"/>
      <c r="I4471" s="33"/>
      <c r="J4471" s="33"/>
      <c r="K4471" s="33"/>
      <c r="L4471" s="33"/>
      <c r="M4471" s="33"/>
    </row>
    <row r="4472">
      <c r="A4472" s="32" t="s">
        <v>11918</v>
      </c>
      <c r="B4472" s="32" t="s">
        <v>11919</v>
      </c>
      <c r="C4472" s="35">
        <v>25.79319954</v>
      </c>
      <c r="D4472" s="35">
        <v>-80.29060364</v>
      </c>
      <c r="E4472" s="32" t="s">
        <v>180</v>
      </c>
      <c r="F4472" s="32" t="s">
        <v>11920</v>
      </c>
      <c r="G4472" s="39" t="s">
        <v>181</v>
      </c>
      <c r="H4472" s="33"/>
      <c r="I4472" s="33"/>
      <c r="J4472" s="33"/>
      <c r="K4472" s="33"/>
      <c r="L4472" s="33"/>
      <c r="M4472" s="33"/>
    </row>
    <row r="4473">
      <c r="A4473" s="32" t="s">
        <v>11921</v>
      </c>
      <c r="B4473" s="32" t="s">
        <v>11922</v>
      </c>
      <c r="C4473" s="35">
        <v>48.41559982</v>
      </c>
      <c r="D4473" s="35">
        <v>-101.3580017</v>
      </c>
      <c r="E4473" s="32" t="s">
        <v>180</v>
      </c>
      <c r="F4473" s="32" t="s">
        <v>11923</v>
      </c>
      <c r="G4473" s="39" t="s">
        <v>181</v>
      </c>
      <c r="H4473" s="33"/>
      <c r="I4473" s="33"/>
      <c r="J4473" s="33"/>
      <c r="K4473" s="33"/>
      <c r="L4473" s="33"/>
      <c r="M4473" s="33"/>
    </row>
    <row r="4474">
      <c r="A4474" s="32" t="s">
        <v>11924</v>
      </c>
      <c r="B4474" s="32" t="s">
        <v>11925</v>
      </c>
      <c r="C4474" s="35">
        <v>45.06200027</v>
      </c>
      <c r="D4474" s="35">
        <v>-93.35389709</v>
      </c>
      <c r="E4474" s="32" t="s">
        <v>180</v>
      </c>
      <c r="F4474" s="32" t="s">
        <v>11926</v>
      </c>
      <c r="G4474" s="39" t="s">
        <v>181</v>
      </c>
      <c r="H4474" s="33"/>
      <c r="I4474" s="33"/>
      <c r="J4474" s="33"/>
      <c r="K4474" s="33"/>
      <c r="L4474" s="33"/>
      <c r="M4474" s="33"/>
    </row>
    <row r="4475">
      <c r="A4475" s="32" t="s">
        <v>11927</v>
      </c>
      <c r="B4475" s="32" t="s">
        <v>11928</v>
      </c>
      <c r="C4475" s="35">
        <v>20.93700027</v>
      </c>
      <c r="D4475" s="35">
        <v>-89.65769959</v>
      </c>
      <c r="E4475" s="32" t="s">
        <v>186</v>
      </c>
      <c r="F4475" s="32" t="s">
        <v>11929</v>
      </c>
      <c r="G4475" s="39" t="s">
        <v>187</v>
      </c>
      <c r="H4475" s="33"/>
      <c r="I4475" s="33"/>
      <c r="J4475" s="33"/>
      <c r="K4475" s="33"/>
      <c r="L4475" s="33"/>
      <c r="M4475" s="33"/>
    </row>
    <row r="4476">
      <c r="A4476" s="32" t="s">
        <v>11930</v>
      </c>
      <c r="B4476" s="32" t="s">
        <v>11931</v>
      </c>
      <c r="C4476" s="35">
        <v>40.24229813</v>
      </c>
      <c r="D4476" s="35">
        <v>-85.39589691</v>
      </c>
      <c r="E4476" s="32" t="s">
        <v>180</v>
      </c>
      <c r="F4476" s="32" t="s">
        <v>11932</v>
      </c>
      <c r="G4476" s="39" t="s">
        <v>181</v>
      </c>
      <c r="H4476" s="33"/>
      <c r="I4476" s="33"/>
      <c r="J4476" s="33"/>
      <c r="K4476" s="33"/>
      <c r="L4476" s="33"/>
      <c r="M4476" s="33"/>
    </row>
    <row r="4477">
      <c r="A4477" s="32" t="s">
        <v>11933</v>
      </c>
      <c r="B4477" s="32" t="s">
        <v>11934</v>
      </c>
      <c r="C4477" s="35">
        <v>31.42810059</v>
      </c>
      <c r="D4477" s="35">
        <v>104.7409973</v>
      </c>
      <c r="E4477" s="32" t="s">
        <v>205</v>
      </c>
      <c r="F4477" s="32" t="s">
        <v>11935</v>
      </c>
      <c r="G4477" s="39" t="s">
        <v>206</v>
      </c>
      <c r="H4477" s="33"/>
      <c r="I4477" s="33"/>
      <c r="J4477" s="33"/>
      <c r="K4477" s="33"/>
      <c r="L4477" s="33"/>
      <c r="M4477" s="33"/>
    </row>
    <row r="4478">
      <c r="A4478" s="32" t="s">
        <v>11936</v>
      </c>
      <c r="B4478" s="32" t="s">
        <v>11937</v>
      </c>
      <c r="C4478" s="35">
        <v>-22.19689941</v>
      </c>
      <c r="D4478" s="35">
        <v>-49.92639923</v>
      </c>
      <c r="E4478" s="32" t="s">
        <v>288</v>
      </c>
      <c r="F4478" s="32" t="s">
        <v>11938</v>
      </c>
      <c r="G4478" s="36" t="e">
        <v>#N/A</v>
      </c>
      <c r="H4478" s="33"/>
      <c r="I4478" s="33"/>
      <c r="J4478" s="33"/>
      <c r="K4478" s="33"/>
      <c r="L4478" s="33"/>
      <c r="M4478" s="33"/>
    </row>
    <row r="4479">
      <c r="A4479" s="32" t="s">
        <v>11939</v>
      </c>
      <c r="B4479" s="32" t="s">
        <v>11940</v>
      </c>
      <c r="C4479" s="35">
        <v>6.083330154</v>
      </c>
      <c r="D4479" s="35">
        <v>171.7330017</v>
      </c>
      <c r="E4479" s="32" t="s">
        <v>1494</v>
      </c>
      <c r="F4479" s="32" t="s">
        <v>11941</v>
      </c>
      <c r="G4479" s="36" t="e">
        <v>#N/A</v>
      </c>
      <c r="H4479" s="33"/>
      <c r="I4479" s="33"/>
      <c r="J4479" s="33"/>
      <c r="K4479" s="33"/>
      <c r="L4479" s="33"/>
      <c r="M4479" s="33"/>
    </row>
    <row r="4480">
      <c r="A4480" s="32" t="s">
        <v>11942</v>
      </c>
      <c r="B4480" s="32" t="s">
        <v>11943</v>
      </c>
      <c r="C4480" s="35">
        <v>61.6866</v>
      </c>
      <c r="D4480" s="35">
        <v>27.201799</v>
      </c>
      <c r="E4480" s="32" t="s">
        <v>408</v>
      </c>
      <c r="F4480" s="32" t="s">
        <v>11944</v>
      </c>
      <c r="G4480" s="36" t="e">
        <v>#N/A</v>
      </c>
      <c r="H4480" s="33"/>
      <c r="I4480" s="33"/>
      <c r="J4480" s="33"/>
      <c r="K4480" s="33"/>
      <c r="L4480" s="33"/>
      <c r="M4480" s="33"/>
    </row>
    <row r="4481">
      <c r="A4481" s="32" t="s">
        <v>11945</v>
      </c>
      <c r="B4481" s="32" t="s">
        <v>11946</v>
      </c>
      <c r="C4481" s="35">
        <v>-36.90859985</v>
      </c>
      <c r="D4481" s="35">
        <v>149.901001</v>
      </c>
      <c r="E4481" s="32" t="s">
        <v>1968</v>
      </c>
      <c r="F4481" s="32" t="s">
        <v>11947</v>
      </c>
      <c r="G4481" s="36" t="e">
        <v>#N/A</v>
      </c>
      <c r="H4481" s="33"/>
      <c r="I4481" s="33"/>
      <c r="J4481" s="33"/>
      <c r="K4481" s="33"/>
      <c r="L4481" s="33"/>
      <c r="M4481" s="33"/>
    </row>
    <row r="4482">
      <c r="A4482" s="32" t="s">
        <v>11948</v>
      </c>
      <c r="B4482" s="32" t="s">
        <v>11949</v>
      </c>
      <c r="C4482" s="35">
        <v>35.7580986</v>
      </c>
      <c r="D4482" s="35">
        <v>10.75469971</v>
      </c>
      <c r="E4482" s="32" t="s">
        <v>22</v>
      </c>
      <c r="F4482" s="32" t="s">
        <v>11950</v>
      </c>
      <c r="G4482" s="36" t="e">
        <v>#N/A</v>
      </c>
      <c r="H4482" s="33"/>
      <c r="I4482" s="33"/>
      <c r="J4482" s="33"/>
      <c r="K4482" s="33"/>
      <c r="L4482" s="33"/>
      <c r="M4482" s="33"/>
    </row>
    <row r="4483">
      <c r="A4483" s="32" t="s">
        <v>11951</v>
      </c>
      <c r="B4483" s="32" t="s">
        <v>11952</v>
      </c>
      <c r="C4483" s="35">
        <v>-10.6892004</v>
      </c>
      <c r="D4483" s="35">
        <v>152.8379974</v>
      </c>
      <c r="E4483" s="32" t="s">
        <v>5289</v>
      </c>
      <c r="F4483" s="32" t="s">
        <v>11953</v>
      </c>
      <c r="G4483" s="36" t="e">
        <v>#N/A</v>
      </c>
      <c r="H4483" s="33"/>
      <c r="I4483" s="33"/>
      <c r="J4483" s="33"/>
      <c r="K4483" s="33"/>
      <c r="L4483" s="33"/>
      <c r="M4483" s="33"/>
    </row>
    <row r="4484">
      <c r="A4484" s="32" t="s">
        <v>11954</v>
      </c>
      <c r="B4484" s="32" t="s">
        <v>11955</v>
      </c>
      <c r="C4484" s="35">
        <v>11.85529995</v>
      </c>
      <c r="D4484" s="35">
        <v>13.08090019</v>
      </c>
      <c r="E4484" s="32" t="s">
        <v>19</v>
      </c>
      <c r="F4484" s="32" t="s">
        <v>11956</v>
      </c>
      <c r="G4484" s="36" t="e">
        <v>#N/A</v>
      </c>
      <c r="H4484" s="33"/>
      <c r="I4484" s="33"/>
      <c r="J4484" s="33"/>
      <c r="K4484" s="33"/>
      <c r="L4484" s="33"/>
      <c r="M4484" s="33"/>
    </row>
    <row r="4485">
      <c r="A4485" s="32" t="s">
        <v>11957</v>
      </c>
      <c r="B4485" s="32" t="s">
        <v>11958</v>
      </c>
      <c r="C4485" s="35">
        <v>39.36780167</v>
      </c>
      <c r="D4485" s="35">
        <v>-75.07219696</v>
      </c>
      <c r="E4485" s="32" t="s">
        <v>180</v>
      </c>
      <c r="F4485" s="32" t="s">
        <v>11959</v>
      </c>
      <c r="G4485" s="39" t="s">
        <v>181</v>
      </c>
      <c r="H4485" s="33"/>
      <c r="I4485" s="33"/>
      <c r="J4485" s="33"/>
      <c r="K4485" s="33"/>
      <c r="L4485" s="33"/>
      <c r="M4485" s="33"/>
    </row>
    <row r="4486">
      <c r="A4486" s="32" t="s">
        <v>11960</v>
      </c>
      <c r="B4486" s="32" t="s">
        <v>11961</v>
      </c>
      <c r="C4486" s="35">
        <v>-21.42610525</v>
      </c>
      <c r="D4486" s="35">
        <v>44.31650877</v>
      </c>
      <c r="E4486" s="32" t="s">
        <v>384</v>
      </c>
      <c r="F4486" s="32" t="s">
        <v>11962</v>
      </c>
      <c r="G4486" s="36" t="e">
        <v>#N/A</v>
      </c>
      <c r="H4486" s="33"/>
      <c r="I4486" s="33"/>
      <c r="J4486" s="33"/>
      <c r="K4486" s="33"/>
      <c r="L4486" s="33"/>
      <c r="M4486" s="33"/>
    </row>
    <row r="4487">
      <c r="A4487" s="32" t="s">
        <v>11963</v>
      </c>
      <c r="B4487" s="32" t="s">
        <v>11964</v>
      </c>
      <c r="C4487" s="35">
        <v>7.272069931</v>
      </c>
      <c r="D4487" s="35">
        <v>-7.587359905</v>
      </c>
      <c r="E4487" s="32" t="s">
        <v>3494</v>
      </c>
      <c r="F4487" s="32" t="s">
        <v>11965</v>
      </c>
      <c r="G4487" s="36" t="e">
        <v>#N/A</v>
      </c>
      <c r="H4487" s="33"/>
      <c r="I4487" s="33"/>
      <c r="J4487" s="33"/>
      <c r="K4487" s="33"/>
      <c r="L4487" s="33"/>
      <c r="M4487" s="33"/>
    </row>
    <row r="4488">
      <c r="A4488" s="32" t="s">
        <v>11966</v>
      </c>
      <c r="B4488" s="32" t="s">
        <v>11967</v>
      </c>
      <c r="C4488" s="35">
        <v>27.33519936</v>
      </c>
      <c r="D4488" s="35">
        <v>68.14309692</v>
      </c>
      <c r="E4488" s="32" t="s">
        <v>1470</v>
      </c>
      <c r="F4488" s="32" t="s">
        <v>11968</v>
      </c>
      <c r="G4488" s="36" t="e">
        <v>#N/A</v>
      </c>
      <c r="H4488" s="33"/>
      <c r="I4488" s="33"/>
      <c r="J4488" s="33"/>
      <c r="K4488" s="33"/>
      <c r="L4488" s="33"/>
      <c r="M4488" s="33"/>
    </row>
    <row r="4489">
      <c r="A4489" s="32" t="s">
        <v>11969</v>
      </c>
      <c r="B4489" s="32" t="s">
        <v>11970</v>
      </c>
      <c r="C4489" s="35">
        <v>65.78399658</v>
      </c>
      <c r="D4489" s="35">
        <v>13.21490002</v>
      </c>
      <c r="E4489" s="32" t="s">
        <v>343</v>
      </c>
      <c r="F4489" s="32" t="s">
        <v>11971</v>
      </c>
      <c r="G4489" s="36" t="e">
        <v>#N/A</v>
      </c>
      <c r="H4489" s="33"/>
      <c r="I4489" s="33"/>
      <c r="J4489" s="33"/>
      <c r="K4489" s="33"/>
      <c r="L4489" s="33"/>
      <c r="M4489" s="33"/>
    </row>
    <row r="4490">
      <c r="A4490" s="32" t="s">
        <v>11972</v>
      </c>
      <c r="B4490" s="32" t="s">
        <v>11973</v>
      </c>
      <c r="C4490" s="35">
        <v>32.89410019</v>
      </c>
      <c r="D4490" s="35">
        <v>13.27600002</v>
      </c>
      <c r="E4490" s="32" t="s">
        <v>829</v>
      </c>
      <c r="F4490" s="32" t="s">
        <v>11974</v>
      </c>
      <c r="G4490" s="36" t="e">
        <v>#N/A</v>
      </c>
      <c r="H4490" s="33"/>
      <c r="I4490" s="33"/>
      <c r="J4490" s="33"/>
      <c r="K4490" s="33"/>
      <c r="L4490" s="33"/>
      <c r="M4490" s="33"/>
    </row>
    <row r="4491">
      <c r="A4491" s="32" t="s">
        <v>11975</v>
      </c>
      <c r="B4491" s="32" t="s">
        <v>11976</v>
      </c>
      <c r="C4491" s="35">
        <v>-25.89389992</v>
      </c>
      <c r="D4491" s="35">
        <v>113.5770035</v>
      </c>
      <c r="E4491" s="32" t="s">
        <v>1968</v>
      </c>
      <c r="F4491" s="32" t="s">
        <v>11977</v>
      </c>
      <c r="G4491" s="36" t="e">
        <v>#N/A</v>
      </c>
      <c r="H4491" s="33"/>
      <c r="I4491" s="33"/>
      <c r="J4491" s="33"/>
      <c r="K4491" s="33"/>
      <c r="L4491" s="33"/>
      <c r="M4491" s="33"/>
    </row>
    <row r="4492">
      <c r="A4492" s="32" t="s">
        <v>11978</v>
      </c>
      <c r="B4492" s="32" t="s">
        <v>11979</v>
      </c>
      <c r="C4492" s="35">
        <v>-1.84513998</v>
      </c>
      <c r="D4492" s="35">
        <v>11.05669975</v>
      </c>
      <c r="E4492" s="32" t="s">
        <v>4974</v>
      </c>
      <c r="F4492" s="32" t="s">
        <v>11980</v>
      </c>
      <c r="G4492" s="36" t="e">
        <v>#N/A</v>
      </c>
      <c r="H4492" s="33"/>
      <c r="I4492" s="33"/>
      <c r="J4492" s="33"/>
      <c r="K4492" s="33"/>
      <c r="L4492" s="33"/>
      <c r="M4492" s="33"/>
    </row>
    <row r="4493">
      <c r="A4493" s="32" t="s">
        <v>11981</v>
      </c>
      <c r="B4493" s="32" t="s">
        <v>11982</v>
      </c>
      <c r="C4493" s="35">
        <v>-6.121240139</v>
      </c>
      <c r="D4493" s="35">
        <v>23.56900024</v>
      </c>
      <c r="E4493" s="32" t="s">
        <v>800</v>
      </c>
      <c r="F4493" s="32" t="s">
        <v>11983</v>
      </c>
      <c r="G4493" s="36" t="e">
        <v>#N/A</v>
      </c>
      <c r="H4493" s="33"/>
      <c r="I4493" s="33"/>
      <c r="J4493" s="33"/>
      <c r="K4493" s="33"/>
      <c r="L4493" s="33"/>
      <c r="M4493" s="33"/>
    </row>
    <row r="4494">
      <c r="A4494" s="32" t="s">
        <v>11984</v>
      </c>
      <c r="B4494" s="32" t="s">
        <v>11985</v>
      </c>
      <c r="C4494" s="35">
        <v>-15.66684174</v>
      </c>
      <c r="D4494" s="35">
        <v>46.35123253</v>
      </c>
      <c r="E4494" s="32" t="s">
        <v>384</v>
      </c>
      <c r="F4494" s="32" t="s">
        <v>11986</v>
      </c>
      <c r="G4494" s="36" t="e">
        <v>#N/A</v>
      </c>
      <c r="H4494" s="33"/>
      <c r="I4494" s="33"/>
      <c r="J4494" s="33"/>
      <c r="K4494" s="33"/>
      <c r="L4494" s="33"/>
      <c r="M4494" s="33"/>
    </row>
    <row r="4495">
      <c r="A4495" s="32" t="s">
        <v>11987</v>
      </c>
      <c r="B4495" s="32" t="s">
        <v>11988</v>
      </c>
      <c r="C4495" s="35">
        <v>39.05670166</v>
      </c>
      <c r="D4495" s="35">
        <v>26.59830093</v>
      </c>
      <c r="E4495" s="32" t="s">
        <v>339</v>
      </c>
      <c r="F4495" s="32" t="s">
        <v>11989</v>
      </c>
      <c r="G4495" s="36" t="e">
        <v>#N/A</v>
      </c>
      <c r="H4495" s="33"/>
      <c r="I4495" s="33"/>
      <c r="J4495" s="33"/>
      <c r="K4495" s="33"/>
      <c r="L4495" s="33"/>
      <c r="M4495" s="33"/>
    </row>
    <row r="4496">
      <c r="A4496" s="32" t="s">
        <v>11990</v>
      </c>
      <c r="B4496" s="32" t="s">
        <v>11991</v>
      </c>
      <c r="C4496" s="35">
        <v>37.77500153</v>
      </c>
      <c r="D4496" s="35">
        <v>-0.812389016</v>
      </c>
      <c r="E4496" s="32" t="s">
        <v>115</v>
      </c>
      <c r="F4496" s="32" t="s">
        <v>868</v>
      </c>
      <c r="G4496" s="39" t="s">
        <v>116</v>
      </c>
      <c r="H4496" s="33"/>
      <c r="I4496" s="33"/>
      <c r="J4496" s="33"/>
      <c r="K4496" s="33"/>
      <c r="L4496" s="33"/>
      <c r="M4496" s="33"/>
    </row>
    <row r="4497">
      <c r="A4497" s="32" t="s">
        <v>11992</v>
      </c>
      <c r="B4497" s="32" t="s">
        <v>11993</v>
      </c>
      <c r="C4497" s="35">
        <v>62.53469849</v>
      </c>
      <c r="D4497" s="35">
        <v>114.0390015</v>
      </c>
      <c r="E4497" s="32" t="s">
        <v>2040</v>
      </c>
      <c r="F4497" s="32" t="s">
        <v>11994</v>
      </c>
      <c r="G4497" s="36" t="e">
        <v>#N/A</v>
      </c>
      <c r="H4497" s="33"/>
      <c r="I4497" s="33"/>
      <c r="J4497" s="33"/>
      <c r="K4497" s="33"/>
      <c r="L4497" s="33"/>
      <c r="M4497" s="33"/>
    </row>
    <row r="4498">
      <c r="A4498" s="32" t="s">
        <v>11995</v>
      </c>
      <c r="B4498" s="32" t="s">
        <v>11996</v>
      </c>
      <c r="C4498" s="35">
        <v>39.12319946</v>
      </c>
      <c r="D4498" s="35">
        <v>-94.59279633</v>
      </c>
      <c r="E4498" s="32" t="s">
        <v>180</v>
      </c>
      <c r="F4498" s="32" t="s">
        <v>11658</v>
      </c>
      <c r="G4498" s="39" t="s">
        <v>181</v>
      </c>
      <c r="H4498" s="33"/>
      <c r="I4498" s="33"/>
      <c r="J4498" s="33"/>
      <c r="K4498" s="33"/>
      <c r="L4498" s="33"/>
      <c r="M4498" s="33"/>
    </row>
    <row r="4499">
      <c r="A4499" s="32" t="s">
        <v>11997</v>
      </c>
      <c r="B4499" s="32" t="s">
        <v>11998</v>
      </c>
      <c r="C4499" s="35">
        <v>42.94720078</v>
      </c>
      <c r="D4499" s="35">
        <v>-87.89659882</v>
      </c>
      <c r="E4499" s="32" t="s">
        <v>180</v>
      </c>
      <c r="F4499" s="32" t="s">
        <v>11999</v>
      </c>
      <c r="G4499" s="39" t="s">
        <v>181</v>
      </c>
      <c r="H4499" s="33"/>
      <c r="I4499" s="33"/>
      <c r="J4499" s="33"/>
      <c r="K4499" s="33"/>
      <c r="L4499" s="33"/>
      <c r="M4499" s="33"/>
    </row>
    <row r="4500">
      <c r="A4500" s="32" t="s">
        <v>12000</v>
      </c>
      <c r="B4500" s="32" t="s">
        <v>12001</v>
      </c>
      <c r="C4500" s="35">
        <v>43.16949844</v>
      </c>
      <c r="D4500" s="35">
        <v>-86.23819733</v>
      </c>
      <c r="E4500" s="32" t="s">
        <v>180</v>
      </c>
      <c r="F4500" s="32" t="s">
        <v>12002</v>
      </c>
      <c r="G4500" s="39" t="s">
        <v>181</v>
      </c>
      <c r="H4500" s="33"/>
      <c r="I4500" s="33"/>
      <c r="J4500" s="33"/>
      <c r="K4500" s="33"/>
      <c r="L4500" s="33"/>
      <c r="M4500" s="33"/>
    </row>
    <row r="4501">
      <c r="A4501" s="32" t="s">
        <v>12003</v>
      </c>
      <c r="B4501" s="32" t="s">
        <v>12004</v>
      </c>
      <c r="C4501" s="35">
        <v>21.1529007</v>
      </c>
      <c r="D4501" s="35">
        <v>-157.095993</v>
      </c>
      <c r="E4501" s="32" t="s">
        <v>180</v>
      </c>
      <c r="F4501" s="32" t="s">
        <v>11394</v>
      </c>
      <c r="G4501" s="39" t="s">
        <v>181</v>
      </c>
      <c r="H4501" s="33"/>
      <c r="I4501" s="33"/>
      <c r="J4501" s="33"/>
      <c r="K4501" s="33"/>
      <c r="L4501" s="33"/>
      <c r="M4501" s="33"/>
    </row>
    <row r="4502">
      <c r="A4502" s="32" t="s">
        <v>12005</v>
      </c>
      <c r="B4502" s="32" t="s">
        <v>12006</v>
      </c>
      <c r="C4502" s="35">
        <v>35.59989929</v>
      </c>
      <c r="D4502" s="35">
        <v>-88.91560364</v>
      </c>
      <c r="E4502" s="32" t="s">
        <v>180</v>
      </c>
      <c r="F4502" s="32" t="s">
        <v>9607</v>
      </c>
      <c r="G4502" s="39" t="s">
        <v>181</v>
      </c>
      <c r="H4502" s="33"/>
      <c r="I4502" s="33"/>
      <c r="J4502" s="33"/>
      <c r="K4502" s="33"/>
      <c r="L4502" s="33"/>
      <c r="M4502" s="33"/>
    </row>
    <row r="4503">
      <c r="A4503" s="32" t="s">
        <v>12007</v>
      </c>
      <c r="B4503" s="32" t="s">
        <v>12008</v>
      </c>
      <c r="C4503" s="35">
        <v>2.906389952</v>
      </c>
      <c r="D4503" s="35">
        <v>112.0800018</v>
      </c>
      <c r="E4503" s="32" t="s">
        <v>284</v>
      </c>
      <c r="F4503" s="32" t="s">
        <v>12009</v>
      </c>
      <c r="G4503" s="36" t="e">
        <v>#N/A</v>
      </c>
      <c r="H4503" s="33"/>
      <c r="I4503" s="33"/>
      <c r="J4503" s="33"/>
      <c r="K4503" s="33"/>
      <c r="L4503" s="33"/>
      <c r="M4503" s="33"/>
    </row>
    <row r="4504">
      <c r="A4504" s="32" t="s">
        <v>12010</v>
      </c>
      <c r="B4504" s="32" t="s">
        <v>12011</v>
      </c>
      <c r="C4504" s="35">
        <v>35.65650177</v>
      </c>
      <c r="D4504" s="35">
        <v>-95.36669922</v>
      </c>
      <c r="E4504" s="32" t="s">
        <v>180</v>
      </c>
      <c r="F4504" s="32" t="s">
        <v>12012</v>
      </c>
      <c r="G4504" s="39" t="s">
        <v>181</v>
      </c>
      <c r="H4504" s="33"/>
      <c r="I4504" s="33"/>
      <c r="J4504" s="33"/>
      <c r="K4504" s="33"/>
      <c r="L4504" s="33"/>
      <c r="M4504" s="33"/>
    </row>
    <row r="4505">
      <c r="A4505" s="32" t="s">
        <v>12013</v>
      </c>
      <c r="B4505" s="32" t="s">
        <v>12014</v>
      </c>
      <c r="C4505" s="35">
        <v>-16.58390045</v>
      </c>
      <c r="D4505" s="35">
        <v>-143.6580048</v>
      </c>
      <c r="E4505" s="32" t="s">
        <v>1325</v>
      </c>
      <c r="F4505" s="32" t="s">
        <v>12015</v>
      </c>
      <c r="G4505" s="36" t="e">
        <v>#N/A</v>
      </c>
      <c r="H4505" s="33"/>
      <c r="I4505" s="33"/>
      <c r="J4505" s="33"/>
      <c r="K4505" s="33"/>
      <c r="L4505" s="33"/>
      <c r="M4505" s="33"/>
    </row>
    <row r="4506">
      <c r="A4506" s="32" t="s">
        <v>12016</v>
      </c>
      <c r="B4506" s="32" t="s">
        <v>12017</v>
      </c>
      <c r="C4506" s="35">
        <v>-8.520290375</v>
      </c>
      <c r="D4506" s="35">
        <v>140.4179993</v>
      </c>
      <c r="E4506" s="32" t="s">
        <v>280</v>
      </c>
      <c r="F4506" s="32" t="s">
        <v>12018</v>
      </c>
      <c r="G4506" s="36" t="e">
        <v>#N/A</v>
      </c>
      <c r="H4506" s="33"/>
      <c r="I4506" s="33"/>
      <c r="J4506" s="33"/>
      <c r="K4506" s="33"/>
      <c r="L4506" s="33"/>
      <c r="M4506" s="33"/>
    </row>
    <row r="4507">
      <c r="A4507" s="32" t="s">
        <v>12019</v>
      </c>
      <c r="B4507" s="32" t="s">
        <v>12020</v>
      </c>
      <c r="C4507" s="35">
        <v>-26.61170006</v>
      </c>
      <c r="D4507" s="35">
        <v>118.5479965</v>
      </c>
      <c r="E4507" s="32" t="s">
        <v>1968</v>
      </c>
      <c r="F4507" s="32" t="s">
        <v>12021</v>
      </c>
      <c r="G4507" s="36" t="e">
        <v>#N/A</v>
      </c>
      <c r="H4507" s="33"/>
      <c r="I4507" s="33"/>
      <c r="J4507" s="33"/>
      <c r="K4507" s="33"/>
      <c r="L4507" s="33"/>
      <c r="M4507" s="33"/>
    </row>
    <row r="4508">
      <c r="A4508" s="32" t="s">
        <v>12022</v>
      </c>
      <c r="B4508" s="32" t="s">
        <v>12023</v>
      </c>
      <c r="C4508" s="35">
        <v>10.7254</v>
      </c>
      <c r="D4508" s="35">
        <v>38.7415</v>
      </c>
      <c r="E4508" s="32" t="s">
        <v>18</v>
      </c>
      <c r="F4508" s="32" t="s">
        <v>12024</v>
      </c>
      <c r="G4508" s="36" t="e">
        <v>#N/A</v>
      </c>
      <c r="H4508" s="33"/>
      <c r="I4508" s="33"/>
      <c r="J4508" s="33"/>
      <c r="K4508" s="33"/>
      <c r="L4508" s="33"/>
      <c r="M4508" s="33"/>
    </row>
    <row r="4509">
      <c r="A4509" s="32" t="s">
        <v>12025</v>
      </c>
      <c r="B4509" s="32" t="s">
        <v>12026</v>
      </c>
      <c r="C4509" s="35">
        <v>44.22159958</v>
      </c>
      <c r="D4509" s="35">
        <v>-93.91870117</v>
      </c>
      <c r="E4509" s="32" t="s">
        <v>180</v>
      </c>
      <c r="F4509" s="32" t="s">
        <v>12027</v>
      </c>
      <c r="G4509" s="39" t="s">
        <v>181</v>
      </c>
      <c r="H4509" s="33"/>
      <c r="I4509" s="33"/>
      <c r="J4509" s="33"/>
      <c r="K4509" s="33"/>
      <c r="L4509" s="33"/>
      <c r="M4509" s="33"/>
    </row>
    <row r="4510">
      <c r="A4510" s="32" t="s">
        <v>12028</v>
      </c>
      <c r="B4510" s="32" t="s">
        <v>12029</v>
      </c>
      <c r="C4510" s="35">
        <v>0.579210997</v>
      </c>
      <c r="D4510" s="35">
        <v>12.89089966</v>
      </c>
      <c r="E4510" s="32" t="s">
        <v>4974</v>
      </c>
      <c r="F4510" s="32" t="s">
        <v>12030</v>
      </c>
      <c r="G4510" s="36" t="e">
        <v>#N/A</v>
      </c>
      <c r="H4510" s="33"/>
      <c r="I4510" s="33"/>
      <c r="J4510" s="33"/>
      <c r="K4510" s="33"/>
      <c r="L4510" s="33"/>
      <c r="M4510" s="33"/>
    </row>
    <row r="4511">
      <c r="A4511" s="32" t="s">
        <v>12031</v>
      </c>
      <c r="B4511" s="32" t="s">
        <v>12032</v>
      </c>
      <c r="C4511" s="35">
        <v>-0.891833007</v>
      </c>
      <c r="D4511" s="35">
        <v>134.048996</v>
      </c>
      <c r="E4511" s="32" t="s">
        <v>280</v>
      </c>
      <c r="F4511" s="32" t="s">
        <v>12033</v>
      </c>
      <c r="G4511" s="36" t="e">
        <v>#N/A</v>
      </c>
      <c r="H4511" s="33"/>
      <c r="I4511" s="33"/>
      <c r="J4511" s="33"/>
      <c r="K4511" s="33"/>
      <c r="L4511" s="33"/>
      <c r="M4511" s="33"/>
    </row>
    <row r="4512">
      <c r="A4512" s="32" t="s">
        <v>12034</v>
      </c>
      <c r="B4512" s="32" t="s">
        <v>12035</v>
      </c>
      <c r="C4512" s="35">
        <v>-21.17169952</v>
      </c>
      <c r="D4512" s="35">
        <v>149.1799927</v>
      </c>
      <c r="E4512" s="32" t="s">
        <v>1968</v>
      </c>
      <c r="F4512" s="32" t="s">
        <v>12036</v>
      </c>
      <c r="G4512" s="36" t="e">
        <v>#N/A</v>
      </c>
      <c r="H4512" s="33"/>
      <c r="I4512" s="33"/>
      <c r="J4512" s="33"/>
      <c r="K4512" s="33"/>
      <c r="L4512" s="33"/>
      <c r="M4512" s="33"/>
    </row>
    <row r="4513">
      <c r="A4513" s="32" t="s">
        <v>12037</v>
      </c>
      <c r="B4513" s="32" t="s">
        <v>12038</v>
      </c>
      <c r="C4513" s="35">
        <v>2.263360024</v>
      </c>
      <c r="D4513" s="35">
        <v>102.2519989</v>
      </c>
      <c r="E4513" s="32" t="s">
        <v>284</v>
      </c>
      <c r="F4513" s="32" t="s">
        <v>12039</v>
      </c>
      <c r="G4513" s="36" t="e">
        <v>#N/A</v>
      </c>
      <c r="H4513" s="33"/>
      <c r="I4513" s="33"/>
      <c r="J4513" s="33"/>
      <c r="K4513" s="33"/>
      <c r="L4513" s="33"/>
      <c r="M4513" s="33"/>
    </row>
    <row r="4514">
      <c r="A4514" s="32" t="s">
        <v>12040</v>
      </c>
      <c r="B4514" s="32" t="s">
        <v>12041</v>
      </c>
      <c r="C4514" s="35">
        <v>35.857498</v>
      </c>
      <c r="D4514" s="35">
        <v>14.4775</v>
      </c>
      <c r="E4514" s="32" t="s">
        <v>8504</v>
      </c>
      <c r="F4514" s="32" t="s">
        <v>8504</v>
      </c>
      <c r="G4514" s="36" t="e">
        <v>#N/A</v>
      </c>
      <c r="H4514" s="33"/>
      <c r="I4514" s="33"/>
      <c r="J4514" s="33"/>
      <c r="K4514" s="33"/>
      <c r="L4514" s="33"/>
      <c r="M4514" s="33"/>
    </row>
    <row r="4515">
      <c r="A4515" s="32" t="s">
        <v>12042</v>
      </c>
      <c r="B4515" s="32" t="s">
        <v>11768</v>
      </c>
      <c r="C4515" s="35">
        <v>28.10280037</v>
      </c>
      <c r="D4515" s="35">
        <v>-80.64530182</v>
      </c>
      <c r="E4515" s="32" t="s">
        <v>180</v>
      </c>
      <c r="F4515" s="32" t="s">
        <v>11631</v>
      </c>
      <c r="G4515" s="39" t="s">
        <v>181</v>
      </c>
      <c r="H4515" s="33"/>
      <c r="I4515" s="33"/>
      <c r="J4515" s="33"/>
      <c r="K4515" s="33"/>
      <c r="L4515" s="33"/>
      <c r="M4515" s="33"/>
    </row>
    <row r="4516">
      <c r="A4516" s="32" t="s">
        <v>12043</v>
      </c>
      <c r="B4516" s="32" t="s">
        <v>12044</v>
      </c>
      <c r="C4516" s="35">
        <v>34.88240051</v>
      </c>
      <c r="D4516" s="35">
        <v>-95.78350067</v>
      </c>
      <c r="E4516" s="32" t="s">
        <v>180</v>
      </c>
      <c r="F4516" s="32" t="s">
        <v>12045</v>
      </c>
      <c r="G4516" s="39" t="s">
        <v>181</v>
      </c>
      <c r="H4516" s="33"/>
      <c r="I4516" s="33"/>
      <c r="J4516" s="33"/>
      <c r="K4516" s="33"/>
      <c r="L4516" s="33"/>
      <c r="M4516" s="33"/>
    </row>
    <row r="4517">
      <c r="A4517" s="32" t="s">
        <v>12046</v>
      </c>
      <c r="B4517" s="32" t="s">
        <v>12047</v>
      </c>
      <c r="C4517" s="35">
        <v>42.16659927</v>
      </c>
      <c r="D4517" s="35">
        <v>-112.2969971</v>
      </c>
      <c r="E4517" s="32" t="s">
        <v>180</v>
      </c>
      <c r="F4517" s="32" t="s">
        <v>12048</v>
      </c>
      <c r="G4517" s="39" t="s">
        <v>181</v>
      </c>
      <c r="H4517" s="33"/>
      <c r="I4517" s="33"/>
      <c r="J4517" s="33"/>
      <c r="K4517" s="33"/>
      <c r="L4517" s="33"/>
      <c r="M4517" s="33"/>
    </row>
    <row r="4518">
      <c r="A4518" s="32" t="s">
        <v>12049</v>
      </c>
      <c r="B4518" s="32" t="s">
        <v>12050</v>
      </c>
      <c r="C4518" s="35">
        <v>4.191830158</v>
      </c>
      <c r="D4518" s="35">
        <v>73.52909851</v>
      </c>
      <c r="E4518" s="32" t="s">
        <v>6888</v>
      </c>
      <c r="F4518" s="32" t="s">
        <v>12051</v>
      </c>
      <c r="G4518" s="36" t="e">
        <v>#N/A</v>
      </c>
      <c r="H4518" s="33"/>
      <c r="I4518" s="33"/>
      <c r="J4518" s="33"/>
      <c r="K4518" s="33"/>
      <c r="L4518" s="33"/>
      <c r="M4518" s="33"/>
    </row>
    <row r="4519">
      <c r="A4519" s="32" t="s">
        <v>12052</v>
      </c>
      <c r="B4519" s="32" t="s">
        <v>12053</v>
      </c>
      <c r="C4519" s="35">
        <v>-7.926559925</v>
      </c>
      <c r="D4519" s="35">
        <v>112.7149963</v>
      </c>
      <c r="E4519" s="32" t="s">
        <v>280</v>
      </c>
      <c r="F4519" s="32" t="s">
        <v>12054</v>
      </c>
      <c r="G4519" s="36" t="e">
        <v>#N/A</v>
      </c>
      <c r="H4519" s="33"/>
      <c r="I4519" s="33"/>
      <c r="J4519" s="33"/>
      <c r="K4519" s="33"/>
      <c r="L4519" s="33"/>
      <c r="M4519" s="33"/>
    </row>
    <row r="4520">
      <c r="A4520" s="32" t="s">
        <v>12055</v>
      </c>
      <c r="B4520" s="32" t="s">
        <v>12056</v>
      </c>
      <c r="C4520" s="35">
        <v>41.44850159</v>
      </c>
      <c r="D4520" s="35">
        <v>-90.50749969</v>
      </c>
      <c r="E4520" s="32" t="s">
        <v>180</v>
      </c>
      <c r="F4520" s="32" t="s">
        <v>12057</v>
      </c>
      <c r="G4520" s="39" t="s">
        <v>181</v>
      </c>
      <c r="H4520" s="33"/>
      <c r="I4520" s="33"/>
      <c r="J4520" s="33"/>
      <c r="K4520" s="33"/>
      <c r="L4520" s="33"/>
      <c r="M4520" s="33"/>
    </row>
    <row r="4521">
      <c r="A4521" s="32" t="s">
        <v>12058</v>
      </c>
      <c r="B4521" s="32" t="s">
        <v>12059</v>
      </c>
      <c r="C4521" s="35">
        <v>33.15420151</v>
      </c>
      <c r="D4521" s="35">
        <v>-83.24069977</v>
      </c>
      <c r="E4521" s="32" t="s">
        <v>180</v>
      </c>
      <c r="F4521" s="32" t="s">
        <v>12060</v>
      </c>
      <c r="G4521" s="39" t="s">
        <v>181</v>
      </c>
      <c r="H4521" s="33"/>
      <c r="I4521" s="33"/>
      <c r="J4521" s="33"/>
      <c r="K4521" s="33"/>
      <c r="L4521" s="33"/>
      <c r="M4521" s="33"/>
    </row>
    <row r="4522">
      <c r="A4522" s="32" t="s">
        <v>12061</v>
      </c>
      <c r="B4522" s="32" t="s">
        <v>12062</v>
      </c>
      <c r="C4522" s="35">
        <v>61.86429977</v>
      </c>
      <c r="D4522" s="35">
        <v>-162.026001</v>
      </c>
      <c r="E4522" s="32" t="s">
        <v>180</v>
      </c>
      <c r="F4522" s="32" t="s">
        <v>2609</v>
      </c>
      <c r="G4522" s="39" t="s">
        <v>181</v>
      </c>
      <c r="H4522" s="33"/>
      <c r="I4522" s="33"/>
      <c r="J4522" s="33"/>
      <c r="K4522" s="33"/>
      <c r="L4522" s="33"/>
      <c r="M4522" s="33"/>
    </row>
    <row r="4523">
      <c r="A4523" s="32" t="s">
        <v>12063</v>
      </c>
      <c r="B4523" s="32" t="s">
        <v>12064</v>
      </c>
      <c r="C4523" s="35">
        <v>19.84989929</v>
      </c>
      <c r="D4523" s="35">
        <v>-101.0250015</v>
      </c>
      <c r="E4523" s="32" t="s">
        <v>186</v>
      </c>
      <c r="F4523" s="32" t="s">
        <v>12065</v>
      </c>
      <c r="G4523" s="39" t="s">
        <v>187</v>
      </c>
      <c r="H4523" s="33"/>
      <c r="I4523" s="33"/>
      <c r="J4523" s="33"/>
      <c r="K4523" s="33"/>
      <c r="L4523" s="33"/>
      <c r="M4523" s="33"/>
    </row>
    <row r="4524">
      <c r="A4524" s="32" t="s">
        <v>12066</v>
      </c>
      <c r="B4524" s="32" t="s">
        <v>12067</v>
      </c>
      <c r="C4524" s="35">
        <v>35.27980042</v>
      </c>
      <c r="D4524" s="35">
        <v>-2.956259966</v>
      </c>
      <c r="E4524" s="32" t="s">
        <v>115</v>
      </c>
      <c r="F4524" s="32" t="s">
        <v>12068</v>
      </c>
      <c r="G4524" s="39" t="s">
        <v>116</v>
      </c>
      <c r="H4524" s="33"/>
      <c r="I4524" s="33"/>
      <c r="J4524" s="33"/>
      <c r="K4524" s="33"/>
      <c r="L4524" s="33"/>
      <c r="M4524" s="33"/>
    </row>
    <row r="4525">
      <c r="A4525" s="32" t="s">
        <v>12069</v>
      </c>
      <c r="B4525" s="32" t="s">
        <v>12070</v>
      </c>
      <c r="C4525" s="35">
        <v>36.69689941</v>
      </c>
      <c r="D4525" s="35">
        <v>24.4769001</v>
      </c>
      <c r="E4525" s="32" t="s">
        <v>339</v>
      </c>
      <c r="F4525" s="32" t="s">
        <v>12071</v>
      </c>
      <c r="G4525" s="36" t="e">
        <v>#N/A</v>
      </c>
      <c r="H4525" s="33"/>
      <c r="I4525" s="33"/>
      <c r="J4525" s="33"/>
      <c r="K4525" s="33"/>
      <c r="L4525" s="33"/>
      <c r="M4525" s="33"/>
    </row>
    <row r="4526">
      <c r="A4526" s="32" t="s">
        <v>12072</v>
      </c>
      <c r="B4526" s="32" t="s">
        <v>12073</v>
      </c>
      <c r="C4526" s="35">
        <v>46.4280014</v>
      </c>
      <c r="D4526" s="35">
        <v>-105.8860016</v>
      </c>
      <c r="E4526" s="32" t="s">
        <v>180</v>
      </c>
      <c r="F4526" s="32" t="s">
        <v>12074</v>
      </c>
      <c r="G4526" s="39" t="s">
        <v>181</v>
      </c>
      <c r="H4526" s="33"/>
      <c r="I4526" s="33"/>
      <c r="J4526" s="33"/>
      <c r="K4526" s="33"/>
      <c r="L4526" s="33"/>
      <c r="M4526" s="33"/>
    </row>
    <row r="4527">
      <c r="A4527" s="32" t="s">
        <v>12075</v>
      </c>
      <c r="B4527" s="32" t="s">
        <v>12076</v>
      </c>
      <c r="C4527" s="35">
        <v>45.64780045</v>
      </c>
      <c r="D4527" s="35">
        <v>-68.68560028</v>
      </c>
      <c r="E4527" s="32" t="s">
        <v>180</v>
      </c>
      <c r="F4527" s="32" t="s">
        <v>12077</v>
      </c>
      <c r="G4527" s="39" t="s">
        <v>181</v>
      </c>
      <c r="H4527" s="33"/>
      <c r="I4527" s="33"/>
      <c r="J4527" s="33"/>
      <c r="K4527" s="33"/>
      <c r="L4527" s="33"/>
      <c r="M4527" s="33"/>
    </row>
    <row r="4528">
      <c r="A4528" s="32" t="s">
        <v>12078</v>
      </c>
      <c r="B4528" s="32" t="s">
        <v>12079</v>
      </c>
      <c r="C4528" s="35">
        <v>32.51089859</v>
      </c>
      <c r="D4528" s="35">
        <v>-92.03769684</v>
      </c>
      <c r="E4528" s="32" t="s">
        <v>180</v>
      </c>
      <c r="F4528" s="32" t="s">
        <v>2596</v>
      </c>
      <c r="G4528" s="39" t="s">
        <v>181</v>
      </c>
      <c r="H4528" s="33"/>
      <c r="I4528" s="33"/>
      <c r="J4528" s="33"/>
      <c r="K4528" s="33"/>
      <c r="L4528" s="33"/>
      <c r="M4528" s="33"/>
    </row>
    <row r="4529">
      <c r="A4529" s="32" t="s">
        <v>12080</v>
      </c>
      <c r="B4529" s="32" t="s">
        <v>12081</v>
      </c>
      <c r="C4529" s="35">
        <v>6.289060116</v>
      </c>
      <c r="D4529" s="35">
        <v>-10.75870037</v>
      </c>
      <c r="E4529" s="32" t="s">
        <v>6163</v>
      </c>
      <c r="F4529" s="32" t="s">
        <v>12082</v>
      </c>
      <c r="G4529" s="36" t="e">
        <v>#N/A</v>
      </c>
      <c r="H4529" s="33"/>
      <c r="I4529" s="33"/>
      <c r="J4529" s="33"/>
      <c r="K4529" s="33"/>
      <c r="L4529" s="33"/>
      <c r="M4529" s="33"/>
    </row>
    <row r="4530">
      <c r="A4530" s="32" t="s">
        <v>12083</v>
      </c>
      <c r="B4530" s="32" t="s">
        <v>12084</v>
      </c>
      <c r="C4530" s="35">
        <v>38.353699</v>
      </c>
      <c r="D4530" s="35">
        <v>38.253899</v>
      </c>
      <c r="E4530" s="32" t="s">
        <v>133</v>
      </c>
      <c r="F4530" s="32" t="s">
        <v>1202</v>
      </c>
      <c r="G4530" s="39" t="s">
        <v>134</v>
      </c>
      <c r="H4530" s="33"/>
      <c r="I4530" s="33"/>
      <c r="J4530" s="33"/>
      <c r="K4530" s="33"/>
      <c r="L4530" s="33"/>
      <c r="M4530" s="33"/>
    </row>
    <row r="4531">
      <c r="A4531" s="32" t="s">
        <v>12085</v>
      </c>
      <c r="B4531" s="32" t="s">
        <v>12086</v>
      </c>
      <c r="C4531" s="35">
        <v>64.99759674</v>
      </c>
      <c r="D4531" s="35">
        <v>-150.6439972</v>
      </c>
      <c r="E4531" s="32" t="s">
        <v>180</v>
      </c>
      <c r="F4531" s="32" t="s">
        <v>12087</v>
      </c>
      <c r="G4531" s="39" t="s">
        <v>181</v>
      </c>
      <c r="H4531" s="33"/>
      <c r="I4531" s="33"/>
      <c r="J4531" s="33"/>
      <c r="K4531" s="33"/>
      <c r="L4531" s="33"/>
      <c r="M4531" s="33"/>
    </row>
    <row r="4532">
      <c r="A4532" s="32" t="s">
        <v>12088</v>
      </c>
      <c r="B4532" s="32" t="s">
        <v>12089</v>
      </c>
      <c r="C4532" s="35">
        <v>-32.33789825</v>
      </c>
      <c r="D4532" s="35">
        <v>-54.21670151</v>
      </c>
      <c r="E4532" s="32" t="s">
        <v>1779</v>
      </c>
      <c r="F4532" s="32" t="s">
        <v>12090</v>
      </c>
      <c r="G4532" s="36" t="e">
        <v>#N/A</v>
      </c>
      <c r="H4532" s="33"/>
      <c r="I4532" s="33"/>
      <c r="J4532" s="33"/>
      <c r="K4532" s="33"/>
      <c r="L4532" s="33"/>
      <c r="M4532" s="33"/>
    </row>
    <row r="4533">
      <c r="A4533" s="32" t="s">
        <v>12091</v>
      </c>
      <c r="B4533" s="32" t="s">
        <v>12092</v>
      </c>
      <c r="C4533" s="35">
        <v>43.88059998</v>
      </c>
      <c r="D4533" s="35">
        <v>144.1640015</v>
      </c>
      <c r="E4533" s="32" t="s">
        <v>170</v>
      </c>
      <c r="F4533" s="32" t="s">
        <v>12093</v>
      </c>
      <c r="G4533" s="39" t="s">
        <v>171</v>
      </c>
      <c r="H4533" s="33"/>
      <c r="I4533" s="33"/>
      <c r="J4533" s="33"/>
      <c r="K4533" s="33"/>
      <c r="L4533" s="33"/>
      <c r="M4533" s="33"/>
    </row>
    <row r="4534">
      <c r="A4534" s="32" t="s">
        <v>12094</v>
      </c>
      <c r="B4534" s="32" t="s">
        <v>12095</v>
      </c>
      <c r="C4534" s="35">
        <v>25.8465004</v>
      </c>
      <c r="D4534" s="35">
        <v>131.2630005</v>
      </c>
      <c r="E4534" s="32" t="s">
        <v>170</v>
      </c>
      <c r="F4534" s="32" t="s">
        <v>12096</v>
      </c>
      <c r="G4534" s="39" t="s">
        <v>171</v>
      </c>
      <c r="H4534" s="33"/>
      <c r="I4534" s="33"/>
      <c r="J4534" s="33"/>
      <c r="K4534" s="33"/>
      <c r="L4534" s="33"/>
      <c r="M4534" s="33"/>
    </row>
    <row r="4535">
      <c r="A4535" s="32" t="s">
        <v>12097</v>
      </c>
      <c r="B4535" s="32" t="s">
        <v>12098</v>
      </c>
      <c r="C4535" s="35">
        <v>54.50920105</v>
      </c>
      <c r="D4535" s="35">
        <v>-1.429409981</v>
      </c>
      <c r="E4535" s="32" t="s">
        <v>90</v>
      </c>
      <c r="F4535" s="32" t="s">
        <v>12099</v>
      </c>
      <c r="G4535" s="39" t="s">
        <v>91</v>
      </c>
      <c r="H4535" s="33"/>
      <c r="I4535" s="33"/>
      <c r="J4535" s="33"/>
      <c r="K4535" s="33"/>
      <c r="L4535" s="33"/>
      <c r="M4535" s="33"/>
    </row>
    <row r="4536">
      <c r="A4536" s="32" t="s">
        <v>12100</v>
      </c>
      <c r="B4536" s="32" t="s">
        <v>12101</v>
      </c>
      <c r="C4536" s="35">
        <v>-28.11610031</v>
      </c>
      <c r="D4536" s="35">
        <v>117.8420029</v>
      </c>
      <c r="E4536" s="32" t="s">
        <v>1968</v>
      </c>
      <c r="F4536" s="32" t="s">
        <v>12102</v>
      </c>
      <c r="G4536" s="36" t="e">
        <v>#N/A</v>
      </c>
      <c r="H4536" s="33"/>
      <c r="I4536" s="33"/>
      <c r="J4536" s="33"/>
      <c r="K4536" s="33"/>
      <c r="L4536" s="33"/>
      <c r="M4536" s="33"/>
    </row>
    <row r="4537">
      <c r="A4537" s="32" t="s">
        <v>12103</v>
      </c>
      <c r="B4537" s="32" t="s">
        <v>12104</v>
      </c>
      <c r="C4537" s="35">
        <v>37.62409973</v>
      </c>
      <c r="D4537" s="35">
        <v>-118.8379974</v>
      </c>
      <c r="E4537" s="32" t="s">
        <v>180</v>
      </c>
      <c r="F4537" s="32" t="s">
        <v>12105</v>
      </c>
      <c r="G4537" s="39" t="s">
        <v>181</v>
      </c>
      <c r="H4537" s="33"/>
      <c r="I4537" s="33"/>
      <c r="J4537" s="33"/>
      <c r="K4537" s="33"/>
      <c r="L4537" s="33"/>
      <c r="M4537" s="33"/>
    </row>
    <row r="4538">
      <c r="A4538" s="32" t="s">
        <v>12106</v>
      </c>
      <c r="B4538" s="32" t="s">
        <v>12107</v>
      </c>
      <c r="C4538" s="35">
        <v>35.39730072</v>
      </c>
      <c r="D4538" s="35">
        <v>-84.56259918</v>
      </c>
      <c r="E4538" s="32" t="s">
        <v>180</v>
      </c>
      <c r="F4538" s="32" t="s">
        <v>2377</v>
      </c>
      <c r="G4538" s="39" t="s">
        <v>181</v>
      </c>
      <c r="H4538" s="33"/>
      <c r="I4538" s="33"/>
      <c r="J4538" s="33"/>
      <c r="K4538" s="33"/>
      <c r="L4538" s="33"/>
      <c r="M4538" s="33"/>
    </row>
    <row r="4539">
      <c r="A4539" s="32" t="s">
        <v>12108</v>
      </c>
      <c r="B4539" s="32" t="s">
        <v>12109</v>
      </c>
      <c r="C4539" s="35">
        <v>36.16680145</v>
      </c>
      <c r="D4539" s="35">
        <v>137.9230042</v>
      </c>
      <c r="E4539" s="32" t="s">
        <v>170</v>
      </c>
      <c r="F4539" s="32" t="s">
        <v>12110</v>
      </c>
      <c r="G4539" s="39" t="s">
        <v>171</v>
      </c>
      <c r="H4539" s="33"/>
      <c r="I4539" s="33"/>
      <c r="J4539" s="33"/>
      <c r="K4539" s="33"/>
      <c r="L4539" s="33"/>
      <c r="M4539" s="33"/>
    </row>
    <row r="4540">
      <c r="A4540" s="32" t="s">
        <v>12111</v>
      </c>
      <c r="B4540" s="32" t="s">
        <v>12112</v>
      </c>
      <c r="C4540" s="35">
        <v>68.78170013</v>
      </c>
      <c r="D4540" s="35">
        <v>32.75080109</v>
      </c>
      <c r="E4540" s="32" t="s">
        <v>2040</v>
      </c>
      <c r="F4540" s="32" t="s">
        <v>3322</v>
      </c>
      <c r="G4540" s="36" t="e">
        <v>#N/A</v>
      </c>
      <c r="H4540" s="33"/>
      <c r="I4540" s="33"/>
      <c r="J4540" s="33"/>
      <c r="K4540" s="33"/>
      <c r="L4540" s="33"/>
      <c r="M4540" s="33"/>
    </row>
    <row r="4541">
      <c r="A4541" s="32" t="s">
        <v>12113</v>
      </c>
      <c r="B4541" s="32" t="s">
        <v>12114</v>
      </c>
      <c r="C4541" s="35">
        <v>15.1559</v>
      </c>
      <c r="D4541" s="35">
        <v>-23.21369934</v>
      </c>
      <c r="E4541" s="32" t="s">
        <v>5346</v>
      </c>
      <c r="F4541" s="32" t="s">
        <v>12115</v>
      </c>
      <c r="G4541" s="36" t="e">
        <v>#N/A</v>
      </c>
      <c r="H4541" s="33"/>
      <c r="I4541" s="33"/>
      <c r="J4541" s="33"/>
      <c r="K4541" s="33"/>
      <c r="L4541" s="33"/>
      <c r="M4541" s="33"/>
    </row>
    <row r="4542">
      <c r="A4542" s="32" t="s">
        <v>12116</v>
      </c>
      <c r="B4542" s="32" t="s">
        <v>12117</v>
      </c>
      <c r="C4542" s="35">
        <v>33.92079926</v>
      </c>
      <c r="D4542" s="35">
        <v>-80.80130005</v>
      </c>
      <c r="E4542" s="32" t="s">
        <v>180</v>
      </c>
      <c r="F4542" s="32" t="s">
        <v>12118</v>
      </c>
      <c r="G4542" s="39" t="s">
        <v>181</v>
      </c>
      <c r="H4542" s="33"/>
      <c r="I4542" s="33"/>
      <c r="J4542" s="33"/>
      <c r="K4542" s="33"/>
      <c r="L4542" s="33"/>
      <c r="M4542" s="33"/>
    </row>
    <row r="4543">
      <c r="A4543" s="32" t="s">
        <v>12119</v>
      </c>
      <c r="B4543" s="32" t="s">
        <v>12120</v>
      </c>
      <c r="C4543" s="35">
        <v>40.79940033</v>
      </c>
      <c r="D4543" s="35">
        <v>-74.41490173</v>
      </c>
      <c r="E4543" s="32" t="s">
        <v>180</v>
      </c>
      <c r="F4543" s="32" t="s">
        <v>2879</v>
      </c>
      <c r="G4543" s="39" t="s">
        <v>181</v>
      </c>
      <c r="H4543" s="33"/>
      <c r="I4543" s="33"/>
      <c r="J4543" s="33"/>
      <c r="K4543" s="33"/>
      <c r="L4543" s="33"/>
      <c r="M4543" s="33"/>
    </row>
    <row r="4544">
      <c r="A4544" s="32" t="s">
        <v>12121</v>
      </c>
      <c r="B4544" s="32" t="s">
        <v>12122</v>
      </c>
      <c r="C4544" s="35">
        <v>45.19440079</v>
      </c>
      <c r="D4544" s="35">
        <v>-123.1360016</v>
      </c>
      <c r="E4544" s="32" t="s">
        <v>180</v>
      </c>
      <c r="F4544" s="32" t="s">
        <v>12123</v>
      </c>
      <c r="G4544" s="39" t="s">
        <v>181</v>
      </c>
      <c r="H4544" s="33"/>
      <c r="I4544" s="33"/>
      <c r="J4544" s="33"/>
      <c r="K4544" s="33"/>
      <c r="L4544" s="33"/>
      <c r="M4544" s="33"/>
    </row>
    <row r="4545">
      <c r="A4545" s="32" t="s">
        <v>12124</v>
      </c>
      <c r="B4545" s="32" t="s">
        <v>12125</v>
      </c>
      <c r="C4545" s="35">
        <v>55.53630536</v>
      </c>
      <c r="D4545" s="35">
        <v>13.37619781</v>
      </c>
      <c r="E4545" s="32" t="s">
        <v>347</v>
      </c>
      <c r="F4545" s="32" t="s">
        <v>12126</v>
      </c>
      <c r="G4545" s="36" t="e">
        <v>#N/A</v>
      </c>
      <c r="H4545" s="33"/>
      <c r="I4545" s="33"/>
      <c r="J4545" s="33"/>
      <c r="K4545" s="33"/>
      <c r="L4545" s="33"/>
      <c r="M4545" s="33"/>
    </row>
    <row r="4546">
      <c r="A4546" s="32" t="s">
        <v>12127</v>
      </c>
      <c r="B4546" s="32" t="s">
        <v>12128</v>
      </c>
      <c r="C4546" s="35">
        <v>24.78280067</v>
      </c>
      <c r="D4546" s="35">
        <v>125.2949982</v>
      </c>
      <c r="E4546" s="32" t="s">
        <v>170</v>
      </c>
      <c r="F4546" s="32" t="s">
        <v>12129</v>
      </c>
      <c r="G4546" s="39" t="s">
        <v>171</v>
      </c>
      <c r="H4546" s="33"/>
      <c r="I4546" s="33"/>
      <c r="J4546" s="33"/>
      <c r="K4546" s="33"/>
      <c r="L4546" s="33"/>
      <c r="M4546" s="33"/>
    </row>
    <row r="4547">
      <c r="A4547" s="32" t="s">
        <v>12130</v>
      </c>
      <c r="B4547" s="32" t="s">
        <v>12131</v>
      </c>
      <c r="C4547" s="35">
        <v>35.93080139</v>
      </c>
      <c r="D4547" s="35">
        <v>64.7609024</v>
      </c>
      <c r="E4547" s="32" t="s">
        <v>1350</v>
      </c>
      <c r="F4547" s="32" t="s">
        <v>12132</v>
      </c>
      <c r="G4547" s="36" t="e">
        <v>#N/A</v>
      </c>
      <c r="H4547" s="33"/>
      <c r="I4547" s="33"/>
      <c r="J4547" s="33"/>
      <c r="K4547" s="33"/>
      <c r="L4547" s="33"/>
      <c r="M4547" s="33"/>
    </row>
    <row r="4548">
      <c r="A4548" s="32" t="s">
        <v>12133</v>
      </c>
      <c r="B4548" s="32" t="s">
        <v>12134</v>
      </c>
      <c r="C4548" s="35">
        <v>4.006939888</v>
      </c>
      <c r="D4548" s="35">
        <v>126.6729965</v>
      </c>
      <c r="E4548" s="32" t="s">
        <v>280</v>
      </c>
      <c r="F4548" s="32" t="s">
        <v>12135</v>
      </c>
      <c r="G4548" s="36" t="e">
        <v>#N/A</v>
      </c>
      <c r="H4548" s="33"/>
      <c r="I4548" s="33"/>
      <c r="J4548" s="33"/>
      <c r="K4548" s="33"/>
      <c r="L4548" s="33"/>
      <c r="M4548" s="33"/>
    </row>
    <row r="4549">
      <c r="A4549" s="32" t="s">
        <v>12136</v>
      </c>
      <c r="B4549" s="32" t="s">
        <v>12137</v>
      </c>
      <c r="C4549" s="35">
        <v>-5.930860043</v>
      </c>
      <c r="D4549" s="35">
        <v>12.35179996</v>
      </c>
      <c r="E4549" s="32" t="s">
        <v>800</v>
      </c>
      <c r="F4549" s="32" t="s">
        <v>12138</v>
      </c>
      <c r="G4549" s="36" t="e">
        <v>#N/A</v>
      </c>
      <c r="H4549" s="33"/>
      <c r="I4549" s="33"/>
      <c r="J4549" s="33"/>
      <c r="K4549" s="33"/>
      <c r="L4549" s="33"/>
      <c r="M4549" s="33"/>
    </row>
    <row r="4550">
      <c r="A4550" s="32" t="s">
        <v>12139</v>
      </c>
      <c r="B4550" s="32" t="s">
        <v>12140</v>
      </c>
      <c r="C4550" s="35">
        <v>-14.48820019</v>
      </c>
      <c r="D4550" s="35">
        <v>40.71220016</v>
      </c>
      <c r="E4550" s="32" t="s">
        <v>767</v>
      </c>
      <c r="F4550" s="32" t="s">
        <v>12141</v>
      </c>
      <c r="G4550" s="36" t="e">
        <v>#N/A</v>
      </c>
      <c r="H4550" s="33"/>
      <c r="I4550" s="33"/>
      <c r="J4550" s="33"/>
      <c r="K4550" s="33"/>
      <c r="L4550" s="33"/>
      <c r="M4550" s="33"/>
    </row>
    <row r="4551">
      <c r="A4551" s="32" t="s">
        <v>12142</v>
      </c>
      <c r="B4551" s="32" t="s">
        <v>12143</v>
      </c>
      <c r="C4551" s="35">
        <v>-17.67309952</v>
      </c>
      <c r="D4551" s="35">
        <v>177.0980072</v>
      </c>
      <c r="E4551" s="32" t="s">
        <v>9136</v>
      </c>
      <c r="F4551" s="32" t="s">
        <v>12144</v>
      </c>
      <c r="G4551" s="36" t="e">
        <v>#N/A</v>
      </c>
      <c r="H4551" s="33"/>
      <c r="I4551" s="33"/>
      <c r="J4551" s="33"/>
      <c r="K4551" s="33"/>
      <c r="L4551" s="33"/>
      <c r="M4551" s="33"/>
    </row>
    <row r="4552">
      <c r="A4552" s="32" t="s">
        <v>12145</v>
      </c>
      <c r="B4552" s="32" t="s">
        <v>12146</v>
      </c>
      <c r="C4552" s="35">
        <v>-12.05609989</v>
      </c>
      <c r="D4552" s="35">
        <v>134.2339935</v>
      </c>
      <c r="E4552" s="32" t="s">
        <v>1968</v>
      </c>
      <c r="F4552" s="32" t="s">
        <v>12147</v>
      </c>
      <c r="G4552" s="36" t="e">
        <v>#N/A</v>
      </c>
      <c r="H4552" s="33"/>
      <c r="I4552" s="33"/>
      <c r="J4552" s="33"/>
      <c r="K4552" s="33"/>
      <c r="L4552" s="33"/>
      <c r="M4552" s="33"/>
    </row>
    <row r="4553">
      <c r="A4553" s="32" t="s">
        <v>12148</v>
      </c>
      <c r="B4553" s="32" t="s">
        <v>12149</v>
      </c>
      <c r="C4553" s="35">
        <v>16.79140091</v>
      </c>
      <c r="D4553" s="35">
        <v>-62.19329834</v>
      </c>
      <c r="E4553" s="32" t="s">
        <v>12150</v>
      </c>
      <c r="F4553" s="32" t="s">
        <v>12151</v>
      </c>
      <c r="G4553" s="36" t="e">
        <v>#N/A</v>
      </c>
      <c r="H4553" s="33"/>
      <c r="I4553" s="33"/>
      <c r="J4553" s="33"/>
      <c r="K4553" s="33"/>
      <c r="L4553" s="33"/>
      <c r="M4553" s="33"/>
    </row>
    <row r="4554">
      <c r="A4554" s="32" t="s">
        <v>12152</v>
      </c>
      <c r="B4554" s="32" t="s">
        <v>12153</v>
      </c>
      <c r="C4554" s="35">
        <v>-21.20179939</v>
      </c>
      <c r="D4554" s="35">
        <v>48.35829926</v>
      </c>
      <c r="E4554" s="32" t="s">
        <v>384</v>
      </c>
      <c r="F4554" s="32" t="s">
        <v>12154</v>
      </c>
      <c r="G4554" s="36" t="e">
        <v>#N/A</v>
      </c>
      <c r="H4554" s="33"/>
      <c r="I4554" s="33"/>
      <c r="J4554" s="33"/>
      <c r="K4554" s="33"/>
      <c r="L4554" s="33"/>
      <c r="M4554" s="33"/>
    </row>
    <row r="4555">
      <c r="A4555" s="32" t="s">
        <v>12155</v>
      </c>
      <c r="B4555" s="32" t="s">
        <v>12156</v>
      </c>
      <c r="C4555" s="35">
        <v>1.003610015</v>
      </c>
      <c r="D4555" s="35">
        <v>173.0310059</v>
      </c>
      <c r="E4555" s="32" t="s">
        <v>3439</v>
      </c>
      <c r="F4555" s="32" t="s">
        <v>12157</v>
      </c>
      <c r="G4555" s="36" t="e">
        <v>#N/A</v>
      </c>
      <c r="H4555" s="33"/>
      <c r="I4555" s="33"/>
      <c r="J4555" s="33"/>
      <c r="K4555" s="33"/>
      <c r="L4555" s="33"/>
      <c r="M4555" s="33"/>
    </row>
    <row r="4556">
      <c r="A4556" s="32" t="s">
        <v>12158</v>
      </c>
      <c r="B4556" s="32" t="s">
        <v>12159</v>
      </c>
      <c r="C4556" s="35">
        <v>14.5086</v>
      </c>
      <c r="D4556" s="35">
        <v>121.019997</v>
      </c>
      <c r="E4556" s="32" t="s">
        <v>270</v>
      </c>
      <c r="F4556" s="32" t="s">
        <v>12160</v>
      </c>
      <c r="G4556" s="36" t="e">
        <v>#N/A</v>
      </c>
      <c r="H4556" s="33"/>
      <c r="I4556" s="33"/>
      <c r="J4556" s="33"/>
      <c r="K4556" s="33"/>
      <c r="L4556" s="33"/>
      <c r="M4556" s="33"/>
    </row>
    <row r="4557">
      <c r="A4557" s="32" t="s">
        <v>12161</v>
      </c>
      <c r="B4557" s="32" t="s">
        <v>12162</v>
      </c>
      <c r="C4557" s="35">
        <v>45.12670135</v>
      </c>
      <c r="D4557" s="35">
        <v>-87.63839722</v>
      </c>
      <c r="E4557" s="32" t="s">
        <v>180</v>
      </c>
      <c r="F4557" s="32" t="s">
        <v>11667</v>
      </c>
      <c r="G4557" s="39" t="s">
        <v>181</v>
      </c>
      <c r="H4557" s="33"/>
      <c r="I4557" s="33"/>
      <c r="J4557" s="33"/>
      <c r="K4557" s="33"/>
      <c r="L4557" s="33"/>
      <c r="M4557" s="33"/>
    </row>
    <row r="4558">
      <c r="A4558" s="32" t="s">
        <v>12163</v>
      </c>
      <c r="B4558" s="32" t="s">
        <v>12164</v>
      </c>
      <c r="C4558" s="35">
        <v>16.44470024</v>
      </c>
      <c r="D4558" s="35">
        <v>97.66069794</v>
      </c>
      <c r="E4558" s="32" t="s">
        <v>1918</v>
      </c>
      <c r="F4558" s="32" t="s">
        <v>12165</v>
      </c>
      <c r="G4558" s="36" t="e">
        <v>#N/A</v>
      </c>
      <c r="H4558" s="33"/>
      <c r="I4558" s="33"/>
      <c r="J4558" s="33"/>
      <c r="K4558" s="33"/>
      <c r="L4558" s="33"/>
      <c r="M4558" s="33"/>
    </row>
    <row r="4559">
      <c r="A4559" s="32" t="s">
        <v>12166</v>
      </c>
      <c r="B4559" s="32" t="s">
        <v>12167</v>
      </c>
      <c r="C4559" s="35">
        <v>-5.81137991</v>
      </c>
      <c r="D4559" s="35">
        <v>-61.27830124</v>
      </c>
      <c r="E4559" s="32" t="s">
        <v>288</v>
      </c>
      <c r="F4559" s="32" t="s">
        <v>12168</v>
      </c>
      <c r="G4559" s="36" t="e">
        <v>#N/A</v>
      </c>
      <c r="H4559" s="33"/>
      <c r="I4559" s="33"/>
      <c r="J4559" s="33"/>
      <c r="K4559" s="33"/>
      <c r="L4559" s="33"/>
      <c r="M4559" s="33"/>
    </row>
    <row r="4560">
      <c r="A4560" s="32" t="s">
        <v>12169</v>
      </c>
      <c r="B4560" s="32" t="s">
        <v>12170</v>
      </c>
      <c r="C4560" s="35">
        <v>-7.416940212</v>
      </c>
      <c r="D4560" s="35">
        <v>155.5650024</v>
      </c>
      <c r="E4560" s="32" t="s">
        <v>3666</v>
      </c>
      <c r="F4560" s="32" t="s">
        <v>12171</v>
      </c>
      <c r="G4560" s="36" t="e">
        <v>#N/A</v>
      </c>
      <c r="H4560" s="33"/>
      <c r="I4560" s="33"/>
      <c r="J4560" s="33"/>
      <c r="K4560" s="33"/>
      <c r="L4560" s="33"/>
      <c r="M4560" s="33"/>
    </row>
    <row r="4561">
      <c r="A4561" s="32" t="s">
        <v>12172</v>
      </c>
      <c r="B4561" s="32" t="s">
        <v>12173</v>
      </c>
      <c r="C4561" s="35">
        <v>38.72140121</v>
      </c>
      <c r="D4561" s="35">
        <v>-77.51540375</v>
      </c>
      <c r="E4561" s="32" t="s">
        <v>180</v>
      </c>
      <c r="F4561" s="32" t="s">
        <v>12174</v>
      </c>
      <c r="G4561" s="39" t="s">
        <v>181</v>
      </c>
      <c r="H4561" s="33"/>
      <c r="I4561" s="33"/>
      <c r="J4561" s="33"/>
      <c r="K4561" s="33"/>
      <c r="L4561" s="33"/>
      <c r="M4561" s="33"/>
    </row>
    <row r="4562">
      <c r="A4562" s="32" t="s">
        <v>12175</v>
      </c>
      <c r="B4562" s="32" t="s">
        <v>12176</v>
      </c>
      <c r="C4562" s="35">
        <v>20.65390015</v>
      </c>
      <c r="D4562" s="35">
        <v>-74.92220306</v>
      </c>
      <c r="E4562" s="32" t="s">
        <v>1294</v>
      </c>
      <c r="F4562" s="32" t="s">
        <v>12177</v>
      </c>
      <c r="G4562" s="36" t="e">
        <v>#N/A</v>
      </c>
      <c r="H4562" s="33"/>
      <c r="I4562" s="33"/>
      <c r="J4562" s="33"/>
      <c r="K4562" s="33"/>
      <c r="L4562" s="33"/>
      <c r="M4562" s="33"/>
    </row>
    <row r="4563">
      <c r="A4563" s="32" t="s">
        <v>12178</v>
      </c>
      <c r="B4563" s="32" t="s">
        <v>12179</v>
      </c>
      <c r="C4563" s="35">
        <v>30.69120026</v>
      </c>
      <c r="D4563" s="35">
        <v>-88.24279785</v>
      </c>
      <c r="E4563" s="32" t="s">
        <v>180</v>
      </c>
      <c r="F4563" s="32" t="s">
        <v>2398</v>
      </c>
      <c r="G4563" s="39" t="s">
        <v>181</v>
      </c>
      <c r="H4563" s="33"/>
      <c r="I4563" s="33"/>
      <c r="J4563" s="33"/>
      <c r="K4563" s="33"/>
      <c r="L4563" s="33"/>
      <c r="M4563" s="33"/>
    </row>
    <row r="4564">
      <c r="A4564" s="32" t="s">
        <v>12180</v>
      </c>
      <c r="B4564" s="32" t="s">
        <v>12181</v>
      </c>
      <c r="C4564" s="35">
        <v>-16.70689964</v>
      </c>
      <c r="D4564" s="35">
        <v>-43.81890106</v>
      </c>
      <c r="E4564" s="32" t="s">
        <v>288</v>
      </c>
      <c r="F4564" s="32" t="s">
        <v>12182</v>
      </c>
      <c r="G4564" s="36" t="e">
        <v>#N/A</v>
      </c>
      <c r="H4564" s="33"/>
      <c r="I4564" s="33"/>
      <c r="J4564" s="33"/>
      <c r="K4564" s="33"/>
      <c r="L4564" s="33"/>
      <c r="M4564" s="33"/>
    </row>
    <row r="4565">
      <c r="A4565" s="32" t="s">
        <v>12183</v>
      </c>
      <c r="B4565" s="32" t="s">
        <v>12184</v>
      </c>
      <c r="C4565" s="35">
        <v>37.62580109</v>
      </c>
      <c r="D4565" s="35">
        <v>-120.9540024</v>
      </c>
      <c r="E4565" s="32" t="s">
        <v>180</v>
      </c>
      <c r="F4565" s="32" t="s">
        <v>12185</v>
      </c>
      <c r="G4565" s="39" t="s">
        <v>181</v>
      </c>
      <c r="H4565" s="33"/>
      <c r="I4565" s="33"/>
      <c r="J4565" s="33"/>
      <c r="K4565" s="33"/>
      <c r="L4565" s="33"/>
      <c r="M4565" s="33"/>
    </row>
    <row r="4566">
      <c r="A4566" s="32" t="s">
        <v>12186</v>
      </c>
      <c r="B4566" s="32" t="s">
        <v>12187</v>
      </c>
      <c r="C4566" s="35">
        <v>-8.640649796</v>
      </c>
      <c r="D4566" s="35">
        <v>122.2369995</v>
      </c>
      <c r="E4566" s="32" t="s">
        <v>280</v>
      </c>
      <c r="F4566" s="32" t="s">
        <v>12188</v>
      </c>
      <c r="G4566" s="36" t="e">
        <v>#N/A</v>
      </c>
      <c r="H4566" s="33"/>
      <c r="I4566" s="33"/>
      <c r="J4566" s="33"/>
      <c r="K4566" s="33"/>
      <c r="L4566" s="33"/>
      <c r="M4566" s="33"/>
    </row>
    <row r="4567">
      <c r="A4567" s="32" t="s">
        <v>12189</v>
      </c>
      <c r="B4567" s="32" t="s">
        <v>12190</v>
      </c>
      <c r="C4567" s="35">
        <v>20.51679993</v>
      </c>
      <c r="D4567" s="35">
        <v>99.25679779</v>
      </c>
      <c r="E4567" s="32" t="s">
        <v>1918</v>
      </c>
      <c r="F4567" s="32" t="s">
        <v>12191</v>
      </c>
      <c r="G4567" s="36" t="e">
        <v>#N/A</v>
      </c>
      <c r="H4567" s="33"/>
      <c r="I4567" s="33"/>
      <c r="J4567" s="33"/>
      <c r="K4567" s="33"/>
      <c r="L4567" s="33"/>
      <c r="M4567" s="33"/>
    </row>
    <row r="4568">
      <c r="A4568" s="32" t="s">
        <v>12192</v>
      </c>
      <c r="B4568" s="32" t="s">
        <v>12193</v>
      </c>
      <c r="C4568" s="35">
        <v>-19.84250069</v>
      </c>
      <c r="D4568" s="35">
        <v>-157.7030029</v>
      </c>
      <c r="E4568" s="32" t="s">
        <v>3772</v>
      </c>
      <c r="F4568" s="32" t="s">
        <v>12194</v>
      </c>
      <c r="G4568" s="36" t="e">
        <v>#N/A</v>
      </c>
      <c r="H4568" s="33"/>
      <c r="I4568" s="33"/>
      <c r="J4568" s="33"/>
      <c r="K4568" s="33"/>
      <c r="L4568" s="33"/>
      <c r="M4568" s="33"/>
    </row>
    <row r="4569">
      <c r="A4569" s="32" t="s">
        <v>12195</v>
      </c>
      <c r="B4569" s="32" t="s">
        <v>12196</v>
      </c>
      <c r="C4569" s="35">
        <v>62.74470139</v>
      </c>
      <c r="D4569" s="35">
        <v>7.262499809</v>
      </c>
      <c r="E4569" s="32" t="s">
        <v>343</v>
      </c>
      <c r="F4569" s="32" t="s">
        <v>12197</v>
      </c>
      <c r="G4569" s="36" t="e">
        <v>#N/A</v>
      </c>
      <c r="H4569" s="33"/>
      <c r="I4569" s="33"/>
      <c r="J4569" s="33"/>
      <c r="K4569" s="33"/>
      <c r="L4569" s="33"/>
      <c r="M4569" s="33"/>
    </row>
    <row r="4570">
      <c r="A4570" s="32" t="s">
        <v>12198</v>
      </c>
      <c r="B4570" s="32" t="s">
        <v>12199</v>
      </c>
      <c r="C4570" s="35">
        <v>-43.76499939</v>
      </c>
      <c r="D4570" s="35">
        <v>170.1329956</v>
      </c>
      <c r="E4570" s="32" t="s">
        <v>1328</v>
      </c>
      <c r="F4570" s="32" t="s">
        <v>12200</v>
      </c>
      <c r="G4570" s="36" t="e">
        <v>#N/A</v>
      </c>
      <c r="H4570" s="33"/>
      <c r="I4570" s="33"/>
      <c r="J4570" s="33"/>
      <c r="K4570" s="33"/>
      <c r="L4570" s="33"/>
      <c r="M4570" s="33"/>
    </row>
    <row r="4571">
      <c r="A4571" s="32" t="s">
        <v>12201</v>
      </c>
      <c r="B4571" s="32" t="s">
        <v>12202</v>
      </c>
      <c r="C4571" s="35">
        <v>-28.09939957</v>
      </c>
      <c r="D4571" s="35">
        <v>140.1970062</v>
      </c>
      <c r="E4571" s="32" t="s">
        <v>1968</v>
      </c>
      <c r="F4571" s="32" t="s">
        <v>12203</v>
      </c>
      <c r="G4571" s="36" t="e">
        <v>#N/A</v>
      </c>
      <c r="H4571" s="33"/>
      <c r="I4571" s="33"/>
      <c r="J4571" s="33"/>
      <c r="K4571" s="33"/>
      <c r="L4571" s="33"/>
      <c r="M4571" s="33"/>
    </row>
    <row r="4572">
      <c r="A4572" s="32" t="s">
        <v>12204</v>
      </c>
      <c r="B4572" s="32" t="s">
        <v>12205</v>
      </c>
      <c r="C4572" s="35">
        <v>-20.28470039</v>
      </c>
      <c r="D4572" s="35">
        <v>44.31760025</v>
      </c>
      <c r="E4572" s="32" t="s">
        <v>384</v>
      </c>
      <c r="F4572" s="32" t="s">
        <v>12206</v>
      </c>
      <c r="G4572" s="36" t="e">
        <v>#N/A</v>
      </c>
      <c r="H4572" s="33"/>
      <c r="I4572" s="33"/>
      <c r="J4572" s="33"/>
      <c r="K4572" s="33"/>
      <c r="L4572" s="33"/>
      <c r="M4572" s="33"/>
    </row>
    <row r="4573">
      <c r="A4573" s="32" t="s">
        <v>12207</v>
      </c>
      <c r="B4573" s="32" t="s">
        <v>12208</v>
      </c>
      <c r="C4573" s="35">
        <v>48.25939941</v>
      </c>
      <c r="D4573" s="35">
        <v>-101.2799988</v>
      </c>
      <c r="E4573" s="32" t="s">
        <v>180</v>
      </c>
      <c r="F4573" s="32" t="s">
        <v>11923</v>
      </c>
      <c r="G4573" s="39" t="s">
        <v>181</v>
      </c>
      <c r="H4573" s="33"/>
      <c r="I4573" s="33"/>
      <c r="J4573" s="33"/>
      <c r="K4573" s="33"/>
      <c r="L4573" s="33"/>
      <c r="M4573" s="33"/>
    </row>
    <row r="4574">
      <c r="A4574" s="32" t="s">
        <v>12209</v>
      </c>
      <c r="B4574" s="32" t="s">
        <v>12210</v>
      </c>
      <c r="C4574" s="35">
        <v>62.09540176</v>
      </c>
      <c r="D4574" s="35">
        <v>-163.6820068</v>
      </c>
      <c r="E4574" s="32" t="s">
        <v>180</v>
      </c>
      <c r="F4574" s="32" t="s">
        <v>12211</v>
      </c>
      <c r="G4574" s="39" t="s">
        <v>181</v>
      </c>
      <c r="H4574" s="33"/>
      <c r="I4574" s="33"/>
      <c r="J4574" s="33"/>
      <c r="K4574" s="33"/>
      <c r="L4574" s="33"/>
      <c r="M4574" s="33"/>
    </row>
    <row r="4575">
      <c r="A4575" s="32" t="s">
        <v>12212</v>
      </c>
      <c r="B4575" s="32" t="s">
        <v>12213</v>
      </c>
      <c r="C4575" s="35">
        <v>-22.05780029</v>
      </c>
      <c r="D4575" s="35">
        <v>148.0769959</v>
      </c>
      <c r="E4575" s="32" t="s">
        <v>1968</v>
      </c>
      <c r="F4575" s="32" t="s">
        <v>12214</v>
      </c>
      <c r="G4575" s="36" t="e">
        <v>#N/A</v>
      </c>
      <c r="H4575" s="33"/>
      <c r="I4575" s="33"/>
      <c r="J4575" s="33"/>
      <c r="K4575" s="33"/>
      <c r="L4575" s="33"/>
      <c r="M4575" s="33"/>
    </row>
    <row r="4576">
      <c r="A4576" s="32" t="s">
        <v>12215</v>
      </c>
      <c r="B4576" s="32" t="s">
        <v>12216</v>
      </c>
      <c r="C4576" s="35">
        <v>-17.48999977</v>
      </c>
      <c r="D4576" s="35">
        <v>-149.7619934</v>
      </c>
      <c r="E4576" s="32" t="s">
        <v>1325</v>
      </c>
      <c r="F4576" s="32" t="s">
        <v>12217</v>
      </c>
      <c r="G4576" s="36" t="e">
        <v>#N/A</v>
      </c>
      <c r="H4576" s="33"/>
      <c r="I4576" s="33"/>
      <c r="J4576" s="33"/>
      <c r="K4576" s="33"/>
      <c r="L4576" s="33"/>
      <c r="M4576" s="33"/>
    </row>
    <row r="4577">
      <c r="A4577" s="32" t="s">
        <v>12218</v>
      </c>
      <c r="B4577" s="32" t="s">
        <v>12219</v>
      </c>
      <c r="C4577" s="35">
        <v>-17.63439941</v>
      </c>
      <c r="D4577" s="35">
        <v>24.17670059</v>
      </c>
      <c r="E4577" s="32" t="s">
        <v>3193</v>
      </c>
      <c r="F4577" s="32" t="s">
        <v>12220</v>
      </c>
      <c r="G4577" s="36" t="e">
        <v>#N/A</v>
      </c>
      <c r="H4577" s="33"/>
      <c r="I4577" s="33"/>
      <c r="J4577" s="33"/>
      <c r="K4577" s="33"/>
      <c r="L4577" s="33"/>
      <c r="M4577" s="33"/>
    </row>
    <row r="4578">
      <c r="A4578" s="32" t="s">
        <v>12221</v>
      </c>
      <c r="B4578" s="32" t="s">
        <v>12222</v>
      </c>
      <c r="C4578" s="35">
        <v>25.68250084</v>
      </c>
      <c r="D4578" s="35">
        <v>69.07279968</v>
      </c>
      <c r="E4578" s="32" t="s">
        <v>1470</v>
      </c>
      <c r="F4578" s="32" t="s">
        <v>12223</v>
      </c>
      <c r="G4578" s="36" t="e">
        <v>#N/A</v>
      </c>
      <c r="H4578" s="33"/>
      <c r="I4578" s="33"/>
      <c r="J4578" s="33"/>
      <c r="K4578" s="33"/>
      <c r="L4578" s="33"/>
      <c r="M4578" s="33"/>
    </row>
    <row r="4579">
      <c r="A4579" s="32" t="s">
        <v>12224</v>
      </c>
      <c r="B4579" s="32" t="s">
        <v>12225</v>
      </c>
      <c r="C4579" s="35">
        <v>11.9245</v>
      </c>
      <c r="D4579" s="35">
        <v>121.954002</v>
      </c>
      <c r="E4579" s="32" t="s">
        <v>270</v>
      </c>
      <c r="F4579" s="32" t="s">
        <v>12226</v>
      </c>
      <c r="G4579" s="36" t="e">
        <v>#N/A</v>
      </c>
      <c r="H4579" s="33"/>
      <c r="I4579" s="33"/>
      <c r="J4579" s="33"/>
      <c r="K4579" s="33"/>
      <c r="L4579" s="33"/>
      <c r="M4579" s="33"/>
    </row>
    <row r="4580">
      <c r="A4580" s="32" t="s">
        <v>12227</v>
      </c>
      <c r="B4580" s="32" t="s">
        <v>12228</v>
      </c>
      <c r="C4580" s="35">
        <v>34.75889969</v>
      </c>
      <c r="D4580" s="35">
        <v>126.3799973</v>
      </c>
      <c r="E4580" s="32" t="s">
        <v>151</v>
      </c>
      <c r="F4580" s="32" t="s">
        <v>12229</v>
      </c>
      <c r="G4580" s="39" t="s">
        <v>152</v>
      </c>
      <c r="H4580" s="33"/>
      <c r="I4580" s="33"/>
      <c r="J4580" s="33"/>
      <c r="K4580" s="33"/>
      <c r="L4580" s="33"/>
      <c r="M4580" s="33"/>
    </row>
    <row r="4581">
      <c r="A4581" s="32" t="s">
        <v>12230</v>
      </c>
      <c r="B4581" s="32" t="s">
        <v>12231</v>
      </c>
      <c r="C4581" s="35">
        <v>43.57619858</v>
      </c>
      <c r="D4581" s="35">
        <v>3.963010073</v>
      </c>
      <c r="E4581" s="32" t="s">
        <v>96</v>
      </c>
      <c r="F4581" s="32" t="s">
        <v>12232</v>
      </c>
      <c r="G4581" s="39" t="s">
        <v>97</v>
      </c>
      <c r="H4581" s="33"/>
      <c r="I4581" s="33"/>
      <c r="J4581" s="33"/>
      <c r="K4581" s="33"/>
      <c r="L4581" s="33"/>
      <c r="M4581" s="33"/>
    </row>
    <row r="4582">
      <c r="A4582" s="32" t="s">
        <v>12233</v>
      </c>
      <c r="B4582" s="32" t="s">
        <v>12234</v>
      </c>
      <c r="C4582" s="35">
        <v>-25.92079926</v>
      </c>
      <c r="D4582" s="35">
        <v>32.57260132</v>
      </c>
      <c r="E4582" s="32" t="s">
        <v>767</v>
      </c>
      <c r="F4582" s="32" t="s">
        <v>12235</v>
      </c>
      <c r="G4582" s="36" t="e">
        <v>#N/A</v>
      </c>
      <c r="H4582" s="33"/>
      <c r="I4582" s="33"/>
      <c r="J4582" s="33"/>
      <c r="K4582" s="33"/>
      <c r="L4582" s="33"/>
      <c r="M4582" s="33"/>
    </row>
    <row r="4583">
      <c r="A4583" s="32" t="s">
        <v>12236</v>
      </c>
      <c r="B4583" s="32" t="s">
        <v>12237</v>
      </c>
      <c r="C4583" s="35">
        <v>-51.82279968</v>
      </c>
      <c r="D4583" s="35">
        <v>-58.44720078</v>
      </c>
      <c r="E4583" s="32" t="s">
        <v>12238</v>
      </c>
      <c r="F4583" s="32" t="s">
        <v>11283</v>
      </c>
      <c r="G4583" s="36" t="e">
        <v>#N/A</v>
      </c>
      <c r="H4583" s="33"/>
      <c r="I4583" s="33"/>
      <c r="J4583" s="33"/>
      <c r="K4583" s="33"/>
      <c r="L4583" s="33"/>
      <c r="M4583" s="33"/>
    </row>
    <row r="4584">
      <c r="A4584" s="32" t="s">
        <v>12239</v>
      </c>
      <c r="B4584" s="32" t="s">
        <v>12240</v>
      </c>
      <c r="C4584" s="35">
        <v>41.13750076</v>
      </c>
      <c r="D4584" s="35">
        <v>-75.37889862</v>
      </c>
      <c r="E4584" s="32" t="s">
        <v>180</v>
      </c>
      <c r="F4584" s="32" t="s">
        <v>12241</v>
      </c>
      <c r="G4584" s="39" t="s">
        <v>181</v>
      </c>
      <c r="H4584" s="33"/>
      <c r="I4584" s="33"/>
      <c r="J4584" s="33"/>
      <c r="K4584" s="33"/>
      <c r="L4584" s="33"/>
      <c r="M4584" s="33"/>
    </row>
    <row r="4585">
      <c r="A4585" s="32" t="s">
        <v>12242</v>
      </c>
      <c r="B4585" s="32" t="s">
        <v>12243</v>
      </c>
      <c r="C4585" s="35">
        <v>38.35240173</v>
      </c>
      <c r="D4585" s="35">
        <v>-97.69129944</v>
      </c>
      <c r="E4585" s="32" t="s">
        <v>180</v>
      </c>
      <c r="F4585" s="32" t="s">
        <v>12244</v>
      </c>
      <c r="G4585" s="39" t="s">
        <v>181</v>
      </c>
      <c r="H4585" s="33"/>
      <c r="I4585" s="33"/>
      <c r="J4585" s="33"/>
      <c r="K4585" s="33"/>
      <c r="L4585" s="33"/>
      <c r="M4585" s="33"/>
    </row>
    <row r="4586">
      <c r="A4586" s="32" t="s">
        <v>12245</v>
      </c>
      <c r="B4586" s="32" t="s">
        <v>12246</v>
      </c>
      <c r="C4586" s="35">
        <v>44.20349884</v>
      </c>
      <c r="D4586" s="35">
        <v>-72.56230164</v>
      </c>
      <c r="E4586" s="32" t="s">
        <v>180</v>
      </c>
      <c r="F4586" s="32" t="s">
        <v>12247</v>
      </c>
      <c r="G4586" s="39" t="s">
        <v>181</v>
      </c>
      <c r="H4586" s="33"/>
      <c r="I4586" s="33"/>
      <c r="J4586" s="33"/>
      <c r="K4586" s="33"/>
      <c r="L4586" s="33"/>
      <c r="M4586" s="33"/>
    </row>
    <row r="4587">
      <c r="A4587" s="32" t="s">
        <v>12248</v>
      </c>
      <c r="B4587" s="32" t="s">
        <v>12249</v>
      </c>
      <c r="C4587" s="35">
        <v>47.0760994</v>
      </c>
      <c r="D4587" s="35">
        <v>37.44960022</v>
      </c>
      <c r="E4587" s="32" t="s">
        <v>3293</v>
      </c>
      <c r="F4587" s="32" t="s">
        <v>12250</v>
      </c>
      <c r="G4587" s="36" t="e">
        <v>#N/A</v>
      </c>
      <c r="H4587" s="33"/>
      <c r="I4587" s="33"/>
      <c r="J4587" s="33"/>
      <c r="K4587" s="33"/>
      <c r="L4587" s="33"/>
      <c r="M4587" s="33"/>
    </row>
    <row r="4588">
      <c r="A4588" s="32" t="s">
        <v>12251</v>
      </c>
      <c r="B4588" s="32" t="s">
        <v>12252</v>
      </c>
      <c r="C4588" s="35">
        <v>3.6575</v>
      </c>
      <c r="D4588" s="35">
        <v>-54.037201</v>
      </c>
      <c r="E4588" s="32" t="s">
        <v>1754</v>
      </c>
      <c r="F4588" s="32" t="s">
        <v>12253</v>
      </c>
      <c r="G4588" s="36" t="e">
        <v>#N/A</v>
      </c>
      <c r="H4588" s="33"/>
      <c r="I4588" s="33"/>
      <c r="J4588" s="33"/>
      <c r="K4588" s="33"/>
      <c r="L4588" s="33"/>
      <c r="M4588" s="33"/>
    </row>
    <row r="4589">
      <c r="A4589" s="32" t="s">
        <v>12254</v>
      </c>
      <c r="B4589" s="32" t="s">
        <v>12255</v>
      </c>
      <c r="C4589" s="35">
        <v>47.09550095</v>
      </c>
      <c r="D4589" s="35">
        <v>-56.38029861</v>
      </c>
      <c r="E4589" s="32" t="s">
        <v>7801</v>
      </c>
      <c r="F4589" s="32" t="s">
        <v>12256</v>
      </c>
      <c r="G4589" s="36" t="e">
        <v>#N/A</v>
      </c>
      <c r="H4589" s="33"/>
      <c r="I4589" s="33"/>
      <c r="J4589" s="33"/>
      <c r="K4589" s="33"/>
      <c r="L4589" s="33"/>
      <c r="M4589" s="33"/>
    </row>
    <row r="4590">
      <c r="A4590" s="32" t="s">
        <v>12257</v>
      </c>
      <c r="B4590" s="32" t="s">
        <v>12258</v>
      </c>
      <c r="C4590" s="35">
        <v>53.39310074</v>
      </c>
      <c r="D4590" s="35">
        <v>58.75569916</v>
      </c>
      <c r="E4590" s="32" t="s">
        <v>2040</v>
      </c>
      <c r="F4590" s="32" t="s">
        <v>12259</v>
      </c>
      <c r="G4590" s="36" t="e">
        <v>#N/A</v>
      </c>
      <c r="H4590" s="33"/>
      <c r="I4590" s="33"/>
      <c r="J4590" s="33"/>
      <c r="K4590" s="33"/>
      <c r="L4590" s="33"/>
      <c r="M4590" s="33"/>
    </row>
    <row r="4591">
      <c r="A4591" s="32" t="s">
        <v>12260</v>
      </c>
      <c r="B4591" s="32" t="s">
        <v>12261</v>
      </c>
      <c r="C4591" s="35">
        <v>-13.5491</v>
      </c>
      <c r="D4591" s="35">
        <v>-48.195301</v>
      </c>
      <c r="E4591" s="32" t="s">
        <v>288</v>
      </c>
      <c r="F4591" s="32" t="s">
        <v>12262</v>
      </c>
      <c r="G4591" s="36" t="e">
        <v>#N/A</v>
      </c>
      <c r="H4591" s="33"/>
      <c r="I4591" s="33"/>
      <c r="J4591" s="33"/>
      <c r="K4591" s="33"/>
      <c r="L4591" s="33"/>
      <c r="M4591" s="33"/>
    </row>
    <row r="4592">
      <c r="A4592" s="32" t="s">
        <v>12263</v>
      </c>
      <c r="B4592" s="32" t="s">
        <v>12264</v>
      </c>
      <c r="C4592" s="35">
        <v>-34.22919846</v>
      </c>
      <c r="D4592" s="35">
        <v>142.0859985</v>
      </c>
      <c r="E4592" s="32" t="s">
        <v>1968</v>
      </c>
      <c r="F4592" s="32" t="s">
        <v>12265</v>
      </c>
      <c r="G4592" s="36" t="e">
        <v>#N/A</v>
      </c>
      <c r="H4592" s="33"/>
      <c r="I4592" s="33"/>
      <c r="J4592" s="33"/>
      <c r="K4592" s="33"/>
      <c r="L4592" s="33"/>
      <c r="M4592" s="33"/>
    </row>
    <row r="4593">
      <c r="A4593" s="32" t="s">
        <v>12266</v>
      </c>
      <c r="B4593" s="32" t="s">
        <v>12267</v>
      </c>
      <c r="C4593" s="35">
        <v>37.22330093</v>
      </c>
      <c r="D4593" s="35">
        <v>40.63169861</v>
      </c>
      <c r="E4593" s="32" t="s">
        <v>133</v>
      </c>
      <c r="F4593" s="32" t="s">
        <v>12268</v>
      </c>
      <c r="G4593" s="39" t="s">
        <v>134</v>
      </c>
      <c r="H4593" s="33"/>
      <c r="I4593" s="33"/>
      <c r="J4593" s="33"/>
      <c r="K4593" s="33"/>
      <c r="L4593" s="33"/>
      <c r="M4593" s="33"/>
    </row>
    <row r="4594">
      <c r="A4594" s="32" t="s">
        <v>12269</v>
      </c>
      <c r="B4594" s="32" t="s">
        <v>12270</v>
      </c>
      <c r="C4594" s="35">
        <v>66.36389923</v>
      </c>
      <c r="D4594" s="35">
        <v>14.30140018</v>
      </c>
      <c r="E4594" s="32" t="s">
        <v>343</v>
      </c>
      <c r="F4594" s="32" t="s">
        <v>12271</v>
      </c>
      <c r="G4594" s="36" t="e">
        <v>#N/A</v>
      </c>
      <c r="H4594" s="33"/>
      <c r="I4594" s="33"/>
      <c r="J4594" s="33"/>
      <c r="K4594" s="33"/>
      <c r="L4594" s="33"/>
      <c r="M4594" s="33"/>
    </row>
    <row r="4595">
      <c r="A4595" s="32" t="s">
        <v>12272</v>
      </c>
      <c r="B4595" s="32" t="s">
        <v>12273</v>
      </c>
      <c r="C4595" s="35">
        <v>-25.38319969</v>
      </c>
      <c r="D4595" s="35">
        <v>31.10560036</v>
      </c>
      <c r="E4595" s="32" t="s">
        <v>16</v>
      </c>
      <c r="F4595" s="32" t="s">
        <v>12274</v>
      </c>
      <c r="G4595" s="36" t="e">
        <v>#N/A</v>
      </c>
      <c r="H4595" s="33"/>
      <c r="I4595" s="33"/>
      <c r="J4595" s="33"/>
      <c r="K4595" s="33"/>
      <c r="L4595" s="33"/>
      <c r="M4595" s="33"/>
    </row>
    <row r="4596">
      <c r="A4596" s="32" t="s">
        <v>12275</v>
      </c>
      <c r="B4596" s="32" t="s">
        <v>12276</v>
      </c>
      <c r="C4596" s="35">
        <v>8.624409676</v>
      </c>
      <c r="D4596" s="35">
        <v>16.07139969</v>
      </c>
      <c r="E4596" s="32" t="s">
        <v>3634</v>
      </c>
      <c r="F4596" s="32" t="s">
        <v>12277</v>
      </c>
      <c r="G4596" s="36" t="e">
        <v>#N/A</v>
      </c>
      <c r="H4596" s="33"/>
      <c r="I4596" s="33"/>
      <c r="J4596" s="33"/>
      <c r="K4596" s="33"/>
      <c r="L4596" s="33"/>
      <c r="M4596" s="33"/>
    </row>
    <row r="4597">
      <c r="A4597" s="32" t="s">
        <v>12278</v>
      </c>
      <c r="B4597" s="32" t="s">
        <v>12279</v>
      </c>
      <c r="C4597" s="35">
        <v>12.88790035</v>
      </c>
      <c r="D4597" s="35">
        <v>-61.18019867</v>
      </c>
      <c r="E4597" s="32" t="s">
        <v>5153</v>
      </c>
      <c r="F4597" s="32" t="s">
        <v>12280</v>
      </c>
      <c r="G4597" s="36" t="e">
        <v>#N/A</v>
      </c>
      <c r="H4597" s="33"/>
      <c r="I4597" s="33"/>
      <c r="J4597" s="33"/>
      <c r="K4597" s="33"/>
      <c r="L4597" s="33"/>
      <c r="M4597" s="33"/>
    </row>
    <row r="4598">
      <c r="A4598" s="32" t="s">
        <v>12281</v>
      </c>
      <c r="B4598" s="32" t="s">
        <v>12282</v>
      </c>
      <c r="C4598" s="35">
        <v>46.35359955</v>
      </c>
      <c r="D4598" s="35">
        <v>-87.395401</v>
      </c>
      <c r="E4598" s="32" t="s">
        <v>180</v>
      </c>
      <c r="F4598" s="32" t="s">
        <v>12283</v>
      </c>
      <c r="G4598" s="39" t="s">
        <v>181</v>
      </c>
      <c r="H4598" s="33"/>
      <c r="I4598" s="33"/>
      <c r="J4598" s="33"/>
      <c r="K4598" s="33"/>
      <c r="L4598" s="33"/>
      <c r="M4598" s="33"/>
    </row>
    <row r="4599">
      <c r="A4599" s="32" t="s">
        <v>12284</v>
      </c>
      <c r="B4599" s="32" t="s">
        <v>12285</v>
      </c>
      <c r="C4599" s="35">
        <v>13.4673996</v>
      </c>
      <c r="D4599" s="35">
        <v>39.53350067</v>
      </c>
      <c r="E4599" s="32" t="s">
        <v>18</v>
      </c>
      <c r="F4599" s="32" t="s">
        <v>12286</v>
      </c>
      <c r="G4599" s="36" t="e">
        <v>#N/A</v>
      </c>
      <c r="H4599" s="33"/>
      <c r="I4599" s="33"/>
      <c r="J4599" s="33"/>
      <c r="K4599" s="33"/>
      <c r="L4599" s="33"/>
      <c r="M4599" s="33"/>
    </row>
    <row r="4600">
      <c r="A4600" s="32" t="s">
        <v>12287</v>
      </c>
      <c r="B4600" s="32" t="s">
        <v>12288</v>
      </c>
      <c r="C4600" s="35">
        <v>5.52448</v>
      </c>
      <c r="D4600" s="35">
        <v>-68.6856</v>
      </c>
      <c r="E4600" s="32" t="s">
        <v>292</v>
      </c>
      <c r="F4600" s="32" t="s">
        <v>12289</v>
      </c>
      <c r="G4600" s="36" t="e">
        <v>#N/A</v>
      </c>
      <c r="H4600" s="33"/>
      <c r="I4600" s="33"/>
      <c r="J4600" s="33"/>
      <c r="K4600" s="33"/>
      <c r="L4600" s="33"/>
      <c r="M4600" s="33"/>
    </row>
    <row r="4601">
      <c r="A4601" s="32" t="s">
        <v>12290</v>
      </c>
      <c r="B4601" s="32" t="s">
        <v>12291</v>
      </c>
      <c r="C4601" s="35">
        <v>39.40190125</v>
      </c>
      <c r="D4601" s="35">
        <v>-77.98459625</v>
      </c>
      <c r="E4601" s="32" t="s">
        <v>180</v>
      </c>
      <c r="F4601" s="32" t="s">
        <v>12292</v>
      </c>
      <c r="G4601" s="39" t="s">
        <v>181</v>
      </c>
      <c r="H4601" s="33"/>
      <c r="I4601" s="33"/>
      <c r="J4601" s="33"/>
      <c r="K4601" s="33"/>
      <c r="L4601" s="33"/>
      <c r="M4601" s="33"/>
    </row>
    <row r="4602">
      <c r="A4602" s="32" t="s">
        <v>12293</v>
      </c>
      <c r="B4602" s="32" t="s">
        <v>12294</v>
      </c>
      <c r="C4602" s="35">
        <v>8.58207798</v>
      </c>
      <c r="D4602" s="35">
        <v>-71.16104126</v>
      </c>
      <c r="E4602" s="32" t="s">
        <v>315</v>
      </c>
      <c r="F4602" s="32" t="s">
        <v>11929</v>
      </c>
      <c r="G4602" s="36" t="e">
        <v>#N/A</v>
      </c>
      <c r="H4602" s="33"/>
      <c r="I4602" s="33"/>
      <c r="J4602" s="33"/>
      <c r="K4602" s="33"/>
      <c r="L4602" s="33"/>
      <c r="M4602" s="33"/>
    </row>
    <row r="4603">
      <c r="A4603" s="32" t="s">
        <v>12295</v>
      </c>
      <c r="B4603" s="32" t="s">
        <v>12296</v>
      </c>
      <c r="C4603" s="35">
        <v>-1.406111</v>
      </c>
      <c r="D4603" s="35">
        <v>35.008057</v>
      </c>
      <c r="E4603" s="32" t="s">
        <v>21</v>
      </c>
      <c r="F4603" s="32" t="s">
        <v>12297</v>
      </c>
      <c r="G4603" s="36" t="e">
        <v>#N/A</v>
      </c>
      <c r="H4603" s="33"/>
      <c r="I4603" s="33"/>
      <c r="J4603" s="33"/>
      <c r="K4603" s="33"/>
      <c r="L4603" s="33"/>
      <c r="M4603" s="33"/>
    </row>
    <row r="4604">
      <c r="A4604" s="32" t="s">
        <v>12298</v>
      </c>
      <c r="B4604" s="32" t="s">
        <v>12299</v>
      </c>
      <c r="C4604" s="35">
        <v>30.371099</v>
      </c>
      <c r="D4604" s="35">
        <v>-104.017997</v>
      </c>
      <c r="E4604" s="32" t="s">
        <v>180</v>
      </c>
      <c r="F4604" s="32" t="s">
        <v>12300</v>
      </c>
      <c r="G4604" s="39" t="s">
        <v>181</v>
      </c>
      <c r="H4604" s="33"/>
      <c r="I4604" s="33"/>
      <c r="J4604" s="33"/>
      <c r="K4604" s="33"/>
      <c r="L4604" s="33"/>
      <c r="M4604" s="33"/>
    </row>
    <row r="4605">
      <c r="A4605" s="32" t="s">
        <v>12301</v>
      </c>
      <c r="B4605" s="32" t="s">
        <v>12302</v>
      </c>
      <c r="C4605" s="35">
        <v>-17.06920052</v>
      </c>
      <c r="D4605" s="35">
        <v>145.4190063</v>
      </c>
      <c r="E4605" s="32" t="s">
        <v>1968</v>
      </c>
      <c r="F4605" s="33"/>
      <c r="G4605" s="36" t="e">
        <v>#N/A</v>
      </c>
      <c r="H4605" s="33"/>
      <c r="I4605" s="33"/>
      <c r="J4605" s="33"/>
      <c r="K4605" s="33"/>
      <c r="L4605" s="33"/>
      <c r="M4605" s="33"/>
    </row>
    <row r="4606">
      <c r="A4606" s="32" t="s">
        <v>12303</v>
      </c>
      <c r="B4606" s="32" t="s">
        <v>12304</v>
      </c>
      <c r="C4606" s="35">
        <v>61.21350098</v>
      </c>
      <c r="D4606" s="35">
        <v>-149.8439941</v>
      </c>
      <c r="E4606" s="32" t="s">
        <v>180</v>
      </c>
      <c r="F4606" s="32" t="s">
        <v>3952</v>
      </c>
      <c r="G4606" s="39" t="s">
        <v>181</v>
      </c>
      <c r="H4606" s="33"/>
      <c r="I4606" s="33"/>
      <c r="J4606" s="33"/>
      <c r="K4606" s="33"/>
      <c r="L4606" s="33"/>
      <c r="M4606" s="33"/>
    </row>
    <row r="4607">
      <c r="A4607" s="32" t="s">
        <v>12305</v>
      </c>
      <c r="B4607" s="32" t="s">
        <v>12306</v>
      </c>
      <c r="C4607" s="35">
        <v>25.99500084</v>
      </c>
      <c r="D4607" s="35">
        <v>-81.67250061</v>
      </c>
      <c r="E4607" s="32" t="s">
        <v>180</v>
      </c>
      <c r="F4607" s="32" t="s">
        <v>12306</v>
      </c>
      <c r="G4607" s="39" t="s">
        <v>181</v>
      </c>
      <c r="H4607" s="33"/>
      <c r="I4607" s="33"/>
      <c r="J4607" s="33"/>
      <c r="K4607" s="33"/>
      <c r="L4607" s="33"/>
      <c r="M4607" s="33"/>
    </row>
    <row r="4608">
      <c r="A4608" s="32" t="s">
        <v>12307</v>
      </c>
      <c r="B4608" s="32" t="s">
        <v>12308</v>
      </c>
      <c r="C4608" s="35">
        <v>35.82020187</v>
      </c>
      <c r="D4608" s="35">
        <v>-81.61139679</v>
      </c>
      <c r="E4608" s="32" t="s">
        <v>180</v>
      </c>
      <c r="F4608" s="32" t="s">
        <v>12309</v>
      </c>
      <c r="G4608" s="39" t="s">
        <v>181</v>
      </c>
      <c r="H4608" s="33"/>
      <c r="I4608" s="33"/>
      <c r="J4608" s="33"/>
      <c r="K4608" s="33"/>
      <c r="L4608" s="33"/>
      <c r="M4608" s="33"/>
    </row>
    <row r="4609">
      <c r="A4609" s="32" t="s">
        <v>12310</v>
      </c>
      <c r="B4609" s="32" t="s">
        <v>12311</v>
      </c>
      <c r="C4609" s="35">
        <v>-40.97330093</v>
      </c>
      <c r="D4609" s="35">
        <v>175.6340027</v>
      </c>
      <c r="E4609" s="32" t="s">
        <v>1328</v>
      </c>
      <c r="F4609" s="32" t="s">
        <v>12312</v>
      </c>
      <c r="G4609" s="36" t="e">
        <v>#N/A</v>
      </c>
      <c r="H4609" s="33"/>
      <c r="I4609" s="33"/>
      <c r="J4609" s="33"/>
      <c r="K4609" s="33"/>
      <c r="L4609" s="33"/>
      <c r="M4609" s="33"/>
    </row>
    <row r="4610">
      <c r="A4610" s="32" t="s">
        <v>12313</v>
      </c>
      <c r="B4610" s="32" t="s">
        <v>12314</v>
      </c>
      <c r="C4610" s="35">
        <v>13.36100006</v>
      </c>
      <c r="D4610" s="35">
        <v>121.8259964</v>
      </c>
      <c r="E4610" s="32" t="s">
        <v>270</v>
      </c>
      <c r="F4610" s="32" t="s">
        <v>12315</v>
      </c>
      <c r="G4610" s="36" t="e">
        <v>#N/A</v>
      </c>
      <c r="H4610" s="33"/>
      <c r="I4610" s="33"/>
      <c r="J4610" s="33"/>
      <c r="K4610" s="33"/>
      <c r="L4610" s="33"/>
      <c r="M4610" s="33"/>
    </row>
    <row r="4611">
      <c r="A4611" s="32" t="s">
        <v>12316</v>
      </c>
      <c r="B4611" s="32" t="s">
        <v>12317</v>
      </c>
      <c r="C4611" s="35">
        <v>43.43927192</v>
      </c>
      <c r="D4611" s="35">
        <v>5.221424103</v>
      </c>
      <c r="E4611" s="32" t="s">
        <v>96</v>
      </c>
      <c r="F4611" s="32" t="s">
        <v>12318</v>
      </c>
      <c r="G4611" s="39" t="s">
        <v>97</v>
      </c>
      <c r="H4611" s="33"/>
      <c r="I4611" s="33"/>
      <c r="J4611" s="33"/>
      <c r="K4611" s="33"/>
      <c r="L4611" s="33"/>
      <c r="M4611" s="33"/>
    </row>
    <row r="4612">
      <c r="A4612" s="32" t="s">
        <v>12319</v>
      </c>
      <c r="B4612" s="32" t="s">
        <v>12320</v>
      </c>
      <c r="C4612" s="35">
        <v>40.22470093</v>
      </c>
      <c r="D4612" s="35">
        <v>-83.35160065</v>
      </c>
      <c r="E4612" s="32" t="s">
        <v>180</v>
      </c>
      <c r="F4612" s="32" t="s">
        <v>4394</v>
      </c>
      <c r="G4612" s="39" t="s">
        <v>181</v>
      </c>
      <c r="H4612" s="33"/>
      <c r="I4612" s="33"/>
      <c r="J4612" s="33"/>
      <c r="K4612" s="33"/>
      <c r="L4612" s="33"/>
      <c r="M4612" s="33"/>
    </row>
    <row r="4613">
      <c r="A4613" s="32" t="s">
        <v>12321</v>
      </c>
      <c r="B4613" s="32" t="s">
        <v>12322</v>
      </c>
      <c r="C4613" s="35">
        <v>-20.43020058</v>
      </c>
      <c r="D4613" s="35">
        <v>57.68360138</v>
      </c>
      <c r="E4613" s="32" t="s">
        <v>388</v>
      </c>
      <c r="F4613" s="32" t="s">
        <v>12323</v>
      </c>
      <c r="G4613" s="36" t="e">
        <v>#N/A</v>
      </c>
      <c r="H4613" s="33"/>
      <c r="I4613" s="33"/>
      <c r="J4613" s="33"/>
      <c r="K4613" s="33"/>
      <c r="L4613" s="33"/>
      <c r="M4613" s="33"/>
    </row>
    <row r="4614">
      <c r="A4614" s="32" t="s">
        <v>12324</v>
      </c>
      <c r="B4614" s="32" t="s">
        <v>12325</v>
      </c>
      <c r="C4614" s="35">
        <v>44.22510147</v>
      </c>
      <c r="D4614" s="35">
        <v>43.08190155</v>
      </c>
      <c r="E4614" s="32" t="s">
        <v>2040</v>
      </c>
      <c r="F4614" s="32" t="s">
        <v>12326</v>
      </c>
      <c r="G4614" s="36" t="e">
        <v>#N/A</v>
      </c>
      <c r="H4614" s="33"/>
      <c r="I4614" s="33"/>
      <c r="J4614" s="33"/>
      <c r="K4614" s="33"/>
      <c r="L4614" s="33"/>
      <c r="M4614" s="33"/>
    </row>
    <row r="4615">
      <c r="A4615" s="32" t="s">
        <v>12327</v>
      </c>
      <c r="B4615" s="32" t="s">
        <v>12328</v>
      </c>
      <c r="C4615" s="35">
        <v>30.55620003</v>
      </c>
      <c r="D4615" s="35">
        <v>49.15190125</v>
      </c>
      <c r="E4615" s="32" t="s">
        <v>1378</v>
      </c>
      <c r="F4615" s="32" t="s">
        <v>12329</v>
      </c>
      <c r="G4615" s="36" t="e">
        <v>#N/A</v>
      </c>
      <c r="H4615" s="33"/>
      <c r="I4615" s="33"/>
      <c r="J4615" s="33"/>
      <c r="K4615" s="33"/>
      <c r="L4615" s="33"/>
      <c r="M4615" s="33"/>
    </row>
    <row r="4616">
      <c r="A4616" s="32" t="s">
        <v>12330</v>
      </c>
      <c r="B4616" s="32" t="s">
        <v>12331</v>
      </c>
      <c r="C4616" s="35">
        <v>36.5870018</v>
      </c>
      <c r="D4616" s="35">
        <v>-121.8430023</v>
      </c>
      <c r="E4616" s="32" t="s">
        <v>180</v>
      </c>
      <c r="F4616" s="32" t="s">
        <v>12332</v>
      </c>
      <c r="G4616" s="39" t="s">
        <v>181</v>
      </c>
      <c r="H4616" s="33"/>
      <c r="I4616" s="33"/>
      <c r="J4616" s="33"/>
      <c r="K4616" s="33"/>
      <c r="L4616" s="33"/>
      <c r="M4616" s="33"/>
    </row>
    <row r="4617">
      <c r="A4617" s="32" t="s">
        <v>12333</v>
      </c>
      <c r="B4617" s="32" t="s">
        <v>12334</v>
      </c>
      <c r="C4617" s="35">
        <v>-29.49889946</v>
      </c>
      <c r="D4617" s="35">
        <v>149.8450012</v>
      </c>
      <c r="E4617" s="32" t="s">
        <v>1968</v>
      </c>
      <c r="F4617" s="32" t="s">
        <v>12335</v>
      </c>
      <c r="G4617" s="36" t="e">
        <v>#N/A</v>
      </c>
      <c r="H4617" s="33"/>
      <c r="I4617" s="33"/>
      <c r="J4617" s="33"/>
      <c r="K4617" s="33"/>
      <c r="L4617" s="33"/>
      <c r="M4617" s="33"/>
    </row>
    <row r="4618">
      <c r="A4618" s="32" t="s">
        <v>12336</v>
      </c>
      <c r="B4618" s="32" t="s">
        <v>12337</v>
      </c>
      <c r="C4618" s="35">
        <v>53.44139862</v>
      </c>
      <c r="D4618" s="35">
        <v>-91.76280212</v>
      </c>
      <c r="E4618" s="32" t="s">
        <v>94</v>
      </c>
      <c r="F4618" s="32" t="s">
        <v>12338</v>
      </c>
      <c r="G4618" s="36" t="e">
        <v>#N/A</v>
      </c>
      <c r="H4618" s="33"/>
      <c r="I4618" s="33"/>
      <c r="J4618" s="33"/>
      <c r="K4618" s="33"/>
      <c r="L4618" s="33"/>
      <c r="M4618" s="33"/>
    </row>
    <row r="4619">
      <c r="A4619" s="32" t="s">
        <v>12339</v>
      </c>
      <c r="B4619" s="32" t="s">
        <v>12340</v>
      </c>
      <c r="C4619" s="35">
        <v>51.342201</v>
      </c>
      <c r="D4619" s="35">
        <v>1.34611</v>
      </c>
      <c r="E4619" s="32" t="s">
        <v>90</v>
      </c>
      <c r="F4619" s="32" t="s">
        <v>12341</v>
      </c>
      <c r="G4619" s="39" t="s">
        <v>91</v>
      </c>
      <c r="H4619" s="33"/>
      <c r="I4619" s="33"/>
      <c r="J4619" s="33"/>
      <c r="K4619" s="33"/>
      <c r="L4619" s="33"/>
      <c r="M4619" s="33"/>
    </row>
    <row r="4620">
      <c r="A4620" s="32" t="s">
        <v>12342</v>
      </c>
      <c r="B4620" s="32" t="s">
        <v>12343</v>
      </c>
      <c r="C4620" s="35">
        <v>20.67539978</v>
      </c>
      <c r="D4620" s="35">
        <v>58.89049911</v>
      </c>
      <c r="E4620" s="32" t="s">
        <v>238</v>
      </c>
      <c r="F4620" s="32" t="s">
        <v>12344</v>
      </c>
      <c r="G4620" s="36" t="e">
        <v>#N/A</v>
      </c>
      <c r="H4620" s="33"/>
      <c r="I4620" s="33"/>
      <c r="J4620" s="33"/>
      <c r="K4620" s="33"/>
      <c r="L4620" s="33"/>
      <c r="M4620" s="33"/>
    </row>
    <row r="4621">
      <c r="A4621" s="32" t="s">
        <v>12345</v>
      </c>
      <c r="B4621" s="32" t="s">
        <v>12346</v>
      </c>
      <c r="C4621" s="35">
        <v>-20.69639969</v>
      </c>
      <c r="D4621" s="35">
        <v>-48.28639984</v>
      </c>
      <c r="E4621" s="32" t="s">
        <v>6888</v>
      </c>
      <c r="F4621" s="32" t="s">
        <v>12347</v>
      </c>
      <c r="G4621" s="36" t="e">
        <v>#N/A</v>
      </c>
      <c r="H4621" s="33"/>
      <c r="I4621" s="33"/>
      <c r="J4621" s="33"/>
      <c r="K4621" s="33"/>
      <c r="L4621" s="33"/>
      <c r="M4621" s="33"/>
    </row>
    <row r="4622">
      <c r="A4622" s="32" t="s">
        <v>12348</v>
      </c>
      <c r="B4622" s="32" t="s">
        <v>12349</v>
      </c>
      <c r="C4622" s="35">
        <v>40.70320129</v>
      </c>
      <c r="D4622" s="35">
        <v>141.3679962</v>
      </c>
      <c r="E4622" s="32" t="s">
        <v>170</v>
      </c>
      <c r="F4622" s="32" t="s">
        <v>12350</v>
      </c>
      <c r="G4622" s="39" t="s">
        <v>171</v>
      </c>
      <c r="H4622" s="33"/>
      <c r="I4622" s="33"/>
      <c r="J4622" s="33"/>
      <c r="K4622" s="33"/>
      <c r="L4622" s="33"/>
      <c r="M4622" s="33"/>
    </row>
    <row r="4623">
      <c r="A4623" s="32" t="s">
        <v>12351</v>
      </c>
      <c r="B4623" s="32" t="s">
        <v>12352</v>
      </c>
      <c r="C4623" s="35">
        <v>34.74530029</v>
      </c>
      <c r="D4623" s="35">
        <v>-87.61019897</v>
      </c>
      <c r="E4623" s="32" t="s">
        <v>180</v>
      </c>
      <c r="F4623" s="32" t="s">
        <v>12353</v>
      </c>
      <c r="G4623" s="39" t="s">
        <v>181</v>
      </c>
      <c r="H4623" s="33"/>
      <c r="I4623" s="33"/>
      <c r="J4623" s="33"/>
      <c r="K4623" s="33"/>
      <c r="L4623" s="33"/>
      <c r="M4623" s="33"/>
    </row>
    <row r="4624">
      <c r="A4624" s="32" t="s">
        <v>12354</v>
      </c>
      <c r="B4624" s="32" t="s">
        <v>12355</v>
      </c>
      <c r="C4624" s="35">
        <v>43.13990021</v>
      </c>
      <c r="D4624" s="35">
        <v>-89.33750153</v>
      </c>
      <c r="E4624" s="32" t="s">
        <v>180</v>
      </c>
      <c r="F4624" s="32" t="s">
        <v>3397</v>
      </c>
      <c r="G4624" s="39" t="s">
        <v>181</v>
      </c>
      <c r="H4624" s="33"/>
      <c r="I4624" s="33"/>
      <c r="J4624" s="33"/>
      <c r="K4624" s="33"/>
      <c r="L4624" s="33"/>
      <c r="M4624" s="33"/>
    </row>
    <row r="4625">
      <c r="A4625" s="32" t="s">
        <v>12356</v>
      </c>
      <c r="B4625" s="32" t="s">
        <v>12357</v>
      </c>
      <c r="C4625" s="35">
        <v>46.91630173</v>
      </c>
      <c r="D4625" s="35">
        <v>-114.0910034</v>
      </c>
      <c r="E4625" s="32" t="s">
        <v>180</v>
      </c>
      <c r="F4625" s="32" t="s">
        <v>12358</v>
      </c>
      <c r="G4625" s="39" t="s">
        <v>181</v>
      </c>
      <c r="H4625" s="33"/>
      <c r="I4625" s="33"/>
      <c r="J4625" s="33"/>
      <c r="K4625" s="33"/>
      <c r="L4625" s="33"/>
      <c r="M4625" s="33"/>
    </row>
    <row r="4626">
      <c r="A4626" s="32" t="s">
        <v>12359</v>
      </c>
      <c r="B4626" s="32" t="s">
        <v>12360</v>
      </c>
      <c r="C4626" s="35">
        <v>44.88199997</v>
      </c>
      <c r="D4626" s="35">
        <v>-93.22180176</v>
      </c>
      <c r="E4626" s="32" t="s">
        <v>180</v>
      </c>
      <c r="F4626" s="32" t="s">
        <v>12361</v>
      </c>
      <c r="G4626" s="39" t="s">
        <v>181</v>
      </c>
      <c r="H4626" s="33"/>
      <c r="I4626" s="33"/>
      <c r="J4626" s="33"/>
      <c r="K4626" s="33"/>
      <c r="L4626" s="33"/>
      <c r="M4626" s="33"/>
    </row>
    <row r="4627">
      <c r="A4627" s="32" t="s">
        <v>12362</v>
      </c>
      <c r="B4627" s="32" t="s">
        <v>12363</v>
      </c>
      <c r="C4627" s="35">
        <v>53.88249969</v>
      </c>
      <c r="D4627" s="35">
        <v>28.03070068</v>
      </c>
      <c r="E4627" s="32" t="s">
        <v>2097</v>
      </c>
      <c r="F4627" s="32" t="s">
        <v>12364</v>
      </c>
      <c r="G4627" s="36" t="e">
        <v>#N/A</v>
      </c>
      <c r="H4627" s="33"/>
      <c r="I4627" s="33"/>
      <c r="J4627" s="33"/>
      <c r="K4627" s="33"/>
      <c r="L4627" s="33"/>
      <c r="M4627" s="33"/>
    </row>
    <row r="4628">
      <c r="A4628" s="32" t="s">
        <v>12365</v>
      </c>
      <c r="B4628" s="32" t="s">
        <v>12366</v>
      </c>
      <c r="C4628" s="35">
        <v>38.74779892</v>
      </c>
      <c r="D4628" s="35">
        <v>41.66120148</v>
      </c>
      <c r="E4628" s="32" t="s">
        <v>133</v>
      </c>
      <c r="F4628" s="32" t="s">
        <v>12367</v>
      </c>
      <c r="G4628" s="39" t="s">
        <v>134</v>
      </c>
      <c r="H4628" s="33"/>
      <c r="I4628" s="33"/>
      <c r="J4628" s="33"/>
      <c r="K4628" s="33"/>
      <c r="L4628" s="33"/>
      <c r="M4628" s="33"/>
    </row>
    <row r="4629">
      <c r="A4629" s="32" t="s">
        <v>12368</v>
      </c>
      <c r="B4629" s="32" t="s">
        <v>12369</v>
      </c>
      <c r="C4629" s="35">
        <v>44.93579865</v>
      </c>
      <c r="D4629" s="35">
        <v>-74.84559631</v>
      </c>
      <c r="E4629" s="32" t="s">
        <v>180</v>
      </c>
      <c r="F4629" s="32" t="s">
        <v>12370</v>
      </c>
      <c r="G4629" s="39" t="s">
        <v>181</v>
      </c>
      <c r="H4629" s="33"/>
      <c r="I4629" s="33"/>
      <c r="J4629" s="33"/>
      <c r="K4629" s="33"/>
      <c r="L4629" s="33"/>
      <c r="M4629" s="33"/>
    </row>
    <row r="4630">
      <c r="A4630" s="32" t="s">
        <v>12371</v>
      </c>
      <c r="B4630" s="32" t="s">
        <v>12372</v>
      </c>
      <c r="C4630" s="35">
        <v>50.9117012</v>
      </c>
      <c r="D4630" s="35">
        <v>5.770140171</v>
      </c>
      <c r="E4630" s="32" t="s">
        <v>127</v>
      </c>
      <c r="F4630" s="32" t="s">
        <v>12373</v>
      </c>
      <c r="G4630" s="39" t="s">
        <v>128</v>
      </c>
      <c r="H4630" s="33"/>
      <c r="I4630" s="33"/>
      <c r="J4630" s="33"/>
      <c r="K4630" s="33"/>
      <c r="L4630" s="33"/>
      <c r="M4630" s="33"/>
    </row>
    <row r="4631">
      <c r="A4631" s="32" t="s">
        <v>12374</v>
      </c>
      <c r="B4631" s="32" t="s">
        <v>12375</v>
      </c>
      <c r="C4631" s="35">
        <v>-29.46229935</v>
      </c>
      <c r="D4631" s="35">
        <v>27.55249977</v>
      </c>
      <c r="E4631" s="32" t="s">
        <v>797</v>
      </c>
      <c r="F4631" s="32" t="s">
        <v>798</v>
      </c>
      <c r="G4631" s="36" t="e">
        <v>#N/A</v>
      </c>
      <c r="H4631" s="33"/>
      <c r="I4631" s="33"/>
      <c r="J4631" s="33"/>
      <c r="K4631" s="33"/>
      <c r="L4631" s="33"/>
      <c r="M4631" s="33"/>
    </row>
    <row r="4632">
      <c r="A4632" s="32" t="s">
        <v>12376</v>
      </c>
      <c r="B4632" s="32" t="s">
        <v>12377</v>
      </c>
      <c r="C4632" s="35">
        <v>15.67000008</v>
      </c>
      <c r="D4632" s="35">
        <v>39.37009811</v>
      </c>
      <c r="E4632" s="32" t="s">
        <v>4136</v>
      </c>
      <c r="F4632" s="32" t="s">
        <v>12378</v>
      </c>
      <c r="G4632" s="36" t="e">
        <v>#N/A</v>
      </c>
      <c r="H4632" s="33"/>
      <c r="I4632" s="33"/>
      <c r="J4632" s="33"/>
      <c r="K4632" s="33"/>
      <c r="L4632" s="33"/>
      <c r="M4632" s="33"/>
    </row>
    <row r="4633">
      <c r="A4633" s="32" t="s">
        <v>12379</v>
      </c>
      <c r="B4633" s="32" t="s">
        <v>12380</v>
      </c>
      <c r="C4633" s="35">
        <v>29.99340057</v>
      </c>
      <c r="D4633" s="35">
        <v>-90.25800323</v>
      </c>
      <c r="E4633" s="32" t="s">
        <v>180</v>
      </c>
      <c r="F4633" s="32" t="s">
        <v>12381</v>
      </c>
      <c r="G4633" s="39" t="s">
        <v>181</v>
      </c>
      <c r="H4633" s="33"/>
      <c r="I4633" s="33"/>
      <c r="J4633" s="33"/>
      <c r="K4633" s="33"/>
      <c r="L4633" s="33"/>
      <c r="M4633" s="33"/>
    </row>
    <row r="4634">
      <c r="A4634" s="32" t="s">
        <v>12382</v>
      </c>
      <c r="B4634" s="32" t="s">
        <v>12383</v>
      </c>
      <c r="C4634" s="35">
        <v>-15.26119995</v>
      </c>
      <c r="D4634" s="35">
        <v>12.14680004</v>
      </c>
      <c r="E4634" s="32" t="s">
        <v>764</v>
      </c>
      <c r="F4634" s="32" t="s">
        <v>12384</v>
      </c>
      <c r="G4634" s="36" t="e">
        <v>#N/A</v>
      </c>
      <c r="H4634" s="33"/>
      <c r="I4634" s="33"/>
      <c r="J4634" s="33"/>
      <c r="K4634" s="33"/>
      <c r="L4634" s="33"/>
      <c r="M4634" s="33"/>
    </row>
    <row r="4635">
      <c r="A4635" s="32" t="s">
        <v>12385</v>
      </c>
      <c r="B4635" s="32" t="s">
        <v>12386</v>
      </c>
      <c r="C4635" s="35">
        <v>42.60829926</v>
      </c>
      <c r="D4635" s="35">
        <v>-82.83550262</v>
      </c>
      <c r="E4635" s="32" t="s">
        <v>180</v>
      </c>
      <c r="F4635" s="32" t="s">
        <v>12387</v>
      </c>
      <c r="G4635" s="39" t="s">
        <v>181</v>
      </c>
      <c r="H4635" s="33"/>
      <c r="I4635" s="33"/>
      <c r="J4635" s="33"/>
      <c r="K4635" s="33"/>
      <c r="L4635" s="33"/>
      <c r="M4635" s="33"/>
    </row>
    <row r="4636">
      <c r="A4636" s="32" t="s">
        <v>12388</v>
      </c>
      <c r="B4636" s="32" t="s">
        <v>12389</v>
      </c>
      <c r="C4636" s="35">
        <v>6.9571</v>
      </c>
      <c r="D4636" s="35">
        <v>35.5547</v>
      </c>
      <c r="E4636" s="32" t="s">
        <v>18</v>
      </c>
      <c r="F4636" s="32" t="s">
        <v>12390</v>
      </c>
      <c r="G4636" s="36" t="e">
        <v>#N/A</v>
      </c>
      <c r="H4636" s="33"/>
      <c r="I4636" s="33"/>
      <c r="J4636" s="33"/>
      <c r="K4636" s="33"/>
      <c r="L4636" s="33"/>
      <c r="M4636" s="33"/>
    </row>
    <row r="4637">
      <c r="A4637" s="32" t="s">
        <v>12391</v>
      </c>
      <c r="B4637" s="32" t="s">
        <v>12392</v>
      </c>
      <c r="C4637" s="35">
        <v>24.72610092</v>
      </c>
      <c r="D4637" s="35">
        <v>-81.05139923</v>
      </c>
      <c r="E4637" s="32" t="s">
        <v>180</v>
      </c>
      <c r="F4637" s="32" t="s">
        <v>12393</v>
      </c>
      <c r="G4637" s="39" t="s">
        <v>181</v>
      </c>
      <c r="H4637" s="33"/>
      <c r="I4637" s="33"/>
      <c r="J4637" s="33"/>
      <c r="K4637" s="33"/>
      <c r="L4637" s="33"/>
      <c r="M4637" s="33"/>
    </row>
    <row r="4638">
      <c r="A4638" s="32" t="s">
        <v>12394</v>
      </c>
      <c r="B4638" s="32" t="s">
        <v>12395</v>
      </c>
      <c r="C4638" s="35">
        <v>38.50979996</v>
      </c>
      <c r="D4638" s="35">
        <v>-107.8939972</v>
      </c>
      <c r="E4638" s="32" t="s">
        <v>180</v>
      </c>
      <c r="F4638" s="32" t="s">
        <v>12396</v>
      </c>
      <c r="G4638" s="39" t="s">
        <v>181</v>
      </c>
      <c r="H4638" s="33"/>
      <c r="I4638" s="33"/>
      <c r="J4638" s="33"/>
      <c r="K4638" s="33"/>
      <c r="L4638" s="33"/>
      <c r="M4638" s="33"/>
    </row>
    <row r="4639">
      <c r="A4639" s="32" t="s">
        <v>12397</v>
      </c>
      <c r="B4639" s="32" t="s">
        <v>12398</v>
      </c>
      <c r="C4639" s="35">
        <v>3.374439955</v>
      </c>
      <c r="D4639" s="35">
        <v>172.9920044</v>
      </c>
      <c r="E4639" s="32" t="s">
        <v>3439</v>
      </c>
      <c r="F4639" s="32" t="s">
        <v>12399</v>
      </c>
      <c r="G4639" s="36" t="e">
        <v>#N/A</v>
      </c>
      <c r="H4639" s="33"/>
      <c r="I4639" s="33"/>
      <c r="J4639" s="33"/>
      <c r="K4639" s="33"/>
      <c r="L4639" s="33"/>
      <c r="M4639" s="33"/>
    </row>
    <row r="4640">
      <c r="A4640" s="32" t="s">
        <v>12400</v>
      </c>
      <c r="B4640" s="32" t="s">
        <v>12401</v>
      </c>
      <c r="C4640" s="35">
        <v>-32.70330048</v>
      </c>
      <c r="D4640" s="35">
        <v>151.4880066</v>
      </c>
      <c r="E4640" s="32" t="s">
        <v>1968</v>
      </c>
      <c r="F4640" s="32" t="s">
        <v>12402</v>
      </c>
      <c r="G4640" s="36" t="e">
        <v>#N/A</v>
      </c>
      <c r="H4640" s="33"/>
      <c r="I4640" s="33"/>
      <c r="J4640" s="33"/>
      <c r="K4640" s="33"/>
      <c r="L4640" s="33"/>
      <c r="M4640" s="33"/>
    </row>
    <row r="4641">
      <c r="A4641" s="32" t="s">
        <v>12403</v>
      </c>
      <c r="B4641" s="32" t="s">
        <v>12404</v>
      </c>
      <c r="C4641" s="35">
        <v>55.13100052</v>
      </c>
      <c r="D4641" s="35">
        <v>-131.5780029</v>
      </c>
      <c r="E4641" s="32" t="s">
        <v>180</v>
      </c>
      <c r="F4641" s="32" t="s">
        <v>12405</v>
      </c>
      <c r="G4641" s="39" t="s">
        <v>181</v>
      </c>
      <c r="H4641" s="33"/>
      <c r="I4641" s="33"/>
      <c r="J4641" s="33"/>
      <c r="K4641" s="33"/>
      <c r="L4641" s="33"/>
      <c r="M4641" s="33"/>
    </row>
    <row r="4642">
      <c r="A4642" s="32" t="s">
        <v>12406</v>
      </c>
      <c r="B4642" s="32" t="s">
        <v>12407</v>
      </c>
      <c r="C4642" s="35">
        <v>39.32569885</v>
      </c>
      <c r="D4642" s="35">
        <v>-76.4138031</v>
      </c>
      <c r="E4642" s="32" t="s">
        <v>180</v>
      </c>
      <c r="F4642" s="32" t="s">
        <v>5381</v>
      </c>
      <c r="G4642" s="39" t="s">
        <v>181</v>
      </c>
      <c r="H4642" s="33"/>
      <c r="I4642" s="33"/>
      <c r="J4642" s="33"/>
      <c r="K4642" s="33"/>
      <c r="L4642" s="33"/>
      <c r="M4642" s="33"/>
    </row>
    <row r="4643">
      <c r="A4643" s="32" t="s">
        <v>12408</v>
      </c>
      <c r="B4643" s="32" t="s">
        <v>12409</v>
      </c>
      <c r="C4643" s="35">
        <v>41.07649994</v>
      </c>
      <c r="D4643" s="35">
        <v>-71.92079926</v>
      </c>
      <c r="E4643" s="32" t="s">
        <v>180</v>
      </c>
      <c r="F4643" s="32" t="s">
        <v>12410</v>
      </c>
      <c r="G4643" s="39" t="s">
        <v>181</v>
      </c>
      <c r="H4643" s="33"/>
      <c r="I4643" s="33"/>
      <c r="J4643" s="33"/>
      <c r="K4643" s="33"/>
      <c r="L4643" s="33"/>
      <c r="M4643" s="33"/>
    </row>
    <row r="4644">
      <c r="A4644" s="32" t="s">
        <v>12411</v>
      </c>
      <c r="B4644" s="32" t="s">
        <v>12412</v>
      </c>
      <c r="C4644" s="35">
        <v>8.82374</v>
      </c>
      <c r="D4644" s="35">
        <v>-75.8258</v>
      </c>
      <c r="E4644" s="32" t="s">
        <v>292</v>
      </c>
      <c r="F4644" s="32" t="s">
        <v>12413</v>
      </c>
      <c r="G4644" s="36" t="e">
        <v>#N/A</v>
      </c>
      <c r="H4644" s="33"/>
      <c r="I4644" s="33"/>
      <c r="J4644" s="33"/>
      <c r="K4644" s="33"/>
      <c r="L4644" s="33"/>
      <c r="M4644" s="33"/>
    </row>
    <row r="4645">
      <c r="A4645" s="32" t="s">
        <v>12414</v>
      </c>
      <c r="B4645" s="32" t="s">
        <v>12415</v>
      </c>
      <c r="C4645" s="35">
        <v>-26.52899933</v>
      </c>
      <c r="D4645" s="35">
        <v>31.30750084</v>
      </c>
      <c r="E4645" s="32" t="s">
        <v>12416</v>
      </c>
      <c r="F4645" s="32" t="s">
        <v>12417</v>
      </c>
      <c r="G4645" s="36" t="e">
        <v>#N/A</v>
      </c>
      <c r="H4645" s="33"/>
      <c r="I4645" s="33"/>
      <c r="J4645" s="33"/>
      <c r="K4645" s="33"/>
      <c r="L4645" s="33"/>
      <c r="M4645" s="33"/>
    </row>
    <row r="4646">
      <c r="A4646" s="32" t="s">
        <v>12418</v>
      </c>
      <c r="B4646" s="32" t="s">
        <v>12419</v>
      </c>
      <c r="C4646" s="35">
        <v>18.10339928</v>
      </c>
      <c r="D4646" s="35">
        <v>-94.58070374</v>
      </c>
      <c r="E4646" s="32" t="s">
        <v>186</v>
      </c>
      <c r="F4646" s="32" t="s">
        <v>12420</v>
      </c>
      <c r="G4646" s="39" t="s">
        <v>187</v>
      </c>
      <c r="H4646" s="33"/>
      <c r="I4646" s="33"/>
      <c r="J4646" s="33"/>
      <c r="K4646" s="33"/>
      <c r="L4646" s="33"/>
      <c r="M4646" s="33"/>
    </row>
    <row r="4647">
      <c r="A4647" s="32" t="s">
        <v>12421</v>
      </c>
      <c r="B4647" s="32" t="s">
        <v>12422</v>
      </c>
      <c r="C4647" s="35">
        <v>-13.66600037</v>
      </c>
      <c r="D4647" s="35">
        <v>167.7120056</v>
      </c>
      <c r="E4647" s="32" t="s">
        <v>4279</v>
      </c>
      <c r="F4647" s="32" t="s">
        <v>12423</v>
      </c>
      <c r="G4647" s="36" t="e">
        <v>#N/A</v>
      </c>
      <c r="H4647" s="33"/>
      <c r="I4647" s="33"/>
      <c r="J4647" s="33"/>
      <c r="K4647" s="33"/>
      <c r="L4647" s="33"/>
      <c r="M4647" s="33"/>
    </row>
    <row r="4648">
      <c r="A4648" s="32" t="s">
        <v>12424</v>
      </c>
      <c r="B4648" s="32" t="s">
        <v>12425</v>
      </c>
      <c r="C4648" s="35">
        <v>25.7784996</v>
      </c>
      <c r="D4648" s="35">
        <v>-100.1070023</v>
      </c>
      <c r="E4648" s="32" t="s">
        <v>186</v>
      </c>
      <c r="F4648" s="32" t="s">
        <v>12426</v>
      </c>
      <c r="G4648" s="39" t="s">
        <v>187</v>
      </c>
      <c r="H4648" s="33"/>
      <c r="I4648" s="33"/>
      <c r="J4648" s="33"/>
      <c r="K4648" s="33"/>
      <c r="L4648" s="33"/>
      <c r="M4648" s="33"/>
    </row>
    <row r="4649">
      <c r="A4649" s="32" t="s">
        <v>12427</v>
      </c>
      <c r="B4649" s="32" t="s">
        <v>12428</v>
      </c>
      <c r="C4649" s="35">
        <v>-8.327969551</v>
      </c>
      <c r="D4649" s="35">
        <v>157.2630005</v>
      </c>
      <c r="E4649" s="32" t="s">
        <v>3666</v>
      </c>
      <c r="F4649" s="32" t="s">
        <v>12429</v>
      </c>
      <c r="G4649" s="36" t="e">
        <v>#N/A</v>
      </c>
      <c r="H4649" s="33"/>
      <c r="I4649" s="33"/>
      <c r="J4649" s="33"/>
      <c r="K4649" s="33"/>
      <c r="L4649" s="33"/>
      <c r="M4649" s="33"/>
    </row>
    <row r="4650">
      <c r="A4650" s="32" t="s">
        <v>12430</v>
      </c>
      <c r="B4650" s="32" t="s">
        <v>12431</v>
      </c>
      <c r="C4650" s="35">
        <v>-19.97260094</v>
      </c>
      <c r="D4650" s="35">
        <v>23.43110085</v>
      </c>
      <c r="E4650" s="32" t="s">
        <v>2285</v>
      </c>
      <c r="F4650" s="32" t="s">
        <v>12432</v>
      </c>
      <c r="G4650" s="36" t="e">
        <v>#N/A</v>
      </c>
      <c r="H4650" s="33"/>
      <c r="I4650" s="33"/>
      <c r="J4650" s="33"/>
      <c r="K4650" s="33"/>
      <c r="L4650" s="33"/>
      <c r="M4650" s="33"/>
    </row>
    <row r="4651">
      <c r="A4651" s="32" t="s">
        <v>12433</v>
      </c>
      <c r="B4651" s="32" t="s">
        <v>12434</v>
      </c>
      <c r="C4651" s="35">
        <v>48.35380173</v>
      </c>
      <c r="D4651" s="35">
        <v>11.78610039</v>
      </c>
      <c r="E4651" s="32" t="s">
        <v>109</v>
      </c>
      <c r="F4651" s="32" t="s">
        <v>12435</v>
      </c>
      <c r="G4651" s="39" t="s">
        <v>110</v>
      </c>
      <c r="H4651" s="33"/>
      <c r="I4651" s="33"/>
      <c r="J4651" s="33"/>
      <c r="K4651" s="33"/>
      <c r="L4651" s="33"/>
      <c r="M4651" s="33"/>
    </row>
    <row r="4652">
      <c r="A4652" s="32" t="s">
        <v>12436</v>
      </c>
      <c r="B4652" s="32" t="s">
        <v>12437</v>
      </c>
      <c r="C4652" s="35">
        <v>20.00130081</v>
      </c>
      <c r="D4652" s="35">
        <v>-155.6679993</v>
      </c>
      <c r="E4652" s="32" t="s">
        <v>180</v>
      </c>
      <c r="F4652" s="32" t="s">
        <v>12438</v>
      </c>
      <c r="G4652" s="39" t="s">
        <v>181</v>
      </c>
      <c r="H4652" s="33"/>
      <c r="I4652" s="33"/>
      <c r="J4652" s="33"/>
      <c r="K4652" s="33"/>
      <c r="L4652" s="33"/>
      <c r="M4652" s="33"/>
    </row>
    <row r="4653">
      <c r="A4653" s="32" t="s">
        <v>12439</v>
      </c>
      <c r="B4653" s="32" t="s">
        <v>12440</v>
      </c>
      <c r="C4653" s="35">
        <v>31.3253994</v>
      </c>
      <c r="D4653" s="35">
        <v>27.22170067</v>
      </c>
      <c r="E4653" s="32" t="s">
        <v>15</v>
      </c>
      <c r="F4653" s="32" t="s">
        <v>12441</v>
      </c>
      <c r="G4653" s="36" t="e">
        <v>#N/A</v>
      </c>
      <c r="H4653" s="33"/>
      <c r="I4653" s="33"/>
      <c r="J4653" s="33"/>
      <c r="K4653" s="33"/>
      <c r="L4653" s="33"/>
      <c r="M4653" s="33"/>
    </row>
    <row r="4654">
      <c r="A4654" s="32" t="s">
        <v>12442</v>
      </c>
      <c r="B4654" s="32" t="s">
        <v>12443</v>
      </c>
      <c r="C4654" s="35">
        <v>40.43479919</v>
      </c>
      <c r="D4654" s="35">
        <v>-76.56939697</v>
      </c>
      <c r="E4654" s="32" t="s">
        <v>180</v>
      </c>
      <c r="F4654" s="32" t="s">
        <v>12444</v>
      </c>
      <c r="G4654" s="39" t="s">
        <v>181</v>
      </c>
      <c r="H4654" s="33"/>
      <c r="I4654" s="33"/>
      <c r="J4654" s="33"/>
      <c r="K4654" s="33"/>
      <c r="L4654" s="33"/>
      <c r="M4654" s="33"/>
    </row>
    <row r="4655">
      <c r="A4655" s="32" t="s">
        <v>12445</v>
      </c>
      <c r="B4655" s="32" t="s">
        <v>12446</v>
      </c>
      <c r="C4655" s="35">
        <v>-20.13610077</v>
      </c>
      <c r="D4655" s="35">
        <v>-157.3450012</v>
      </c>
      <c r="E4655" s="32" t="s">
        <v>3772</v>
      </c>
      <c r="F4655" s="32" t="s">
        <v>12447</v>
      </c>
      <c r="G4655" s="36" t="e">
        <v>#N/A</v>
      </c>
      <c r="H4655" s="33"/>
      <c r="I4655" s="33"/>
      <c r="J4655" s="33"/>
      <c r="K4655" s="33"/>
      <c r="L4655" s="33"/>
      <c r="M4655" s="33"/>
    </row>
    <row r="4656">
      <c r="A4656" s="32" t="s">
        <v>12448</v>
      </c>
      <c r="B4656" s="32" t="s">
        <v>12449</v>
      </c>
      <c r="C4656" s="35">
        <v>9.754529953</v>
      </c>
      <c r="D4656" s="35">
        <v>-63.1473999</v>
      </c>
      <c r="E4656" s="32" t="s">
        <v>315</v>
      </c>
      <c r="F4656" s="32" t="s">
        <v>12450</v>
      </c>
      <c r="G4656" s="36" t="e">
        <v>#N/A</v>
      </c>
      <c r="H4656" s="33"/>
      <c r="I4656" s="33"/>
      <c r="J4656" s="33"/>
      <c r="K4656" s="33"/>
      <c r="L4656" s="33"/>
      <c r="M4656" s="33"/>
    </row>
    <row r="4657">
      <c r="A4657" s="32" t="s">
        <v>12451</v>
      </c>
      <c r="B4657" s="32" t="s">
        <v>12452</v>
      </c>
      <c r="C4657" s="35">
        <v>43.043598</v>
      </c>
      <c r="D4657" s="35">
        <v>-115.872002</v>
      </c>
      <c r="E4657" s="32" t="s">
        <v>180</v>
      </c>
      <c r="F4657" s="32" t="s">
        <v>12453</v>
      </c>
      <c r="G4657" s="39" t="s">
        <v>181</v>
      </c>
      <c r="H4657" s="33"/>
      <c r="I4657" s="33"/>
      <c r="J4657" s="33"/>
      <c r="K4657" s="33"/>
      <c r="L4657" s="33"/>
      <c r="M4657" s="33"/>
    </row>
    <row r="4658">
      <c r="A4658" s="32" t="s">
        <v>12454</v>
      </c>
      <c r="B4658" s="32" t="s">
        <v>12455</v>
      </c>
      <c r="C4658" s="35">
        <v>4.178979874</v>
      </c>
      <c r="D4658" s="35">
        <v>114.3290024</v>
      </c>
      <c r="E4658" s="32" t="s">
        <v>284</v>
      </c>
      <c r="F4658" s="32" t="s">
        <v>12456</v>
      </c>
      <c r="G4658" s="36" t="e">
        <v>#N/A</v>
      </c>
      <c r="H4658" s="33"/>
      <c r="I4658" s="33"/>
      <c r="J4658" s="33"/>
      <c r="K4658" s="33"/>
      <c r="L4658" s="33"/>
      <c r="M4658" s="33"/>
    </row>
    <row r="4659">
      <c r="A4659" s="32" t="s">
        <v>12457</v>
      </c>
      <c r="B4659" s="32" t="s">
        <v>12458</v>
      </c>
      <c r="C4659" s="35">
        <v>35.20769882</v>
      </c>
      <c r="D4659" s="35">
        <v>0.147141993</v>
      </c>
      <c r="E4659" s="32" t="s">
        <v>20</v>
      </c>
      <c r="F4659" s="32" t="s">
        <v>12459</v>
      </c>
      <c r="G4659" s="36" t="e">
        <v>#N/A</v>
      </c>
      <c r="H4659" s="33"/>
      <c r="I4659" s="33"/>
      <c r="J4659" s="33"/>
      <c r="K4659" s="33"/>
      <c r="L4659" s="33"/>
      <c r="M4659" s="33"/>
    </row>
    <row r="4660">
      <c r="A4660" s="32" t="s">
        <v>12460</v>
      </c>
      <c r="B4660" s="32" t="s">
        <v>12461</v>
      </c>
      <c r="C4660" s="35">
        <v>30.20319939</v>
      </c>
      <c r="D4660" s="35">
        <v>71.4190979</v>
      </c>
      <c r="E4660" s="32" t="s">
        <v>1470</v>
      </c>
      <c r="F4660" s="32" t="s">
        <v>12462</v>
      </c>
      <c r="G4660" s="36" t="e">
        <v>#N/A</v>
      </c>
      <c r="H4660" s="33"/>
      <c r="I4660" s="33"/>
      <c r="J4660" s="33"/>
      <c r="K4660" s="33"/>
      <c r="L4660" s="33"/>
      <c r="M4660" s="33"/>
    </row>
    <row r="4661">
      <c r="A4661" s="32" t="s">
        <v>12463</v>
      </c>
      <c r="B4661" s="32" t="s">
        <v>12464</v>
      </c>
      <c r="C4661" s="35">
        <v>-1.503</v>
      </c>
      <c r="D4661" s="35">
        <v>33.8021</v>
      </c>
      <c r="E4661" s="32" t="s">
        <v>2937</v>
      </c>
      <c r="F4661" s="32" t="s">
        <v>12465</v>
      </c>
      <c r="G4661" s="36" t="e">
        <v>#N/A</v>
      </c>
      <c r="H4661" s="33"/>
      <c r="I4661" s="33"/>
      <c r="J4661" s="33"/>
      <c r="K4661" s="33"/>
      <c r="L4661" s="33"/>
      <c r="M4661" s="33"/>
    </row>
    <row r="4662">
      <c r="A4662" s="32" t="s">
        <v>12466</v>
      </c>
      <c r="B4662" s="32" t="s">
        <v>12467</v>
      </c>
      <c r="C4662" s="35">
        <v>65.65579987</v>
      </c>
      <c r="D4662" s="35">
        <v>-16.91810036</v>
      </c>
      <c r="E4662" s="32" t="s">
        <v>2037</v>
      </c>
      <c r="F4662" s="32" t="s">
        <v>12468</v>
      </c>
      <c r="G4662" s="36" t="e">
        <v>#N/A</v>
      </c>
      <c r="H4662" s="33"/>
      <c r="I4662" s="33"/>
      <c r="J4662" s="33"/>
      <c r="K4662" s="33"/>
      <c r="L4662" s="33"/>
      <c r="M4662" s="33"/>
    </row>
    <row r="4663">
      <c r="A4663" s="32" t="s">
        <v>12469</v>
      </c>
      <c r="B4663" s="32" t="s">
        <v>12470</v>
      </c>
      <c r="C4663" s="35">
        <v>-1.656159997</v>
      </c>
      <c r="D4663" s="35">
        <v>13.43799973</v>
      </c>
      <c r="E4663" s="32" t="s">
        <v>4974</v>
      </c>
      <c r="F4663" s="32" t="s">
        <v>12471</v>
      </c>
      <c r="G4663" s="36" t="e">
        <v>#N/A</v>
      </c>
      <c r="H4663" s="33"/>
      <c r="I4663" s="33"/>
      <c r="J4663" s="33"/>
      <c r="K4663" s="33"/>
      <c r="L4663" s="33"/>
      <c r="M4663" s="33"/>
    </row>
    <row r="4664">
      <c r="A4664" s="32" t="s">
        <v>12472</v>
      </c>
      <c r="B4664" s="32" t="s">
        <v>12473</v>
      </c>
      <c r="C4664" s="35">
        <v>-34.83840179</v>
      </c>
      <c r="D4664" s="35">
        <v>-56.03079987</v>
      </c>
      <c r="E4664" s="32" t="s">
        <v>1779</v>
      </c>
      <c r="F4664" s="32" t="s">
        <v>1780</v>
      </c>
      <c r="G4664" s="36" t="e">
        <v>#N/A</v>
      </c>
      <c r="H4664" s="33"/>
      <c r="I4664" s="33"/>
      <c r="J4664" s="33"/>
      <c r="K4664" s="33"/>
      <c r="L4664" s="33"/>
      <c r="M4664" s="33"/>
    </row>
    <row r="4665">
      <c r="A4665" s="32" t="s">
        <v>12474</v>
      </c>
      <c r="B4665" s="32" t="s">
        <v>12475</v>
      </c>
      <c r="C4665" s="35">
        <v>-5.201920032</v>
      </c>
      <c r="D4665" s="35">
        <v>-37.36429977</v>
      </c>
      <c r="E4665" s="32" t="s">
        <v>288</v>
      </c>
      <c r="F4665" s="32" t="s">
        <v>12476</v>
      </c>
      <c r="G4665" s="36" t="e">
        <v>#N/A</v>
      </c>
      <c r="H4665" s="33"/>
      <c r="I4665" s="33"/>
      <c r="J4665" s="33"/>
      <c r="K4665" s="33"/>
      <c r="L4665" s="33"/>
      <c r="M4665" s="33"/>
    </row>
    <row r="4666">
      <c r="A4666" s="32" t="s">
        <v>12477</v>
      </c>
      <c r="B4666" s="32" t="s">
        <v>12478</v>
      </c>
      <c r="C4666" s="35">
        <v>44.534599299999996</v>
      </c>
      <c r="D4666" s="35">
        <v>-72.61399841</v>
      </c>
      <c r="E4666" s="32" t="s">
        <v>180</v>
      </c>
      <c r="F4666" s="32" t="s">
        <v>12479</v>
      </c>
      <c r="G4666" s="39" t="s">
        <v>181</v>
      </c>
      <c r="H4666" s="33"/>
      <c r="I4666" s="33"/>
      <c r="J4666" s="33"/>
      <c r="K4666" s="33"/>
      <c r="L4666" s="33"/>
      <c r="M4666" s="33"/>
    </row>
    <row r="4667">
      <c r="A4667" s="32" t="s">
        <v>12480</v>
      </c>
      <c r="B4667" s="32" t="s">
        <v>12481</v>
      </c>
      <c r="C4667" s="35">
        <v>1.25366</v>
      </c>
      <c r="D4667" s="35">
        <v>-70.2339</v>
      </c>
      <c r="E4667" s="32" t="s">
        <v>292</v>
      </c>
      <c r="F4667" s="32" t="s">
        <v>12482</v>
      </c>
      <c r="G4667" s="36" t="e">
        <v>#N/A</v>
      </c>
      <c r="H4667" s="33"/>
      <c r="I4667" s="33"/>
      <c r="J4667" s="33"/>
      <c r="K4667" s="33"/>
      <c r="L4667" s="33"/>
      <c r="M4667" s="33"/>
    </row>
    <row r="4668">
      <c r="A4668" s="32" t="s">
        <v>12483</v>
      </c>
      <c r="B4668" s="32" t="s">
        <v>12484</v>
      </c>
      <c r="C4668" s="35">
        <v>53.95489883</v>
      </c>
      <c r="D4668" s="35">
        <v>30.0951004</v>
      </c>
      <c r="E4668" s="32" t="s">
        <v>2097</v>
      </c>
      <c r="F4668" s="32" t="s">
        <v>12485</v>
      </c>
      <c r="G4668" s="36" t="e">
        <v>#N/A</v>
      </c>
      <c r="H4668" s="33"/>
      <c r="I4668" s="33"/>
      <c r="J4668" s="33"/>
      <c r="K4668" s="33"/>
      <c r="L4668" s="33"/>
      <c r="M4668" s="33"/>
    </row>
    <row r="4669">
      <c r="A4669" s="32" t="s">
        <v>12486</v>
      </c>
      <c r="B4669" s="32" t="s">
        <v>12487</v>
      </c>
      <c r="C4669" s="35">
        <v>10.4513998</v>
      </c>
      <c r="D4669" s="35">
        <v>14.25739956</v>
      </c>
      <c r="E4669" s="32" t="s">
        <v>32</v>
      </c>
      <c r="F4669" s="32" t="s">
        <v>12488</v>
      </c>
      <c r="G4669" s="36" t="e">
        <v>#N/A</v>
      </c>
      <c r="H4669" s="33"/>
      <c r="I4669" s="33"/>
      <c r="J4669" s="33"/>
      <c r="K4669" s="33"/>
      <c r="L4669" s="33"/>
      <c r="M4669" s="33"/>
    </row>
    <row r="4670">
      <c r="A4670" s="32" t="s">
        <v>12489</v>
      </c>
      <c r="B4670" s="32" t="s">
        <v>12490</v>
      </c>
      <c r="C4670" s="35">
        <v>-18.0489006</v>
      </c>
      <c r="D4670" s="35">
        <v>-39.86420059</v>
      </c>
      <c r="E4670" s="32" t="s">
        <v>288</v>
      </c>
      <c r="F4670" s="32" t="s">
        <v>12491</v>
      </c>
      <c r="G4670" s="36" t="e">
        <v>#N/A</v>
      </c>
      <c r="H4670" s="33"/>
      <c r="I4670" s="33"/>
      <c r="J4670" s="33"/>
      <c r="K4670" s="33"/>
      <c r="L4670" s="33"/>
      <c r="M4670" s="33"/>
    </row>
    <row r="4671">
      <c r="A4671" s="32" t="s">
        <v>12492</v>
      </c>
      <c r="B4671" s="32" t="s">
        <v>12493</v>
      </c>
      <c r="C4671" s="35">
        <v>-14.86810017</v>
      </c>
      <c r="D4671" s="35">
        <v>-148.7169952</v>
      </c>
      <c r="E4671" s="32" t="s">
        <v>1325</v>
      </c>
      <c r="F4671" s="32" t="s">
        <v>12494</v>
      </c>
      <c r="G4671" s="36" t="e">
        <v>#N/A</v>
      </c>
      <c r="H4671" s="33"/>
      <c r="I4671" s="33"/>
      <c r="J4671" s="33"/>
      <c r="K4671" s="33"/>
      <c r="L4671" s="33"/>
      <c r="M4671" s="33"/>
    </row>
    <row r="4672">
      <c r="A4672" s="32" t="s">
        <v>12495</v>
      </c>
      <c r="B4672" s="32" t="s">
        <v>12496</v>
      </c>
      <c r="C4672" s="35">
        <v>45.82080078</v>
      </c>
      <c r="D4672" s="35">
        <v>6.652219772</v>
      </c>
      <c r="E4672" s="32" t="s">
        <v>96</v>
      </c>
      <c r="F4672" s="32" t="s">
        <v>937</v>
      </c>
      <c r="G4672" s="39" t="s">
        <v>97</v>
      </c>
      <c r="H4672" s="33"/>
      <c r="I4672" s="33"/>
      <c r="J4672" s="33"/>
      <c r="K4672" s="33"/>
      <c r="L4672" s="33"/>
      <c r="M4672" s="33"/>
    </row>
    <row r="4673">
      <c r="A4673" s="32" t="s">
        <v>12497</v>
      </c>
      <c r="B4673" s="32" t="s">
        <v>12498</v>
      </c>
      <c r="C4673" s="35">
        <v>41.39310074</v>
      </c>
      <c r="D4673" s="35">
        <v>-70.61430359</v>
      </c>
      <c r="E4673" s="32" t="s">
        <v>180</v>
      </c>
      <c r="F4673" s="32" t="s">
        <v>12499</v>
      </c>
      <c r="G4673" s="39" t="s">
        <v>181</v>
      </c>
      <c r="H4673" s="33"/>
      <c r="I4673" s="33"/>
      <c r="J4673" s="33"/>
      <c r="K4673" s="33"/>
      <c r="L4673" s="33"/>
      <c r="M4673" s="33"/>
    </row>
    <row r="4674">
      <c r="A4674" s="32" t="s">
        <v>12500</v>
      </c>
      <c r="B4674" s="32" t="s">
        <v>12501</v>
      </c>
      <c r="C4674" s="35">
        <v>-20.05529976</v>
      </c>
      <c r="D4674" s="35">
        <v>30.85910034</v>
      </c>
      <c r="E4674" s="32" t="s">
        <v>785</v>
      </c>
      <c r="F4674" s="32" t="s">
        <v>12502</v>
      </c>
      <c r="G4674" s="36" t="e">
        <v>#N/A</v>
      </c>
      <c r="H4674" s="33"/>
      <c r="I4674" s="33"/>
      <c r="J4674" s="33"/>
      <c r="K4674" s="33"/>
      <c r="L4674" s="33"/>
      <c r="M4674" s="33"/>
    </row>
    <row r="4675">
      <c r="A4675" s="32" t="s">
        <v>12503</v>
      </c>
      <c r="B4675" s="32" t="s">
        <v>12504</v>
      </c>
      <c r="C4675" s="35">
        <v>37.75500107</v>
      </c>
      <c r="D4675" s="35">
        <v>-89.01110077</v>
      </c>
      <c r="E4675" s="32" t="s">
        <v>180</v>
      </c>
      <c r="F4675" s="32" t="s">
        <v>12505</v>
      </c>
      <c r="G4675" s="39" t="s">
        <v>181</v>
      </c>
      <c r="H4675" s="33"/>
      <c r="I4675" s="33"/>
      <c r="J4675" s="33"/>
      <c r="K4675" s="33"/>
      <c r="L4675" s="33"/>
      <c r="M4675" s="33"/>
    </row>
    <row r="4676">
      <c r="A4676" s="32" t="s">
        <v>12506</v>
      </c>
      <c r="B4676" s="32" t="s">
        <v>12507</v>
      </c>
      <c r="C4676" s="35">
        <v>43.11040115</v>
      </c>
      <c r="D4676" s="35">
        <v>-88.03440094</v>
      </c>
      <c r="E4676" s="32" t="s">
        <v>180</v>
      </c>
      <c r="F4676" s="32" t="s">
        <v>11999</v>
      </c>
      <c r="G4676" s="39" t="s">
        <v>181</v>
      </c>
      <c r="H4676" s="33"/>
      <c r="I4676" s="33"/>
      <c r="J4676" s="33"/>
      <c r="K4676" s="33"/>
      <c r="L4676" s="33"/>
      <c r="M4676" s="33"/>
    </row>
    <row r="4677">
      <c r="A4677" s="32" t="s">
        <v>12508</v>
      </c>
      <c r="B4677" s="32" t="s">
        <v>12509</v>
      </c>
      <c r="C4677" s="35">
        <v>18.44333333</v>
      </c>
      <c r="D4677" s="35">
        <v>31.84333333</v>
      </c>
      <c r="E4677" s="32" t="s">
        <v>844</v>
      </c>
      <c r="F4677" s="32" t="s">
        <v>12510</v>
      </c>
      <c r="G4677" s="36" t="e">
        <v>#N/A</v>
      </c>
      <c r="H4677" s="33"/>
      <c r="I4677" s="33"/>
      <c r="J4677" s="33"/>
      <c r="K4677" s="33"/>
      <c r="L4677" s="33"/>
      <c r="M4677" s="33"/>
    </row>
    <row r="4678">
      <c r="A4678" s="32" t="s">
        <v>12511</v>
      </c>
      <c r="B4678" s="32" t="s">
        <v>12512</v>
      </c>
      <c r="C4678" s="35">
        <v>-15.0</v>
      </c>
      <c r="D4678" s="35">
        <v>168.0829926</v>
      </c>
      <c r="E4678" s="32" t="s">
        <v>4279</v>
      </c>
      <c r="F4678" s="32" t="s">
        <v>12513</v>
      </c>
      <c r="G4678" s="36" t="e">
        <v>#N/A</v>
      </c>
      <c r="H4678" s="33"/>
      <c r="I4678" s="33"/>
      <c r="J4678" s="33"/>
      <c r="K4678" s="33"/>
      <c r="L4678" s="33"/>
      <c r="M4678" s="33"/>
    </row>
    <row r="4679">
      <c r="A4679" s="32" t="s">
        <v>12514</v>
      </c>
      <c r="B4679" s="32" t="s">
        <v>12515</v>
      </c>
      <c r="C4679" s="35">
        <v>47.20769882</v>
      </c>
      <c r="D4679" s="35">
        <v>-119.3199997</v>
      </c>
      <c r="E4679" s="32" t="s">
        <v>180</v>
      </c>
      <c r="F4679" s="32" t="s">
        <v>12516</v>
      </c>
      <c r="G4679" s="39" t="s">
        <v>181</v>
      </c>
      <c r="H4679" s="33"/>
      <c r="I4679" s="33"/>
      <c r="J4679" s="33"/>
      <c r="K4679" s="33"/>
      <c r="L4679" s="33"/>
      <c r="M4679" s="33"/>
    </row>
    <row r="4680">
      <c r="A4680" s="32" t="s">
        <v>12517</v>
      </c>
      <c r="B4680" s="32" t="s">
        <v>12518</v>
      </c>
      <c r="C4680" s="35">
        <v>3.348119974</v>
      </c>
      <c r="D4680" s="35">
        <v>106.2580032</v>
      </c>
      <c r="E4680" s="32" t="s">
        <v>280</v>
      </c>
      <c r="F4680" s="32" t="s">
        <v>12519</v>
      </c>
      <c r="G4680" s="36" t="e">
        <v>#N/A</v>
      </c>
      <c r="H4680" s="33"/>
      <c r="I4680" s="33"/>
      <c r="J4680" s="33"/>
      <c r="K4680" s="33"/>
      <c r="L4680" s="33"/>
      <c r="M4680" s="33"/>
    </row>
    <row r="4681">
      <c r="A4681" s="32" t="s">
        <v>12520</v>
      </c>
      <c r="B4681" s="32" t="s">
        <v>12521</v>
      </c>
      <c r="C4681" s="35">
        <v>32.78160095</v>
      </c>
      <c r="D4681" s="35">
        <v>-98.06020355</v>
      </c>
      <c r="E4681" s="32" t="s">
        <v>180</v>
      </c>
      <c r="F4681" s="32" t="s">
        <v>12522</v>
      </c>
      <c r="G4681" s="39" t="s">
        <v>181</v>
      </c>
      <c r="H4681" s="33"/>
      <c r="I4681" s="33"/>
      <c r="J4681" s="33"/>
      <c r="K4681" s="33"/>
      <c r="L4681" s="33"/>
      <c r="M4681" s="33"/>
    </row>
    <row r="4682">
      <c r="A4682" s="32" t="s">
        <v>12523</v>
      </c>
      <c r="B4682" s="32" t="s">
        <v>12524</v>
      </c>
      <c r="C4682" s="35">
        <v>43.91339874</v>
      </c>
      <c r="D4682" s="35">
        <v>-95.10939789</v>
      </c>
      <c r="E4682" s="32" t="s">
        <v>180</v>
      </c>
      <c r="F4682" s="32" t="s">
        <v>12525</v>
      </c>
      <c r="G4682" s="39" t="s">
        <v>181</v>
      </c>
      <c r="H4682" s="33"/>
      <c r="I4682" s="33"/>
      <c r="J4682" s="33"/>
      <c r="K4682" s="33"/>
      <c r="L4682" s="33"/>
      <c r="M4682" s="33"/>
    </row>
    <row r="4683">
      <c r="A4683" s="32" t="s">
        <v>12526</v>
      </c>
      <c r="B4683" s="32" t="s">
        <v>12527</v>
      </c>
      <c r="C4683" s="35">
        <v>20.16559982</v>
      </c>
      <c r="D4683" s="35">
        <v>94.94139862</v>
      </c>
      <c r="E4683" s="32" t="s">
        <v>1918</v>
      </c>
      <c r="F4683" s="32" t="s">
        <v>12528</v>
      </c>
      <c r="G4683" s="36" t="e">
        <v>#N/A</v>
      </c>
      <c r="H4683" s="33"/>
      <c r="I4683" s="33"/>
      <c r="J4683" s="33"/>
      <c r="K4683" s="33"/>
      <c r="L4683" s="33"/>
      <c r="M4683" s="33"/>
    </row>
    <row r="4684">
      <c r="A4684" s="32" t="s">
        <v>12529</v>
      </c>
      <c r="B4684" s="32" t="s">
        <v>12530</v>
      </c>
      <c r="C4684" s="35">
        <v>34.991406</v>
      </c>
      <c r="D4684" s="35">
        <v>126.382814</v>
      </c>
      <c r="E4684" s="32" t="s">
        <v>151</v>
      </c>
      <c r="F4684" s="32" t="s">
        <v>12531</v>
      </c>
      <c r="G4684" s="39" t="s">
        <v>152</v>
      </c>
      <c r="H4684" s="33"/>
      <c r="I4684" s="33"/>
      <c r="J4684" s="33"/>
      <c r="K4684" s="33"/>
      <c r="L4684" s="33"/>
      <c r="M4684" s="33"/>
    </row>
    <row r="4685">
      <c r="A4685" s="32" t="s">
        <v>12532</v>
      </c>
      <c r="B4685" s="32" t="s">
        <v>12533</v>
      </c>
      <c r="C4685" s="35">
        <v>-2.444489956</v>
      </c>
      <c r="D4685" s="35">
        <v>32.932701109999996</v>
      </c>
      <c r="E4685" s="32" t="s">
        <v>2937</v>
      </c>
      <c r="F4685" s="32" t="s">
        <v>12534</v>
      </c>
      <c r="G4685" s="36" t="e">
        <v>#N/A</v>
      </c>
      <c r="H4685" s="33"/>
      <c r="I4685" s="33"/>
      <c r="J4685" s="33"/>
      <c r="K4685" s="33"/>
      <c r="L4685" s="33"/>
      <c r="M4685" s="33"/>
    </row>
    <row r="4686">
      <c r="A4686" s="32" t="s">
        <v>12535</v>
      </c>
      <c r="B4686" s="32" t="s">
        <v>12536</v>
      </c>
      <c r="C4686" s="35">
        <v>32.38290024</v>
      </c>
      <c r="D4686" s="35">
        <v>-86.36579895</v>
      </c>
      <c r="E4686" s="32" t="s">
        <v>180</v>
      </c>
      <c r="F4686" s="32" t="s">
        <v>11849</v>
      </c>
      <c r="G4686" s="39" t="s">
        <v>181</v>
      </c>
      <c r="H4686" s="33"/>
      <c r="I4686" s="33"/>
      <c r="J4686" s="33"/>
      <c r="K4686" s="33"/>
      <c r="L4686" s="33"/>
      <c r="M4686" s="33"/>
    </row>
    <row r="4687">
      <c r="A4687" s="32" t="s">
        <v>12537</v>
      </c>
      <c r="B4687" s="32" t="s">
        <v>12538</v>
      </c>
      <c r="C4687" s="35">
        <v>-6.363329887</v>
      </c>
      <c r="D4687" s="35">
        <v>143.2380066</v>
      </c>
      <c r="E4687" s="32" t="s">
        <v>5289</v>
      </c>
      <c r="F4687" s="32" t="s">
        <v>12539</v>
      </c>
      <c r="G4687" s="36" t="e">
        <v>#N/A</v>
      </c>
      <c r="H4687" s="33"/>
      <c r="I4687" s="33"/>
      <c r="J4687" s="33"/>
      <c r="K4687" s="33"/>
      <c r="L4687" s="33"/>
      <c r="M4687" s="33"/>
    </row>
    <row r="4688">
      <c r="A4688" s="32" t="s">
        <v>12540</v>
      </c>
      <c r="B4688" s="32" t="s">
        <v>12541</v>
      </c>
      <c r="C4688" s="35">
        <v>6.949369907</v>
      </c>
      <c r="D4688" s="35">
        <v>126.2730026</v>
      </c>
      <c r="E4688" s="32" t="s">
        <v>270</v>
      </c>
      <c r="F4688" s="33"/>
      <c r="G4688" s="36" t="e">
        <v>#N/A</v>
      </c>
      <c r="H4688" s="33"/>
      <c r="I4688" s="33"/>
      <c r="J4688" s="33"/>
      <c r="K4688" s="33"/>
      <c r="L4688" s="33"/>
      <c r="M4688" s="33"/>
    </row>
    <row r="4689">
      <c r="A4689" s="32" t="s">
        <v>12542</v>
      </c>
      <c r="B4689" s="32" t="s">
        <v>12543</v>
      </c>
      <c r="C4689" s="35">
        <v>9.652170181</v>
      </c>
      <c r="D4689" s="35">
        <v>6.462259769</v>
      </c>
      <c r="E4689" s="32" t="s">
        <v>19</v>
      </c>
      <c r="F4689" s="32" t="s">
        <v>12544</v>
      </c>
      <c r="G4689" s="36" t="e">
        <v>#N/A</v>
      </c>
      <c r="H4689" s="33"/>
      <c r="I4689" s="33"/>
      <c r="J4689" s="33"/>
      <c r="K4689" s="33"/>
      <c r="L4689" s="33"/>
      <c r="M4689" s="33"/>
    </row>
    <row r="4690">
      <c r="A4690" s="32" t="s">
        <v>12545</v>
      </c>
      <c r="B4690" s="32" t="s">
        <v>12546</v>
      </c>
      <c r="C4690" s="35">
        <v>32.63059998</v>
      </c>
      <c r="D4690" s="35">
        <v>-115.2419968</v>
      </c>
      <c r="E4690" s="32" t="s">
        <v>186</v>
      </c>
      <c r="F4690" s="32" t="s">
        <v>12547</v>
      </c>
      <c r="G4690" s="39" t="s">
        <v>187</v>
      </c>
      <c r="H4690" s="33"/>
      <c r="I4690" s="33"/>
      <c r="J4690" s="33"/>
      <c r="K4690" s="33"/>
      <c r="L4690" s="33"/>
      <c r="M4690" s="33"/>
    </row>
    <row r="4691">
      <c r="A4691" s="32" t="s">
        <v>12548</v>
      </c>
      <c r="B4691" s="32" t="s">
        <v>12549</v>
      </c>
      <c r="C4691" s="35">
        <v>-21.75390053</v>
      </c>
      <c r="D4691" s="35">
        <v>43.37549973</v>
      </c>
      <c r="E4691" s="32" t="s">
        <v>384</v>
      </c>
      <c r="F4691" s="32" t="s">
        <v>12550</v>
      </c>
      <c r="G4691" s="36" t="e">
        <v>#N/A</v>
      </c>
      <c r="H4691" s="33"/>
      <c r="I4691" s="33"/>
      <c r="J4691" s="33"/>
      <c r="K4691" s="33"/>
      <c r="L4691" s="33"/>
      <c r="M4691" s="33"/>
    </row>
    <row r="4692">
      <c r="A4692" s="32" t="s">
        <v>12551</v>
      </c>
      <c r="B4692" s="32" t="s">
        <v>12552</v>
      </c>
      <c r="C4692" s="35">
        <v>48.60319901</v>
      </c>
      <c r="D4692" s="35">
        <v>-3.815779924</v>
      </c>
      <c r="E4692" s="32" t="s">
        <v>96</v>
      </c>
      <c r="F4692" s="32" t="s">
        <v>12553</v>
      </c>
      <c r="G4692" s="39" t="s">
        <v>97</v>
      </c>
      <c r="H4692" s="33"/>
      <c r="I4692" s="33"/>
      <c r="J4692" s="33"/>
      <c r="K4692" s="33"/>
      <c r="L4692" s="33"/>
      <c r="M4692" s="33"/>
    </row>
    <row r="4693">
      <c r="A4693" s="32" t="s">
        <v>12554</v>
      </c>
      <c r="B4693" s="32" t="s">
        <v>12555</v>
      </c>
      <c r="C4693" s="35">
        <v>45.6306</v>
      </c>
      <c r="D4693" s="35">
        <v>8.72811</v>
      </c>
      <c r="E4693" s="32" t="s">
        <v>103</v>
      </c>
      <c r="F4693" s="32" t="s">
        <v>1075</v>
      </c>
      <c r="G4693" s="39" t="s">
        <v>104</v>
      </c>
      <c r="H4693" s="33"/>
      <c r="I4693" s="33"/>
      <c r="J4693" s="33"/>
      <c r="K4693" s="33"/>
      <c r="L4693" s="33"/>
      <c r="M4693" s="33"/>
    </row>
    <row r="4694">
      <c r="A4694" s="32" t="s">
        <v>12556</v>
      </c>
      <c r="B4694" s="32" t="s">
        <v>12557</v>
      </c>
      <c r="C4694" s="35">
        <v>-13.74230003</v>
      </c>
      <c r="D4694" s="35">
        <v>-172.2579956</v>
      </c>
      <c r="E4694" s="32" t="s">
        <v>4064</v>
      </c>
      <c r="F4694" s="32" t="s">
        <v>12558</v>
      </c>
      <c r="G4694" s="36" t="e">
        <v>#N/A</v>
      </c>
      <c r="H4694" s="33"/>
      <c r="I4694" s="33"/>
      <c r="J4694" s="33"/>
      <c r="K4694" s="33"/>
      <c r="L4694" s="33"/>
      <c r="M4694" s="33"/>
    </row>
    <row r="4695">
      <c r="A4695" s="32" t="s">
        <v>12559</v>
      </c>
      <c r="B4695" s="32" t="s">
        <v>12560</v>
      </c>
      <c r="C4695" s="35">
        <v>-18.04999924</v>
      </c>
      <c r="D4695" s="35">
        <v>44.03300095</v>
      </c>
      <c r="E4695" s="32" t="s">
        <v>384</v>
      </c>
      <c r="F4695" s="32" t="s">
        <v>12561</v>
      </c>
      <c r="G4695" s="36" t="e">
        <v>#N/A</v>
      </c>
      <c r="H4695" s="33"/>
      <c r="I4695" s="33"/>
      <c r="J4695" s="33"/>
      <c r="K4695" s="33"/>
      <c r="L4695" s="33"/>
      <c r="M4695" s="33"/>
    </row>
    <row r="4696">
      <c r="A4696" s="32" t="s">
        <v>12562</v>
      </c>
      <c r="B4696" s="32" t="s">
        <v>12563</v>
      </c>
      <c r="C4696" s="35">
        <v>49.66329956</v>
      </c>
      <c r="D4696" s="35">
        <v>100.098999</v>
      </c>
      <c r="E4696" s="32" t="s">
        <v>2274</v>
      </c>
      <c r="F4696" s="32" t="s">
        <v>12564</v>
      </c>
      <c r="G4696" s="36" t="e">
        <v>#N/A</v>
      </c>
      <c r="H4696" s="33"/>
      <c r="I4696" s="33"/>
      <c r="J4696" s="33"/>
      <c r="K4696" s="33"/>
      <c r="L4696" s="33"/>
      <c r="M4696" s="33"/>
    </row>
    <row r="4697">
      <c r="A4697" s="32" t="s">
        <v>12565</v>
      </c>
      <c r="B4697" s="32" t="s">
        <v>12566</v>
      </c>
      <c r="C4697" s="35">
        <v>60.957901</v>
      </c>
      <c r="D4697" s="35">
        <v>14.51140022</v>
      </c>
      <c r="E4697" s="32" t="s">
        <v>347</v>
      </c>
      <c r="F4697" s="32" t="s">
        <v>12567</v>
      </c>
      <c r="G4697" s="36" t="e">
        <v>#N/A</v>
      </c>
      <c r="H4697" s="33"/>
      <c r="I4697" s="33"/>
      <c r="J4697" s="33"/>
      <c r="K4697" s="33"/>
      <c r="L4697" s="33"/>
      <c r="M4697" s="33"/>
    </row>
    <row r="4698">
      <c r="A4698" s="32" t="s">
        <v>12568</v>
      </c>
      <c r="B4698" s="32" t="s">
        <v>12569</v>
      </c>
      <c r="C4698" s="35">
        <v>24.35000038</v>
      </c>
      <c r="D4698" s="35">
        <v>116.1330032</v>
      </c>
      <c r="E4698" s="32" t="s">
        <v>205</v>
      </c>
      <c r="F4698" s="32" t="s">
        <v>12570</v>
      </c>
      <c r="G4698" s="39" t="s">
        <v>206</v>
      </c>
      <c r="H4698" s="33"/>
      <c r="I4698" s="33"/>
      <c r="J4698" s="33"/>
      <c r="K4698" s="33"/>
      <c r="L4698" s="33"/>
      <c r="M4698" s="33"/>
    </row>
    <row r="4699">
      <c r="A4699" s="32" t="s">
        <v>12571</v>
      </c>
      <c r="B4699" s="32" t="s">
        <v>12572</v>
      </c>
      <c r="C4699" s="35">
        <v>-35.89780045</v>
      </c>
      <c r="D4699" s="35">
        <v>150.1439972</v>
      </c>
      <c r="E4699" s="32" t="s">
        <v>1968</v>
      </c>
      <c r="F4699" s="32" t="s">
        <v>12573</v>
      </c>
      <c r="G4699" s="36" t="e">
        <v>#N/A</v>
      </c>
      <c r="H4699" s="33"/>
      <c r="I4699" s="33"/>
      <c r="J4699" s="33"/>
      <c r="K4699" s="33"/>
      <c r="L4699" s="33"/>
      <c r="M4699" s="33"/>
    </row>
    <row r="4700">
      <c r="A4700" s="32" t="s">
        <v>12574</v>
      </c>
      <c r="B4700" s="32" t="s">
        <v>12575</v>
      </c>
      <c r="C4700" s="35">
        <v>-3.4584198</v>
      </c>
      <c r="D4700" s="35">
        <v>10.67407608</v>
      </c>
      <c r="E4700" s="32" t="s">
        <v>4974</v>
      </c>
      <c r="F4700" s="32" t="s">
        <v>12576</v>
      </c>
      <c r="G4700" s="36" t="e">
        <v>#N/A</v>
      </c>
      <c r="H4700" s="33"/>
      <c r="I4700" s="33"/>
      <c r="J4700" s="33"/>
      <c r="K4700" s="33"/>
      <c r="L4700" s="33"/>
      <c r="M4700" s="33"/>
    </row>
    <row r="4701">
      <c r="A4701" s="32" t="s">
        <v>12577</v>
      </c>
      <c r="B4701" s="32" t="s">
        <v>12578</v>
      </c>
      <c r="C4701" s="35">
        <v>10.24997807</v>
      </c>
      <c r="D4701" s="35">
        <v>-67.64942169</v>
      </c>
      <c r="E4701" s="32" t="s">
        <v>315</v>
      </c>
      <c r="F4701" s="32" t="s">
        <v>12579</v>
      </c>
      <c r="G4701" s="36" t="e">
        <v>#N/A</v>
      </c>
      <c r="H4701" s="33"/>
      <c r="I4701" s="33"/>
      <c r="J4701" s="33"/>
      <c r="K4701" s="33"/>
      <c r="L4701" s="33"/>
      <c r="M4701" s="33"/>
    </row>
    <row r="4702">
      <c r="A4702" s="32" t="s">
        <v>12580</v>
      </c>
      <c r="B4702" s="32" t="s">
        <v>12581</v>
      </c>
      <c r="C4702" s="35">
        <v>-3.229310036</v>
      </c>
      <c r="D4702" s="35">
        <v>40.10169983</v>
      </c>
      <c r="E4702" s="32" t="s">
        <v>21</v>
      </c>
      <c r="F4702" s="32" t="s">
        <v>12582</v>
      </c>
      <c r="G4702" s="36" t="e">
        <v>#N/A</v>
      </c>
      <c r="H4702" s="33"/>
      <c r="I4702" s="33"/>
      <c r="J4702" s="33"/>
      <c r="K4702" s="33"/>
      <c r="L4702" s="33"/>
      <c r="M4702" s="33"/>
    </row>
    <row r="4703">
      <c r="A4703" s="32" t="s">
        <v>12583</v>
      </c>
      <c r="B4703" s="32" t="s">
        <v>12584</v>
      </c>
      <c r="C4703" s="35">
        <v>34.07360077</v>
      </c>
      <c r="D4703" s="35">
        <v>139.5599976</v>
      </c>
      <c r="E4703" s="32" t="s">
        <v>170</v>
      </c>
      <c r="F4703" s="32" t="s">
        <v>12585</v>
      </c>
      <c r="G4703" s="39" t="s">
        <v>171</v>
      </c>
      <c r="H4703" s="33"/>
      <c r="I4703" s="33"/>
      <c r="J4703" s="33"/>
      <c r="K4703" s="33"/>
      <c r="L4703" s="33"/>
      <c r="M4703" s="33"/>
    </row>
    <row r="4704">
      <c r="A4704" s="32" t="s">
        <v>12586</v>
      </c>
      <c r="B4704" s="32" t="s">
        <v>12587</v>
      </c>
      <c r="C4704" s="35">
        <v>22.37949944</v>
      </c>
      <c r="D4704" s="35">
        <v>-73.0134964</v>
      </c>
      <c r="E4704" s="32" t="s">
        <v>319</v>
      </c>
      <c r="F4704" s="32" t="s">
        <v>12588</v>
      </c>
      <c r="G4704" s="36" t="e">
        <v>#N/A</v>
      </c>
      <c r="H4704" s="33"/>
      <c r="I4704" s="33"/>
      <c r="J4704" s="33"/>
      <c r="K4704" s="33"/>
      <c r="L4704" s="33"/>
      <c r="M4704" s="33"/>
    </row>
    <row r="4705">
      <c r="A4705" s="32" t="s">
        <v>12589</v>
      </c>
      <c r="B4705" s="32" t="s">
        <v>12590</v>
      </c>
      <c r="C4705" s="35">
        <v>-9.916669846</v>
      </c>
      <c r="D4705" s="35">
        <v>144.0549927</v>
      </c>
      <c r="E4705" s="32" t="s">
        <v>1968</v>
      </c>
      <c r="F4705" s="32" t="s">
        <v>12591</v>
      </c>
      <c r="G4705" s="36" t="e">
        <v>#N/A</v>
      </c>
      <c r="H4705" s="33"/>
      <c r="I4705" s="33"/>
      <c r="J4705" s="33"/>
      <c r="K4705" s="33"/>
      <c r="L4705" s="33"/>
      <c r="M4705" s="33"/>
    </row>
    <row r="4706">
      <c r="A4706" s="32" t="s">
        <v>12592</v>
      </c>
      <c r="B4706" s="32" t="s">
        <v>12593</v>
      </c>
      <c r="C4706" s="35">
        <v>33.82720184</v>
      </c>
      <c r="D4706" s="35">
        <v>132.6999969</v>
      </c>
      <c r="E4706" s="32" t="s">
        <v>170</v>
      </c>
      <c r="F4706" s="32" t="s">
        <v>12594</v>
      </c>
      <c r="G4706" s="39" t="s">
        <v>171</v>
      </c>
      <c r="H4706" s="33"/>
      <c r="I4706" s="33"/>
      <c r="J4706" s="33"/>
      <c r="K4706" s="33"/>
      <c r="L4706" s="33"/>
      <c r="M4706" s="33"/>
    </row>
    <row r="4707">
      <c r="A4707" s="32" t="s">
        <v>12595</v>
      </c>
      <c r="B4707" s="32" t="s">
        <v>12596</v>
      </c>
      <c r="C4707" s="35">
        <v>44.88970184</v>
      </c>
      <c r="D4707" s="35">
        <v>-116.1009979</v>
      </c>
      <c r="E4707" s="32" t="s">
        <v>180</v>
      </c>
      <c r="F4707" s="32" t="s">
        <v>12597</v>
      </c>
      <c r="G4707" s="39" t="s">
        <v>181</v>
      </c>
      <c r="H4707" s="33"/>
      <c r="I4707" s="33"/>
      <c r="J4707" s="33"/>
      <c r="K4707" s="33"/>
      <c r="L4707" s="33"/>
      <c r="M4707" s="33"/>
    </row>
    <row r="4708">
      <c r="A4708" s="32" t="s">
        <v>12598</v>
      </c>
      <c r="B4708" s="32" t="s">
        <v>12599</v>
      </c>
      <c r="C4708" s="35">
        <v>37.6194</v>
      </c>
      <c r="D4708" s="35">
        <v>61.896702</v>
      </c>
      <c r="E4708" s="32" t="s">
        <v>4140</v>
      </c>
      <c r="F4708" s="32" t="s">
        <v>12600</v>
      </c>
      <c r="G4708" s="36" t="e">
        <v>#N/A</v>
      </c>
      <c r="H4708" s="33"/>
      <c r="I4708" s="33"/>
      <c r="J4708" s="33"/>
      <c r="K4708" s="33"/>
      <c r="L4708" s="33"/>
      <c r="M4708" s="33"/>
    </row>
    <row r="4709">
      <c r="A4709" s="32" t="s">
        <v>12601</v>
      </c>
      <c r="B4709" s="32" t="s">
        <v>12602</v>
      </c>
      <c r="C4709" s="35">
        <v>12.30720043</v>
      </c>
      <c r="D4709" s="35">
        <v>76.64969635</v>
      </c>
      <c r="E4709" s="32" t="s">
        <v>217</v>
      </c>
      <c r="F4709" s="32" t="s">
        <v>12603</v>
      </c>
      <c r="G4709" s="39" t="s">
        <v>218</v>
      </c>
      <c r="H4709" s="33"/>
      <c r="I4709" s="33"/>
      <c r="J4709" s="33"/>
      <c r="K4709" s="33"/>
      <c r="L4709" s="33"/>
      <c r="M4709" s="33"/>
    </row>
    <row r="4710">
      <c r="A4710" s="32" t="s">
        <v>12604</v>
      </c>
      <c r="B4710" s="32" t="s">
        <v>12605</v>
      </c>
      <c r="C4710" s="35">
        <v>33.67969894</v>
      </c>
      <c r="D4710" s="35">
        <v>-78.92829895</v>
      </c>
      <c r="E4710" s="32" t="s">
        <v>180</v>
      </c>
      <c r="F4710" s="32" t="s">
        <v>12606</v>
      </c>
      <c r="G4710" s="39" t="s">
        <v>181</v>
      </c>
      <c r="H4710" s="33"/>
      <c r="I4710" s="33"/>
      <c r="J4710" s="33"/>
      <c r="K4710" s="33"/>
      <c r="L4710" s="33"/>
      <c r="M4710" s="33"/>
    </row>
    <row r="4711">
      <c r="A4711" s="32" t="s">
        <v>12607</v>
      </c>
      <c r="B4711" s="32" t="s">
        <v>12608</v>
      </c>
      <c r="C4711" s="35">
        <v>25.38360023</v>
      </c>
      <c r="D4711" s="35">
        <v>97.35189819</v>
      </c>
      <c r="E4711" s="32" t="s">
        <v>1918</v>
      </c>
      <c r="F4711" s="32" t="s">
        <v>12609</v>
      </c>
      <c r="G4711" s="36" t="e">
        <v>#N/A</v>
      </c>
      <c r="H4711" s="33"/>
      <c r="I4711" s="33"/>
      <c r="J4711" s="33"/>
      <c r="K4711" s="33"/>
      <c r="L4711" s="33"/>
      <c r="M4711" s="33"/>
    </row>
    <row r="4712">
      <c r="A4712" s="32" t="s">
        <v>12610</v>
      </c>
      <c r="B4712" s="32" t="s">
        <v>12611</v>
      </c>
      <c r="C4712" s="35">
        <v>60.37139893</v>
      </c>
      <c r="D4712" s="35">
        <v>-166.2709961</v>
      </c>
      <c r="E4712" s="32" t="s">
        <v>180</v>
      </c>
      <c r="F4712" s="32" t="s">
        <v>12612</v>
      </c>
      <c r="G4712" s="39" t="s">
        <v>181</v>
      </c>
      <c r="H4712" s="33"/>
      <c r="I4712" s="33"/>
      <c r="J4712" s="33"/>
      <c r="K4712" s="33"/>
      <c r="L4712" s="33"/>
      <c r="M4712" s="33"/>
    </row>
    <row r="4713">
      <c r="A4713" s="32" t="s">
        <v>12613</v>
      </c>
      <c r="B4713" s="32" t="s">
        <v>12614</v>
      </c>
      <c r="C4713" s="35">
        <v>39.09780121</v>
      </c>
      <c r="D4713" s="35">
        <v>-121.5699997</v>
      </c>
      <c r="E4713" s="32" t="s">
        <v>180</v>
      </c>
      <c r="F4713" s="32" t="s">
        <v>12615</v>
      </c>
      <c r="G4713" s="39" t="s">
        <v>181</v>
      </c>
      <c r="H4713" s="33"/>
      <c r="I4713" s="33"/>
      <c r="J4713" s="33"/>
      <c r="K4713" s="33"/>
      <c r="L4713" s="33"/>
      <c r="M4713" s="33"/>
    </row>
    <row r="4714">
      <c r="A4714" s="32" t="s">
        <v>12616</v>
      </c>
      <c r="B4714" s="32" t="s">
        <v>12617</v>
      </c>
      <c r="C4714" s="35">
        <v>-10.33909988</v>
      </c>
      <c r="D4714" s="35">
        <v>40.18180084</v>
      </c>
      <c r="E4714" s="32" t="s">
        <v>2937</v>
      </c>
      <c r="F4714" s="32" t="s">
        <v>12618</v>
      </c>
      <c r="G4714" s="36" t="e">
        <v>#N/A</v>
      </c>
      <c r="H4714" s="33"/>
      <c r="I4714" s="33"/>
      <c r="J4714" s="33"/>
      <c r="K4714" s="33"/>
      <c r="L4714" s="33"/>
      <c r="M4714" s="33"/>
    </row>
    <row r="4715">
      <c r="A4715" s="32" t="s">
        <v>12619</v>
      </c>
      <c r="B4715" s="32" t="s">
        <v>12620</v>
      </c>
      <c r="C4715" s="35">
        <v>4.32201004</v>
      </c>
      <c r="D4715" s="35">
        <v>113.9869995</v>
      </c>
      <c r="E4715" s="32" t="s">
        <v>284</v>
      </c>
      <c r="F4715" s="32" t="s">
        <v>12621</v>
      </c>
      <c r="G4715" s="36" t="e">
        <v>#N/A</v>
      </c>
      <c r="H4715" s="33"/>
      <c r="I4715" s="33"/>
      <c r="J4715" s="33"/>
      <c r="K4715" s="33"/>
      <c r="L4715" s="33"/>
      <c r="M4715" s="33"/>
    </row>
    <row r="4716">
      <c r="A4716" s="32" t="s">
        <v>12622</v>
      </c>
      <c r="B4716" s="32" t="s">
        <v>12623</v>
      </c>
      <c r="C4716" s="35">
        <v>-11.36180019</v>
      </c>
      <c r="D4716" s="35">
        <v>40.35490036</v>
      </c>
      <c r="E4716" s="32" t="s">
        <v>767</v>
      </c>
      <c r="F4716" s="32" t="s">
        <v>12624</v>
      </c>
      <c r="G4716" s="36" t="e">
        <v>#N/A</v>
      </c>
      <c r="H4716" s="33"/>
      <c r="I4716" s="33"/>
      <c r="J4716" s="33"/>
      <c r="K4716" s="33"/>
      <c r="L4716" s="33"/>
      <c r="M4716" s="33"/>
    </row>
    <row r="4717">
      <c r="A4717" s="32" t="s">
        <v>12625</v>
      </c>
      <c r="B4717" s="32" t="s">
        <v>12626</v>
      </c>
      <c r="C4717" s="35">
        <v>23.56870079</v>
      </c>
      <c r="D4717" s="35">
        <v>119.6279984</v>
      </c>
      <c r="E4717" s="32" t="s">
        <v>1497</v>
      </c>
      <c r="F4717" s="32" t="s">
        <v>12627</v>
      </c>
      <c r="G4717" s="36" t="e">
        <v>#N/A</v>
      </c>
      <c r="H4717" s="33"/>
      <c r="I4717" s="33"/>
      <c r="J4717" s="33"/>
      <c r="K4717" s="33"/>
      <c r="L4717" s="33"/>
      <c r="M4717" s="33"/>
    </row>
    <row r="4718">
      <c r="A4718" s="32" t="s">
        <v>12628</v>
      </c>
      <c r="B4718" s="32" t="s">
        <v>12629</v>
      </c>
      <c r="C4718" s="35">
        <v>40.829399</v>
      </c>
      <c r="D4718" s="35">
        <v>35.521999</v>
      </c>
      <c r="E4718" s="32" t="s">
        <v>133</v>
      </c>
      <c r="F4718" s="32" t="s">
        <v>12630</v>
      </c>
      <c r="G4718" s="39" t="s">
        <v>134</v>
      </c>
      <c r="H4718" s="33"/>
      <c r="I4718" s="33"/>
      <c r="J4718" s="33"/>
      <c r="K4718" s="33"/>
      <c r="L4718" s="33"/>
      <c r="M4718" s="33"/>
    </row>
    <row r="4719">
      <c r="A4719" s="32" t="s">
        <v>12631</v>
      </c>
      <c r="B4719" s="32" t="s">
        <v>12632</v>
      </c>
      <c r="C4719" s="35">
        <v>14.51280022</v>
      </c>
      <c r="D4719" s="35">
        <v>-4.079559803</v>
      </c>
      <c r="E4719" s="32" t="s">
        <v>807</v>
      </c>
      <c r="F4719" s="32" t="s">
        <v>12633</v>
      </c>
      <c r="G4719" s="36" t="e">
        <v>#N/A</v>
      </c>
      <c r="H4719" s="33"/>
      <c r="I4719" s="33"/>
      <c r="J4719" s="33"/>
      <c r="K4719" s="33"/>
      <c r="L4719" s="33"/>
      <c r="M4719" s="33"/>
    </row>
    <row r="4720">
      <c r="A4720" s="32" t="s">
        <v>12634</v>
      </c>
      <c r="B4720" s="32" t="s">
        <v>12635</v>
      </c>
      <c r="C4720" s="35">
        <v>32.51060104</v>
      </c>
      <c r="D4720" s="35">
        <v>-111.3280029</v>
      </c>
      <c r="E4720" s="32" t="s">
        <v>180</v>
      </c>
      <c r="F4720" s="32" t="s">
        <v>12636</v>
      </c>
      <c r="G4720" s="39" t="s">
        <v>181</v>
      </c>
      <c r="H4720" s="33"/>
      <c r="I4720" s="33"/>
      <c r="J4720" s="33"/>
      <c r="K4720" s="33"/>
      <c r="L4720" s="33"/>
      <c r="M4720" s="33"/>
    </row>
    <row r="4721">
      <c r="A4721" s="32" t="s">
        <v>12637</v>
      </c>
      <c r="B4721" s="32" t="s">
        <v>12638</v>
      </c>
      <c r="C4721" s="35">
        <v>2.058609962</v>
      </c>
      <c r="D4721" s="35">
        <v>173.2709961</v>
      </c>
      <c r="E4721" s="32" t="s">
        <v>3439</v>
      </c>
      <c r="F4721" s="32" t="s">
        <v>12639</v>
      </c>
      <c r="G4721" s="36" t="e">
        <v>#N/A</v>
      </c>
      <c r="H4721" s="33"/>
      <c r="I4721" s="33"/>
      <c r="J4721" s="33"/>
      <c r="K4721" s="33"/>
      <c r="L4721" s="33"/>
      <c r="M4721" s="33"/>
    </row>
    <row r="4722">
      <c r="A4722" s="32" t="s">
        <v>12640</v>
      </c>
      <c r="B4722" s="32" t="s">
        <v>12641</v>
      </c>
      <c r="C4722" s="35">
        <v>5.0296</v>
      </c>
      <c r="D4722" s="35">
        <v>-75.4647</v>
      </c>
      <c r="E4722" s="32" t="s">
        <v>292</v>
      </c>
      <c r="F4722" s="32" t="s">
        <v>12642</v>
      </c>
      <c r="G4722" s="36" t="e">
        <v>#N/A</v>
      </c>
      <c r="H4722" s="33"/>
      <c r="I4722" s="33"/>
      <c r="J4722" s="33"/>
      <c r="K4722" s="33"/>
      <c r="L4722" s="33"/>
      <c r="M4722" s="33"/>
    </row>
    <row r="4723">
      <c r="A4723" s="32" t="s">
        <v>12643</v>
      </c>
      <c r="B4723" s="32" t="s">
        <v>12644</v>
      </c>
      <c r="C4723" s="35">
        <v>49.07170105</v>
      </c>
      <c r="D4723" s="35">
        <v>6.131669998</v>
      </c>
      <c r="E4723" s="32" t="s">
        <v>96</v>
      </c>
      <c r="F4723" s="32" t="s">
        <v>7414</v>
      </c>
      <c r="G4723" s="39" t="s">
        <v>97</v>
      </c>
      <c r="H4723" s="33"/>
      <c r="I4723" s="33"/>
      <c r="J4723" s="33"/>
      <c r="K4723" s="33"/>
      <c r="L4723" s="33"/>
      <c r="M4723" s="33"/>
    </row>
    <row r="4724">
      <c r="A4724" s="32" t="s">
        <v>12645</v>
      </c>
      <c r="B4724" s="32" t="s">
        <v>12646</v>
      </c>
      <c r="C4724" s="35">
        <v>20.28809929</v>
      </c>
      <c r="D4724" s="35">
        <v>-77.08920288</v>
      </c>
      <c r="E4724" s="32" t="s">
        <v>1294</v>
      </c>
      <c r="F4724" s="32" t="s">
        <v>12647</v>
      </c>
      <c r="G4724" s="36" t="e">
        <v>#N/A</v>
      </c>
      <c r="H4724" s="33"/>
      <c r="I4724" s="33"/>
      <c r="J4724" s="33"/>
      <c r="K4724" s="33"/>
      <c r="L4724" s="33"/>
      <c r="M4724" s="33"/>
    </row>
    <row r="4725">
      <c r="A4725" s="32" t="s">
        <v>12648</v>
      </c>
      <c r="B4725" s="32" t="s">
        <v>12649</v>
      </c>
      <c r="C4725" s="35">
        <v>-41.12329865</v>
      </c>
      <c r="D4725" s="35">
        <v>172.9889984</v>
      </c>
      <c r="E4725" s="32" t="s">
        <v>1328</v>
      </c>
      <c r="F4725" s="32" t="s">
        <v>12650</v>
      </c>
      <c r="G4725" s="36" t="e">
        <v>#N/A</v>
      </c>
      <c r="H4725" s="33"/>
      <c r="I4725" s="33"/>
      <c r="J4725" s="33"/>
      <c r="K4725" s="33"/>
      <c r="L4725" s="33"/>
      <c r="M4725" s="33"/>
    </row>
    <row r="4726">
      <c r="A4726" s="32" t="s">
        <v>12651</v>
      </c>
      <c r="B4726" s="32" t="s">
        <v>12652</v>
      </c>
      <c r="C4726" s="35">
        <v>36.70690155</v>
      </c>
      <c r="D4726" s="35">
        <v>67.20970154</v>
      </c>
      <c r="E4726" s="32" t="s">
        <v>1350</v>
      </c>
      <c r="F4726" s="32" t="s">
        <v>12653</v>
      </c>
      <c r="G4726" s="36" t="e">
        <v>#N/A</v>
      </c>
      <c r="H4726" s="33"/>
      <c r="I4726" s="33"/>
      <c r="J4726" s="33"/>
      <c r="K4726" s="33"/>
      <c r="L4726" s="33"/>
      <c r="M4726" s="33"/>
    </row>
    <row r="4727">
      <c r="A4727" s="32" t="s">
        <v>12654</v>
      </c>
      <c r="B4727" s="32" t="s">
        <v>12655</v>
      </c>
      <c r="C4727" s="35">
        <v>23.16139984</v>
      </c>
      <c r="D4727" s="35">
        <v>-106.2659988</v>
      </c>
      <c r="E4727" s="32" t="s">
        <v>186</v>
      </c>
      <c r="F4727" s="32" t="s">
        <v>12656</v>
      </c>
      <c r="G4727" s="39" t="s">
        <v>187</v>
      </c>
      <c r="H4727" s="33"/>
      <c r="I4727" s="33"/>
      <c r="J4727" s="33"/>
      <c r="K4727" s="33"/>
      <c r="L4727" s="33"/>
      <c r="M4727" s="33"/>
    </row>
    <row r="4728">
      <c r="A4728" s="32" t="s">
        <v>12657</v>
      </c>
      <c r="B4728" s="32" t="s">
        <v>12658</v>
      </c>
      <c r="C4728" s="35">
        <v>4.04832983</v>
      </c>
      <c r="D4728" s="35">
        <v>114.8050003</v>
      </c>
      <c r="E4728" s="32" t="s">
        <v>284</v>
      </c>
      <c r="F4728" s="32" t="s">
        <v>12659</v>
      </c>
      <c r="G4728" s="36" t="e">
        <v>#N/A</v>
      </c>
      <c r="H4728" s="33"/>
      <c r="I4728" s="33"/>
      <c r="J4728" s="33"/>
      <c r="K4728" s="33"/>
      <c r="L4728" s="33"/>
      <c r="M4728" s="33"/>
    </row>
    <row r="4729">
      <c r="A4729" s="32" t="s">
        <v>12660</v>
      </c>
      <c r="B4729" s="32" t="s">
        <v>12661</v>
      </c>
      <c r="C4729" s="35">
        <v>10.48503304</v>
      </c>
      <c r="D4729" s="35">
        <v>-66.84351349</v>
      </c>
      <c r="E4729" s="32" t="s">
        <v>315</v>
      </c>
      <c r="F4729" s="32" t="s">
        <v>1796</v>
      </c>
      <c r="G4729" s="36" t="e">
        <v>#N/A</v>
      </c>
      <c r="H4729" s="33"/>
      <c r="I4729" s="33"/>
      <c r="J4729" s="33"/>
      <c r="K4729" s="33"/>
      <c r="L4729" s="33"/>
      <c r="M4729" s="33"/>
    </row>
    <row r="4730">
      <c r="A4730" s="32" t="s">
        <v>12662</v>
      </c>
      <c r="B4730" s="32" t="s">
        <v>12663</v>
      </c>
      <c r="C4730" s="35">
        <v>-30.31920052</v>
      </c>
      <c r="D4730" s="35">
        <v>149.8269959</v>
      </c>
      <c r="E4730" s="32" t="s">
        <v>1968</v>
      </c>
      <c r="F4730" s="32" t="s">
        <v>12664</v>
      </c>
      <c r="G4730" s="36" t="e">
        <v>#N/A</v>
      </c>
      <c r="H4730" s="33"/>
      <c r="I4730" s="33"/>
      <c r="J4730" s="33"/>
      <c r="K4730" s="33"/>
      <c r="L4730" s="33"/>
      <c r="M4730" s="33"/>
    </row>
    <row r="4731">
      <c r="A4731" s="32" t="s">
        <v>12665</v>
      </c>
      <c r="B4731" s="32" t="s">
        <v>12666</v>
      </c>
      <c r="C4731" s="35">
        <v>21.09219933</v>
      </c>
      <c r="D4731" s="35">
        <v>79.04720306</v>
      </c>
      <c r="E4731" s="32" t="s">
        <v>217</v>
      </c>
      <c r="F4731" s="32" t="s">
        <v>12667</v>
      </c>
      <c r="G4731" s="39" t="s">
        <v>218</v>
      </c>
      <c r="H4731" s="33"/>
      <c r="I4731" s="33"/>
      <c r="J4731" s="33"/>
      <c r="K4731" s="33"/>
      <c r="L4731" s="33"/>
      <c r="M4731" s="33"/>
    </row>
    <row r="4732">
      <c r="A4732" s="32" t="s">
        <v>12668</v>
      </c>
      <c r="B4732" s="32" t="s">
        <v>12669</v>
      </c>
      <c r="C4732" s="35">
        <v>3.683209896</v>
      </c>
      <c r="D4732" s="35">
        <v>125.5279999</v>
      </c>
      <c r="E4732" s="32" t="s">
        <v>280</v>
      </c>
      <c r="F4732" s="32" t="s">
        <v>12670</v>
      </c>
      <c r="G4732" s="36" t="e">
        <v>#N/A</v>
      </c>
      <c r="H4732" s="33"/>
      <c r="I4732" s="33"/>
      <c r="J4732" s="33"/>
      <c r="K4732" s="33"/>
      <c r="L4732" s="33"/>
      <c r="M4732" s="33"/>
    </row>
    <row r="4733">
      <c r="A4733" s="32" t="s">
        <v>12671</v>
      </c>
      <c r="B4733" s="32" t="s">
        <v>12672</v>
      </c>
      <c r="C4733" s="35">
        <v>3.959439993</v>
      </c>
      <c r="D4733" s="35">
        <v>-59.12419891</v>
      </c>
      <c r="E4733" s="32" t="s">
        <v>1822</v>
      </c>
      <c r="F4733" s="32" t="s">
        <v>12673</v>
      </c>
      <c r="G4733" s="36" t="e">
        <v>#N/A</v>
      </c>
      <c r="H4733" s="33"/>
      <c r="I4733" s="33"/>
      <c r="J4733" s="33"/>
      <c r="K4733" s="33"/>
      <c r="L4733" s="33"/>
      <c r="M4733" s="33"/>
    </row>
    <row r="4734">
      <c r="A4734" s="32" t="s">
        <v>12674</v>
      </c>
      <c r="B4734" s="32" t="s">
        <v>12675</v>
      </c>
      <c r="C4734" s="35">
        <v>39.18880081</v>
      </c>
      <c r="D4734" s="35">
        <v>45.45840073</v>
      </c>
      <c r="E4734" s="32" t="s">
        <v>2259</v>
      </c>
      <c r="F4734" s="32" t="s">
        <v>12676</v>
      </c>
      <c r="G4734" s="36" t="e">
        <v>#N/A</v>
      </c>
      <c r="H4734" s="33"/>
      <c r="I4734" s="33"/>
      <c r="J4734" s="33"/>
      <c r="K4734" s="33"/>
      <c r="L4734" s="33"/>
      <c r="M4734" s="33"/>
    </row>
    <row r="4735">
      <c r="A4735" s="32" t="s">
        <v>12677</v>
      </c>
      <c r="B4735" s="32" t="s">
        <v>12678</v>
      </c>
      <c r="C4735" s="35">
        <v>14.94950008</v>
      </c>
      <c r="D4735" s="35">
        <v>102.3130035</v>
      </c>
      <c r="E4735" s="32" t="s">
        <v>175</v>
      </c>
      <c r="F4735" s="32" t="s">
        <v>1909</v>
      </c>
      <c r="G4735" s="39" t="s">
        <v>176</v>
      </c>
      <c r="H4735" s="33"/>
      <c r="I4735" s="33"/>
      <c r="J4735" s="33"/>
      <c r="K4735" s="33"/>
      <c r="L4735" s="33"/>
      <c r="M4735" s="33"/>
    </row>
    <row r="4736">
      <c r="A4736" s="32" t="s">
        <v>12679</v>
      </c>
      <c r="B4736" s="32" t="s">
        <v>12680</v>
      </c>
      <c r="C4736" s="35">
        <v>43.51290131</v>
      </c>
      <c r="D4736" s="35">
        <v>43.63660049</v>
      </c>
      <c r="E4736" s="32" t="s">
        <v>2040</v>
      </c>
      <c r="F4736" s="32" t="s">
        <v>12681</v>
      </c>
      <c r="G4736" s="36" t="e">
        <v>#N/A</v>
      </c>
      <c r="H4736" s="33"/>
      <c r="I4736" s="33"/>
      <c r="J4736" s="33"/>
      <c r="K4736" s="33"/>
      <c r="L4736" s="33"/>
      <c r="M4736" s="33"/>
    </row>
    <row r="4737">
      <c r="A4737" s="32" t="s">
        <v>12682</v>
      </c>
      <c r="B4737" s="32" t="s">
        <v>12683</v>
      </c>
      <c r="C4737" s="35">
        <v>-17.7553997</v>
      </c>
      <c r="D4737" s="35">
        <v>177.4429932</v>
      </c>
      <c r="E4737" s="32" t="s">
        <v>9136</v>
      </c>
      <c r="F4737" s="32" t="s">
        <v>12684</v>
      </c>
      <c r="G4737" s="36" t="e">
        <v>#N/A</v>
      </c>
      <c r="H4737" s="33"/>
      <c r="I4737" s="33"/>
      <c r="J4737" s="33"/>
      <c r="K4737" s="33"/>
      <c r="L4737" s="33"/>
      <c r="M4737" s="33"/>
    </row>
    <row r="4738">
      <c r="A4738" s="32" t="s">
        <v>12685</v>
      </c>
      <c r="B4738" s="32" t="s">
        <v>12686</v>
      </c>
      <c r="C4738" s="35">
        <v>30.79545</v>
      </c>
      <c r="D4738" s="35">
        <v>106.1626</v>
      </c>
      <c r="E4738" s="32" t="s">
        <v>205</v>
      </c>
      <c r="F4738" s="32" t="s">
        <v>12687</v>
      </c>
      <c r="G4738" s="39" t="s">
        <v>206</v>
      </c>
      <c r="H4738" s="33"/>
      <c r="I4738" s="33"/>
      <c r="J4738" s="33"/>
      <c r="K4738" s="33"/>
      <c r="L4738" s="33"/>
      <c r="M4738" s="33"/>
    </row>
    <row r="4739">
      <c r="A4739" s="32" t="s">
        <v>12688</v>
      </c>
      <c r="B4739" s="32" t="s">
        <v>12689</v>
      </c>
      <c r="C4739" s="35">
        <v>40.886002</v>
      </c>
      <c r="D4739" s="35">
        <v>14.2908</v>
      </c>
      <c r="E4739" s="32" t="s">
        <v>103</v>
      </c>
      <c r="F4739" s="32" t="s">
        <v>4041</v>
      </c>
      <c r="G4739" s="39" t="s">
        <v>104</v>
      </c>
      <c r="H4739" s="33"/>
      <c r="I4739" s="33"/>
      <c r="J4739" s="33"/>
      <c r="K4739" s="33"/>
      <c r="L4739" s="33"/>
      <c r="M4739" s="33"/>
    </row>
    <row r="4740">
      <c r="A4740" s="32" t="s">
        <v>12690</v>
      </c>
      <c r="B4740" s="32" t="s">
        <v>12691</v>
      </c>
      <c r="C4740" s="35">
        <v>77.48860168</v>
      </c>
      <c r="D4740" s="35">
        <v>-69.38870239</v>
      </c>
      <c r="E4740" s="32" t="s">
        <v>3703</v>
      </c>
      <c r="F4740" s="32" t="s">
        <v>12692</v>
      </c>
      <c r="G4740" s="36" t="e">
        <v>#N/A</v>
      </c>
      <c r="H4740" s="33"/>
      <c r="I4740" s="33"/>
      <c r="J4740" s="33"/>
      <c r="K4740" s="33"/>
      <c r="L4740" s="33"/>
      <c r="M4740" s="33"/>
    </row>
    <row r="4741">
      <c r="A4741" s="32" t="s">
        <v>12693</v>
      </c>
      <c r="B4741" s="32" t="s">
        <v>12694</v>
      </c>
      <c r="C4741" s="35">
        <v>25.03899956</v>
      </c>
      <c r="D4741" s="35">
        <v>-77.46620178</v>
      </c>
      <c r="E4741" s="32" t="s">
        <v>319</v>
      </c>
      <c r="F4741" s="32" t="s">
        <v>12695</v>
      </c>
      <c r="G4741" s="36" t="e">
        <v>#N/A</v>
      </c>
      <c r="H4741" s="33"/>
      <c r="I4741" s="33"/>
      <c r="J4741" s="33"/>
      <c r="K4741" s="33"/>
      <c r="L4741" s="33"/>
      <c r="M4741" s="33"/>
    </row>
    <row r="4742">
      <c r="A4742" s="32" t="s">
        <v>12696</v>
      </c>
      <c r="B4742" s="32" t="s">
        <v>12697</v>
      </c>
      <c r="C4742" s="35">
        <v>-5.768056</v>
      </c>
      <c r="D4742" s="35">
        <v>-35.376111</v>
      </c>
      <c r="E4742" s="32" t="s">
        <v>288</v>
      </c>
      <c r="F4742" s="32" t="s">
        <v>12698</v>
      </c>
      <c r="G4742" s="36" t="e">
        <v>#N/A</v>
      </c>
      <c r="H4742" s="33"/>
      <c r="I4742" s="33"/>
      <c r="J4742" s="33"/>
      <c r="K4742" s="33"/>
      <c r="L4742" s="33"/>
      <c r="M4742" s="33"/>
    </row>
    <row r="4743">
      <c r="A4743" s="32" t="s">
        <v>12699</v>
      </c>
      <c r="B4743" s="32" t="s">
        <v>12700</v>
      </c>
      <c r="C4743" s="35">
        <v>38.7719</v>
      </c>
      <c r="D4743" s="35">
        <v>34.5345</v>
      </c>
      <c r="E4743" s="32" t="s">
        <v>133</v>
      </c>
      <c r="F4743" s="32" t="s">
        <v>12701</v>
      </c>
      <c r="G4743" s="39" t="s">
        <v>134</v>
      </c>
      <c r="H4743" s="33"/>
      <c r="I4743" s="33"/>
      <c r="J4743" s="33"/>
      <c r="K4743" s="33"/>
      <c r="L4743" s="33"/>
      <c r="M4743" s="33"/>
    </row>
    <row r="4744">
      <c r="A4744" s="32" t="s">
        <v>12702</v>
      </c>
      <c r="B4744" s="32" t="s">
        <v>12703</v>
      </c>
      <c r="C4744" s="35">
        <v>6.519919872</v>
      </c>
      <c r="D4744" s="35">
        <v>101.7429962</v>
      </c>
      <c r="E4744" s="32" t="s">
        <v>175</v>
      </c>
      <c r="F4744" s="32" t="s">
        <v>12704</v>
      </c>
      <c r="G4744" s="39" t="s">
        <v>176</v>
      </c>
      <c r="H4744" s="33"/>
      <c r="I4744" s="33"/>
      <c r="J4744" s="33"/>
      <c r="K4744" s="33"/>
      <c r="L4744" s="33"/>
      <c r="M4744" s="33"/>
    </row>
    <row r="4745">
      <c r="A4745" s="32" t="s">
        <v>12705</v>
      </c>
      <c r="B4745" s="32" t="s">
        <v>12706</v>
      </c>
      <c r="C4745" s="35">
        <v>39.78279877</v>
      </c>
      <c r="D4745" s="35">
        <v>116.3880005</v>
      </c>
      <c r="E4745" s="32" t="s">
        <v>205</v>
      </c>
      <c r="F4745" s="32" t="s">
        <v>12707</v>
      </c>
      <c r="G4745" s="39" t="s">
        <v>206</v>
      </c>
      <c r="H4745" s="33"/>
      <c r="I4745" s="33"/>
      <c r="J4745" s="33"/>
      <c r="K4745" s="33"/>
      <c r="L4745" s="33"/>
      <c r="M4745" s="33"/>
    </row>
    <row r="4746">
      <c r="A4746" s="32" t="s">
        <v>12708</v>
      </c>
      <c r="B4746" s="32" t="s">
        <v>12709</v>
      </c>
      <c r="C4746" s="35">
        <v>63.92100143</v>
      </c>
      <c r="D4746" s="35">
        <v>65.03050232</v>
      </c>
      <c r="E4746" s="32" t="s">
        <v>2040</v>
      </c>
      <c r="F4746" s="32" t="s">
        <v>12710</v>
      </c>
      <c r="G4746" s="36" t="e">
        <v>#N/A</v>
      </c>
      <c r="H4746" s="33"/>
      <c r="I4746" s="33"/>
      <c r="J4746" s="33"/>
      <c r="K4746" s="33"/>
      <c r="L4746" s="33"/>
      <c r="M4746" s="33"/>
    </row>
    <row r="4747">
      <c r="A4747" s="32" t="s">
        <v>12711</v>
      </c>
      <c r="B4747" s="32" t="s">
        <v>12712</v>
      </c>
      <c r="C4747" s="35">
        <v>55.56470108</v>
      </c>
      <c r="D4747" s="35">
        <v>52.09249878</v>
      </c>
      <c r="E4747" s="32" t="s">
        <v>2040</v>
      </c>
      <c r="F4747" s="32" t="s">
        <v>12713</v>
      </c>
      <c r="G4747" s="36" t="e">
        <v>#N/A</v>
      </c>
      <c r="H4747" s="33"/>
      <c r="I4747" s="33"/>
      <c r="J4747" s="33"/>
      <c r="K4747" s="33"/>
      <c r="L4747" s="33"/>
      <c r="M4747" s="33"/>
    </row>
    <row r="4748">
      <c r="A4748" s="32" t="s">
        <v>12714</v>
      </c>
      <c r="B4748" s="32" t="s">
        <v>12715</v>
      </c>
      <c r="C4748" s="35">
        <v>29.82530022</v>
      </c>
      <c r="D4748" s="35">
        <v>-90.03500366</v>
      </c>
      <c r="E4748" s="32" t="s">
        <v>180</v>
      </c>
      <c r="F4748" s="32" t="s">
        <v>12381</v>
      </c>
      <c r="G4748" s="39" t="s">
        <v>181</v>
      </c>
      <c r="H4748" s="33"/>
      <c r="I4748" s="33"/>
      <c r="J4748" s="33"/>
      <c r="K4748" s="33"/>
      <c r="L4748" s="33"/>
      <c r="M4748" s="33"/>
    </row>
    <row r="4749">
      <c r="A4749" s="32" t="s">
        <v>54</v>
      </c>
      <c r="B4749" s="32" t="s">
        <v>12716</v>
      </c>
      <c r="C4749" s="35">
        <v>-1.319239974</v>
      </c>
      <c r="D4749" s="35">
        <v>36.92779922</v>
      </c>
      <c r="E4749" s="32" t="s">
        <v>21</v>
      </c>
      <c r="F4749" s="32" t="s">
        <v>827</v>
      </c>
      <c r="G4749" s="36" t="e">
        <v>#N/A</v>
      </c>
      <c r="H4749" s="33"/>
      <c r="I4749" s="33"/>
      <c r="J4749" s="33"/>
      <c r="K4749" s="33"/>
      <c r="L4749" s="33"/>
      <c r="M4749" s="33"/>
    </row>
    <row r="4750">
      <c r="A4750" s="32" t="s">
        <v>12717</v>
      </c>
      <c r="B4750" s="32" t="s">
        <v>12718</v>
      </c>
      <c r="C4750" s="35">
        <v>-3.368180037</v>
      </c>
      <c r="D4750" s="35">
        <v>135.4960022</v>
      </c>
      <c r="E4750" s="32" t="s">
        <v>280</v>
      </c>
      <c r="F4750" s="32" t="s">
        <v>12719</v>
      </c>
      <c r="G4750" s="36" t="e">
        <v>#N/A</v>
      </c>
      <c r="H4750" s="33"/>
      <c r="I4750" s="33"/>
      <c r="J4750" s="33"/>
      <c r="K4750" s="33"/>
      <c r="L4750" s="33"/>
      <c r="M4750" s="33"/>
    </row>
    <row r="4751">
      <c r="A4751" s="32" t="s">
        <v>12720</v>
      </c>
      <c r="B4751" s="32" t="s">
        <v>12721</v>
      </c>
      <c r="C4751" s="35">
        <v>21.91749954</v>
      </c>
      <c r="D4751" s="35">
        <v>-71.93959808</v>
      </c>
      <c r="E4751" s="32" t="s">
        <v>7978</v>
      </c>
      <c r="F4751" s="32" t="s">
        <v>12722</v>
      </c>
      <c r="G4751" s="36" t="e">
        <v>#N/A</v>
      </c>
      <c r="H4751" s="33"/>
      <c r="I4751" s="33"/>
      <c r="J4751" s="33"/>
      <c r="K4751" s="33"/>
      <c r="L4751" s="33"/>
      <c r="M4751" s="33"/>
    </row>
    <row r="4752">
      <c r="A4752" s="32" t="s">
        <v>12723</v>
      </c>
      <c r="B4752" s="32" t="s">
        <v>12724</v>
      </c>
      <c r="C4752" s="35">
        <v>43.65840149</v>
      </c>
      <c r="D4752" s="35">
        <v>7.215869904</v>
      </c>
      <c r="E4752" s="32" t="s">
        <v>96</v>
      </c>
      <c r="F4752" s="32" t="s">
        <v>12725</v>
      </c>
      <c r="G4752" s="39" t="s">
        <v>97</v>
      </c>
      <c r="H4752" s="33"/>
      <c r="I4752" s="33"/>
      <c r="J4752" s="33"/>
      <c r="K4752" s="33"/>
      <c r="L4752" s="33"/>
      <c r="M4752" s="33"/>
    </row>
    <row r="4753">
      <c r="A4753" s="32" t="s">
        <v>12726</v>
      </c>
      <c r="B4753" s="32" t="s">
        <v>12727</v>
      </c>
      <c r="C4753" s="35">
        <v>55.03749847</v>
      </c>
      <c r="D4753" s="35">
        <v>-1.691669941</v>
      </c>
      <c r="E4753" s="32" t="s">
        <v>90</v>
      </c>
      <c r="F4753" s="32" t="s">
        <v>2661</v>
      </c>
      <c r="G4753" s="39" t="s">
        <v>91</v>
      </c>
      <c r="H4753" s="33"/>
      <c r="I4753" s="33"/>
      <c r="J4753" s="33"/>
      <c r="K4753" s="33"/>
      <c r="L4753" s="33"/>
      <c r="M4753" s="33"/>
    </row>
    <row r="4754">
      <c r="A4754" s="32" t="s">
        <v>12728</v>
      </c>
      <c r="B4754" s="32" t="s">
        <v>12729</v>
      </c>
      <c r="C4754" s="35">
        <v>60.07730103</v>
      </c>
      <c r="D4754" s="35">
        <v>-147.9920044</v>
      </c>
      <c r="E4754" s="32" t="s">
        <v>180</v>
      </c>
      <c r="F4754" s="32" t="s">
        <v>12730</v>
      </c>
      <c r="G4754" s="39" t="s">
        <v>181</v>
      </c>
      <c r="H4754" s="33"/>
      <c r="I4754" s="33"/>
      <c r="J4754" s="33"/>
      <c r="K4754" s="33"/>
      <c r="L4754" s="33"/>
      <c r="M4754" s="33"/>
    </row>
    <row r="4755">
      <c r="A4755" s="32" t="s">
        <v>12731</v>
      </c>
      <c r="B4755" s="32" t="s">
        <v>12727</v>
      </c>
      <c r="C4755" s="35">
        <v>-27.77059937</v>
      </c>
      <c r="D4755" s="35">
        <v>29.9769001</v>
      </c>
      <c r="E4755" s="32" t="s">
        <v>16</v>
      </c>
      <c r="F4755" s="32" t="s">
        <v>2661</v>
      </c>
      <c r="G4755" s="36" t="e">
        <v>#N/A</v>
      </c>
      <c r="H4755" s="33"/>
      <c r="I4755" s="33"/>
      <c r="J4755" s="33"/>
      <c r="K4755" s="33"/>
      <c r="L4755" s="33"/>
      <c r="M4755" s="33"/>
    </row>
    <row r="4756">
      <c r="A4756" s="32" t="s">
        <v>12732</v>
      </c>
      <c r="B4756" s="32" t="s">
        <v>12733</v>
      </c>
      <c r="C4756" s="35">
        <v>42.48839951</v>
      </c>
      <c r="D4756" s="35">
        <v>59.62329865</v>
      </c>
      <c r="E4756" s="32" t="s">
        <v>3332</v>
      </c>
      <c r="F4756" s="32" t="s">
        <v>12734</v>
      </c>
      <c r="G4756" s="36" t="e">
        <v>#N/A</v>
      </c>
      <c r="H4756" s="33"/>
      <c r="I4756" s="33"/>
      <c r="J4756" s="33"/>
      <c r="K4756" s="33"/>
      <c r="L4756" s="33"/>
      <c r="M4756" s="33"/>
    </row>
    <row r="4757">
      <c r="A4757" s="32" t="s">
        <v>12735</v>
      </c>
      <c r="B4757" s="32" t="s">
        <v>12736</v>
      </c>
      <c r="C4757" s="35">
        <v>45.9308333</v>
      </c>
      <c r="D4757" s="35">
        <v>6.1063889</v>
      </c>
      <c r="E4757" s="32" t="s">
        <v>96</v>
      </c>
      <c r="F4757" s="32" t="s">
        <v>12737</v>
      </c>
      <c r="G4757" s="39" t="s">
        <v>97</v>
      </c>
      <c r="H4757" s="33"/>
      <c r="I4757" s="33"/>
      <c r="J4757" s="33"/>
      <c r="K4757" s="33"/>
      <c r="L4757" s="33"/>
      <c r="M4757" s="33"/>
    </row>
    <row r="4758">
      <c r="A4758" s="32" t="s">
        <v>12738</v>
      </c>
      <c r="B4758" s="32" t="s">
        <v>12739</v>
      </c>
      <c r="C4758" s="35">
        <v>45.11083333</v>
      </c>
      <c r="D4758" s="35">
        <v>-78.64</v>
      </c>
      <c r="E4758" s="32" t="s">
        <v>94</v>
      </c>
      <c r="F4758" s="32" t="s">
        <v>12740</v>
      </c>
      <c r="G4758" s="36" t="e">
        <v>#N/A</v>
      </c>
      <c r="H4758" s="33"/>
      <c r="I4758" s="33"/>
      <c r="J4758" s="33"/>
      <c r="K4758" s="33"/>
      <c r="L4758" s="33"/>
      <c r="M4758" s="33"/>
    </row>
    <row r="4759">
      <c r="A4759" s="32" t="s">
        <v>12741</v>
      </c>
      <c r="B4759" s="32" t="s">
        <v>12742</v>
      </c>
      <c r="C4759" s="35">
        <v>20.93309975</v>
      </c>
      <c r="D4759" s="35">
        <v>-17.03000069</v>
      </c>
      <c r="E4759" s="32" t="s">
        <v>817</v>
      </c>
      <c r="F4759" s="32" t="s">
        <v>12743</v>
      </c>
      <c r="G4759" s="36" t="e">
        <v>#N/A</v>
      </c>
      <c r="H4759" s="33"/>
      <c r="I4759" s="33"/>
      <c r="J4759" s="33"/>
      <c r="K4759" s="33"/>
      <c r="L4759" s="33"/>
      <c r="M4759" s="33"/>
    </row>
    <row r="4760">
      <c r="A4760" s="32" t="s">
        <v>12744</v>
      </c>
      <c r="B4760" s="32" t="s">
        <v>12745</v>
      </c>
      <c r="C4760" s="35">
        <v>19.18330002</v>
      </c>
      <c r="D4760" s="35">
        <v>77.3167038</v>
      </c>
      <c r="E4760" s="32" t="s">
        <v>217</v>
      </c>
      <c r="F4760" s="32" t="s">
        <v>12746</v>
      </c>
      <c r="G4760" s="39" t="s">
        <v>218</v>
      </c>
      <c r="H4760" s="33"/>
      <c r="I4760" s="33"/>
      <c r="J4760" s="33"/>
      <c r="K4760" s="33"/>
      <c r="L4760" s="33"/>
      <c r="M4760" s="33"/>
    </row>
    <row r="4761">
      <c r="A4761" s="32" t="s">
        <v>12747</v>
      </c>
      <c r="B4761" s="32" t="s">
        <v>12748</v>
      </c>
      <c r="C4761" s="35">
        <v>-11.16790009</v>
      </c>
      <c r="D4761" s="35">
        <v>13.84749985</v>
      </c>
      <c r="E4761" s="32" t="s">
        <v>764</v>
      </c>
      <c r="F4761" s="32" t="s">
        <v>12749</v>
      </c>
      <c r="G4761" s="36" t="e">
        <v>#N/A</v>
      </c>
      <c r="H4761" s="33"/>
      <c r="I4761" s="33"/>
      <c r="J4761" s="33"/>
      <c r="K4761" s="33"/>
      <c r="L4761" s="33"/>
      <c r="M4761" s="33"/>
    </row>
    <row r="4762">
      <c r="A4762" s="32" t="s">
        <v>12750</v>
      </c>
      <c r="B4762" s="32" t="s">
        <v>12751</v>
      </c>
      <c r="C4762" s="35">
        <v>47.23960114</v>
      </c>
      <c r="D4762" s="35">
        <v>123.9179993</v>
      </c>
      <c r="E4762" s="32" t="s">
        <v>205</v>
      </c>
      <c r="F4762" s="32" t="s">
        <v>12752</v>
      </c>
      <c r="G4762" s="39" t="s">
        <v>206</v>
      </c>
      <c r="H4762" s="33"/>
      <c r="I4762" s="33"/>
      <c r="J4762" s="33"/>
      <c r="K4762" s="33"/>
      <c r="L4762" s="33"/>
      <c r="M4762" s="33"/>
    </row>
    <row r="4763">
      <c r="A4763" s="32" t="s">
        <v>12753</v>
      </c>
      <c r="B4763" s="32" t="s">
        <v>12754</v>
      </c>
      <c r="C4763" s="35">
        <v>12.13370037</v>
      </c>
      <c r="D4763" s="35">
        <v>15.0340004</v>
      </c>
      <c r="E4763" s="32" t="s">
        <v>3634</v>
      </c>
      <c r="F4763" s="32" t="s">
        <v>12755</v>
      </c>
      <c r="G4763" s="36" t="e">
        <v>#N/A</v>
      </c>
      <c r="H4763" s="33"/>
      <c r="I4763" s="33"/>
      <c r="J4763" s="33"/>
      <c r="K4763" s="33"/>
      <c r="L4763" s="33"/>
      <c r="M4763" s="33"/>
    </row>
    <row r="4764">
      <c r="A4764" s="32" t="s">
        <v>12756</v>
      </c>
      <c r="B4764" s="32" t="s">
        <v>12757</v>
      </c>
      <c r="C4764" s="35">
        <v>34.98880005</v>
      </c>
      <c r="D4764" s="35">
        <v>-3.028209925</v>
      </c>
      <c r="E4764" s="32" t="s">
        <v>17</v>
      </c>
      <c r="F4764" s="32" t="s">
        <v>12758</v>
      </c>
      <c r="G4764" s="36" t="e">
        <v>#N/A</v>
      </c>
      <c r="H4764" s="33"/>
      <c r="I4764" s="33"/>
      <c r="J4764" s="33"/>
      <c r="K4764" s="33"/>
      <c r="L4764" s="33"/>
      <c r="M4764" s="33"/>
    </row>
    <row r="4765">
      <c r="A4765" s="32" t="s">
        <v>12759</v>
      </c>
      <c r="B4765" s="32" t="s">
        <v>12760</v>
      </c>
      <c r="C4765" s="35">
        <v>-17.9564991</v>
      </c>
      <c r="D4765" s="35">
        <v>19.71940041</v>
      </c>
      <c r="E4765" s="32" t="s">
        <v>3193</v>
      </c>
      <c r="F4765" s="32" t="s">
        <v>12761</v>
      </c>
      <c r="G4765" s="36" t="e">
        <v>#N/A</v>
      </c>
      <c r="H4765" s="33"/>
      <c r="I4765" s="33"/>
      <c r="J4765" s="33"/>
      <c r="K4765" s="33"/>
      <c r="L4765" s="33"/>
      <c r="M4765" s="33"/>
    </row>
    <row r="4766">
      <c r="A4766" s="32" t="s">
        <v>12762</v>
      </c>
      <c r="B4766" s="32" t="s">
        <v>12763</v>
      </c>
      <c r="C4766" s="35">
        <v>59.25030136</v>
      </c>
      <c r="D4766" s="35">
        <v>-2.576669931</v>
      </c>
      <c r="E4766" s="32" t="s">
        <v>90</v>
      </c>
      <c r="F4766" s="32" t="s">
        <v>12764</v>
      </c>
      <c r="G4766" s="39" t="s">
        <v>91</v>
      </c>
      <c r="H4766" s="33"/>
      <c r="I4766" s="33"/>
      <c r="J4766" s="33"/>
      <c r="K4766" s="33"/>
      <c r="L4766" s="33"/>
      <c r="M4766" s="33"/>
    </row>
    <row r="4767">
      <c r="A4767" s="32" t="s">
        <v>12765</v>
      </c>
      <c r="B4767" s="32" t="s">
        <v>12766</v>
      </c>
      <c r="C4767" s="35">
        <v>30.70439911</v>
      </c>
      <c r="D4767" s="35">
        <v>-87.02300262</v>
      </c>
      <c r="E4767" s="32" t="s">
        <v>109</v>
      </c>
      <c r="F4767" s="32" t="s">
        <v>2460</v>
      </c>
      <c r="G4767" s="39" t="s">
        <v>110</v>
      </c>
      <c r="H4767" s="33"/>
      <c r="I4767" s="33"/>
      <c r="J4767" s="33"/>
      <c r="K4767" s="33"/>
      <c r="L4767" s="33"/>
      <c r="M4767" s="33"/>
    </row>
    <row r="4768">
      <c r="A4768" s="32" t="s">
        <v>12767</v>
      </c>
      <c r="B4768" s="32" t="s">
        <v>12768</v>
      </c>
      <c r="C4768" s="35">
        <v>-38.4831</v>
      </c>
      <c r="D4768" s="35">
        <v>-58.8172</v>
      </c>
      <c r="E4768" s="32" t="s">
        <v>296</v>
      </c>
      <c r="F4768" s="32" t="s">
        <v>12769</v>
      </c>
      <c r="G4768" s="36" t="e">
        <v>#N/A</v>
      </c>
      <c r="H4768" s="33"/>
      <c r="I4768" s="33"/>
      <c r="J4768" s="33"/>
      <c r="K4768" s="33"/>
      <c r="L4768" s="33"/>
      <c r="M4768" s="33"/>
    </row>
    <row r="4769">
      <c r="A4769" s="32" t="s">
        <v>12770</v>
      </c>
      <c r="B4769" s="32" t="s">
        <v>12771</v>
      </c>
      <c r="C4769" s="35">
        <v>18.34280014</v>
      </c>
      <c r="D4769" s="35">
        <v>-78.33209991</v>
      </c>
      <c r="E4769" s="32" t="s">
        <v>10180</v>
      </c>
      <c r="F4769" s="32" t="s">
        <v>12772</v>
      </c>
      <c r="G4769" s="36" t="e">
        <v>#N/A</v>
      </c>
      <c r="H4769" s="33"/>
      <c r="I4769" s="33"/>
      <c r="J4769" s="33"/>
      <c r="K4769" s="33"/>
      <c r="L4769" s="33"/>
      <c r="M4769" s="33"/>
    </row>
    <row r="4770">
      <c r="A4770" s="32" t="s">
        <v>12773</v>
      </c>
      <c r="B4770" s="32" t="s">
        <v>12774</v>
      </c>
      <c r="C4770" s="35">
        <v>40.03329849</v>
      </c>
      <c r="D4770" s="35">
        <v>-74.353302</v>
      </c>
      <c r="E4770" s="32" t="s">
        <v>180</v>
      </c>
      <c r="F4770" s="32" t="s">
        <v>12775</v>
      </c>
      <c r="G4770" s="39" t="s">
        <v>181</v>
      </c>
      <c r="H4770" s="33"/>
      <c r="I4770" s="33"/>
      <c r="J4770" s="33"/>
      <c r="K4770" s="33"/>
      <c r="L4770" s="33"/>
      <c r="M4770" s="33"/>
    </row>
    <row r="4771">
      <c r="A4771" s="32" t="s">
        <v>12776</v>
      </c>
      <c r="B4771" s="32" t="s">
        <v>12777</v>
      </c>
      <c r="C4771" s="35">
        <v>17.20569992</v>
      </c>
      <c r="D4771" s="35">
        <v>-62.58990097</v>
      </c>
      <c r="E4771" s="32" t="s">
        <v>12778</v>
      </c>
      <c r="F4771" s="32" t="s">
        <v>12779</v>
      </c>
      <c r="G4771" s="36" t="e">
        <v>#N/A</v>
      </c>
      <c r="H4771" s="33"/>
      <c r="I4771" s="33"/>
      <c r="J4771" s="33"/>
      <c r="K4771" s="33"/>
      <c r="L4771" s="33"/>
      <c r="M4771" s="33"/>
    </row>
    <row r="4772">
      <c r="A4772" s="32" t="s">
        <v>12780</v>
      </c>
      <c r="B4772" s="32" t="s">
        <v>12781</v>
      </c>
      <c r="C4772" s="35">
        <v>30.04240036</v>
      </c>
      <c r="D4772" s="35">
        <v>-90.02829742</v>
      </c>
      <c r="E4772" s="32" t="s">
        <v>180</v>
      </c>
      <c r="F4772" s="32" t="s">
        <v>12381</v>
      </c>
      <c r="G4772" s="39" t="s">
        <v>181</v>
      </c>
      <c r="H4772" s="33"/>
      <c r="I4772" s="33"/>
      <c r="J4772" s="33"/>
      <c r="K4772" s="33"/>
      <c r="L4772" s="33"/>
      <c r="M4772" s="33"/>
    </row>
    <row r="4773">
      <c r="A4773" s="32" t="s">
        <v>12782</v>
      </c>
      <c r="B4773" s="32" t="s">
        <v>12783</v>
      </c>
      <c r="C4773" s="35">
        <v>44.36470032</v>
      </c>
      <c r="D4773" s="35">
        <v>-78.7838974</v>
      </c>
      <c r="E4773" s="32" t="s">
        <v>94</v>
      </c>
      <c r="F4773" s="32" t="s">
        <v>12784</v>
      </c>
      <c r="G4773" s="36" t="e">
        <v>#N/A</v>
      </c>
      <c r="H4773" s="33"/>
      <c r="I4773" s="33"/>
      <c r="J4773" s="33"/>
      <c r="K4773" s="33"/>
      <c r="L4773" s="33"/>
      <c r="M4773" s="33"/>
    </row>
    <row r="4774">
      <c r="A4774" s="32" t="s">
        <v>12785</v>
      </c>
      <c r="B4774" s="32" t="s">
        <v>12786</v>
      </c>
      <c r="C4774" s="35">
        <v>61.10829926</v>
      </c>
      <c r="D4774" s="35">
        <v>72.65000153</v>
      </c>
      <c r="E4774" s="32" t="s">
        <v>2040</v>
      </c>
      <c r="F4774" s="32" t="s">
        <v>12787</v>
      </c>
      <c r="G4774" s="36" t="e">
        <v>#N/A</v>
      </c>
      <c r="H4774" s="33"/>
      <c r="I4774" s="33"/>
      <c r="J4774" s="33"/>
      <c r="K4774" s="33"/>
      <c r="L4774" s="33"/>
      <c r="M4774" s="33"/>
    </row>
    <row r="4775">
      <c r="A4775" s="32" t="s">
        <v>12788</v>
      </c>
      <c r="B4775" s="32" t="s">
        <v>12789</v>
      </c>
      <c r="C4775" s="35">
        <v>-15.57079983</v>
      </c>
      <c r="D4775" s="35">
        <v>-175.6329956</v>
      </c>
      <c r="E4775" s="32" t="s">
        <v>7417</v>
      </c>
      <c r="F4775" s="32" t="s">
        <v>12790</v>
      </c>
      <c r="G4775" s="36" t="e">
        <v>#N/A</v>
      </c>
      <c r="H4775" s="33"/>
      <c r="I4775" s="33"/>
      <c r="J4775" s="33"/>
      <c r="K4775" s="33"/>
      <c r="L4775" s="33"/>
      <c r="M4775" s="33"/>
    </row>
    <row r="4776">
      <c r="A4776" s="32" t="s">
        <v>12791</v>
      </c>
      <c r="B4776" s="32" t="s">
        <v>12792</v>
      </c>
      <c r="C4776" s="35">
        <v>-34.25559998</v>
      </c>
      <c r="D4776" s="35">
        <v>148.2480011</v>
      </c>
      <c r="E4776" s="32" t="s">
        <v>1968</v>
      </c>
      <c r="F4776" s="33"/>
      <c r="G4776" s="36" t="e">
        <v>#N/A</v>
      </c>
      <c r="H4776" s="33"/>
      <c r="I4776" s="33"/>
      <c r="J4776" s="33"/>
      <c r="K4776" s="33"/>
      <c r="L4776" s="33"/>
      <c r="M4776" s="33"/>
    </row>
    <row r="4777">
      <c r="A4777" s="32" t="s">
        <v>12793</v>
      </c>
      <c r="B4777" s="32" t="s">
        <v>12794</v>
      </c>
      <c r="C4777" s="35">
        <v>29.82670021</v>
      </c>
      <c r="D4777" s="35">
        <v>121.461998</v>
      </c>
      <c r="E4777" s="32" t="s">
        <v>205</v>
      </c>
      <c r="F4777" s="32" t="s">
        <v>12795</v>
      </c>
      <c r="G4777" s="39" t="s">
        <v>206</v>
      </c>
      <c r="H4777" s="33"/>
      <c r="I4777" s="33"/>
      <c r="J4777" s="33"/>
      <c r="K4777" s="33"/>
      <c r="L4777" s="33"/>
      <c r="M4777" s="33"/>
    </row>
    <row r="4778">
      <c r="A4778" s="32" t="s">
        <v>12796</v>
      </c>
      <c r="B4778" s="32" t="s">
        <v>12797</v>
      </c>
      <c r="C4778" s="35">
        <v>18.72719955</v>
      </c>
      <c r="D4778" s="35">
        <v>-64.32969666</v>
      </c>
      <c r="E4778" s="32" t="s">
        <v>7173</v>
      </c>
      <c r="F4778" s="32" t="s">
        <v>12798</v>
      </c>
      <c r="G4778" s="36" t="e">
        <v>#N/A</v>
      </c>
      <c r="H4778" s="33"/>
      <c r="I4778" s="33"/>
      <c r="J4778" s="33"/>
      <c r="K4778" s="33"/>
      <c r="L4778" s="33"/>
      <c r="M4778" s="33"/>
    </row>
    <row r="4779">
      <c r="A4779" s="32" t="s">
        <v>12799</v>
      </c>
      <c r="B4779" s="32" t="s">
        <v>12800</v>
      </c>
      <c r="C4779" s="35">
        <v>7.357009888</v>
      </c>
      <c r="D4779" s="35">
        <v>13.55920029</v>
      </c>
      <c r="E4779" s="32" t="s">
        <v>32</v>
      </c>
      <c r="F4779" s="32" t="s">
        <v>12801</v>
      </c>
      <c r="G4779" s="36" t="e">
        <v>#N/A</v>
      </c>
      <c r="H4779" s="33"/>
      <c r="I4779" s="33"/>
      <c r="J4779" s="33"/>
      <c r="K4779" s="33"/>
      <c r="L4779" s="33"/>
      <c r="M4779" s="33"/>
    </row>
    <row r="4780">
      <c r="A4780" s="32" t="s">
        <v>12802</v>
      </c>
      <c r="B4780" s="32" t="s">
        <v>12803</v>
      </c>
      <c r="C4780" s="35">
        <v>21.45050049</v>
      </c>
      <c r="D4780" s="35">
        <v>-157.7680054</v>
      </c>
      <c r="E4780" s="32" t="s">
        <v>180</v>
      </c>
      <c r="F4780" s="32" t="s">
        <v>12804</v>
      </c>
      <c r="G4780" s="39" t="s">
        <v>181</v>
      </c>
      <c r="H4780" s="33"/>
      <c r="I4780" s="33"/>
      <c r="J4780" s="33"/>
      <c r="K4780" s="33"/>
      <c r="L4780" s="33"/>
      <c r="M4780" s="33"/>
    </row>
    <row r="4781">
      <c r="A4781" s="32" t="s">
        <v>12805</v>
      </c>
      <c r="B4781" s="32" t="s">
        <v>12806</v>
      </c>
      <c r="C4781" s="35">
        <v>-18.11560059</v>
      </c>
      <c r="D4781" s="35">
        <v>179.3399963</v>
      </c>
      <c r="E4781" s="32" t="s">
        <v>9136</v>
      </c>
      <c r="F4781" s="32" t="s">
        <v>12807</v>
      </c>
      <c r="G4781" s="36" t="e">
        <v>#N/A</v>
      </c>
      <c r="H4781" s="33"/>
      <c r="I4781" s="33"/>
      <c r="J4781" s="33"/>
      <c r="K4781" s="33"/>
      <c r="L4781" s="33"/>
      <c r="M4781" s="33"/>
    </row>
    <row r="4782">
      <c r="A4782" s="32" t="s">
        <v>12808</v>
      </c>
      <c r="B4782" s="32" t="s">
        <v>12809</v>
      </c>
      <c r="C4782" s="35">
        <v>34.85839844</v>
      </c>
      <c r="D4782" s="35">
        <v>136.8049927</v>
      </c>
      <c r="E4782" s="32" t="s">
        <v>170</v>
      </c>
      <c r="F4782" s="32" t="s">
        <v>12810</v>
      </c>
      <c r="G4782" s="39" t="s">
        <v>171</v>
      </c>
      <c r="H4782" s="33"/>
      <c r="I4782" s="33"/>
      <c r="J4782" s="33"/>
      <c r="K4782" s="33"/>
      <c r="L4782" s="33"/>
      <c r="M4782" s="33"/>
    </row>
    <row r="4783">
      <c r="A4783" s="32" t="s">
        <v>12811</v>
      </c>
      <c r="B4783" s="32" t="s">
        <v>12812</v>
      </c>
      <c r="C4783" s="35">
        <v>27.69260025</v>
      </c>
      <c r="D4783" s="35">
        <v>-97.29109955</v>
      </c>
      <c r="E4783" s="32" t="s">
        <v>180</v>
      </c>
      <c r="F4783" s="32" t="s">
        <v>6236</v>
      </c>
      <c r="G4783" s="39" t="s">
        <v>181</v>
      </c>
      <c r="H4783" s="33"/>
      <c r="I4783" s="33"/>
      <c r="J4783" s="33"/>
      <c r="K4783" s="33"/>
      <c r="L4783" s="33"/>
      <c r="M4783" s="33"/>
    </row>
    <row r="4784">
      <c r="A4784" s="32" t="s">
        <v>12813</v>
      </c>
      <c r="B4784" s="32" t="s">
        <v>12814</v>
      </c>
      <c r="C4784" s="35">
        <v>32.1</v>
      </c>
      <c r="D4784" s="35">
        <v>80.05305556</v>
      </c>
      <c r="E4784" s="32" t="s">
        <v>205</v>
      </c>
      <c r="F4784" s="32" t="s">
        <v>12815</v>
      </c>
      <c r="G4784" s="39" t="s">
        <v>206</v>
      </c>
      <c r="H4784" s="33"/>
      <c r="I4784" s="33"/>
      <c r="J4784" s="33"/>
      <c r="K4784" s="33"/>
      <c r="L4784" s="33"/>
      <c r="M4784" s="33"/>
    </row>
    <row r="4785">
      <c r="A4785" s="32" t="s">
        <v>12816</v>
      </c>
      <c r="B4785" s="32" t="s">
        <v>12817</v>
      </c>
      <c r="C4785" s="35">
        <v>32.91690063</v>
      </c>
      <c r="D4785" s="35">
        <v>129.9140015</v>
      </c>
      <c r="E4785" s="32" t="s">
        <v>170</v>
      </c>
      <c r="F4785" s="32" t="s">
        <v>12818</v>
      </c>
      <c r="G4785" s="39" t="s">
        <v>171</v>
      </c>
      <c r="H4785" s="33"/>
      <c r="I4785" s="33"/>
      <c r="J4785" s="33"/>
      <c r="K4785" s="33"/>
      <c r="L4785" s="33"/>
      <c r="M4785" s="33"/>
    </row>
    <row r="4786">
      <c r="A4786" s="32" t="s">
        <v>12819</v>
      </c>
      <c r="B4786" s="32" t="s">
        <v>12820</v>
      </c>
      <c r="C4786" s="35">
        <v>36.93759918</v>
      </c>
      <c r="D4786" s="35">
        <v>-76.28929901</v>
      </c>
      <c r="E4786" s="32" t="s">
        <v>180</v>
      </c>
      <c r="F4786" s="32" t="s">
        <v>12821</v>
      </c>
      <c r="G4786" s="39" t="s">
        <v>181</v>
      </c>
      <c r="H4786" s="33"/>
      <c r="I4786" s="33"/>
      <c r="J4786" s="33"/>
      <c r="K4786" s="33"/>
      <c r="L4786" s="33"/>
      <c r="M4786" s="33"/>
    </row>
    <row r="4787">
      <c r="A4787" s="32" t="s">
        <v>12822</v>
      </c>
      <c r="B4787" s="32" t="s">
        <v>12823</v>
      </c>
      <c r="C4787" s="35">
        <v>28.64139938</v>
      </c>
      <c r="D4787" s="35">
        <v>84.08920288</v>
      </c>
      <c r="E4787" s="32" t="s">
        <v>1877</v>
      </c>
      <c r="F4787" s="32" t="s">
        <v>12824</v>
      </c>
      <c r="G4787" s="36" t="e">
        <v>#N/A</v>
      </c>
      <c r="H4787" s="33"/>
      <c r="I4787" s="33"/>
      <c r="J4787" s="33"/>
      <c r="K4787" s="33"/>
      <c r="L4787" s="33"/>
      <c r="M4787" s="33"/>
    </row>
    <row r="4788">
      <c r="A4788" s="32" t="s">
        <v>12825</v>
      </c>
      <c r="B4788" s="32" t="s">
        <v>12826</v>
      </c>
      <c r="C4788" s="35">
        <v>12.2275</v>
      </c>
      <c r="D4788" s="35">
        <v>109.192001</v>
      </c>
      <c r="E4788" s="32" t="s">
        <v>1913</v>
      </c>
      <c r="F4788" s="32" t="s">
        <v>12827</v>
      </c>
      <c r="G4788" s="36" t="e">
        <v>#N/A</v>
      </c>
      <c r="H4788" s="33"/>
      <c r="I4788" s="33"/>
      <c r="J4788" s="33"/>
      <c r="K4788" s="33"/>
      <c r="L4788" s="33"/>
      <c r="M4788" s="33"/>
    </row>
    <row r="4789">
      <c r="A4789" s="32" t="s">
        <v>12828</v>
      </c>
      <c r="B4789" s="32" t="s">
        <v>12829</v>
      </c>
      <c r="C4789" s="35">
        <v>25.02680016</v>
      </c>
      <c r="D4789" s="35">
        <v>55.36619949</v>
      </c>
      <c r="E4789" s="32" t="s">
        <v>139</v>
      </c>
      <c r="F4789" s="32" t="s">
        <v>12830</v>
      </c>
      <c r="G4789" s="39" t="s">
        <v>140</v>
      </c>
      <c r="H4789" s="33"/>
      <c r="I4789" s="33"/>
      <c r="J4789" s="33"/>
      <c r="K4789" s="33"/>
      <c r="L4789" s="33"/>
      <c r="M4789" s="33"/>
    </row>
    <row r="4790">
      <c r="A4790" s="32" t="s">
        <v>12831</v>
      </c>
      <c r="B4790" s="32" t="s">
        <v>12832</v>
      </c>
      <c r="C4790" s="35">
        <v>38.2859993</v>
      </c>
      <c r="D4790" s="35">
        <v>-76.41179657</v>
      </c>
      <c r="E4790" s="32" t="s">
        <v>180</v>
      </c>
      <c r="F4790" s="32" t="s">
        <v>12833</v>
      </c>
      <c r="G4790" s="39" t="s">
        <v>181</v>
      </c>
      <c r="H4790" s="33"/>
      <c r="I4790" s="33"/>
      <c r="J4790" s="33"/>
      <c r="K4790" s="33"/>
      <c r="L4790" s="33"/>
      <c r="M4790" s="33"/>
    </row>
    <row r="4791">
      <c r="A4791" s="32" t="s">
        <v>12834</v>
      </c>
      <c r="B4791" s="32" t="s">
        <v>12835</v>
      </c>
      <c r="C4791" s="35">
        <v>51.5530014</v>
      </c>
      <c r="D4791" s="35">
        <v>-0.418166995</v>
      </c>
      <c r="E4791" s="32" t="s">
        <v>90</v>
      </c>
      <c r="F4791" s="32" t="s">
        <v>12836</v>
      </c>
      <c r="G4791" s="39" t="s">
        <v>91</v>
      </c>
      <c r="H4791" s="33"/>
      <c r="I4791" s="33"/>
      <c r="J4791" s="33"/>
      <c r="K4791" s="33"/>
      <c r="L4791" s="33"/>
      <c r="M4791" s="33"/>
    </row>
    <row r="4792">
      <c r="A4792" s="32" t="s">
        <v>12837</v>
      </c>
      <c r="B4792" s="32" t="s">
        <v>12838</v>
      </c>
      <c r="C4792" s="35">
        <v>-8.795599937</v>
      </c>
      <c r="D4792" s="35">
        <v>-140.2290039</v>
      </c>
      <c r="E4792" s="32" t="s">
        <v>1325</v>
      </c>
      <c r="F4792" s="32" t="s">
        <v>12839</v>
      </c>
      <c r="G4792" s="36" t="e">
        <v>#N/A</v>
      </c>
      <c r="H4792" s="33"/>
      <c r="I4792" s="33"/>
      <c r="J4792" s="33"/>
      <c r="K4792" s="33"/>
      <c r="L4792" s="33"/>
      <c r="M4792" s="33"/>
    </row>
    <row r="4793">
      <c r="A4793" s="32" t="s">
        <v>12840</v>
      </c>
      <c r="B4793" s="32" t="s">
        <v>12841</v>
      </c>
      <c r="C4793" s="35">
        <v>43.89220047</v>
      </c>
      <c r="D4793" s="35">
        <v>-69.93859863</v>
      </c>
      <c r="E4793" s="32" t="s">
        <v>180</v>
      </c>
      <c r="F4793" s="32" t="s">
        <v>5139</v>
      </c>
      <c r="G4793" s="39" t="s">
        <v>181</v>
      </c>
      <c r="H4793" s="33"/>
      <c r="I4793" s="33"/>
      <c r="J4793" s="33"/>
      <c r="K4793" s="33"/>
      <c r="L4793" s="33"/>
      <c r="M4793" s="33"/>
    </row>
    <row r="4794">
      <c r="A4794" s="32" t="s">
        <v>12842</v>
      </c>
      <c r="B4794" s="32" t="s">
        <v>12843</v>
      </c>
      <c r="C4794" s="35">
        <v>63.01860046</v>
      </c>
      <c r="D4794" s="35">
        <v>-154.3580017</v>
      </c>
      <c r="E4794" s="32" t="s">
        <v>180</v>
      </c>
      <c r="F4794" s="32" t="s">
        <v>12844</v>
      </c>
      <c r="G4794" s="39" t="s">
        <v>181</v>
      </c>
      <c r="H4794" s="33"/>
      <c r="I4794" s="33"/>
      <c r="J4794" s="33"/>
      <c r="K4794" s="33"/>
      <c r="L4794" s="33"/>
      <c r="M4794" s="33"/>
    </row>
    <row r="4795">
      <c r="A4795" s="32" t="s">
        <v>12845</v>
      </c>
      <c r="B4795" s="32" t="s">
        <v>12846</v>
      </c>
      <c r="C4795" s="35">
        <v>35.6853981</v>
      </c>
      <c r="D4795" s="35">
        <v>-117.6920013</v>
      </c>
      <c r="E4795" s="32" t="s">
        <v>180</v>
      </c>
      <c r="F4795" s="32" t="s">
        <v>12847</v>
      </c>
      <c r="G4795" s="39" t="s">
        <v>181</v>
      </c>
      <c r="H4795" s="33"/>
      <c r="I4795" s="33"/>
      <c r="J4795" s="33"/>
      <c r="K4795" s="33"/>
      <c r="L4795" s="33"/>
      <c r="M4795" s="33"/>
    </row>
    <row r="4796">
      <c r="A4796" s="32" t="s">
        <v>12848</v>
      </c>
      <c r="B4796" s="32" t="s">
        <v>12849</v>
      </c>
      <c r="C4796" s="35">
        <v>-1.314440012</v>
      </c>
      <c r="D4796" s="35">
        <v>176.4100037</v>
      </c>
      <c r="E4796" s="32" t="s">
        <v>3439</v>
      </c>
      <c r="F4796" s="32" t="s">
        <v>12850</v>
      </c>
      <c r="G4796" s="36" t="e">
        <v>#N/A</v>
      </c>
      <c r="H4796" s="33"/>
      <c r="I4796" s="33"/>
      <c r="J4796" s="33"/>
      <c r="K4796" s="33"/>
      <c r="L4796" s="33"/>
      <c r="M4796" s="33"/>
    </row>
    <row r="4797">
      <c r="A4797" s="32" t="s">
        <v>12851</v>
      </c>
      <c r="B4797" s="32" t="s">
        <v>12852</v>
      </c>
      <c r="C4797" s="35">
        <v>13.48149967</v>
      </c>
      <c r="D4797" s="35">
        <v>2.183609962</v>
      </c>
      <c r="E4797" s="32" t="s">
        <v>168</v>
      </c>
      <c r="F4797" s="32" t="s">
        <v>12853</v>
      </c>
      <c r="G4797" s="36" t="e">
        <v>#N/A</v>
      </c>
      <c r="H4797" s="33"/>
      <c r="I4797" s="33"/>
      <c r="J4797" s="33"/>
      <c r="K4797" s="33"/>
      <c r="L4797" s="33"/>
      <c r="M4797" s="33"/>
    </row>
    <row r="4798">
      <c r="A4798" s="32" t="s">
        <v>12854</v>
      </c>
      <c r="B4798" s="32" t="s">
        <v>12855</v>
      </c>
      <c r="C4798" s="35">
        <v>-2.717499971</v>
      </c>
      <c r="D4798" s="35">
        <v>17.68470001</v>
      </c>
      <c r="E4798" s="32" t="s">
        <v>800</v>
      </c>
      <c r="F4798" s="32" t="s">
        <v>12856</v>
      </c>
      <c r="G4798" s="36" t="e">
        <v>#N/A</v>
      </c>
      <c r="H4798" s="33"/>
      <c r="I4798" s="33"/>
      <c r="J4798" s="33"/>
      <c r="K4798" s="33"/>
      <c r="L4798" s="33"/>
      <c r="M4798" s="33"/>
    </row>
    <row r="4799">
      <c r="A4799" s="32" t="s">
        <v>12857</v>
      </c>
      <c r="B4799" s="32" t="s">
        <v>12858</v>
      </c>
      <c r="C4799" s="35">
        <v>46.313477</v>
      </c>
      <c r="D4799" s="35">
        <v>-0.394529</v>
      </c>
      <c r="E4799" s="32" t="s">
        <v>96</v>
      </c>
      <c r="F4799" s="32" t="s">
        <v>12859</v>
      </c>
      <c r="G4799" s="39" t="s">
        <v>97</v>
      </c>
      <c r="H4799" s="33"/>
      <c r="I4799" s="33"/>
      <c r="J4799" s="33"/>
      <c r="K4799" s="33"/>
      <c r="L4799" s="33"/>
      <c r="M4799" s="33"/>
    </row>
    <row r="4800">
      <c r="A4800" s="32" t="s">
        <v>12860</v>
      </c>
      <c r="B4800" s="32" t="s">
        <v>12861</v>
      </c>
      <c r="C4800" s="35">
        <v>-16.1191</v>
      </c>
      <c r="D4800" s="35">
        <v>-146.3683</v>
      </c>
      <c r="E4800" s="32" t="s">
        <v>1325</v>
      </c>
      <c r="F4800" s="32" t="s">
        <v>12862</v>
      </c>
      <c r="G4800" s="36" t="e">
        <v>#N/A</v>
      </c>
      <c r="H4800" s="33"/>
      <c r="I4800" s="33"/>
      <c r="J4800" s="33"/>
      <c r="K4800" s="33"/>
      <c r="L4800" s="33"/>
      <c r="M4800" s="33"/>
    </row>
    <row r="4801">
      <c r="A4801" s="32" t="s">
        <v>12863</v>
      </c>
      <c r="B4801" s="32" t="s">
        <v>12864</v>
      </c>
      <c r="C4801" s="35">
        <v>60.94929886</v>
      </c>
      <c r="D4801" s="35">
        <v>76.4835968</v>
      </c>
      <c r="E4801" s="32" t="s">
        <v>2040</v>
      </c>
      <c r="F4801" s="32" t="s">
        <v>12865</v>
      </c>
      <c r="G4801" s="36" t="e">
        <v>#N/A</v>
      </c>
      <c r="H4801" s="33"/>
      <c r="I4801" s="33"/>
      <c r="J4801" s="33"/>
      <c r="K4801" s="33"/>
      <c r="L4801" s="33"/>
      <c r="M4801" s="33"/>
    </row>
    <row r="4802">
      <c r="A4802" s="32" t="s">
        <v>12866</v>
      </c>
      <c r="B4802" s="32" t="s">
        <v>12867</v>
      </c>
      <c r="C4802" s="35">
        <v>31.989853</v>
      </c>
      <c r="D4802" s="35">
        <v>44.404317</v>
      </c>
      <c r="E4802" s="32" t="s">
        <v>259</v>
      </c>
      <c r="F4802" s="32" t="s">
        <v>12868</v>
      </c>
      <c r="G4802" s="36" t="e">
        <v>#N/A</v>
      </c>
      <c r="H4802" s="33"/>
      <c r="I4802" s="33"/>
      <c r="J4802" s="33"/>
      <c r="K4802" s="33"/>
      <c r="L4802" s="33"/>
      <c r="M4802" s="33"/>
    </row>
    <row r="4803">
      <c r="A4803" s="32" t="s">
        <v>12869</v>
      </c>
      <c r="B4803" s="32" t="s">
        <v>12870</v>
      </c>
      <c r="C4803" s="35">
        <v>32.82920074</v>
      </c>
      <c r="D4803" s="35">
        <v>-115.6719971</v>
      </c>
      <c r="E4803" s="32" t="s">
        <v>180</v>
      </c>
      <c r="F4803" s="32" t="s">
        <v>12871</v>
      </c>
      <c r="G4803" s="39" t="s">
        <v>181</v>
      </c>
      <c r="H4803" s="33"/>
      <c r="I4803" s="33"/>
      <c r="J4803" s="33"/>
      <c r="K4803" s="33"/>
      <c r="L4803" s="33"/>
      <c r="M4803" s="33"/>
    </row>
    <row r="4804">
      <c r="A4804" s="32" t="s">
        <v>12872</v>
      </c>
      <c r="B4804" s="32" t="s">
        <v>12873</v>
      </c>
      <c r="C4804" s="35">
        <v>18.09819984</v>
      </c>
      <c r="D4804" s="35">
        <v>-15.94849968</v>
      </c>
      <c r="E4804" s="32" t="s">
        <v>817</v>
      </c>
      <c r="F4804" s="32" t="s">
        <v>12874</v>
      </c>
      <c r="G4804" s="36" t="e">
        <v>#N/A</v>
      </c>
      <c r="H4804" s="33"/>
      <c r="I4804" s="33"/>
      <c r="J4804" s="33"/>
      <c r="K4804" s="33"/>
      <c r="L4804" s="33"/>
      <c r="M4804" s="33"/>
    </row>
    <row r="4805">
      <c r="A4805" s="32" t="s">
        <v>12875</v>
      </c>
      <c r="B4805" s="32" t="s">
        <v>12876</v>
      </c>
      <c r="C4805" s="35">
        <v>31.74200058</v>
      </c>
      <c r="D4805" s="35">
        <v>118.8619995</v>
      </c>
      <c r="E4805" s="32" t="s">
        <v>205</v>
      </c>
      <c r="F4805" s="32" t="s">
        <v>12877</v>
      </c>
      <c r="G4805" s="39" t="s">
        <v>206</v>
      </c>
      <c r="H4805" s="33"/>
      <c r="I4805" s="33"/>
      <c r="J4805" s="33"/>
      <c r="K4805" s="33"/>
      <c r="L4805" s="33"/>
      <c r="M4805" s="33"/>
    </row>
    <row r="4806">
      <c r="A4806" s="32" t="s">
        <v>12878</v>
      </c>
      <c r="B4806" s="32" t="s">
        <v>12879</v>
      </c>
      <c r="C4806" s="35">
        <v>35.25500107</v>
      </c>
      <c r="D4806" s="35">
        <v>136.923996</v>
      </c>
      <c r="E4806" s="32" t="s">
        <v>170</v>
      </c>
      <c r="F4806" s="32" t="s">
        <v>12810</v>
      </c>
      <c r="G4806" s="39" t="s">
        <v>171</v>
      </c>
      <c r="H4806" s="33"/>
      <c r="I4806" s="33"/>
      <c r="J4806" s="33"/>
      <c r="K4806" s="33"/>
      <c r="L4806" s="33"/>
      <c r="M4806" s="33"/>
    </row>
    <row r="4807">
      <c r="A4807" s="32" t="s">
        <v>12880</v>
      </c>
      <c r="B4807" s="32" t="s">
        <v>12881</v>
      </c>
      <c r="C4807" s="35">
        <v>37.3647</v>
      </c>
      <c r="D4807" s="35">
        <v>42.0582</v>
      </c>
      <c r="E4807" s="32" t="s">
        <v>133</v>
      </c>
      <c r="F4807" s="32" t="s">
        <v>12882</v>
      </c>
      <c r="G4807" s="39" t="s">
        <v>134</v>
      </c>
      <c r="H4807" s="33"/>
      <c r="I4807" s="33"/>
      <c r="J4807" s="33"/>
      <c r="K4807" s="33"/>
      <c r="L4807" s="33"/>
      <c r="M4807" s="33"/>
    </row>
    <row r="4808">
      <c r="A4808" s="32" t="s">
        <v>12883</v>
      </c>
      <c r="B4808" s="32" t="s">
        <v>12884</v>
      </c>
      <c r="C4808" s="35">
        <v>32.86840057</v>
      </c>
      <c r="D4808" s="35">
        <v>-117.1429977</v>
      </c>
      <c r="E4808" s="32" t="s">
        <v>180</v>
      </c>
      <c r="F4808" s="32" t="s">
        <v>12885</v>
      </c>
      <c r="G4808" s="39" t="s">
        <v>181</v>
      </c>
      <c r="H4808" s="33"/>
      <c r="I4808" s="33"/>
      <c r="J4808" s="33"/>
      <c r="K4808" s="33"/>
      <c r="L4808" s="33"/>
      <c r="M4808" s="33"/>
    </row>
    <row r="4809">
      <c r="A4809" s="32" t="s">
        <v>12886</v>
      </c>
      <c r="B4809" s="32" t="s">
        <v>12887</v>
      </c>
      <c r="C4809" s="35">
        <v>-12.99810028</v>
      </c>
      <c r="D4809" s="35">
        <v>28.66489983</v>
      </c>
      <c r="E4809" s="32" t="s">
        <v>759</v>
      </c>
      <c r="F4809" s="32" t="s">
        <v>12888</v>
      </c>
      <c r="G4809" s="36" t="e">
        <v>#N/A</v>
      </c>
      <c r="H4809" s="33"/>
      <c r="I4809" s="33"/>
      <c r="J4809" s="33"/>
      <c r="K4809" s="33"/>
      <c r="L4809" s="33"/>
      <c r="M4809" s="33"/>
    </row>
    <row r="4810">
      <c r="A4810" s="32" t="s">
        <v>12889</v>
      </c>
      <c r="B4810" s="32" t="s">
        <v>12890</v>
      </c>
      <c r="C4810" s="35">
        <v>36.33300018</v>
      </c>
      <c r="D4810" s="35">
        <v>-119.9520035</v>
      </c>
      <c r="E4810" s="32" t="s">
        <v>180</v>
      </c>
      <c r="F4810" s="32" t="s">
        <v>12891</v>
      </c>
      <c r="G4810" s="39" t="s">
        <v>181</v>
      </c>
      <c r="H4810" s="33"/>
      <c r="I4810" s="33"/>
      <c r="J4810" s="33"/>
      <c r="K4810" s="33"/>
      <c r="L4810" s="33"/>
      <c r="M4810" s="33"/>
    </row>
    <row r="4811">
      <c r="A4811" s="32" t="s">
        <v>12892</v>
      </c>
      <c r="B4811" s="32" t="s">
        <v>12893</v>
      </c>
      <c r="C4811" s="35">
        <v>27.44389915</v>
      </c>
      <c r="D4811" s="35">
        <v>-99.57050323</v>
      </c>
      <c r="E4811" s="32" t="s">
        <v>186</v>
      </c>
      <c r="F4811" s="32" t="s">
        <v>12894</v>
      </c>
      <c r="G4811" s="39" t="s">
        <v>187</v>
      </c>
      <c r="H4811" s="33"/>
      <c r="I4811" s="33"/>
      <c r="J4811" s="33"/>
      <c r="K4811" s="33"/>
      <c r="L4811" s="33"/>
      <c r="M4811" s="33"/>
    </row>
    <row r="4812">
      <c r="A4812" s="32" t="s">
        <v>12895</v>
      </c>
      <c r="B4812" s="32" t="s">
        <v>12896</v>
      </c>
      <c r="C4812" s="35">
        <v>-9.583330154</v>
      </c>
      <c r="D4812" s="35">
        <v>143.7669983</v>
      </c>
      <c r="E4812" s="32" t="s">
        <v>1968</v>
      </c>
      <c r="F4812" s="32" t="s">
        <v>12897</v>
      </c>
      <c r="G4812" s="36" t="e">
        <v>#N/A</v>
      </c>
      <c r="H4812" s="33"/>
      <c r="I4812" s="33"/>
      <c r="J4812" s="33"/>
      <c r="K4812" s="33"/>
      <c r="L4812" s="33"/>
      <c r="M4812" s="33"/>
    </row>
    <row r="4813">
      <c r="A4813" s="32" t="s">
        <v>12898</v>
      </c>
      <c r="B4813" s="32" t="s">
        <v>12899</v>
      </c>
      <c r="C4813" s="35">
        <v>56.00749969</v>
      </c>
      <c r="D4813" s="35">
        <v>-161.1600037</v>
      </c>
      <c r="E4813" s="32" t="s">
        <v>180</v>
      </c>
      <c r="F4813" s="32" t="s">
        <v>12900</v>
      </c>
      <c r="G4813" s="39" t="s">
        <v>181</v>
      </c>
      <c r="H4813" s="33"/>
      <c r="I4813" s="33"/>
      <c r="J4813" s="33"/>
      <c r="K4813" s="33"/>
      <c r="L4813" s="33"/>
      <c r="M4813" s="33"/>
    </row>
    <row r="4814">
      <c r="A4814" s="32" t="s">
        <v>12901</v>
      </c>
      <c r="B4814" s="32" t="s">
        <v>12902</v>
      </c>
      <c r="C4814" s="35">
        <v>53.15499878</v>
      </c>
      <c r="D4814" s="35">
        <v>140.6499939</v>
      </c>
      <c r="E4814" s="32" t="s">
        <v>2040</v>
      </c>
      <c r="F4814" s="32" t="s">
        <v>12902</v>
      </c>
      <c r="G4814" s="36" t="e">
        <v>#N/A</v>
      </c>
      <c r="H4814" s="33"/>
      <c r="I4814" s="33"/>
      <c r="J4814" s="33"/>
      <c r="K4814" s="33"/>
      <c r="L4814" s="33"/>
      <c r="M4814" s="33"/>
    </row>
    <row r="4815">
      <c r="A4815" s="32" t="s">
        <v>12903</v>
      </c>
      <c r="B4815" s="32" t="s">
        <v>12904</v>
      </c>
      <c r="C4815" s="35">
        <v>-29.04159927</v>
      </c>
      <c r="D4815" s="35">
        <v>167.9389954</v>
      </c>
      <c r="E4815" s="32" t="s">
        <v>12905</v>
      </c>
      <c r="F4815" s="32" t="s">
        <v>12905</v>
      </c>
      <c r="G4815" s="36" t="e">
        <v>#N/A</v>
      </c>
      <c r="H4815" s="33"/>
      <c r="I4815" s="33"/>
      <c r="J4815" s="33"/>
      <c r="K4815" s="33"/>
      <c r="L4815" s="33"/>
      <c r="M4815" s="33"/>
    </row>
    <row r="4816">
      <c r="A4816" s="32" t="s">
        <v>12906</v>
      </c>
      <c r="B4816" s="32" t="s">
        <v>12907</v>
      </c>
      <c r="C4816" s="35">
        <v>-4.326660156</v>
      </c>
      <c r="D4816" s="35">
        <v>15.32750034</v>
      </c>
      <c r="E4816" s="32" t="s">
        <v>800</v>
      </c>
      <c r="F4816" s="32" t="s">
        <v>7612</v>
      </c>
      <c r="G4816" s="36" t="e">
        <v>#N/A</v>
      </c>
      <c r="H4816" s="33"/>
      <c r="I4816" s="33"/>
      <c r="J4816" s="33"/>
      <c r="K4816" s="33"/>
      <c r="L4816" s="33"/>
      <c r="M4816" s="33"/>
    </row>
    <row r="4817">
      <c r="A4817" s="32" t="s">
        <v>12908</v>
      </c>
      <c r="B4817" s="32" t="s">
        <v>12909</v>
      </c>
      <c r="C4817" s="35">
        <v>-25.5</v>
      </c>
      <c r="D4817" s="35">
        <v>30.91379929</v>
      </c>
      <c r="E4817" s="32" t="s">
        <v>16</v>
      </c>
      <c r="F4817" s="32" t="s">
        <v>12910</v>
      </c>
      <c r="G4817" s="36" t="e">
        <v>#N/A</v>
      </c>
      <c r="H4817" s="33"/>
      <c r="I4817" s="33"/>
      <c r="J4817" s="33"/>
      <c r="K4817" s="33"/>
      <c r="L4817" s="33"/>
      <c r="M4817" s="33"/>
    </row>
    <row r="4818">
      <c r="A4818" s="32" t="s">
        <v>12911</v>
      </c>
      <c r="B4818" s="32" t="s">
        <v>12912</v>
      </c>
      <c r="C4818" s="35">
        <v>43.4318</v>
      </c>
      <c r="D4818" s="35">
        <v>83.3786</v>
      </c>
      <c r="E4818" s="32" t="s">
        <v>205</v>
      </c>
      <c r="F4818" s="32" t="s">
        <v>12913</v>
      </c>
      <c r="G4818" s="39" t="s">
        <v>206</v>
      </c>
      <c r="H4818" s="33"/>
      <c r="I4818" s="33"/>
      <c r="J4818" s="33"/>
      <c r="K4818" s="33"/>
      <c r="L4818" s="33"/>
      <c r="M4818" s="33"/>
    </row>
    <row r="4819">
      <c r="A4819" s="32" t="s">
        <v>12914</v>
      </c>
      <c r="B4819" s="32" t="s">
        <v>12915</v>
      </c>
      <c r="C4819" s="35">
        <v>47.05789948</v>
      </c>
      <c r="D4819" s="35">
        <v>31.9197998</v>
      </c>
      <c r="E4819" s="32" t="s">
        <v>3293</v>
      </c>
      <c r="F4819" s="32" t="s">
        <v>12916</v>
      </c>
      <c r="G4819" s="36" t="e">
        <v>#N/A</v>
      </c>
      <c r="H4819" s="33"/>
      <c r="I4819" s="33"/>
      <c r="J4819" s="33"/>
      <c r="K4819" s="33"/>
      <c r="L4819" s="33"/>
      <c r="M4819" s="33"/>
    </row>
    <row r="4820">
      <c r="A4820" s="32" t="s">
        <v>12917</v>
      </c>
      <c r="B4820" s="32" t="s">
        <v>12918</v>
      </c>
      <c r="C4820" s="35">
        <v>40.98460007</v>
      </c>
      <c r="D4820" s="35">
        <v>71.55670166</v>
      </c>
      <c r="E4820" s="32" t="s">
        <v>3332</v>
      </c>
      <c r="F4820" s="32" t="s">
        <v>12919</v>
      </c>
      <c r="G4820" s="36" t="e">
        <v>#N/A</v>
      </c>
      <c r="H4820" s="33"/>
      <c r="I4820" s="33"/>
      <c r="J4820" s="33"/>
      <c r="K4820" s="33"/>
      <c r="L4820" s="33"/>
      <c r="M4820" s="33"/>
    </row>
    <row r="4821">
      <c r="A4821" s="32" t="s">
        <v>12920</v>
      </c>
      <c r="B4821" s="32" t="s">
        <v>12921</v>
      </c>
      <c r="C4821" s="35">
        <v>20.43440056</v>
      </c>
      <c r="D4821" s="35">
        <v>72.84320068</v>
      </c>
      <c r="E4821" s="32" t="s">
        <v>217</v>
      </c>
      <c r="F4821" s="32" t="s">
        <v>12922</v>
      </c>
      <c r="G4821" s="39" t="s">
        <v>218</v>
      </c>
      <c r="H4821" s="33"/>
      <c r="I4821" s="33"/>
      <c r="J4821" s="33"/>
      <c r="K4821" s="33"/>
      <c r="L4821" s="33"/>
      <c r="M4821" s="33"/>
    </row>
    <row r="4822">
      <c r="A4822" s="32" t="s">
        <v>12923</v>
      </c>
      <c r="B4822" s="32" t="s">
        <v>12924</v>
      </c>
      <c r="C4822" s="35">
        <v>60.47100067</v>
      </c>
      <c r="D4822" s="35">
        <v>-164.701004</v>
      </c>
      <c r="E4822" s="32" t="s">
        <v>180</v>
      </c>
      <c r="F4822" s="32" t="s">
        <v>12925</v>
      </c>
      <c r="G4822" s="39" t="s">
        <v>181</v>
      </c>
      <c r="H4822" s="33"/>
      <c r="I4822" s="33"/>
      <c r="J4822" s="33"/>
      <c r="K4822" s="33"/>
      <c r="L4822" s="33"/>
      <c r="M4822" s="33"/>
    </row>
    <row r="4823">
      <c r="A4823" s="32" t="s">
        <v>12926</v>
      </c>
      <c r="B4823" s="32" t="s">
        <v>12927</v>
      </c>
      <c r="C4823" s="35">
        <v>34.2989006</v>
      </c>
      <c r="D4823" s="35">
        <v>-6.595880032</v>
      </c>
      <c r="E4823" s="32" t="s">
        <v>17</v>
      </c>
      <c r="F4823" s="32" t="s">
        <v>12928</v>
      </c>
      <c r="G4823" s="36" t="e">
        <v>#N/A</v>
      </c>
      <c r="H4823" s="33"/>
      <c r="I4823" s="33"/>
      <c r="J4823" s="33"/>
      <c r="K4823" s="33"/>
      <c r="L4823" s="33"/>
      <c r="M4823" s="33"/>
    </row>
    <row r="4824">
      <c r="A4824" s="32" t="s">
        <v>12929</v>
      </c>
      <c r="B4824" s="32" t="s">
        <v>6212</v>
      </c>
      <c r="C4824" s="35">
        <v>-10.847994</v>
      </c>
      <c r="D4824" s="35">
        <v>162.454108</v>
      </c>
      <c r="E4824" s="32" t="s">
        <v>3666</v>
      </c>
      <c r="F4824" s="32" t="s">
        <v>1750</v>
      </c>
      <c r="G4824" s="36" t="e">
        <v>#N/A</v>
      </c>
      <c r="H4824" s="33"/>
      <c r="I4824" s="33"/>
      <c r="J4824" s="33"/>
      <c r="K4824" s="33"/>
      <c r="L4824" s="33"/>
      <c r="M4824" s="33"/>
    </row>
    <row r="4825">
      <c r="A4825" s="32" t="s">
        <v>12930</v>
      </c>
      <c r="B4825" s="32" t="s">
        <v>12931</v>
      </c>
      <c r="C4825" s="35">
        <v>22.60829926</v>
      </c>
      <c r="D4825" s="35">
        <v>108.1719971</v>
      </c>
      <c r="E4825" s="32" t="s">
        <v>205</v>
      </c>
      <c r="F4825" s="32" t="s">
        <v>12932</v>
      </c>
      <c r="G4825" s="39" t="s">
        <v>206</v>
      </c>
      <c r="H4825" s="33"/>
      <c r="I4825" s="33"/>
      <c r="J4825" s="33"/>
      <c r="K4825" s="33"/>
      <c r="L4825" s="33"/>
      <c r="M4825" s="33"/>
    </row>
    <row r="4826">
      <c r="A4826" s="32" t="s">
        <v>12933</v>
      </c>
      <c r="B4826" s="32" t="s">
        <v>12934</v>
      </c>
      <c r="C4826" s="35">
        <v>59.98020172</v>
      </c>
      <c r="D4826" s="35">
        <v>-154.8390045</v>
      </c>
      <c r="E4826" s="32" t="s">
        <v>180</v>
      </c>
      <c r="F4826" s="32" t="s">
        <v>12935</v>
      </c>
      <c r="G4826" s="39" t="s">
        <v>181</v>
      </c>
      <c r="H4826" s="33"/>
      <c r="I4826" s="33"/>
      <c r="J4826" s="33"/>
      <c r="K4826" s="33"/>
      <c r="L4826" s="33"/>
      <c r="M4826" s="33"/>
    </row>
    <row r="4827">
      <c r="A4827" s="32" t="s">
        <v>12936</v>
      </c>
      <c r="B4827" s="32" t="s">
        <v>12937</v>
      </c>
      <c r="C4827" s="35">
        <v>67.63999939</v>
      </c>
      <c r="D4827" s="35">
        <v>53.12189865</v>
      </c>
      <c r="E4827" s="32" t="s">
        <v>2040</v>
      </c>
      <c r="F4827" s="32" t="s">
        <v>12938</v>
      </c>
      <c r="G4827" s="36" t="e">
        <v>#N/A</v>
      </c>
      <c r="H4827" s="33"/>
      <c r="I4827" s="33"/>
      <c r="J4827" s="33"/>
      <c r="K4827" s="33"/>
      <c r="L4827" s="33"/>
      <c r="M4827" s="33"/>
    </row>
    <row r="4828">
      <c r="A4828" s="32" t="s">
        <v>12939</v>
      </c>
      <c r="B4828" s="32" t="s">
        <v>12940</v>
      </c>
      <c r="C4828" s="35">
        <v>53.2303009</v>
      </c>
      <c r="D4828" s="35">
        <v>-9.467780113</v>
      </c>
      <c r="E4828" s="32" t="s">
        <v>199</v>
      </c>
      <c r="F4828" s="32" t="s">
        <v>12941</v>
      </c>
      <c r="G4828" s="39" t="s">
        <v>200</v>
      </c>
      <c r="H4828" s="33"/>
      <c r="I4828" s="33"/>
      <c r="J4828" s="33"/>
      <c r="K4828" s="33"/>
      <c r="L4828" s="33"/>
      <c r="M4828" s="33"/>
    </row>
    <row r="4829">
      <c r="A4829" s="32" t="s">
        <v>12942</v>
      </c>
      <c r="B4829" s="32" t="s">
        <v>12943</v>
      </c>
      <c r="C4829" s="35">
        <v>18.80789948</v>
      </c>
      <c r="D4829" s="35">
        <v>100.7829971</v>
      </c>
      <c r="E4829" s="32" t="s">
        <v>175</v>
      </c>
      <c r="F4829" s="32" t="s">
        <v>12944</v>
      </c>
      <c r="G4829" s="39" t="s">
        <v>176</v>
      </c>
      <c r="H4829" s="33"/>
      <c r="I4829" s="33"/>
      <c r="J4829" s="33"/>
      <c r="K4829" s="33"/>
      <c r="L4829" s="33"/>
      <c r="M4829" s="33"/>
    </row>
    <row r="4830">
      <c r="A4830" s="32" t="s">
        <v>12945</v>
      </c>
      <c r="B4830" s="32" t="s">
        <v>12946</v>
      </c>
      <c r="C4830" s="35">
        <v>4.133333333</v>
      </c>
      <c r="D4830" s="35">
        <v>117.6666667</v>
      </c>
      <c r="E4830" s="32" t="s">
        <v>280</v>
      </c>
      <c r="F4830" s="32" t="s">
        <v>12947</v>
      </c>
      <c r="G4830" s="36" t="e">
        <v>#N/A</v>
      </c>
      <c r="H4830" s="33"/>
      <c r="I4830" s="33"/>
      <c r="J4830" s="33"/>
      <c r="K4830" s="33"/>
      <c r="L4830" s="33"/>
      <c r="M4830" s="33"/>
    </row>
    <row r="4831">
      <c r="A4831" s="32" t="s">
        <v>12948</v>
      </c>
      <c r="B4831" s="32" t="s">
        <v>12949</v>
      </c>
      <c r="C4831" s="35">
        <v>32.980801</v>
      </c>
      <c r="D4831" s="35">
        <v>112.614998</v>
      </c>
      <c r="E4831" s="32" t="s">
        <v>205</v>
      </c>
      <c r="F4831" s="32" t="s">
        <v>12950</v>
      </c>
      <c r="G4831" s="39" t="s">
        <v>206</v>
      </c>
      <c r="H4831" s="33"/>
      <c r="I4831" s="33"/>
      <c r="J4831" s="33"/>
      <c r="K4831" s="33"/>
      <c r="L4831" s="33"/>
      <c r="M4831" s="33"/>
    </row>
    <row r="4832">
      <c r="A4832" s="32" t="s">
        <v>12951</v>
      </c>
      <c r="B4832" s="32" t="s">
        <v>12952</v>
      </c>
      <c r="C4832" s="35">
        <v>-34.94889832</v>
      </c>
      <c r="D4832" s="35">
        <v>150.5370026</v>
      </c>
      <c r="E4832" s="32" t="s">
        <v>1968</v>
      </c>
      <c r="F4832" s="32" t="s">
        <v>12953</v>
      </c>
      <c r="G4832" s="36" t="e">
        <v>#N/A</v>
      </c>
      <c r="H4832" s="33"/>
      <c r="I4832" s="33"/>
      <c r="J4832" s="33"/>
      <c r="K4832" s="33"/>
      <c r="L4832" s="33"/>
      <c r="M4832" s="33"/>
    </row>
    <row r="4833">
      <c r="A4833" s="32" t="s">
        <v>12954</v>
      </c>
      <c r="B4833" s="32" t="s">
        <v>12955</v>
      </c>
      <c r="C4833" s="35">
        <v>9.976490021</v>
      </c>
      <c r="D4833" s="35">
        <v>-85.65299988</v>
      </c>
      <c r="E4833" s="32" t="s">
        <v>1267</v>
      </c>
      <c r="F4833" s="32" t="s">
        <v>12956</v>
      </c>
      <c r="G4833" s="36" t="e">
        <v>#N/A</v>
      </c>
      <c r="H4833" s="33"/>
      <c r="I4833" s="33"/>
      <c r="J4833" s="33"/>
      <c r="K4833" s="33"/>
      <c r="L4833" s="33"/>
      <c r="M4833" s="33"/>
    </row>
    <row r="4834">
      <c r="A4834" s="32" t="s">
        <v>12957</v>
      </c>
      <c r="B4834" s="32" t="s">
        <v>12958</v>
      </c>
      <c r="C4834" s="35">
        <v>53.91030121</v>
      </c>
      <c r="D4834" s="35">
        <v>-8.818490028</v>
      </c>
      <c r="E4834" s="32" t="s">
        <v>199</v>
      </c>
      <c r="F4834" s="32" t="s">
        <v>12959</v>
      </c>
      <c r="G4834" s="39" t="s">
        <v>200</v>
      </c>
      <c r="H4834" s="33"/>
      <c r="I4834" s="33"/>
      <c r="J4834" s="33"/>
      <c r="K4834" s="33"/>
      <c r="L4834" s="33"/>
      <c r="M4834" s="33"/>
    </row>
    <row r="4835">
      <c r="A4835" s="32" t="s">
        <v>12960</v>
      </c>
      <c r="B4835" s="32" t="s">
        <v>12961</v>
      </c>
      <c r="C4835" s="35">
        <v>53.63305664</v>
      </c>
      <c r="D4835" s="35">
        <v>7.190278053</v>
      </c>
      <c r="E4835" s="32" t="s">
        <v>109</v>
      </c>
      <c r="F4835" s="32" t="s">
        <v>12962</v>
      </c>
      <c r="G4835" s="39" t="s">
        <v>110</v>
      </c>
      <c r="H4835" s="33"/>
      <c r="I4835" s="33"/>
      <c r="J4835" s="33"/>
      <c r="K4835" s="33"/>
      <c r="L4835" s="33"/>
      <c r="M4835" s="33"/>
    </row>
    <row r="4836">
      <c r="A4836" s="32" t="s">
        <v>12963</v>
      </c>
      <c r="B4836" s="32" t="s">
        <v>12964</v>
      </c>
      <c r="C4836" s="35">
        <v>31.22610092</v>
      </c>
      <c r="D4836" s="35">
        <v>-110.9759979</v>
      </c>
      <c r="E4836" s="32" t="s">
        <v>186</v>
      </c>
      <c r="F4836" s="32" t="s">
        <v>12965</v>
      </c>
      <c r="G4836" s="39" t="s">
        <v>187</v>
      </c>
      <c r="H4836" s="33"/>
      <c r="I4836" s="33"/>
      <c r="J4836" s="33"/>
      <c r="K4836" s="33"/>
      <c r="L4836" s="33"/>
      <c r="M4836" s="33"/>
    </row>
    <row r="4837">
      <c r="A4837" s="32" t="s">
        <v>12966</v>
      </c>
      <c r="B4837" s="32" t="s">
        <v>12967</v>
      </c>
      <c r="C4837" s="35">
        <v>63.18330002</v>
      </c>
      <c r="D4837" s="35">
        <v>75.26999664</v>
      </c>
      <c r="E4837" s="32" t="s">
        <v>2040</v>
      </c>
      <c r="F4837" s="32" t="s">
        <v>12968</v>
      </c>
      <c r="G4837" s="36" t="e">
        <v>#N/A</v>
      </c>
      <c r="H4837" s="33"/>
      <c r="I4837" s="33"/>
      <c r="J4837" s="33"/>
      <c r="K4837" s="33"/>
      <c r="L4837" s="33"/>
      <c r="M4837" s="33"/>
    </row>
    <row r="4838">
      <c r="A4838" s="32" t="s">
        <v>12969</v>
      </c>
      <c r="B4838" s="32" t="s">
        <v>12970</v>
      </c>
      <c r="C4838" s="35">
        <v>-0.63972199</v>
      </c>
      <c r="D4838" s="35">
        <v>174.4279938</v>
      </c>
      <c r="E4838" s="32" t="s">
        <v>3439</v>
      </c>
      <c r="F4838" s="32" t="s">
        <v>12971</v>
      </c>
      <c r="G4838" s="36" t="e">
        <v>#N/A</v>
      </c>
      <c r="H4838" s="33"/>
      <c r="I4838" s="33"/>
      <c r="J4838" s="33"/>
      <c r="K4838" s="33"/>
      <c r="L4838" s="33"/>
      <c r="M4838" s="33"/>
    </row>
    <row r="4839">
      <c r="A4839" s="32" t="s">
        <v>12972</v>
      </c>
      <c r="B4839" s="32" t="s">
        <v>12973</v>
      </c>
      <c r="C4839" s="35">
        <v>65.13189697</v>
      </c>
      <c r="D4839" s="35">
        <v>-13.74639988</v>
      </c>
      <c r="E4839" s="32" t="s">
        <v>2037</v>
      </c>
      <c r="F4839" s="32" t="s">
        <v>12974</v>
      </c>
      <c r="G4839" s="36" t="e">
        <v>#N/A</v>
      </c>
      <c r="H4839" s="33"/>
      <c r="I4839" s="33"/>
      <c r="J4839" s="33"/>
      <c r="K4839" s="33"/>
      <c r="L4839" s="33"/>
      <c r="M4839" s="33"/>
    </row>
    <row r="4840">
      <c r="A4840" s="32" t="s">
        <v>12975</v>
      </c>
      <c r="B4840" s="32" t="s">
        <v>12976</v>
      </c>
      <c r="C4840" s="35">
        <v>-13.31210041</v>
      </c>
      <c r="D4840" s="35">
        <v>48.31480026</v>
      </c>
      <c r="E4840" s="32" t="s">
        <v>384</v>
      </c>
      <c r="F4840" s="32" t="s">
        <v>12977</v>
      </c>
      <c r="G4840" s="36" t="e">
        <v>#N/A</v>
      </c>
      <c r="H4840" s="33"/>
      <c r="I4840" s="33"/>
      <c r="J4840" s="33"/>
      <c r="K4840" s="33"/>
      <c r="L4840" s="33"/>
      <c r="M4840" s="33"/>
    </row>
    <row r="4841">
      <c r="A4841" s="32" t="s">
        <v>12978</v>
      </c>
      <c r="B4841" s="32" t="s">
        <v>12979</v>
      </c>
      <c r="C4841" s="35">
        <v>-22.01460075</v>
      </c>
      <c r="D4841" s="35">
        <v>166.2129974</v>
      </c>
      <c r="E4841" s="32" t="s">
        <v>5002</v>
      </c>
      <c r="F4841" s="32" t="s">
        <v>7993</v>
      </c>
      <c r="G4841" s="36" t="e">
        <v>#N/A</v>
      </c>
      <c r="H4841" s="33"/>
      <c r="I4841" s="33"/>
      <c r="J4841" s="33"/>
      <c r="K4841" s="33"/>
      <c r="L4841" s="33"/>
      <c r="M4841" s="33"/>
    </row>
    <row r="4842">
      <c r="A4842" s="32" t="s">
        <v>12980</v>
      </c>
      <c r="B4842" s="32" t="s">
        <v>12981</v>
      </c>
      <c r="C4842" s="35">
        <v>-12.80889988</v>
      </c>
      <c r="D4842" s="35">
        <v>15.76049995</v>
      </c>
      <c r="E4842" s="32" t="s">
        <v>764</v>
      </c>
      <c r="F4842" s="32" t="s">
        <v>12982</v>
      </c>
      <c r="G4842" s="36" t="e">
        <v>#N/A</v>
      </c>
      <c r="H4842" s="33"/>
      <c r="I4842" s="33"/>
      <c r="J4842" s="33"/>
      <c r="K4842" s="33"/>
      <c r="L4842" s="33"/>
      <c r="M4842" s="33"/>
    </row>
    <row r="4843">
      <c r="A4843" s="32" t="s">
        <v>12983</v>
      </c>
      <c r="B4843" s="32" t="s">
        <v>12984</v>
      </c>
      <c r="C4843" s="35">
        <v>48.14149857</v>
      </c>
      <c r="D4843" s="35">
        <v>-123.4140015</v>
      </c>
      <c r="E4843" s="32" t="s">
        <v>180</v>
      </c>
      <c r="F4843" s="32" t="s">
        <v>5987</v>
      </c>
      <c r="G4843" s="39" t="s">
        <v>181</v>
      </c>
      <c r="H4843" s="33"/>
      <c r="I4843" s="33"/>
      <c r="J4843" s="33"/>
      <c r="K4843" s="33"/>
      <c r="L4843" s="33"/>
      <c r="M4843" s="33"/>
    </row>
    <row r="4844">
      <c r="A4844" s="32" t="s">
        <v>12985</v>
      </c>
      <c r="B4844" s="32" t="s">
        <v>12986</v>
      </c>
      <c r="C4844" s="35">
        <v>53.81140137</v>
      </c>
      <c r="D4844" s="35">
        <v>86.87719727</v>
      </c>
      <c r="E4844" s="32" t="s">
        <v>2040</v>
      </c>
      <c r="F4844" s="32" t="s">
        <v>12987</v>
      </c>
      <c r="G4844" s="36" t="e">
        <v>#N/A</v>
      </c>
      <c r="H4844" s="33"/>
      <c r="I4844" s="33"/>
      <c r="J4844" s="33"/>
      <c r="K4844" s="33"/>
      <c r="L4844" s="33"/>
      <c r="M4844" s="33"/>
    </row>
    <row r="4845">
      <c r="A4845" s="32" t="s">
        <v>12988</v>
      </c>
      <c r="B4845" s="32" t="s">
        <v>12989</v>
      </c>
      <c r="C4845" s="35">
        <v>30.35269928</v>
      </c>
      <c r="D4845" s="35">
        <v>-87.31860352</v>
      </c>
      <c r="E4845" s="32" t="s">
        <v>180</v>
      </c>
      <c r="F4845" s="32" t="s">
        <v>12990</v>
      </c>
      <c r="G4845" s="39" t="s">
        <v>181</v>
      </c>
      <c r="H4845" s="33"/>
      <c r="I4845" s="33"/>
      <c r="J4845" s="33"/>
      <c r="K4845" s="33"/>
      <c r="L4845" s="33"/>
      <c r="M4845" s="33"/>
    </row>
    <row r="4846">
      <c r="A4846" s="32" t="s">
        <v>12991</v>
      </c>
      <c r="B4846" s="32" t="s">
        <v>12992</v>
      </c>
      <c r="C4846" s="35">
        <v>-39.465801</v>
      </c>
      <c r="D4846" s="35">
        <v>176.869995</v>
      </c>
      <c r="E4846" s="32" t="s">
        <v>1328</v>
      </c>
      <c r="F4846" s="32" t="s">
        <v>12993</v>
      </c>
      <c r="G4846" s="36" t="e">
        <v>#N/A</v>
      </c>
      <c r="H4846" s="33"/>
      <c r="I4846" s="33"/>
      <c r="J4846" s="33"/>
      <c r="K4846" s="33"/>
      <c r="L4846" s="33"/>
      <c r="M4846" s="33"/>
    </row>
    <row r="4847">
      <c r="A4847" s="32" t="s">
        <v>12994</v>
      </c>
      <c r="B4847" s="32" t="s">
        <v>12995</v>
      </c>
      <c r="C4847" s="35">
        <v>-39.00859833</v>
      </c>
      <c r="D4847" s="35">
        <v>174.1790009</v>
      </c>
      <c r="E4847" s="32" t="s">
        <v>1328</v>
      </c>
      <c r="F4847" s="32" t="s">
        <v>12996</v>
      </c>
      <c r="G4847" s="36" t="e">
        <v>#N/A</v>
      </c>
      <c r="H4847" s="33"/>
      <c r="I4847" s="33"/>
      <c r="J4847" s="33"/>
      <c r="K4847" s="33"/>
      <c r="L4847" s="33"/>
      <c r="M4847" s="33"/>
    </row>
    <row r="4848">
      <c r="A4848" s="32" t="s">
        <v>12997</v>
      </c>
      <c r="B4848" s="32" t="s">
        <v>12998</v>
      </c>
      <c r="C4848" s="35">
        <v>35.3567009</v>
      </c>
      <c r="D4848" s="35">
        <v>-89.87030029</v>
      </c>
      <c r="E4848" s="32" t="s">
        <v>180</v>
      </c>
      <c r="F4848" s="32" t="s">
        <v>12999</v>
      </c>
      <c r="G4848" s="39" t="s">
        <v>181</v>
      </c>
      <c r="H4848" s="33"/>
      <c r="I4848" s="33"/>
      <c r="J4848" s="33"/>
      <c r="K4848" s="33"/>
      <c r="L4848" s="33"/>
      <c r="M4848" s="33"/>
    </row>
    <row r="4849">
      <c r="A4849" s="32" t="s">
        <v>13000</v>
      </c>
      <c r="B4849" s="32" t="s">
        <v>13001</v>
      </c>
      <c r="C4849" s="35">
        <v>-38.94900131</v>
      </c>
      <c r="D4849" s="35">
        <v>-68.15570068</v>
      </c>
      <c r="E4849" s="32" t="s">
        <v>296</v>
      </c>
      <c r="F4849" s="32" t="s">
        <v>13002</v>
      </c>
      <c r="G4849" s="36" t="e">
        <v>#N/A</v>
      </c>
      <c r="H4849" s="33"/>
      <c r="I4849" s="33"/>
      <c r="J4849" s="33"/>
      <c r="K4849" s="33"/>
      <c r="L4849" s="33"/>
      <c r="M4849" s="33"/>
    </row>
    <row r="4850">
      <c r="A4850" s="32" t="s">
        <v>13003</v>
      </c>
      <c r="B4850" s="32" t="s">
        <v>13004</v>
      </c>
      <c r="C4850" s="35">
        <v>52.91999817</v>
      </c>
      <c r="D4850" s="35">
        <v>-1.079169989</v>
      </c>
      <c r="E4850" s="32" t="s">
        <v>90</v>
      </c>
      <c r="F4850" s="32" t="s">
        <v>13005</v>
      </c>
      <c r="G4850" s="39" t="s">
        <v>91</v>
      </c>
      <c r="H4850" s="33"/>
      <c r="I4850" s="33"/>
      <c r="J4850" s="33"/>
      <c r="K4850" s="33"/>
      <c r="L4850" s="33"/>
      <c r="M4850" s="33"/>
    </row>
    <row r="4851">
      <c r="A4851" s="32" t="s">
        <v>13006</v>
      </c>
      <c r="B4851" s="32" t="s">
        <v>13007</v>
      </c>
      <c r="C4851" s="35">
        <v>5.6964</v>
      </c>
      <c r="D4851" s="35">
        <v>-77.2806</v>
      </c>
      <c r="E4851" s="32" t="s">
        <v>292</v>
      </c>
      <c r="F4851" s="32" t="s">
        <v>13008</v>
      </c>
      <c r="G4851" s="36" t="e">
        <v>#N/A</v>
      </c>
      <c r="H4851" s="33"/>
      <c r="I4851" s="33"/>
      <c r="J4851" s="33"/>
      <c r="K4851" s="33"/>
      <c r="L4851" s="33"/>
      <c r="M4851" s="33"/>
    </row>
    <row r="4852">
      <c r="A4852" s="32" t="s">
        <v>13009</v>
      </c>
      <c r="B4852" s="32" t="s">
        <v>13010</v>
      </c>
      <c r="C4852" s="35">
        <v>24.57579994</v>
      </c>
      <c r="D4852" s="35">
        <v>-81.68890381</v>
      </c>
      <c r="E4852" s="32" t="s">
        <v>180</v>
      </c>
      <c r="F4852" s="32" t="s">
        <v>2590</v>
      </c>
      <c r="G4852" s="39" t="s">
        <v>181</v>
      </c>
      <c r="H4852" s="33"/>
      <c r="I4852" s="33"/>
      <c r="J4852" s="33"/>
      <c r="K4852" s="33"/>
      <c r="L4852" s="33"/>
      <c r="M4852" s="33"/>
    </row>
    <row r="4853">
      <c r="A4853" s="32" t="s">
        <v>13011</v>
      </c>
      <c r="B4853" s="32" t="s">
        <v>13012</v>
      </c>
      <c r="C4853" s="35">
        <v>50.44060135</v>
      </c>
      <c r="D4853" s="35">
        <v>-4.995409966</v>
      </c>
      <c r="E4853" s="32" t="s">
        <v>90</v>
      </c>
      <c r="F4853" s="32" t="s">
        <v>13013</v>
      </c>
      <c r="G4853" s="39" t="s">
        <v>91</v>
      </c>
      <c r="H4853" s="33"/>
      <c r="I4853" s="33"/>
      <c r="J4853" s="33"/>
      <c r="K4853" s="33"/>
      <c r="L4853" s="33"/>
      <c r="M4853" s="33"/>
    </row>
    <row r="4854">
      <c r="A4854" s="32" t="s">
        <v>13014</v>
      </c>
      <c r="B4854" s="32" t="s">
        <v>13015</v>
      </c>
      <c r="C4854" s="35">
        <v>-34.70220184</v>
      </c>
      <c r="D4854" s="35">
        <v>146.5119934</v>
      </c>
      <c r="E4854" s="32" t="s">
        <v>1968</v>
      </c>
      <c r="F4854" s="32" t="s">
        <v>13016</v>
      </c>
      <c r="G4854" s="36" t="e">
        <v>#N/A</v>
      </c>
      <c r="H4854" s="33"/>
      <c r="I4854" s="33"/>
      <c r="J4854" s="33"/>
      <c r="K4854" s="33"/>
      <c r="L4854" s="33"/>
      <c r="M4854" s="33"/>
    </row>
    <row r="4855">
      <c r="A4855" s="32" t="s">
        <v>13017</v>
      </c>
      <c r="B4855" s="32" t="s">
        <v>13018</v>
      </c>
      <c r="C4855" s="35">
        <v>30.39109993</v>
      </c>
      <c r="D4855" s="35">
        <v>-81.42469788</v>
      </c>
      <c r="E4855" s="32" t="s">
        <v>180</v>
      </c>
      <c r="F4855" s="32" t="s">
        <v>13019</v>
      </c>
      <c r="G4855" s="39" t="s">
        <v>181</v>
      </c>
      <c r="H4855" s="33"/>
      <c r="I4855" s="33"/>
      <c r="J4855" s="33"/>
      <c r="K4855" s="33"/>
      <c r="L4855" s="33"/>
      <c r="M4855" s="33"/>
    </row>
    <row r="4856">
      <c r="A4856" s="32" t="s">
        <v>13020</v>
      </c>
      <c r="B4856" s="32" t="s">
        <v>13021</v>
      </c>
      <c r="C4856" s="35">
        <v>53.70694351</v>
      </c>
      <c r="D4856" s="35">
        <v>7.230000019</v>
      </c>
      <c r="E4856" s="32" t="s">
        <v>109</v>
      </c>
      <c r="F4856" s="32" t="s">
        <v>13022</v>
      </c>
      <c r="G4856" s="39" t="s">
        <v>110</v>
      </c>
      <c r="H4856" s="33"/>
      <c r="I4856" s="33"/>
      <c r="J4856" s="33"/>
      <c r="K4856" s="33"/>
      <c r="L4856" s="33"/>
      <c r="M4856" s="33"/>
    </row>
    <row r="4857">
      <c r="A4857" s="32" t="s">
        <v>13023</v>
      </c>
      <c r="B4857" s="32" t="s">
        <v>13024</v>
      </c>
      <c r="C4857" s="35">
        <v>58.5862999</v>
      </c>
      <c r="D4857" s="35">
        <v>16.25060081</v>
      </c>
      <c r="E4857" s="32" t="s">
        <v>347</v>
      </c>
      <c r="F4857" s="32" t="s">
        <v>564</v>
      </c>
      <c r="G4857" s="36" t="e">
        <v>#N/A</v>
      </c>
      <c r="H4857" s="33"/>
      <c r="I4857" s="33"/>
      <c r="J4857" s="33"/>
      <c r="K4857" s="33"/>
      <c r="L4857" s="33"/>
      <c r="M4857" s="33"/>
    </row>
    <row r="4858">
      <c r="A4858" s="32" t="s">
        <v>13025</v>
      </c>
      <c r="B4858" s="32" t="s">
        <v>13026</v>
      </c>
      <c r="C4858" s="35">
        <v>59.36750031</v>
      </c>
      <c r="D4858" s="35">
        <v>-2.434439898</v>
      </c>
      <c r="E4858" s="32" t="s">
        <v>90</v>
      </c>
      <c r="F4858" s="32" t="s">
        <v>13027</v>
      </c>
      <c r="G4858" s="39" t="s">
        <v>91</v>
      </c>
      <c r="H4858" s="33"/>
      <c r="I4858" s="33"/>
      <c r="J4858" s="33"/>
      <c r="K4858" s="33"/>
      <c r="L4858" s="33"/>
      <c r="M4858" s="33"/>
    </row>
    <row r="4859">
      <c r="A4859" s="32" t="s">
        <v>13028</v>
      </c>
      <c r="B4859" s="32" t="s">
        <v>13029</v>
      </c>
      <c r="C4859" s="35">
        <v>51.60240173</v>
      </c>
      <c r="D4859" s="35">
        <v>6.142169952</v>
      </c>
      <c r="E4859" s="32" t="s">
        <v>109</v>
      </c>
      <c r="F4859" s="32" t="s">
        <v>13030</v>
      </c>
      <c r="G4859" s="39" t="s">
        <v>110</v>
      </c>
      <c r="H4859" s="33"/>
      <c r="I4859" s="33"/>
      <c r="J4859" s="33"/>
      <c r="K4859" s="33"/>
      <c r="L4859" s="33"/>
      <c r="M4859" s="33"/>
    </row>
    <row r="4860">
      <c r="A4860" s="32" t="s">
        <v>13031</v>
      </c>
      <c r="B4860" s="32" t="s">
        <v>13032</v>
      </c>
      <c r="C4860" s="35">
        <v>35.76470184</v>
      </c>
      <c r="D4860" s="35">
        <v>140.3860016</v>
      </c>
      <c r="E4860" s="32" t="s">
        <v>170</v>
      </c>
      <c r="F4860" s="32" t="s">
        <v>2993</v>
      </c>
      <c r="G4860" s="39" t="s">
        <v>171</v>
      </c>
      <c r="H4860" s="33"/>
      <c r="I4860" s="33"/>
      <c r="J4860" s="33"/>
      <c r="K4860" s="33"/>
      <c r="L4860" s="33"/>
      <c r="M4860" s="33"/>
    </row>
    <row r="4861">
      <c r="A4861" s="32" t="s">
        <v>13033</v>
      </c>
      <c r="B4861" s="32" t="s">
        <v>13034</v>
      </c>
      <c r="C4861" s="35">
        <v>30.7241993</v>
      </c>
      <c r="D4861" s="35">
        <v>-87.02189636</v>
      </c>
      <c r="E4861" s="32" t="s">
        <v>180</v>
      </c>
      <c r="F4861" s="32" t="s">
        <v>13035</v>
      </c>
      <c r="G4861" s="39" t="s">
        <v>181</v>
      </c>
      <c r="H4861" s="33"/>
      <c r="I4861" s="33"/>
      <c r="J4861" s="33"/>
      <c r="K4861" s="33"/>
      <c r="L4861" s="33"/>
      <c r="M4861" s="33"/>
    </row>
    <row r="4862">
      <c r="A4862" s="32" t="s">
        <v>13036</v>
      </c>
      <c r="B4862" s="32" t="s">
        <v>13037</v>
      </c>
      <c r="C4862" s="35">
        <v>36.66329956</v>
      </c>
      <c r="D4862" s="35">
        <v>51.46469879</v>
      </c>
      <c r="E4862" s="32" t="s">
        <v>1378</v>
      </c>
      <c r="F4862" s="32" t="s">
        <v>13038</v>
      </c>
      <c r="G4862" s="36" t="e">
        <v>#N/A</v>
      </c>
      <c r="H4862" s="33"/>
      <c r="I4862" s="33"/>
      <c r="J4862" s="33"/>
      <c r="K4862" s="33"/>
      <c r="L4862" s="33"/>
      <c r="M4862" s="33"/>
    </row>
    <row r="4863">
      <c r="A4863" s="32" t="s">
        <v>13039</v>
      </c>
      <c r="B4863" s="32" t="s">
        <v>13040</v>
      </c>
      <c r="C4863" s="35">
        <v>3.722559929</v>
      </c>
      <c r="D4863" s="35">
        <v>11.5532999</v>
      </c>
      <c r="E4863" s="32" t="s">
        <v>32</v>
      </c>
      <c r="F4863" s="32" t="s">
        <v>13041</v>
      </c>
      <c r="G4863" s="36" t="e">
        <v>#N/A</v>
      </c>
      <c r="H4863" s="33"/>
      <c r="I4863" s="33"/>
      <c r="J4863" s="33"/>
      <c r="K4863" s="33"/>
      <c r="L4863" s="33"/>
      <c r="M4863" s="33"/>
    </row>
    <row r="4864">
      <c r="A4864" s="32" t="s">
        <v>13042</v>
      </c>
      <c r="B4864" s="32" t="s">
        <v>13043</v>
      </c>
      <c r="C4864" s="35">
        <v>69.31109619</v>
      </c>
      <c r="D4864" s="35">
        <v>87.3321991</v>
      </c>
      <c r="E4864" s="32" t="s">
        <v>2040</v>
      </c>
      <c r="F4864" s="32" t="s">
        <v>13044</v>
      </c>
      <c r="G4864" s="36" t="e">
        <v>#N/A</v>
      </c>
      <c r="H4864" s="33"/>
      <c r="I4864" s="33"/>
      <c r="J4864" s="33"/>
      <c r="K4864" s="33"/>
      <c r="L4864" s="33"/>
      <c r="M4864" s="33"/>
    </row>
    <row r="4865">
      <c r="A4865" s="32" t="s">
        <v>13045</v>
      </c>
      <c r="B4865" s="32" t="s">
        <v>13046</v>
      </c>
      <c r="C4865" s="35">
        <v>-41.2983017</v>
      </c>
      <c r="D4865" s="35">
        <v>173.220993</v>
      </c>
      <c r="E4865" s="32" t="s">
        <v>1328</v>
      </c>
      <c r="F4865" s="32" t="s">
        <v>13047</v>
      </c>
      <c r="G4865" s="36" t="e">
        <v>#N/A</v>
      </c>
      <c r="H4865" s="33"/>
      <c r="I4865" s="33"/>
      <c r="J4865" s="33"/>
      <c r="K4865" s="33"/>
      <c r="L4865" s="33"/>
      <c r="M4865" s="33"/>
    </row>
    <row r="4866">
      <c r="A4866" s="32" t="s">
        <v>13048</v>
      </c>
      <c r="B4866" s="32" t="s">
        <v>13049</v>
      </c>
      <c r="C4866" s="35">
        <v>-32.03720093</v>
      </c>
      <c r="D4866" s="35">
        <v>150.8320007</v>
      </c>
      <c r="E4866" s="32" t="s">
        <v>1968</v>
      </c>
      <c r="F4866" s="32" t="s">
        <v>13050</v>
      </c>
      <c r="G4866" s="36" t="e">
        <v>#N/A</v>
      </c>
      <c r="H4866" s="33"/>
      <c r="I4866" s="33"/>
      <c r="J4866" s="33"/>
      <c r="K4866" s="33"/>
      <c r="L4866" s="33"/>
      <c r="M4866" s="33"/>
    </row>
    <row r="4867">
      <c r="A4867" s="32" t="s">
        <v>13051</v>
      </c>
      <c r="B4867" s="32" t="s">
        <v>13052</v>
      </c>
      <c r="C4867" s="35">
        <v>8.539620399</v>
      </c>
      <c r="D4867" s="35">
        <v>99.94470215</v>
      </c>
      <c r="E4867" s="32" t="s">
        <v>175</v>
      </c>
      <c r="F4867" s="32" t="s">
        <v>1905</v>
      </c>
      <c r="G4867" s="39" t="s">
        <v>176</v>
      </c>
      <c r="H4867" s="33"/>
      <c r="I4867" s="33"/>
      <c r="J4867" s="33"/>
      <c r="K4867" s="33"/>
      <c r="L4867" s="33"/>
      <c r="M4867" s="33"/>
    </row>
    <row r="4868">
      <c r="A4868" s="32" t="s">
        <v>13053</v>
      </c>
      <c r="B4868" s="32" t="s">
        <v>13054</v>
      </c>
      <c r="C4868" s="35">
        <v>37.401699</v>
      </c>
      <c r="D4868" s="35">
        <v>14.9224</v>
      </c>
      <c r="E4868" s="32" t="s">
        <v>103</v>
      </c>
      <c r="F4868" s="32" t="s">
        <v>13055</v>
      </c>
      <c r="G4868" s="39" t="s">
        <v>104</v>
      </c>
      <c r="H4868" s="33"/>
      <c r="I4868" s="33"/>
      <c r="J4868" s="33"/>
      <c r="K4868" s="33"/>
      <c r="L4868" s="33"/>
      <c r="M4868" s="33"/>
    </row>
    <row r="4869">
      <c r="A4869" s="32" t="s">
        <v>13056</v>
      </c>
      <c r="B4869" s="32" t="s">
        <v>13057</v>
      </c>
      <c r="C4869" s="35">
        <v>59.565701</v>
      </c>
      <c r="D4869" s="35">
        <v>9.21222</v>
      </c>
      <c r="E4869" s="32" t="s">
        <v>343</v>
      </c>
      <c r="F4869" s="32" t="s">
        <v>13058</v>
      </c>
      <c r="G4869" s="36" t="e">
        <v>#N/A</v>
      </c>
      <c r="H4869" s="33"/>
      <c r="I4869" s="33"/>
      <c r="J4869" s="33"/>
      <c r="K4869" s="33"/>
      <c r="L4869" s="33"/>
      <c r="M4869" s="33"/>
    </row>
    <row r="4870">
      <c r="A4870" s="32" t="s">
        <v>13059</v>
      </c>
      <c r="B4870" s="32" t="s">
        <v>13060</v>
      </c>
      <c r="C4870" s="35">
        <v>34.12030029</v>
      </c>
      <c r="D4870" s="35">
        <v>-119.1210022</v>
      </c>
      <c r="E4870" s="32" t="s">
        <v>180</v>
      </c>
      <c r="F4870" s="32" t="s">
        <v>13061</v>
      </c>
      <c r="G4870" s="39" t="s">
        <v>181</v>
      </c>
      <c r="H4870" s="33"/>
      <c r="I4870" s="33"/>
      <c r="J4870" s="33"/>
      <c r="K4870" s="33"/>
      <c r="L4870" s="33"/>
      <c r="M4870" s="33"/>
    </row>
    <row r="4871">
      <c r="A4871" s="32" t="s">
        <v>13062</v>
      </c>
      <c r="B4871" s="32" t="s">
        <v>13063</v>
      </c>
      <c r="C4871" s="35">
        <v>47.15319824</v>
      </c>
      <c r="D4871" s="35">
        <v>-1.610730052</v>
      </c>
      <c r="E4871" s="32" t="s">
        <v>96</v>
      </c>
      <c r="F4871" s="32" t="s">
        <v>13064</v>
      </c>
      <c r="G4871" s="39" t="s">
        <v>97</v>
      </c>
      <c r="H4871" s="33"/>
      <c r="I4871" s="33"/>
      <c r="J4871" s="33"/>
      <c r="K4871" s="33"/>
      <c r="L4871" s="33"/>
      <c r="M4871" s="33"/>
    </row>
    <row r="4872">
      <c r="A4872" s="32" t="s">
        <v>13065</v>
      </c>
      <c r="B4872" s="32" t="s">
        <v>13066</v>
      </c>
      <c r="C4872" s="35">
        <v>-2.1033</v>
      </c>
      <c r="D4872" s="35">
        <v>133.5164</v>
      </c>
      <c r="E4872" s="32" t="s">
        <v>280</v>
      </c>
      <c r="F4872" s="32" t="s">
        <v>13067</v>
      </c>
      <c r="G4872" s="36" t="e">
        <v>#N/A</v>
      </c>
      <c r="H4872" s="33"/>
      <c r="I4872" s="33"/>
      <c r="J4872" s="33"/>
      <c r="K4872" s="33"/>
      <c r="L4872" s="33"/>
      <c r="M4872" s="33"/>
    </row>
    <row r="4873">
      <c r="A4873" s="32" t="s">
        <v>13068</v>
      </c>
      <c r="B4873" s="32" t="s">
        <v>12727</v>
      </c>
      <c r="C4873" s="35">
        <v>-32.79499817</v>
      </c>
      <c r="D4873" s="35">
        <v>151.8339996</v>
      </c>
      <c r="E4873" s="32" t="s">
        <v>1968</v>
      </c>
      <c r="F4873" s="32" t="s">
        <v>2661</v>
      </c>
      <c r="G4873" s="36" t="e">
        <v>#N/A</v>
      </c>
      <c r="H4873" s="33"/>
      <c r="I4873" s="33"/>
      <c r="J4873" s="33"/>
      <c r="K4873" s="33"/>
      <c r="L4873" s="33"/>
      <c r="M4873" s="33"/>
    </row>
    <row r="4874">
      <c r="A4874" s="32" t="s">
        <v>13069</v>
      </c>
      <c r="B4874" s="32" t="s">
        <v>13070</v>
      </c>
      <c r="C4874" s="35">
        <v>-17.68409</v>
      </c>
      <c r="D4874" s="35">
        <v>141.069664</v>
      </c>
      <c r="E4874" s="32" t="s">
        <v>1968</v>
      </c>
      <c r="F4874" s="32" t="s">
        <v>13071</v>
      </c>
      <c r="G4874" s="36" t="e">
        <v>#N/A</v>
      </c>
      <c r="H4874" s="33"/>
      <c r="I4874" s="33"/>
      <c r="J4874" s="33"/>
      <c r="K4874" s="33"/>
      <c r="L4874" s="33"/>
      <c r="M4874" s="33"/>
    </row>
    <row r="4875">
      <c r="A4875" s="32" t="s">
        <v>13072</v>
      </c>
      <c r="B4875" s="32" t="s">
        <v>13073</v>
      </c>
      <c r="C4875" s="35">
        <v>37.29309845</v>
      </c>
      <c r="D4875" s="35">
        <v>136.9620056</v>
      </c>
      <c r="E4875" s="32" t="s">
        <v>170</v>
      </c>
      <c r="F4875" s="32" t="s">
        <v>13074</v>
      </c>
      <c r="G4875" s="39" t="s">
        <v>171</v>
      </c>
      <c r="H4875" s="33"/>
      <c r="I4875" s="33"/>
      <c r="J4875" s="33"/>
      <c r="K4875" s="33"/>
      <c r="L4875" s="33"/>
      <c r="M4875" s="33"/>
    </row>
    <row r="4876">
      <c r="A4876" s="32" t="s">
        <v>13075</v>
      </c>
      <c r="B4876" s="32" t="s">
        <v>13076</v>
      </c>
      <c r="C4876" s="35">
        <v>25.86560059</v>
      </c>
      <c r="D4876" s="35">
        <v>-100.2369995</v>
      </c>
      <c r="E4876" s="32" t="s">
        <v>186</v>
      </c>
      <c r="F4876" s="32" t="s">
        <v>12426</v>
      </c>
      <c r="G4876" s="39" t="s">
        <v>187</v>
      </c>
      <c r="H4876" s="33"/>
      <c r="I4876" s="33"/>
      <c r="J4876" s="33"/>
      <c r="K4876" s="33"/>
      <c r="L4876" s="33"/>
      <c r="M4876" s="33"/>
    </row>
    <row r="4877">
      <c r="A4877" s="32" t="s">
        <v>13077</v>
      </c>
      <c r="B4877" s="32" t="s">
        <v>13078</v>
      </c>
      <c r="C4877" s="35">
        <v>-15.97733765</v>
      </c>
      <c r="D4877" s="35">
        <v>-173.7910295</v>
      </c>
      <c r="E4877" s="32" t="s">
        <v>7417</v>
      </c>
      <c r="F4877" s="32" t="s">
        <v>13079</v>
      </c>
      <c r="G4877" s="36" t="e">
        <v>#N/A</v>
      </c>
      <c r="H4877" s="33"/>
      <c r="I4877" s="33"/>
      <c r="J4877" s="33"/>
      <c r="K4877" s="33"/>
      <c r="L4877" s="33"/>
      <c r="M4877" s="33"/>
    </row>
    <row r="4878">
      <c r="A4878" s="32" t="s">
        <v>13080</v>
      </c>
      <c r="B4878" s="32" t="s">
        <v>13081</v>
      </c>
      <c r="C4878" s="35">
        <v>36.8207016</v>
      </c>
      <c r="D4878" s="35">
        <v>-76.03350067</v>
      </c>
      <c r="E4878" s="32" t="s">
        <v>180</v>
      </c>
      <c r="F4878" s="32" t="s">
        <v>13082</v>
      </c>
      <c r="G4878" s="39" t="s">
        <v>181</v>
      </c>
      <c r="H4878" s="33"/>
      <c r="I4878" s="33"/>
      <c r="J4878" s="33"/>
      <c r="K4878" s="33"/>
      <c r="L4878" s="33"/>
      <c r="M4878" s="33"/>
    </row>
    <row r="4879">
      <c r="A4879" s="32" t="s">
        <v>13083</v>
      </c>
      <c r="B4879" s="32" t="s">
        <v>13084</v>
      </c>
      <c r="C4879" s="35">
        <v>3.908710003</v>
      </c>
      <c r="D4879" s="35">
        <v>108.3880005</v>
      </c>
      <c r="E4879" s="32" t="s">
        <v>280</v>
      </c>
      <c r="F4879" s="32" t="s">
        <v>13085</v>
      </c>
      <c r="G4879" s="36" t="e">
        <v>#N/A</v>
      </c>
      <c r="H4879" s="33"/>
      <c r="I4879" s="33"/>
      <c r="J4879" s="33"/>
      <c r="K4879" s="33"/>
      <c r="L4879" s="33"/>
      <c r="M4879" s="33"/>
    </row>
    <row r="4880">
      <c r="A4880" s="32" t="s">
        <v>13086</v>
      </c>
      <c r="B4880" s="32" t="s">
        <v>13087</v>
      </c>
      <c r="C4880" s="35">
        <v>-25.33379936</v>
      </c>
      <c r="D4880" s="35">
        <v>27.17340088</v>
      </c>
      <c r="E4880" s="32" t="s">
        <v>16</v>
      </c>
      <c r="F4880" s="32" t="s">
        <v>13088</v>
      </c>
      <c r="G4880" s="36" t="e">
        <v>#N/A</v>
      </c>
      <c r="H4880" s="33"/>
      <c r="I4880" s="33"/>
      <c r="J4880" s="33"/>
      <c r="K4880" s="33"/>
      <c r="L4880" s="33"/>
      <c r="M4880" s="33"/>
    </row>
    <row r="4881">
      <c r="A4881" s="32" t="s">
        <v>13089</v>
      </c>
      <c r="B4881" s="32" t="s">
        <v>13090</v>
      </c>
      <c r="C4881" s="35">
        <v>43.93579865</v>
      </c>
      <c r="D4881" s="35">
        <v>-79.2621994</v>
      </c>
      <c r="E4881" s="32" t="s">
        <v>94</v>
      </c>
      <c r="F4881" s="32" t="s">
        <v>13091</v>
      </c>
      <c r="G4881" s="36" t="e">
        <v>#N/A</v>
      </c>
      <c r="H4881" s="33"/>
      <c r="I4881" s="33"/>
      <c r="J4881" s="33"/>
      <c r="K4881" s="33"/>
      <c r="L4881" s="33"/>
      <c r="M4881" s="33"/>
    </row>
    <row r="4882">
      <c r="A4882" s="32" t="s">
        <v>13092</v>
      </c>
      <c r="B4882" s="32" t="s">
        <v>13093</v>
      </c>
      <c r="C4882" s="35">
        <v>49.498699</v>
      </c>
      <c r="D4882" s="35">
        <v>11.0780556</v>
      </c>
      <c r="E4882" s="32" t="s">
        <v>109</v>
      </c>
      <c r="F4882" s="32" t="s">
        <v>13094</v>
      </c>
      <c r="G4882" s="39" t="s">
        <v>110</v>
      </c>
      <c r="H4882" s="33"/>
      <c r="I4882" s="33"/>
      <c r="J4882" s="33"/>
      <c r="K4882" s="33"/>
      <c r="L4882" s="33"/>
      <c r="M4882" s="33"/>
    </row>
    <row r="4883">
      <c r="A4883" s="32" t="s">
        <v>13095</v>
      </c>
      <c r="B4883" s="32" t="s">
        <v>13096</v>
      </c>
      <c r="C4883" s="35">
        <v>70.20999908</v>
      </c>
      <c r="D4883" s="35">
        <v>-151.0059967</v>
      </c>
      <c r="E4883" s="32" t="s">
        <v>180</v>
      </c>
      <c r="F4883" s="32" t="s">
        <v>13097</v>
      </c>
      <c r="G4883" s="39" t="s">
        <v>181</v>
      </c>
      <c r="H4883" s="33"/>
      <c r="I4883" s="33"/>
      <c r="J4883" s="33"/>
      <c r="K4883" s="33"/>
      <c r="L4883" s="33"/>
      <c r="M4883" s="33"/>
    </row>
    <row r="4884">
      <c r="A4884" s="32" t="s">
        <v>13098</v>
      </c>
      <c r="B4884" s="32" t="s">
        <v>13099</v>
      </c>
      <c r="C4884" s="35">
        <v>64.72930145</v>
      </c>
      <c r="D4884" s="35">
        <v>-158.0740051</v>
      </c>
      <c r="E4884" s="32" t="s">
        <v>180</v>
      </c>
      <c r="F4884" s="32" t="s">
        <v>13100</v>
      </c>
      <c r="G4884" s="39" t="s">
        <v>181</v>
      </c>
      <c r="H4884" s="33"/>
      <c r="I4884" s="33"/>
      <c r="J4884" s="33"/>
      <c r="K4884" s="33"/>
      <c r="L4884" s="33"/>
      <c r="M4884" s="33"/>
    </row>
    <row r="4885">
      <c r="A4885" s="32" t="s">
        <v>13101</v>
      </c>
      <c r="B4885" s="32" t="s">
        <v>13102</v>
      </c>
      <c r="C4885" s="35">
        <v>37.41609955</v>
      </c>
      <c r="D4885" s="35">
        <v>-122.0490036</v>
      </c>
      <c r="E4885" s="32" t="s">
        <v>180</v>
      </c>
      <c r="F4885" s="32" t="s">
        <v>13103</v>
      </c>
      <c r="G4885" s="39" t="s">
        <v>181</v>
      </c>
      <c r="H4885" s="33"/>
      <c r="I4885" s="33"/>
      <c r="J4885" s="33"/>
      <c r="K4885" s="33"/>
      <c r="L4885" s="33"/>
      <c r="M4885" s="33"/>
    </row>
    <row r="4886">
      <c r="A4886" s="32" t="s">
        <v>13104</v>
      </c>
      <c r="B4886" s="32" t="s">
        <v>13105</v>
      </c>
      <c r="C4886" s="35">
        <v>-16.07970047</v>
      </c>
      <c r="D4886" s="35">
        <v>167.401001</v>
      </c>
      <c r="E4886" s="32" t="s">
        <v>4279</v>
      </c>
      <c r="F4886" s="32" t="s">
        <v>13106</v>
      </c>
      <c r="G4886" s="36" t="e">
        <v>#N/A</v>
      </c>
      <c r="H4886" s="33"/>
      <c r="I4886" s="33"/>
      <c r="J4886" s="33"/>
      <c r="K4886" s="33"/>
      <c r="L4886" s="33"/>
      <c r="M4886" s="33"/>
    </row>
    <row r="4887">
      <c r="A4887" s="32" t="s">
        <v>13107</v>
      </c>
      <c r="B4887" s="32" t="s">
        <v>13108</v>
      </c>
      <c r="C4887" s="35">
        <v>48.35179901</v>
      </c>
      <c r="D4887" s="35">
        <v>-122.6559982</v>
      </c>
      <c r="E4887" s="32" t="s">
        <v>180</v>
      </c>
      <c r="F4887" s="32" t="s">
        <v>13109</v>
      </c>
      <c r="G4887" s="39" t="s">
        <v>181</v>
      </c>
      <c r="H4887" s="33"/>
      <c r="I4887" s="33"/>
      <c r="J4887" s="33"/>
      <c r="K4887" s="33"/>
      <c r="L4887" s="33"/>
      <c r="M4887" s="33"/>
    </row>
    <row r="4888">
      <c r="A4888" s="32" t="s">
        <v>13110</v>
      </c>
      <c r="B4888" s="32" t="s">
        <v>13111</v>
      </c>
      <c r="C4888" s="35">
        <v>66.06939697</v>
      </c>
      <c r="D4888" s="35">
        <v>76.52030182</v>
      </c>
      <c r="E4888" s="32" t="s">
        <v>2040</v>
      </c>
      <c r="F4888" s="32" t="s">
        <v>13112</v>
      </c>
      <c r="G4888" s="36" t="e">
        <v>#N/A</v>
      </c>
      <c r="H4888" s="33"/>
      <c r="I4888" s="33"/>
      <c r="J4888" s="33"/>
      <c r="K4888" s="33"/>
      <c r="L4888" s="33"/>
      <c r="M4888" s="33"/>
    </row>
    <row r="4889">
      <c r="A4889" s="32" t="s">
        <v>13113</v>
      </c>
      <c r="B4889" s="32" t="s">
        <v>13114</v>
      </c>
      <c r="C4889" s="35">
        <v>2.95015</v>
      </c>
      <c r="D4889" s="35">
        <v>-75.294</v>
      </c>
      <c r="E4889" s="32" t="s">
        <v>292</v>
      </c>
      <c r="F4889" s="32" t="s">
        <v>13115</v>
      </c>
      <c r="G4889" s="36" t="e">
        <v>#N/A</v>
      </c>
      <c r="H4889" s="33"/>
      <c r="I4889" s="33"/>
      <c r="J4889" s="33"/>
      <c r="K4889" s="33"/>
      <c r="L4889" s="33"/>
      <c r="M4889" s="33"/>
    </row>
    <row r="4890">
      <c r="A4890" s="32" t="s">
        <v>13116</v>
      </c>
      <c r="B4890" s="32" t="s">
        <v>13117</v>
      </c>
      <c r="C4890" s="35">
        <v>40.11719894</v>
      </c>
      <c r="D4890" s="35">
        <v>65.17079926</v>
      </c>
      <c r="E4890" s="32" t="s">
        <v>3332</v>
      </c>
      <c r="F4890" s="32" t="s">
        <v>13118</v>
      </c>
      <c r="G4890" s="36" t="e">
        <v>#N/A</v>
      </c>
      <c r="H4890" s="33"/>
      <c r="I4890" s="33"/>
      <c r="J4890" s="33"/>
      <c r="K4890" s="33"/>
      <c r="L4890" s="33"/>
      <c r="M4890" s="33"/>
    </row>
    <row r="4891">
      <c r="A4891" s="32" t="s">
        <v>13119</v>
      </c>
      <c r="B4891" s="32" t="s">
        <v>13120</v>
      </c>
      <c r="C4891" s="35">
        <v>68.43689728</v>
      </c>
      <c r="D4891" s="35">
        <v>17.38669968</v>
      </c>
      <c r="E4891" s="32" t="s">
        <v>343</v>
      </c>
      <c r="F4891" s="32" t="s">
        <v>13121</v>
      </c>
      <c r="G4891" s="36" t="e">
        <v>#N/A</v>
      </c>
      <c r="H4891" s="33"/>
      <c r="I4891" s="33"/>
      <c r="J4891" s="33"/>
      <c r="K4891" s="33"/>
      <c r="L4891" s="33"/>
      <c r="M4891" s="33"/>
    </row>
    <row r="4892">
      <c r="A4892" s="32" t="s">
        <v>13122</v>
      </c>
      <c r="B4892" s="32" t="s">
        <v>13123</v>
      </c>
      <c r="C4892" s="35">
        <v>-5.118030071</v>
      </c>
      <c r="D4892" s="35">
        <v>-60.36489868</v>
      </c>
      <c r="E4892" s="32" t="s">
        <v>288</v>
      </c>
      <c r="F4892" s="32" t="s">
        <v>13124</v>
      </c>
      <c r="G4892" s="36" t="e">
        <v>#N/A</v>
      </c>
      <c r="H4892" s="33"/>
      <c r="I4892" s="33"/>
      <c r="J4892" s="33"/>
      <c r="K4892" s="33"/>
      <c r="L4892" s="33"/>
      <c r="M4892" s="33"/>
    </row>
    <row r="4893">
      <c r="A4893" s="32" t="s">
        <v>13125</v>
      </c>
      <c r="B4893" s="32" t="s">
        <v>13126</v>
      </c>
      <c r="C4893" s="35">
        <v>47.00260162</v>
      </c>
      <c r="D4893" s="35">
        <v>3.113329887</v>
      </c>
      <c r="E4893" s="32" t="s">
        <v>96</v>
      </c>
      <c r="F4893" s="32" t="s">
        <v>13127</v>
      </c>
      <c r="G4893" s="39" t="s">
        <v>97</v>
      </c>
      <c r="H4893" s="33"/>
      <c r="I4893" s="33"/>
      <c r="J4893" s="33"/>
      <c r="K4893" s="33"/>
      <c r="L4893" s="33"/>
      <c r="M4893" s="33"/>
    </row>
    <row r="4894">
      <c r="A4894" s="32" t="s">
        <v>13128</v>
      </c>
      <c r="B4894" s="32" t="s">
        <v>13129</v>
      </c>
      <c r="C4894" s="35">
        <v>-26.87999916</v>
      </c>
      <c r="D4894" s="35">
        <v>-48.65140152</v>
      </c>
      <c r="E4894" s="32" t="s">
        <v>288</v>
      </c>
      <c r="F4894" s="32" t="s">
        <v>13130</v>
      </c>
      <c r="G4894" s="36" t="e">
        <v>#N/A</v>
      </c>
      <c r="H4894" s="33"/>
      <c r="I4894" s="33"/>
      <c r="J4894" s="33"/>
      <c r="K4894" s="33"/>
      <c r="L4894" s="33"/>
      <c r="M4894" s="33"/>
    </row>
    <row r="4895">
      <c r="A4895" s="32" t="s">
        <v>13131</v>
      </c>
      <c r="B4895" s="32" t="s">
        <v>13132</v>
      </c>
      <c r="C4895" s="35">
        <v>-12.29810047</v>
      </c>
      <c r="D4895" s="35">
        <v>43.76639938</v>
      </c>
      <c r="E4895" s="32" t="s">
        <v>3794</v>
      </c>
      <c r="F4895" s="32" t="s">
        <v>13133</v>
      </c>
      <c r="G4895" s="36" t="e">
        <v>#N/A</v>
      </c>
      <c r="H4895" s="33"/>
      <c r="I4895" s="33"/>
      <c r="J4895" s="33"/>
      <c r="K4895" s="33"/>
      <c r="L4895" s="33"/>
      <c r="M4895" s="33"/>
    </row>
    <row r="4896">
      <c r="A4896" s="32" t="s">
        <v>13134</v>
      </c>
      <c r="B4896" s="32" t="s">
        <v>13135</v>
      </c>
      <c r="C4896" s="35">
        <v>52.67580032</v>
      </c>
      <c r="D4896" s="35">
        <v>1.282780051</v>
      </c>
      <c r="E4896" s="32" t="s">
        <v>90</v>
      </c>
      <c r="F4896" s="32" t="s">
        <v>13136</v>
      </c>
      <c r="G4896" s="39" t="s">
        <v>91</v>
      </c>
      <c r="H4896" s="33"/>
      <c r="I4896" s="33"/>
      <c r="J4896" s="33"/>
      <c r="K4896" s="33"/>
      <c r="L4896" s="33"/>
      <c r="M4896" s="33"/>
    </row>
    <row r="4897">
      <c r="A4897" s="32" t="s">
        <v>13137</v>
      </c>
      <c r="B4897" s="32" t="s">
        <v>13138</v>
      </c>
      <c r="C4897" s="35">
        <v>34.2961998</v>
      </c>
      <c r="D4897" s="35">
        <v>-116.1620026</v>
      </c>
      <c r="E4897" s="32" t="s">
        <v>180</v>
      </c>
      <c r="F4897" s="32" t="s">
        <v>13139</v>
      </c>
      <c r="G4897" s="39" t="s">
        <v>181</v>
      </c>
      <c r="H4897" s="33"/>
      <c r="I4897" s="33"/>
      <c r="J4897" s="33"/>
      <c r="K4897" s="33"/>
      <c r="L4897" s="33"/>
      <c r="M4897" s="33"/>
    </row>
    <row r="4898">
      <c r="A4898" s="32" t="s">
        <v>13140</v>
      </c>
      <c r="B4898" s="32" t="s">
        <v>13141</v>
      </c>
      <c r="C4898" s="35">
        <v>40.19979858</v>
      </c>
      <c r="D4898" s="35">
        <v>-75.14820099</v>
      </c>
      <c r="E4898" s="32" t="s">
        <v>180</v>
      </c>
      <c r="F4898" s="32" t="s">
        <v>13142</v>
      </c>
      <c r="G4898" s="39" t="s">
        <v>181</v>
      </c>
      <c r="H4898" s="33"/>
      <c r="I4898" s="33"/>
      <c r="J4898" s="33"/>
      <c r="K4898" s="33"/>
      <c r="L4898" s="33"/>
      <c r="M4898" s="33"/>
    </row>
    <row r="4899">
      <c r="A4899" s="32" t="s">
        <v>13143</v>
      </c>
      <c r="B4899" s="32" t="s">
        <v>13144</v>
      </c>
      <c r="C4899" s="35">
        <v>62.11000061</v>
      </c>
      <c r="D4899" s="35">
        <v>65.61499786</v>
      </c>
      <c r="E4899" s="32" t="s">
        <v>2040</v>
      </c>
      <c r="F4899" s="32" t="s">
        <v>13145</v>
      </c>
      <c r="G4899" s="36" t="e">
        <v>#N/A</v>
      </c>
      <c r="H4899" s="33"/>
      <c r="I4899" s="33"/>
      <c r="J4899" s="33"/>
      <c r="K4899" s="33"/>
      <c r="L4899" s="33"/>
      <c r="M4899" s="33"/>
    </row>
    <row r="4900">
      <c r="A4900" s="32" t="s">
        <v>13146</v>
      </c>
      <c r="B4900" s="32" t="s">
        <v>13147</v>
      </c>
      <c r="C4900" s="35">
        <v>-0.364414006</v>
      </c>
      <c r="D4900" s="35">
        <v>36.97848511</v>
      </c>
      <c r="E4900" s="32" t="s">
        <v>21</v>
      </c>
      <c r="F4900" s="32" t="s">
        <v>13148</v>
      </c>
      <c r="G4900" s="36" t="e">
        <v>#N/A</v>
      </c>
      <c r="H4900" s="33"/>
      <c r="I4900" s="33"/>
      <c r="J4900" s="33"/>
      <c r="K4900" s="33"/>
      <c r="L4900" s="33"/>
      <c r="M4900" s="33"/>
    </row>
    <row r="4901">
      <c r="A4901" s="32" t="s">
        <v>13149</v>
      </c>
      <c r="B4901" s="32" t="s">
        <v>13150</v>
      </c>
      <c r="C4901" s="35">
        <v>38.50170135</v>
      </c>
      <c r="D4901" s="35">
        <v>-77.30529785</v>
      </c>
      <c r="E4901" s="32" t="s">
        <v>180</v>
      </c>
      <c r="F4901" s="32" t="s">
        <v>13151</v>
      </c>
      <c r="G4901" s="39" t="s">
        <v>181</v>
      </c>
      <c r="H4901" s="33"/>
      <c r="I4901" s="33"/>
      <c r="J4901" s="33"/>
      <c r="K4901" s="33"/>
      <c r="L4901" s="33"/>
      <c r="M4901" s="33"/>
    </row>
    <row r="4902">
      <c r="A4902" s="32" t="s">
        <v>13152</v>
      </c>
      <c r="B4902" s="32" t="s">
        <v>13153</v>
      </c>
      <c r="C4902" s="35">
        <v>7.361830235</v>
      </c>
      <c r="D4902" s="35">
        <v>-2.328759909</v>
      </c>
      <c r="E4902" s="32" t="s">
        <v>24</v>
      </c>
      <c r="F4902" s="32" t="s">
        <v>13154</v>
      </c>
      <c r="G4902" s="36" t="e">
        <v>#N/A</v>
      </c>
      <c r="H4902" s="33"/>
      <c r="I4902" s="33"/>
      <c r="J4902" s="33"/>
      <c r="K4902" s="33"/>
      <c r="L4902" s="33"/>
      <c r="M4902" s="33"/>
    </row>
    <row r="4903">
      <c r="A4903" s="32" t="s">
        <v>13155</v>
      </c>
      <c r="B4903" s="32" t="s">
        <v>13156</v>
      </c>
      <c r="C4903" s="35">
        <v>-0.062398899</v>
      </c>
      <c r="D4903" s="35">
        <v>37.041008</v>
      </c>
      <c r="E4903" s="32" t="s">
        <v>21</v>
      </c>
      <c r="F4903" s="32" t="s">
        <v>13157</v>
      </c>
      <c r="G4903" s="36" t="e">
        <v>#N/A</v>
      </c>
      <c r="H4903" s="33"/>
      <c r="I4903" s="33"/>
      <c r="J4903" s="33"/>
      <c r="K4903" s="33"/>
      <c r="L4903" s="33"/>
      <c r="M4903" s="33"/>
    </row>
    <row r="4904">
      <c r="A4904" s="32" t="s">
        <v>13158</v>
      </c>
      <c r="B4904" s="32" t="s">
        <v>13159</v>
      </c>
      <c r="C4904" s="35">
        <v>65.48090363</v>
      </c>
      <c r="D4904" s="35">
        <v>72.69889832</v>
      </c>
      <c r="E4904" s="32" t="s">
        <v>2040</v>
      </c>
      <c r="F4904" s="32" t="s">
        <v>13160</v>
      </c>
      <c r="G4904" s="36" t="e">
        <v>#N/A</v>
      </c>
      <c r="H4904" s="33"/>
      <c r="I4904" s="33"/>
      <c r="J4904" s="33"/>
      <c r="K4904" s="33"/>
      <c r="L4904" s="33"/>
      <c r="M4904" s="33"/>
    </row>
    <row r="4905">
      <c r="A4905" s="32" t="s">
        <v>13161</v>
      </c>
      <c r="B4905" s="32" t="s">
        <v>13162</v>
      </c>
      <c r="C4905" s="35">
        <v>58.78860092</v>
      </c>
      <c r="D4905" s="35">
        <v>16.91220093</v>
      </c>
      <c r="E4905" s="32" t="s">
        <v>347</v>
      </c>
      <c r="F4905" s="32" t="s">
        <v>576</v>
      </c>
      <c r="G4905" s="36" t="e">
        <v>#N/A</v>
      </c>
      <c r="H4905" s="33"/>
      <c r="I4905" s="33"/>
      <c r="J4905" s="33"/>
      <c r="K4905" s="33"/>
      <c r="L4905" s="33"/>
      <c r="M4905" s="33"/>
    </row>
    <row r="4906">
      <c r="A4906" s="32" t="s">
        <v>13163</v>
      </c>
      <c r="B4906" s="32" t="s">
        <v>13164</v>
      </c>
      <c r="C4906" s="35">
        <v>19.62350082</v>
      </c>
      <c r="D4906" s="35">
        <v>96.2009964</v>
      </c>
      <c r="E4906" s="32" t="s">
        <v>1918</v>
      </c>
      <c r="F4906" s="32" t="s">
        <v>2492</v>
      </c>
      <c r="G4906" s="36" t="e">
        <v>#N/A</v>
      </c>
      <c r="H4906" s="33"/>
      <c r="I4906" s="33"/>
      <c r="J4906" s="33"/>
      <c r="K4906" s="33"/>
      <c r="L4906" s="33"/>
      <c r="M4906" s="33"/>
    </row>
    <row r="4907">
      <c r="A4907" s="32" t="s">
        <v>13165</v>
      </c>
      <c r="B4907" s="32" t="s">
        <v>13166</v>
      </c>
      <c r="C4907" s="35">
        <v>21.17880058</v>
      </c>
      <c r="D4907" s="35">
        <v>94.93019867</v>
      </c>
      <c r="E4907" s="32" t="s">
        <v>1918</v>
      </c>
      <c r="F4907" s="32" t="s">
        <v>5099</v>
      </c>
      <c r="G4907" s="36" t="e">
        <v>#N/A</v>
      </c>
      <c r="H4907" s="33"/>
      <c r="I4907" s="33"/>
      <c r="J4907" s="33"/>
      <c r="K4907" s="33"/>
      <c r="L4907" s="33"/>
      <c r="M4907" s="33"/>
    </row>
    <row r="4908">
      <c r="A4908" s="32" t="s">
        <v>13167</v>
      </c>
      <c r="B4908" s="32" t="s">
        <v>13168</v>
      </c>
      <c r="C4908" s="35">
        <v>-7.716939926</v>
      </c>
      <c r="D4908" s="35">
        <v>21.35820007</v>
      </c>
      <c r="E4908" s="32" t="s">
        <v>764</v>
      </c>
      <c r="F4908" s="32" t="s">
        <v>13169</v>
      </c>
      <c r="G4908" s="36" t="e">
        <v>#N/A</v>
      </c>
      <c r="H4908" s="33"/>
      <c r="I4908" s="33"/>
      <c r="J4908" s="33"/>
      <c r="K4908" s="33"/>
      <c r="L4908" s="33"/>
      <c r="M4908" s="33"/>
    </row>
    <row r="4909">
      <c r="A4909" s="32" t="s">
        <v>13170</v>
      </c>
      <c r="B4909" s="32" t="s">
        <v>13171</v>
      </c>
      <c r="C4909" s="35">
        <v>-14.85400009</v>
      </c>
      <c r="D4909" s="35">
        <v>-74.96150208</v>
      </c>
      <c r="E4909" s="32" t="s">
        <v>307</v>
      </c>
      <c r="F4909" s="32" t="s">
        <v>13172</v>
      </c>
      <c r="G4909" s="36" t="e">
        <v>#N/A</v>
      </c>
      <c r="H4909" s="33"/>
      <c r="I4909" s="33"/>
      <c r="J4909" s="33"/>
      <c r="K4909" s="33"/>
      <c r="L4909" s="33"/>
      <c r="M4909" s="33"/>
    </row>
    <row r="4910">
      <c r="A4910" s="32" t="s">
        <v>13173</v>
      </c>
      <c r="B4910" s="32" t="s">
        <v>13174</v>
      </c>
      <c r="C4910" s="35">
        <v>32.69919968</v>
      </c>
      <c r="D4910" s="35">
        <v>-117.2149963</v>
      </c>
      <c r="E4910" s="32" t="s">
        <v>180</v>
      </c>
      <c r="F4910" s="32" t="s">
        <v>13175</v>
      </c>
      <c r="G4910" s="39" t="s">
        <v>181</v>
      </c>
      <c r="H4910" s="33"/>
      <c r="I4910" s="33"/>
      <c r="J4910" s="33"/>
      <c r="K4910" s="33"/>
      <c r="L4910" s="33"/>
      <c r="M4910" s="33"/>
    </row>
    <row r="4911">
      <c r="A4911" s="32" t="s">
        <v>13176</v>
      </c>
      <c r="B4911" s="32" t="s">
        <v>13177</v>
      </c>
      <c r="C4911" s="35">
        <v>-33.38169861</v>
      </c>
      <c r="D4911" s="35">
        <v>149.1329956</v>
      </c>
      <c r="E4911" s="32" t="s">
        <v>1968</v>
      </c>
      <c r="F4911" s="32" t="s">
        <v>959</v>
      </c>
      <c r="G4911" s="36" t="e">
        <v>#N/A</v>
      </c>
      <c r="H4911" s="33"/>
      <c r="I4911" s="33"/>
      <c r="J4911" s="33"/>
      <c r="K4911" s="33"/>
      <c r="L4911" s="33"/>
      <c r="M4911" s="33"/>
    </row>
    <row r="4912">
      <c r="A4912" s="32" t="s">
        <v>13178</v>
      </c>
      <c r="B4912" s="32" t="s">
        <v>13179</v>
      </c>
      <c r="C4912" s="35">
        <v>34.82920074</v>
      </c>
      <c r="D4912" s="35">
        <v>-77.61209869</v>
      </c>
      <c r="E4912" s="32" t="s">
        <v>180</v>
      </c>
      <c r="F4912" s="32" t="s">
        <v>13180</v>
      </c>
      <c r="G4912" s="39" t="s">
        <v>181</v>
      </c>
      <c r="H4912" s="33"/>
      <c r="I4912" s="33"/>
      <c r="J4912" s="33"/>
      <c r="K4912" s="33"/>
      <c r="L4912" s="33"/>
      <c r="M4912" s="33"/>
    </row>
    <row r="4913">
      <c r="A4913" s="32" t="s">
        <v>13181</v>
      </c>
      <c r="B4913" s="32" t="s">
        <v>13182</v>
      </c>
      <c r="C4913" s="35">
        <v>37.72129822</v>
      </c>
      <c r="D4913" s="35">
        <v>-122.2210007</v>
      </c>
      <c r="E4913" s="32" t="s">
        <v>180</v>
      </c>
      <c r="F4913" s="32" t="s">
        <v>13183</v>
      </c>
      <c r="G4913" s="39" t="s">
        <v>181</v>
      </c>
      <c r="H4913" s="33"/>
      <c r="I4913" s="33"/>
      <c r="J4913" s="33"/>
      <c r="K4913" s="33"/>
      <c r="L4913" s="33"/>
      <c r="M4913" s="33"/>
    </row>
    <row r="4914">
      <c r="A4914" s="32" t="s">
        <v>13184</v>
      </c>
      <c r="B4914" s="32" t="s">
        <v>13185</v>
      </c>
      <c r="C4914" s="35">
        <v>-11.496</v>
      </c>
      <c r="D4914" s="35">
        <v>-61.4508</v>
      </c>
      <c r="E4914" s="32" t="s">
        <v>288</v>
      </c>
      <c r="F4914" s="32" t="s">
        <v>13186</v>
      </c>
      <c r="G4914" s="36" t="e">
        <v>#N/A</v>
      </c>
      <c r="H4914" s="33"/>
      <c r="I4914" s="33"/>
      <c r="J4914" s="33"/>
      <c r="K4914" s="33"/>
      <c r="L4914" s="33"/>
      <c r="M4914" s="33"/>
    </row>
    <row r="4915">
      <c r="A4915" s="32" t="s">
        <v>13187</v>
      </c>
      <c r="B4915" s="32" t="s">
        <v>13188</v>
      </c>
      <c r="C4915" s="35">
        <v>-44.97000122</v>
      </c>
      <c r="D4915" s="35">
        <v>171.0820007</v>
      </c>
      <c r="E4915" s="32" t="s">
        <v>1328</v>
      </c>
      <c r="F4915" s="32" t="s">
        <v>13189</v>
      </c>
      <c r="G4915" s="36" t="e">
        <v>#N/A</v>
      </c>
      <c r="H4915" s="33"/>
      <c r="I4915" s="33"/>
      <c r="J4915" s="33"/>
      <c r="K4915" s="33"/>
      <c r="L4915" s="33"/>
      <c r="M4915" s="33"/>
    </row>
    <row r="4916">
      <c r="A4916" s="32" t="s">
        <v>13190</v>
      </c>
      <c r="B4916" s="32" t="s">
        <v>13191</v>
      </c>
      <c r="C4916" s="35">
        <v>36.68190002</v>
      </c>
      <c r="D4916" s="35">
        <v>-121.762001</v>
      </c>
      <c r="E4916" s="32" t="s">
        <v>180</v>
      </c>
      <c r="F4916" s="32" t="s">
        <v>13192</v>
      </c>
      <c r="G4916" s="39" t="s">
        <v>181</v>
      </c>
      <c r="H4916" s="33"/>
      <c r="I4916" s="33"/>
      <c r="J4916" s="33"/>
      <c r="K4916" s="33"/>
      <c r="L4916" s="33"/>
      <c r="M4916" s="33"/>
    </row>
    <row r="4917">
      <c r="A4917" s="32" t="s">
        <v>13193</v>
      </c>
      <c r="B4917" s="32" t="s">
        <v>13194</v>
      </c>
      <c r="C4917" s="35">
        <v>16.99990082</v>
      </c>
      <c r="D4917" s="35">
        <v>-96.72660065</v>
      </c>
      <c r="E4917" s="32" t="s">
        <v>186</v>
      </c>
      <c r="F4917" s="32" t="s">
        <v>13195</v>
      </c>
      <c r="G4917" s="39" t="s">
        <v>187</v>
      </c>
      <c r="H4917" s="33"/>
      <c r="I4917" s="33"/>
      <c r="J4917" s="33"/>
      <c r="K4917" s="33"/>
      <c r="L4917" s="33"/>
      <c r="M4917" s="33"/>
    </row>
    <row r="4918">
      <c r="A4918" s="32" t="s">
        <v>13196</v>
      </c>
      <c r="B4918" s="32" t="s">
        <v>13197</v>
      </c>
      <c r="C4918" s="35">
        <v>11.96700001</v>
      </c>
      <c r="D4918" s="35">
        <v>43.26699829</v>
      </c>
      <c r="E4918" s="32" t="s">
        <v>9706</v>
      </c>
      <c r="F4918" s="32" t="s">
        <v>13198</v>
      </c>
      <c r="G4918" s="36" t="e">
        <v>#N/A</v>
      </c>
      <c r="H4918" s="33"/>
      <c r="I4918" s="33"/>
      <c r="J4918" s="33"/>
      <c r="K4918" s="33"/>
      <c r="L4918" s="33"/>
      <c r="M4918" s="33"/>
    </row>
    <row r="4919">
      <c r="A4919" s="32" t="s">
        <v>13199</v>
      </c>
      <c r="B4919" s="32" t="s">
        <v>13200</v>
      </c>
      <c r="C4919" s="35">
        <v>27.26280022</v>
      </c>
      <c r="D4919" s="35">
        <v>-80.84980011</v>
      </c>
      <c r="E4919" s="32" t="s">
        <v>180</v>
      </c>
      <c r="F4919" s="32" t="s">
        <v>13201</v>
      </c>
      <c r="G4919" s="39" t="s">
        <v>181</v>
      </c>
      <c r="H4919" s="33"/>
      <c r="I4919" s="33"/>
      <c r="J4919" s="33"/>
      <c r="K4919" s="33"/>
      <c r="L4919" s="33"/>
      <c r="M4919" s="33"/>
    </row>
    <row r="4920">
      <c r="A4920" s="32" t="s">
        <v>13202</v>
      </c>
      <c r="B4920" s="32" t="s">
        <v>13203</v>
      </c>
      <c r="C4920" s="35">
        <v>48.08140182</v>
      </c>
      <c r="D4920" s="35">
        <v>11.28310013</v>
      </c>
      <c r="E4920" s="32" t="s">
        <v>109</v>
      </c>
      <c r="F4920" s="32" t="s">
        <v>13204</v>
      </c>
      <c r="G4920" s="39" t="s">
        <v>110</v>
      </c>
      <c r="H4920" s="33"/>
      <c r="I4920" s="33"/>
      <c r="J4920" s="33"/>
      <c r="K4920" s="33"/>
      <c r="L4920" s="33"/>
      <c r="M4920" s="33"/>
    </row>
    <row r="4921">
      <c r="A4921" s="32" t="s">
        <v>13205</v>
      </c>
      <c r="B4921" s="32" t="s">
        <v>13206</v>
      </c>
      <c r="C4921" s="35">
        <v>56.46350098</v>
      </c>
      <c r="D4921" s="35">
        <v>-5.399670124</v>
      </c>
      <c r="E4921" s="32" t="s">
        <v>90</v>
      </c>
      <c r="F4921" s="32" t="s">
        <v>13207</v>
      </c>
      <c r="G4921" s="39" t="s">
        <v>91</v>
      </c>
      <c r="H4921" s="33"/>
      <c r="I4921" s="33"/>
      <c r="J4921" s="33"/>
      <c r="K4921" s="33"/>
      <c r="L4921" s="33"/>
      <c r="M4921" s="33"/>
    </row>
    <row r="4922">
      <c r="A4922" s="32" t="s">
        <v>13208</v>
      </c>
      <c r="B4922" s="32" t="s">
        <v>13209</v>
      </c>
      <c r="C4922" s="35">
        <v>42.73329926</v>
      </c>
      <c r="D4922" s="35">
        <v>143.2169952</v>
      </c>
      <c r="E4922" s="32" t="s">
        <v>170</v>
      </c>
      <c r="F4922" s="32" t="s">
        <v>13210</v>
      </c>
      <c r="G4922" s="39" t="s">
        <v>171</v>
      </c>
      <c r="H4922" s="33"/>
      <c r="I4922" s="33"/>
      <c r="J4922" s="33"/>
      <c r="K4922" s="33"/>
      <c r="L4922" s="33"/>
      <c r="M4922" s="33"/>
    </row>
    <row r="4923">
      <c r="A4923" s="32" t="s">
        <v>13211</v>
      </c>
      <c r="B4923" s="32" t="s">
        <v>13212</v>
      </c>
      <c r="C4923" s="35">
        <v>44.5442009</v>
      </c>
      <c r="D4923" s="35">
        <v>4.372189999</v>
      </c>
      <c r="E4923" s="32" t="s">
        <v>96</v>
      </c>
      <c r="F4923" s="32" t="s">
        <v>13213</v>
      </c>
      <c r="G4923" s="39" t="s">
        <v>97</v>
      </c>
      <c r="H4923" s="33"/>
      <c r="I4923" s="33"/>
      <c r="J4923" s="33"/>
      <c r="K4923" s="33"/>
      <c r="L4923" s="33"/>
      <c r="M4923" s="33"/>
    </row>
    <row r="4924">
      <c r="A4924" s="32" t="s">
        <v>13214</v>
      </c>
      <c r="B4924" s="32" t="s">
        <v>13215</v>
      </c>
      <c r="C4924" s="35">
        <v>66.91230011</v>
      </c>
      <c r="D4924" s="35">
        <v>-156.8970032</v>
      </c>
      <c r="E4924" s="32" t="s">
        <v>180</v>
      </c>
      <c r="F4924" s="32" t="s">
        <v>13216</v>
      </c>
      <c r="G4924" s="39" t="s">
        <v>181</v>
      </c>
      <c r="H4924" s="33"/>
      <c r="I4924" s="33"/>
      <c r="J4924" s="33"/>
      <c r="K4924" s="33"/>
      <c r="L4924" s="33"/>
      <c r="M4924" s="33"/>
    </row>
    <row r="4925">
      <c r="A4925" s="32" t="s">
        <v>13217</v>
      </c>
      <c r="B4925" s="32" t="s">
        <v>13218</v>
      </c>
      <c r="C4925" s="35">
        <v>70.48822882</v>
      </c>
      <c r="D4925" s="35">
        <v>-21.97167993</v>
      </c>
      <c r="E4925" s="32" t="s">
        <v>3703</v>
      </c>
      <c r="F4925" s="32" t="s">
        <v>13219</v>
      </c>
      <c r="G4925" s="36" t="e">
        <v>#N/A</v>
      </c>
      <c r="H4925" s="33"/>
      <c r="I4925" s="33"/>
      <c r="J4925" s="33"/>
      <c r="K4925" s="33"/>
      <c r="L4925" s="33"/>
      <c r="M4925" s="33"/>
    </row>
    <row r="4926">
      <c r="A4926" s="32" t="s">
        <v>13220</v>
      </c>
      <c r="B4926" s="32" t="s">
        <v>13221</v>
      </c>
      <c r="C4926" s="35">
        <v>25.3253994</v>
      </c>
      <c r="D4926" s="35">
        <v>-80.27480316</v>
      </c>
      <c r="E4926" s="32" t="s">
        <v>180</v>
      </c>
      <c r="F4926" s="32" t="s">
        <v>13221</v>
      </c>
      <c r="G4926" s="39" t="s">
        <v>181</v>
      </c>
      <c r="H4926" s="33"/>
      <c r="I4926" s="33"/>
      <c r="J4926" s="33"/>
      <c r="K4926" s="33"/>
      <c r="L4926" s="33"/>
      <c r="M4926" s="33"/>
    </row>
    <row r="4927">
      <c r="A4927" s="32" t="s">
        <v>13222</v>
      </c>
      <c r="B4927" s="32" t="s">
        <v>13223</v>
      </c>
      <c r="C4927" s="35">
        <v>-0.462886006</v>
      </c>
      <c r="D4927" s="35">
        <v>-76.98680115</v>
      </c>
      <c r="E4927" s="32" t="s">
        <v>311</v>
      </c>
      <c r="F4927" s="32" t="s">
        <v>13224</v>
      </c>
      <c r="G4927" s="36" t="e">
        <v>#N/A</v>
      </c>
      <c r="H4927" s="33"/>
      <c r="I4927" s="33"/>
      <c r="J4927" s="33"/>
      <c r="K4927" s="33"/>
      <c r="L4927" s="33"/>
      <c r="M4927" s="33"/>
    </row>
    <row r="4928">
      <c r="A4928" s="32" t="s">
        <v>13225</v>
      </c>
      <c r="B4928" s="32" t="s">
        <v>13226</v>
      </c>
      <c r="C4928" s="35">
        <v>29.17259979</v>
      </c>
      <c r="D4928" s="35">
        <v>-82.22419739</v>
      </c>
      <c r="E4928" s="32" t="s">
        <v>180</v>
      </c>
      <c r="F4928" s="32" t="s">
        <v>13227</v>
      </c>
      <c r="G4928" s="39" t="s">
        <v>181</v>
      </c>
      <c r="H4928" s="33"/>
      <c r="I4928" s="33"/>
      <c r="J4928" s="33"/>
      <c r="K4928" s="33"/>
      <c r="L4928" s="33"/>
      <c r="M4928" s="33"/>
    </row>
    <row r="4929">
      <c r="A4929" s="32" t="s">
        <v>13228</v>
      </c>
      <c r="B4929" s="32" t="s">
        <v>13229</v>
      </c>
      <c r="C4929" s="35">
        <v>18.4041996</v>
      </c>
      <c r="D4929" s="35">
        <v>-76.96900177</v>
      </c>
      <c r="E4929" s="32" t="s">
        <v>10180</v>
      </c>
      <c r="F4929" s="32" t="s">
        <v>13230</v>
      </c>
      <c r="G4929" s="36" t="e">
        <v>#N/A</v>
      </c>
      <c r="H4929" s="33"/>
      <c r="I4929" s="33"/>
      <c r="J4929" s="33"/>
      <c r="K4929" s="33"/>
      <c r="L4929" s="33"/>
      <c r="M4929" s="33"/>
    </row>
    <row r="4930">
      <c r="A4930" s="32" t="s">
        <v>13231</v>
      </c>
      <c r="B4930" s="32" t="s">
        <v>13232</v>
      </c>
      <c r="C4930" s="35">
        <v>8.31506</v>
      </c>
      <c r="D4930" s="35">
        <v>-73.3583</v>
      </c>
      <c r="E4930" s="32" t="s">
        <v>292</v>
      </c>
      <c r="F4930" s="32" t="s">
        <v>866</v>
      </c>
      <c r="G4930" s="36" t="e">
        <v>#N/A</v>
      </c>
      <c r="H4930" s="33"/>
      <c r="I4930" s="33"/>
      <c r="J4930" s="33"/>
      <c r="K4930" s="33"/>
      <c r="L4930" s="33"/>
      <c r="M4930" s="33"/>
    </row>
    <row r="4931">
      <c r="A4931" s="32" t="s">
        <v>13233</v>
      </c>
      <c r="B4931" s="32" t="s">
        <v>13234</v>
      </c>
      <c r="C4931" s="35">
        <v>35.57049942</v>
      </c>
      <c r="D4931" s="35">
        <v>-77.04979706</v>
      </c>
      <c r="E4931" s="32" t="s">
        <v>180</v>
      </c>
      <c r="F4931" s="32" t="s">
        <v>6577</v>
      </c>
      <c r="G4931" s="39" t="s">
        <v>181</v>
      </c>
      <c r="H4931" s="33"/>
      <c r="I4931" s="33"/>
      <c r="J4931" s="33"/>
      <c r="K4931" s="33"/>
      <c r="L4931" s="33"/>
      <c r="M4931" s="33"/>
    </row>
    <row r="4932">
      <c r="A4932" s="32" t="s">
        <v>13235</v>
      </c>
      <c r="B4932" s="32" t="s">
        <v>13236</v>
      </c>
      <c r="C4932" s="35">
        <v>37.84199905</v>
      </c>
      <c r="D4932" s="35">
        <v>-4.848879814</v>
      </c>
      <c r="E4932" s="32" t="s">
        <v>115</v>
      </c>
      <c r="F4932" s="32" t="s">
        <v>6146</v>
      </c>
      <c r="G4932" s="39" t="s">
        <v>116</v>
      </c>
      <c r="H4932" s="33"/>
      <c r="I4932" s="33"/>
      <c r="J4932" s="33"/>
      <c r="K4932" s="33"/>
      <c r="L4932" s="33"/>
      <c r="M4932" s="33"/>
    </row>
    <row r="4933">
      <c r="A4933" s="32" t="s">
        <v>13237</v>
      </c>
      <c r="B4933" s="32" t="s">
        <v>13238</v>
      </c>
      <c r="C4933" s="35">
        <v>55.47669983</v>
      </c>
      <c r="D4933" s="35">
        <v>10.33090019</v>
      </c>
      <c r="E4933" s="32" t="s">
        <v>533</v>
      </c>
      <c r="F4933" s="32" t="s">
        <v>13239</v>
      </c>
      <c r="G4933" s="36" t="e">
        <v>#N/A</v>
      </c>
      <c r="H4933" s="33"/>
      <c r="I4933" s="33"/>
      <c r="J4933" s="33"/>
      <c r="K4933" s="33"/>
      <c r="L4933" s="33"/>
      <c r="M4933" s="33"/>
    </row>
    <row r="4934">
      <c r="A4934" s="32" t="s">
        <v>13240</v>
      </c>
      <c r="B4934" s="32" t="s">
        <v>13241</v>
      </c>
      <c r="C4934" s="35">
        <v>51.23410034</v>
      </c>
      <c r="D4934" s="35">
        <v>-0.942825019</v>
      </c>
      <c r="E4934" s="32" t="s">
        <v>90</v>
      </c>
      <c r="F4934" s="32" t="s">
        <v>13242</v>
      </c>
      <c r="G4934" s="39" t="s">
        <v>91</v>
      </c>
      <c r="H4934" s="33"/>
      <c r="I4934" s="33"/>
      <c r="J4934" s="33"/>
      <c r="K4934" s="33"/>
      <c r="L4934" s="33"/>
      <c r="M4934" s="33"/>
    </row>
    <row r="4935">
      <c r="A4935" s="32" t="s">
        <v>13243</v>
      </c>
      <c r="B4935" s="32" t="s">
        <v>13244</v>
      </c>
      <c r="C4935" s="35">
        <v>3.967000008</v>
      </c>
      <c r="D4935" s="35">
        <v>115.0500031</v>
      </c>
      <c r="E4935" s="32" t="s">
        <v>284</v>
      </c>
      <c r="F4935" s="32" t="s">
        <v>13245</v>
      </c>
      <c r="G4935" s="36" t="e">
        <v>#N/A</v>
      </c>
      <c r="H4935" s="33"/>
      <c r="I4935" s="33"/>
      <c r="J4935" s="33"/>
      <c r="K4935" s="33"/>
      <c r="L4935" s="33"/>
      <c r="M4935" s="33"/>
    </row>
    <row r="4936">
      <c r="A4936" s="32" t="s">
        <v>13246</v>
      </c>
      <c r="B4936" s="32" t="s">
        <v>13247</v>
      </c>
      <c r="C4936" s="35">
        <v>57.86610031</v>
      </c>
      <c r="D4936" s="35">
        <v>114.2429962</v>
      </c>
      <c r="E4936" s="32" t="s">
        <v>2040</v>
      </c>
      <c r="F4936" s="32" t="s">
        <v>13248</v>
      </c>
      <c r="G4936" s="36" t="e">
        <v>#N/A</v>
      </c>
      <c r="H4936" s="33"/>
      <c r="I4936" s="33"/>
      <c r="J4936" s="33"/>
      <c r="K4936" s="33"/>
      <c r="L4936" s="33"/>
      <c r="M4936" s="33"/>
    </row>
    <row r="4937">
      <c r="A4937" s="32" t="s">
        <v>13249</v>
      </c>
      <c r="B4937" s="32" t="s">
        <v>13250</v>
      </c>
      <c r="C4937" s="35">
        <v>46.42679977</v>
      </c>
      <c r="D4937" s="35">
        <v>30.67650032</v>
      </c>
      <c r="E4937" s="32" t="s">
        <v>3293</v>
      </c>
      <c r="F4937" s="32" t="s">
        <v>13251</v>
      </c>
      <c r="G4937" s="36" t="e">
        <v>#N/A</v>
      </c>
      <c r="H4937" s="33"/>
      <c r="I4937" s="33"/>
      <c r="J4937" s="33"/>
      <c r="K4937" s="33"/>
      <c r="L4937" s="33"/>
      <c r="M4937" s="33"/>
    </row>
    <row r="4938">
      <c r="A4938" s="32" t="s">
        <v>13252</v>
      </c>
      <c r="B4938" s="32" t="s">
        <v>13253</v>
      </c>
      <c r="C4938" s="35">
        <v>20.6826992</v>
      </c>
      <c r="D4938" s="35">
        <v>101.9940033</v>
      </c>
      <c r="E4938" s="32" t="s">
        <v>1872</v>
      </c>
      <c r="F4938" s="32" t="s">
        <v>13254</v>
      </c>
      <c r="G4938" s="36" t="e">
        <v>#N/A</v>
      </c>
      <c r="H4938" s="33"/>
      <c r="I4938" s="33"/>
      <c r="J4938" s="33"/>
      <c r="K4938" s="33"/>
      <c r="L4938" s="33"/>
      <c r="M4938" s="33"/>
    </row>
    <row r="4939">
      <c r="A4939" s="32" t="s">
        <v>13255</v>
      </c>
      <c r="B4939" s="32" t="s">
        <v>13256</v>
      </c>
      <c r="C4939" s="35">
        <v>41.9333992</v>
      </c>
      <c r="D4939" s="35">
        <v>-85.05259705</v>
      </c>
      <c r="E4939" s="32" t="s">
        <v>180</v>
      </c>
      <c r="F4939" s="32" t="s">
        <v>13257</v>
      </c>
      <c r="G4939" s="39" t="s">
        <v>181</v>
      </c>
      <c r="H4939" s="33"/>
      <c r="I4939" s="33"/>
      <c r="J4939" s="33"/>
      <c r="K4939" s="33"/>
      <c r="L4939" s="33"/>
      <c r="M4939" s="33"/>
    </row>
    <row r="4940">
      <c r="A4940" s="32" t="s">
        <v>13258</v>
      </c>
      <c r="B4940" s="32" t="s">
        <v>13259</v>
      </c>
      <c r="C4940" s="35">
        <v>52.93470001</v>
      </c>
      <c r="D4940" s="35">
        <v>36.00220108</v>
      </c>
      <c r="E4940" s="32" t="s">
        <v>180</v>
      </c>
      <c r="F4940" s="32" t="s">
        <v>13260</v>
      </c>
      <c r="G4940" s="39" t="s">
        <v>181</v>
      </c>
      <c r="H4940" s="33"/>
      <c r="I4940" s="33"/>
      <c r="J4940" s="33"/>
      <c r="K4940" s="33"/>
      <c r="L4940" s="33"/>
      <c r="M4940" s="33"/>
    </row>
    <row r="4941">
      <c r="A4941" s="32" t="s">
        <v>13261</v>
      </c>
      <c r="B4941" s="32" t="s">
        <v>13262</v>
      </c>
      <c r="C4941" s="35">
        <v>3.345279932</v>
      </c>
      <c r="D4941" s="35">
        <v>-55.44250107</v>
      </c>
      <c r="E4941" s="32" t="s">
        <v>2192</v>
      </c>
      <c r="F4941" s="32" t="s">
        <v>13263</v>
      </c>
      <c r="G4941" s="36" t="e">
        <v>#N/A</v>
      </c>
      <c r="H4941" s="33"/>
      <c r="I4941" s="33"/>
      <c r="J4941" s="33"/>
      <c r="K4941" s="33"/>
      <c r="L4941" s="33"/>
      <c r="M4941" s="33"/>
    </row>
    <row r="4942">
      <c r="A4942" s="32" t="s">
        <v>13264</v>
      </c>
      <c r="B4942" s="32" t="s">
        <v>13265</v>
      </c>
      <c r="C4942" s="35">
        <v>63.40829849</v>
      </c>
      <c r="D4942" s="35">
        <v>18.98999977</v>
      </c>
      <c r="E4942" s="32" t="s">
        <v>347</v>
      </c>
      <c r="F4942" s="32" t="s">
        <v>13266</v>
      </c>
      <c r="G4942" s="36" t="e">
        <v>#N/A</v>
      </c>
      <c r="H4942" s="33"/>
      <c r="I4942" s="33"/>
      <c r="J4942" s="33"/>
      <c r="K4942" s="33"/>
      <c r="L4942" s="33"/>
      <c r="M4942" s="33"/>
    </row>
    <row r="4943">
      <c r="A4943" s="32" t="s">
        <v>13267</v>
      </c>
      <c r="B4943" s="32" t="s">
        <v>13268</v>
      </c>
      <c r="C4943" s="35">
        <v>-40.7512</v>
      </c>
      <c r="D4943" s="35">
        <v>-65.0343</v>
      </c>
      <c r="E4943" s="32" t="s">
        <v>296</v>
      </c>
      <c r="F4943" s="32" t="s">
        <v>13269</v>
      </c>
      <c r="G4943" s="36" t="e">
        <v>#N/A</v>
      </c>
      <c r="H4943" s="33"/>
      <c r="I4943" s="33"/>
      <c r="J4943" s="33"/>
      <c r="K4943" s="33"/>
      <c r="L4943" s="33"/>
      <c r="M4943" s="33"/>
    </row>
    <row r="4944">
      <c r="A4944" s="32" t="s">
        <v>13270</v>
      </c>
      <c r="B4944" s="32" t="s">
        <v>13271</v>
      </c>
      <c r="C4944" s="35">
        <v>41.11830139</v>
      </c>
      <c r="D4944" s="35">
        <v>-95.91249847</v>
      </c>
      <c r="E4944" s="32" t="s">
        <v>180</v>
      </c>
      <c r="F4944" s="32" t="s">
        <v>13272</v>
      </c>
      <c r="G4944" s="39" t="s">
        <v>181</v>
      </c>
      <c r="H4944" s="33"/>
      <c r="I4944" s="33"/>
      <c r="J4944" s="33"/>
      <c r="K4944" s="33"/>
      <c r="L4944" s="33"/>
      <c r="M4944" s="33"/>
    </row>
    <row r="4945">
      <c r="A4945" s="32" t="s">
        <v>13273</v>
      </c>
      <c r="B4945" s="32" t="s">
        <v>13274</v>
      </c>
      <c r="C4945" s="35">
        <v>41.98550034</v>
      </c>
      <c r="D4945" s="35">
        <v>-97.43509674</v>
      </c>
      <c r="E4945" s="32" t="s">
        <v>180</v>
      </c>
      <c r="F4945" s="32" t="s">
        <v>13275</v>
      </c>
      <c r="G4945" s="39" t="s">
        <v>181</v>
      </c>
      <c r="H4945" s="33"/>
      <c r="I4945" s="33"/>
      <c r="J4945" s="33"/>
      <c r="K4945" s="33"/>
      <c r="L4945" s="33"/>
      <c r="M4945" s="33"/>
    </row>
    <row r="4946">
      <c r="A4946" s="32" t="s">
        <v>13276</v>
      </c>
      <c r="B4946" s="32" t="s">
        <v>13277</v>
      </c>
      <c r="C4946" s="35">
        <v>33.45679855</v>
      </c>
      <c r="D4946" s="35">
        <v>-80.85949707</v>
      </c>
      <c r="E4946" s="32" t="s">
        <v>180</v>
      </c>
      <c r="F4946" s="32" t="s">
        <v>13278</v>
      </c>
      <c r="G4946" s="39" t="s">
        <v>181</v>
      </c>
      <c r="H4946" s="33"/>
      <c r="I4946" s="33"/>
      <c r="J4946" s="33"/>
      <c r="K4946" s="33"/>
      <c r="L4946" s="33"/>
      <c r="M4946" s="33"/>
    </row>
    <row r="4947">
      <c r="A4947" s="32" t="s">
        <v>13279</v>
      </c>
      <c r="B4947" s="32" t="s">
        <v>13280</v>
      </c>
      <c r="C4947" s="35">
        <v>41.19589996</v>
      </c>
      <c r="D4947" s="35">
        <v>-112.012001</v>
      </c>
      <c r="E4947" s="32" t="s">
        <v>180</v>
      </c>
      <c r="F4947" s="32" t="s">
        <v>8709</v>
      </c>
      <c r="G4947" s="39" t="s">
        <v>181</v>
      </c>
      <c r="H4947" s="33"/>
      <c r="I4947" s="33"/>
      <c r="J4947" s="33"/>
      <c r="K4947" s="33"/>
      <c r="L4947" s="33"/>
      <c r="M4947" s="33"/>
    </row>
    <row r="4948">
      <c r="A4948" s="32" t="s">
        <v>13281</v>
      </c>
      <c r="B4948" s="32" t="s">
        <v>13282</v>
      </c>
      <c r="C4948" s="35">
        <v>20.89859962</v>
      </c>
      <c r="D4948" s="35">
        <v>-156.4299927</v>
      </c>
      <c r="E4948" s="32" t="s">
        <v>180</v>
      </c>
      <c r="F4948" s="32" t="s">
        <v>13283</v>
      </c>
      <c r="G4948" s="39" t="s">
        <v>181</v>
      </c>
      <c r="H4948" s="33"/>
      <c r="I4948" s="33"/>
      <c r="J4948" s="33"/>
      <c r="K4948" s="33"/>
      <c r="L4948" s="33"/>
      <c r="M4948" s="33"/>
    </row>
    <row r="4949">
      <c r="A4949" s="32" t="s">
        <v>13284</v>
      </c>
      <c r="B4949" s="32" t="s">
        <v>13285</v>
      </c>
      <c r="C4949" s="35">
        <v>6.806280136</v>
      </c>
      <c r="D4949" s="35">
        <v>-58.10589981</v>
      </c>
      <c r="E4949" s="32" t="s">
        <v>1822</v>
      </c>
      <c r="F4949" s="32" t="s">
        <v>2120</v>
      </c>
      <c r="G4949" s="36" t="e">
        <v>#N/A</v>
      </c>
      <c r="H4949" s="33"/>
      <c r="I4949" s="33"/>
      <c r="J4949" s="33"/>
      <c r="K4949" s="33"/>
      <c r="L4949" s="33"/>
      <c r="M4949" s="33"/>
    </row>
    <row r="4950">
      <c r="A4950" s="32" t="s">
        <v>13286</v>
      </c>
      <c r="B4950" s="32" t="s">
        <v>13287</v>
      </c>
      <c r="C4950" s="35">
        <v>24.46689987</v>
      </c>
      <c r="D4950" s="35">
        <v>122.9779968</v>
      </c>
      <c r="E4950" s="32" t="s">
        <v>170</v>
      </c>
      <c r="F4950" s="32" t="s">
        <v>13288</v>
      </c>
      <c r="G4950" s="39" t="s">
        <v>171</v>
      </c>
      <c r="H4950" s="33"/>
      <c r="I4950" s="33"/>
      <c r="J4950" s="33"/>
      <c r="K4950" s="33"/>
      <c r="L4950" s="33"/>
      <c r="M4950" s="33"/>
    </row>
    <row r="4951">
      <c r="A4951" s="32" t="s">
        <v>13289</v>
      </c>
      <c r="B4951" s="32" t="s">
        <v>13290</v>
      </c>
      <c r="C4951" s="35">
        <v>44.68190002</v>
      </c>
      <c r="D4951" s="35">
        <v>-75.46549988</v>
      </c>
      <c r="E4951" s="32" t="s">
        <v>180</v>
      </c>
      <c r="F4951" s="32" t="s">
        <v>13291</v>
      </c>
      <c r="G4951" s="39" t="s">
        <v>181</v>
      </c>
      <c r="H4951" s="33"/>
      <c r="I4951" s="33"/>
      <c r="J4951" s="33"/>
      <c r="K4951" s="33"/>
      <c r="L4951" s="33"/>
      <c r="M4951" s="33"/>
    </row>
    <row r="4952">
      <c r="A4952" s="32" t="s">
        <v>13292</v>
      </c>
      <c r="B4952" s="32" t="s">
        <v>13293</v>
      </c>
      <c r="C4952" s="35">
        <v>31.91720009</v>
      </c>
      <c r="D4952" s="35">
        <v>5.412779808</v>
      </c>
      <c r="E4952" s="32" t="s">
        <v>20</v>
      </c>
      <c r="F4952" s="32" t="s">
        <v>13294</v>
      </c>
      <c r="G4952" s="36" t="e">
        <v>#N/A</v>
      </c>
      <c r="H4952" s="33"/>
      <c r="I4952" s="33"/>
      <c r="J4952" s="33"/>
      <c r="K4952" s="33"/>
      <c r="L4952" s="33"/>
      <c r="M4952" s="33"/>
    </row>
    <row r="4953">
      <c r="A4953" s="32" t="s">
        <v>13295</v>
      </c>
      <c r="B4953" s="32" t="s">
        <v>13296</v>
      </c>
      <c r="C4953" s="35">
        <v>43.20510101</v>
      </c>
      <c r="D4953" s="35">
        <v>44.60660172</v>
      </c>
      <c r="E4953" s="32" t="s">
        <v>2040</v>
      </c>
      <c r="F4953" s="32" t="s">
        <v>13297</v>
      </c>
      <c r="G4953" s="36" t="e">
        <v>#N/A</v>
      </c>
      <c r="H4953" s="33"/>
      <c r="I4953" s="33"/>
      <c r="J4953" s="33"/>
      <c r="K4953" s="33"/>
      <c r="L4953" s="33"/>
      <c r="M4953" s="33"/>
    </row>
    <row r="4954">
      <c r="A4954" s="32" t="s">
        <v>13298</v>
      </c>
      <c r="B4954" s="32" t="s">
        <v>13299</v>
      </c>
      <c r="C4954" s="35">
        <v>41.18</v>
      </c>
      <c r="D4954" s="35">
        <v>20.7423</v>
      </c>
      <c r="E4954" s="32" t="s">
        <v>13300</v>
      </c>
      <c r="F4954" s="32" t="s">
        <v>13301</v>
      </c>
      <c r="G4954" s="36" t="e">
        <v>#N/A</v>
      </c>
      <c r="H4954" s="33"/>
      <c r="I4954" s="33"/>
      <c r="J4954" s="33"/>
      <c r="K4954" s="33"/>
      <c r="L4954" s="33"/>
      <c r="M4954" s="33"/>
    </row>
    <row r="4955">
      <c r="A4955" s="32" t="s">
        <v>13302</v>
      </c>
      <c r="B4955" s="32" t="s">
        <v>13303</v>
      </c>
      <c r="C4955" s="35">
        <v>52.91277778</v>
      </c>
      <c r="D4955" s="35">
        <v>122.43</v>
      </c>
      <c r="E4955" s="32" t="s">
        <v>205</v>
      </c>
      <c r="F4955" s="32" t="s">
        <v>13304</v>
      </c>
      <c r="G4955" s="39" t="s">
        <v>206</v>
      </c>
      <c r="H4955" s="33"/>
      <c r="I4955" s="33"/>
      <c r="J4955" s="33"/>
      <c r="K4955" s="33"/>
      <c r="L4955" s="33"/>
      <c r="M4955" s="33"/>
    </row>
    <row r="4956">
      <c r="A4956" s="32" t="s">
        <v>13305</v>
      </c>
      <c r="B4956" s="32" t="s">
        <v>13306</v>
      </c>
      <c r="C4956" s="35">
        <v>59.4100647</v>
      </c>
      <c r="D4956" s="35">
        <v>143.0565033</v>
      </c>
      <c r="E4956" s="32" t="s">
        <v>2040</v>
      </c>
      <c r="F4956" s="32" t="s">
        <v>13307</v>
      </c>
      <c r="G4956" s="36" t="e">
        <v>#N/A</v>
      </c>
      <c r="H4956" s="33"/>
      <c r="I4956" s="33"/>
      <c r="J4956" s="33"/>
      <c r="K4956" s="33"/>
      <c r="L4956" s="33"/>
      <c r="M4956" s="33"/>
    </row>
    <row r="4957">
      <c r="A4957" s="32" t="s">
        <v>13308</v>
      </c>
      <c r="B4957" s="32" t="s">
        <v>13309</v>
      </c>
      <c r="C4957" s="35">
        <v>24.38604</v>
      </c>
      <c r="D4957" s="35">
        <v>56.62541</v>
      </c>
      <c r="E4957" s="32" t="s">
        <v>238</v>
      </c>
      <c r="F4957" s="32" t="s">
        <v>13310</v>
      </c>
      <c r="G4957" s="36" t="e">
        <v>#N/A</v>
      </c>
      <c r="H4957" s="33"/>
      <c r="I4957" s="33"/>
      <c r="J4957" s="33"/>
      <c r="K4957" s="33"/>
      <c r="L4957" s="33"/>
      <c r="M4957" s="33"/>
    </row>
    <row r="4958">
      <c r="A4958" s="32" t="s">
        <v>13311</v>
      </c>
      <c r="B4958" s="32" t="s">
        <v>13312</v>
      </c>
      <c r="C4958" s="35">
        <v>-6.763100147</v>
      </c>
      <c r="D4958" s="35">
        <v>-51.04990005</v>
      </c>
      <c r="E4958" s="32" t="s">
        <v>288</v>
      </c>
      <c r="F4958" s="32" t="s">
        <v>13313</v>
      </c>
      <c r="G4958" s="36" t="e">
        <v>#N/A</v>
      </c>
      <c r="H4958" s="33"/>
      <c r="I4958" s="33"/>
      <c r="J4958" s="33"/>
      <c r="K4958" s="33"/>
      <c r="L4958" s="33"/>
      <c r="M4958" s="33"/>
    </row>
    <row r="4959">
      <c r="A4959" s="32" t="s">
        <v>13314</v>
      </c>
      <c r="B4959" s="32" t="s">
        <v>13315</v>
      </c>
      <c r="C4959" s="35">
        <v>34.7820015</v>
      </c>
      <c r="D4959" s="35">
        <v>139.3600006</v>
      </c>
      <c r="E4959" s="32" t="s">
        <v>170</v>
      </c>
      <c r="F4959" s="32" t="s">
        <v>13316</v>
      </c>
      <c r="G4959" s="39" t="s">
        <v>171</v>
      </c>
      <c r="H4959" s="33"/>
      <c r="I4959" s="33"/>
      <c r="J4959" s="33"/>
      <c r="K4959" s="33"/>
      <c r="L4959" s="33"/>
      <c r="M4959" s="33"/>
    </row>
    <row r="4960">
      <c r="A4960" s="32" t="s">
        <v>13317</v>
      </c>
      <c r="B4960" s="32" t="s">
        <v>13318</v>
      </c>
      <c r="C4960" s="35">
        <v>42.07170105</v>
      </c>
      <c r="D4960" s="35">
        <v>139.4329987</v>
      </c>
      <c r="E4960" s="32" t="s">
        <v>170</v>
      </c>
      <c r="F4960" s="32" t="s">
        <v>13319</v>
      </c>
      <c r="G4960" s="39" t="s">
        <v>171</v>
      </c>
      <c r="H4960" s="33"/>
      <c r="I4960" s="33"/>
      <c r="J4960" s="33"/>
      <c r="K4960" s="33"/>
      <c r="L4960" s="33"/>
      <c r="M4960" s="33"/>
    </row>
    <row r="4961">
      <c r="A4961" s="32" t="s">
        <v>13320</v>
      </c>
      <c r="B4961" s="32" t="s">
        <v>13321</v>
      </c>
      <c r="C4961" s="35">
        <v>33.47940063</v>
      </c>
      <c r="D4961" s="35">
        <v>131.7369995</v>
      </c>
      <c r="E4961" s="32" t="s">
        <v>170</v>
      </c>
      <c r="F4961" s="32" t="s">
        <v>13322</v>
      </c>
      <c r="G4961" s="39" t="s">
        <v>171</v>
      </c>
      <c r="H4961" s="33"/>
      <c r="I4961" s="33"/>
      <c r="J4961" s="33"/>
      <c r="K4961" s="33"/>
      <c r="L4961" s="33"/>
      <c r="M4961" s="33"/>
    </row>
    <row r="4962">
      <c r="A4962" s="32" t="s">
        <v>13323</v>
      </c>
      <c r="B4962" s="32" t="s">
        <v>13324</v>
      </c>
      <c r="C4962" s="35">
        <v>38.84759903</v>
      </c>
      <c r="D4962" s="35">
        <v>-94.73760223</v>
      </c>
      <c r="E4962" s="32" t="s">
        <v>180</v>
      </c>
      <c r="F4962" s="32" t="s">
        <v>9630</v>
      </c>
      <c r="G4962" s="39" t="s">
        <v>181</v>
      </c>
      <c r="H4962" s="33"/>
      <c r="I4962" s="33"/>
      <c r="J4962" s="33"/>
      <c r="K4962" s="33"/>
      <c r="L4962" s="33"/>
      <c r="M4962" s="33"/>
    </row>
    <row r="4963">
      <c r="A4963" s="32" t="s">
        <v>13325</v>
      </c>
      <c r="B4963" s="32" t="s">
        <v>12669</v>
      </c>
      <c r="C4963" s="35">
        <v>26.19580078</v>
      </c>
      <c r="D4963" s="35">
        <v>127.6460037</v>
      </c>
      <c r="E4963" s="32" t="s">
        <v>170</v>
      </c>
      <c r="F4963" s="32" t="s">
        <v>13326</v>
      </c>
      <c r="G4963" s="39" t="s">
        <v>171</v>
      </c>
      <c r="H4963" s="33"/>
      <c r="I4963" s="33"/>
      <c r="J4963" s="33"/>
      <c r="K4963" s="33"/>
      <c r="L4963" s="33"/>
      <c r="M4963" s="33"/>
    </row>
    <row r="4964">
      <c r="A4964" s="32" t="s">
        <v>13327</v>
      </c>
      <c r="B4964" s="32" t="s">
        <v>13328</v>
      </c>
      <c r="C4964" s="35">
        <v>33.21730042</v>
      </c>
      <c r="D4964" s="35">
        <v>-117.3539963</v>
      </c>
      <c r="E4964" s="32" t="s">
        <v>1968</v>
      </c>
      <c r="F4964" s="32" t="s">
        <v>13329</v>
      </c>
      <c r="G4964" s="36" t="e">
        <v>#N/A</v>
      </c>
      <c r="H4964" s="33"/>
      <c r="I4964" s="33"/>
      <c r="J4964" s="33"/>
      <c r="K4964" s="33"/>
      <c r="L4964" s="33"/>
      <c r="M4964" s="33"/>
    </row>
    <row r="4965">
      <c r="A4965" s="32" t="s">
        <v>13330</v>
      </c>
      <c r="B4965" s="32" t="s">
        <v>13331</v>
      </c>
      <c r="C4965" s="35">
        <v>35.39310074</v>
      </c>
      <c r="D4965" s="35">
        <v>-97.60070038</v>
      </c>
      <c r="E4965" s="32" t="s">
        <v>180</v>
      </c>
      <c r="F4965" s="32" t="s">
        <v>2904</v>
      </c>
      <c r="G4965" s="39" t="s">
        <v>181</v>
      </c>
      <c r="H4965" s="33"/>
      <c r="I4965" s="33"/>
      <c r="J4965" s="33"/>
      <c r="K4965" s="33"/>
      <c r="L4965" s="33"/>
      <c r="M4965" s="33"/>
    </row>
    <row r="4966">
      <c r="A4966" s="32" t="s">
        <v>13332</v>
      </c>
      <c r="B4966" s="32" t="s">
        <v>13333</v>
      </c>
      <c r="C4966" s="35">
        <v>43.11610031</v>
      </c>
      <c r="D4966" s="35">
        <v>141.3800049</v>
      </c>
      <c r="E4966" s="32" t="s">
        <v>170</v>
      </c>
      <c r="F4966" s="32" t="s">
        <v>6311</v>
      </c>
      <c r="G4966" s="39" t="s">
        <v>171</v>
      </c>
      <c r="H4966" s="33"/>
      <c r="I4966" s="33"/>
      <c r="J4966" s="33"/>
      <c r="K4966" s="33"/>
      <c r="L4966" s="33"/>
      <c r="M4966" s="33"/>
    </row>
    <row r="4967">
      <c r="A4967" s="32" t="s">
        <v>13334</v>
      </c>
      <c r="B4967" s="32" t="s">
        <v>13335</v>
      </c>
      <c r="C4967" s="35">
        <v>-19.14920044</v>
      </c>
      <c r="D4967" s="35">
        <v>15.91189957</v>
      </c>
      <c r="E4967" s="32" t="s">
        <v>3193</v>
      </c>
      <c r="F4967" s="32" t="s">
        <v>13336</v>
      </c>
      <c r="G4967" s="36" t="e">
        <v>#N/A</v>
      </c>
      <c r="H4967" s="33"/>
      <c r="I4967" s="33"/>
      <c r="J4967" s="33"/>
      <c r="K4967" s="33"/>
      <c r="L4967" s="33"/>
      <c r="M4967" s="33"/>
    </row>
    <row r="4968">
      <c r="A4968" s="32" t="s">
        <v>13337</v>
      </c>
      <c r="B4968" s="32" t="s">
        <v>13338</v>
      </c>
      <c r="C4968" s="35">
        <v>36.18109894</v>
      </c>
      <c r="D4968" s="35">
        <v>133.3249969</v>
      </c>
      <c r="E4968" s="32" t="s">
        <v>170</v>
      </c>
      <c r="F4968" s="32" t="s">
        <v>13339</v>
      </c>
      <c r="G4968" s="39" t="s">
        <v>171</v>
      </c>
      <c r="H4968" s="33"/>
      <c r="I4968" s="33"/>
      <c r="J4968" s="33"/>
      <c r="K4968" s="33"/>
      <c r="L4968" s="33"/>
      <c r="M4968" s="33"/>
    </row>
    <row r="4969">
      <c r="A4969" s="32" t="s">
        <v>13340</v>
      </c>
      <c r="B4969" s="32" t="s">
        <v>13341</v>
      </c>
      <c r="C4969" s="35">
        <v>34.75690079</v>
      </c>
      <c r="D4969" s="35">
        <v>133.8549957</v>
      </c>
      <c r="E4969" s="32" t="s">
        <v>170</v>
      </c>
      <c r="F4969" s="32" t="s">
        <v>13342</v>
      </c>
      <c r="G4969" s="39" t="s">
        <v>171</v>
      </c>
      <c r="H4969" s="33"/>
      <c r="I4969" s="33"/>
      <c r="J4969" s="33"/>
      <c r="K4969" s="33"/>
      <c r="L4969" s="33"/>
      <c r="M4969" s="33"/>
    </row>
    <row r="4970">
      <c r="A4970" s="32" t="s">
        <v>13343</v>
      </c>
      <c r="B4970" s="32" t="s">
        <v>13344</v>
      </c>
      <c r="C4970" s="35">
        <v>40.52819824</v>
      </c>
      <c r="D4970" s="35">
        <v>-86.05899811</v>
      </c>
      <c r="E4970" s="32" t="s">
        <v>180</v>
      </c>
      <c r="F4970" s="32" t="s">
        <v>13345</v>
      </c>
      <c r="G4970" s="39" t="s">
        <v>181</v>
      </c>
      <c r="H4970" s="33"/>
      <c r="I4970" s="33"/>
      <c r="J4970" s="33"/>
      <c r="K4970" s="33"/>
      <c r="L4970" s="33"/>
      <c r="M4970" s="33"/>
    </row>
    <row r="4971">
      <c r="A4971" s="32" t="s">
        <v>13346</v>
      </c>
      <c r="B4971" s="32" t="s">
        <v>13347</v>
      </c>
      <c r="C4971" s="35">
        <v>-4.9071</v>
      </c>
      <c r="D4971" s="35">
        <v>140.6277</v>
      </c>
      <c r="E4971" s="32" t="s">
        <v>280</v>
      </c>
      <c r="F4971" s="32" t="s">
        <v>13348</v>
      </c>
      <c r="G4971" s="36" t="e">
        <v>#N/A</v>
      </c>
      <c r="H4971" s="33"/>
      <c r="I4971" s="33"/>
      <c r="J4971" s="33"/>
      <c r="K4971" s="33"/>
      <c r="L4971" s="33"/>
      <c r="M4971" s="33"/>
    </row>
    <row r="4972">
      <c r="A4972" s="32" t="s">
        <v>13349</v>
      </c>
      <c r="B4972" s="32" t="s">
        <v>13350</v>
      </c>
      <c r="C4972" s="35">
        <v>-0.665214002</v>
      </c>
      <c r="D4972" s="35">
        <v>13.67310047</v>
      </c>
      <c r="E4972" s="32" t="s">
        <v>4974</v>
      </c>
      <c r="F4972" s="32" t="s">
        <v>13351</v>
      </c>
      <c r="G4972" s="36" t="e">
        <v>#N/A</v>
      </c>
      <c r="H4972" s="33"/>
      <c r="I4972" s="33"/>
      <c r="J4972" s="33"/>
      <c r="K4972" s="33"/>
      <c r="L4972" s="33"/>
      <c r="M4972" s="33"/>
    </row>
    <row r="4973">
      <c r="A4973" s="32" t="s">
        <v>13352</v>
      </c>
      <c r="B4973" s="32" t="s">
        <v>13353</v>
      </c>
      <c r="C4973" s="35">
        <v>35.74850082</v>
      </c>
      <c r="D4973" s="35">
        <v>139.3480072</v>
      </c>
      <c r="E4973" s="32" t="s">
        <v>170</v>
      </c>
      <c r="F4973" s="32" t="s">
        <v>13354</v>
      </c>
      <c r="G4973" s="39" t="s">
        <v>171</v>
      </c>
      <c r="H4973" s="33"/>
      <c r="I4973" s="33"/>
      <c r="J4973" s="33"/>
      <c r="K4973" s="33"/>
      <c r="L4973" s="33"/>
      <c r="M4973" s="33"/>
    </row>
    <row r="4974">
      <c r="A4974" s="32" t="s">
        <v>13355</v>
      </c>
      <c r="B4974" s="32" t="s">
        <v>13356</v>
      </c>
      <c r="C4974" s="35">
        <v>-9.752801</v>
      </c>
      <c r="D4974" s="35">
        <v>143.405673</v>
      </c>
      <c r="E4974" s="32" t="s">
        <v>1968</v>
      </c>
      <c r="F4974" s="32" t="s">
        <v>13357</v>
      </c>
      <c r="G4974" s="36" t="e">
        <v>#N/A</v>
      </c>
      <c r="H4974" s="33"/>
      <c r="I4974" s="33"/>
      <c r="J4974" s="33"/>
      <c r="K4974" s="33"/>
      <c r="L4974" s="33"/>
      <c r="M4974" s="33"/>
    </row>
    <row r="4975">
      <c r="A4975" s="32" t="s">
        <v>13358</v>
      </c>
      <c r="B4975" s="32" t="s">
        <v>13359</v>
      </c>
      <c r="C4975" s="35">
        <v>-18.81279945</v>
      </c>
      <c r="D4975" s="35">
        <v>17.05940056</v>
      </c>
      <c r="E4975" s="32" t="s">
        <v>3193</v>
      </c>
      <c r="F4975" s="32" t="s">
        <v>13360</v>
      </c>
      <c r="G4975" s="36" t="e">
        <v>#N/A</v>
      </c>
      <c r="H4975" s="33"/>
      <c r="I4975" s="33"/>
      <c r="J4975" s="33"/>
      <c r="K4975" s="33"/>
      <c r="L4975" s="33"/>
      <c r="M4975" s="33"/>
    </row>
    <row r="4976">
      <c r="A4976" s="32" t="s">
        <v>13361</v>
      </c>
      <c r="B4976" s="32" t="s">
        <v>13362</v>
      </c>
      <c r="C4976" s="35">
        <v>-27.41139984</v>
      </c>
      <c r="D4976" s="35">
        <v>151.7350006</v>
      </c>
      <c r="E4976" s="32" t="s">
        <v>1968</v>
      </c>
      <c r="F4976" s="32" t="s">
        <v>13363</v>
      </c>
      <c r="G4976" s="36" t="e">
        <v>#N/A</v>
      </c>
      <c r="H4976" s="33"/>
      <c r="I4976" s="33"/>
      <c r="J4976" s="33"/>
      <c r="K4976" s="33"/>
      <c r="L4976" s="33"/>
      <c r="M4976" s="33"/>
    </row>
    <row r="4977">
      <c r="A4977" s="32" t="s">
        <v>13364</v>
      </c>
      <c r="B4977" s="32" t="s">
        <v>13365</v>
      </c>
      <c r="C4977" s="35">
        <v>63.69889832</v>
      </c>
      <c r="D4977" s="35">
        <v>9.604000092</v>
      </c>
      <c r="E4977" s="32" t="s">
        <v>343</v>
      </c>
      <c r="F4977" s="32" t="s">
        <v>13366</v>
      </c>
      <c r="G4977" s="36" t="e">
        <v>#N/A</v>
      </c>
      <c r="H4977" s="33"/>
      <c r="I4977" s="33"/>
      <c r="J4977" s="33"/>
      <c r="K4977" s="33"/>
      <c r="L4977" s="33"/>
      <c r="M4977" s="33"/>
    </row>
    <row r="4978">
      <c r="A4978" s="32" t="s">
        <v>13367</v>
      </c>
      <c r="B4978" s="32" t="s">
        <v>13368</v>
      </c>
      <c r="C4978" s="35">
        <v>40.898701</v>
      </c>
      <c r="D4978" s="35">
        <v>9.51763</v>
      </c>
      <c r="E4978" s="32" t="s">
        <v>103</v>
      </c>
      <c r="F4978" s="32" t="s">
        <v>13369</v>
      </c>
      <c r="G4978" s="39" t="s">
        <v>104</v>
      </c>
      <c r="H4978" s="33"/>
      <c r="I4978" s="33"/>
      <c r="J4978" s="33"/>
      <c r="K4978" s="33"/>
      <c r="L4978" s="33"/>
      <c r="M4978" s="33"/>
    </row>
    <row r="4979">
      <c r="A4979" s="32" t="s">
        <v>13370</v>
      </c>
      <c r="B4979" s="32" t="s">
        <v>13371</v>
      </c>
      <c r="C4979" s="35">
        <v>-3.467929508</v>
      </c>
      <c r="D4979" s="35">
        <v>-68.92041206</v>
      </c>
      <c r="E4979" s="32" t="s">
        <v>288</v>
      </c>
      <c r="F4979" s="32" t="s">
        <v>13372</v>
      </c>
      <c r="G4979" s="36" t="e">
        <v>#N/A</v>
      </c>
      <c r="H4979" s="33"/>
      <c r="I4979" s="33"/>
      <c r="J4979" s="33"/>
      <c r="K4979" s="33"/>
      <c r="L4979" s="33"/>
      <c r="M4979" s="33"/>
    </row>
    <row r="4980">
      <c r="A4980" s="32" t="s">
        <v>13373</v>
      </c>
      <c r="B4980" s="32" t="s">
        <v>13374</v>
      </c>
      <c r="C4980" s="35">
        <v>48.0945015</v>
      </c>
      <c r="D4980" s="35">
        <v>-105.5749969</v>
      </c>
      <c r="E4980" s="32" t="s">
        <v>180</v>
      </c>
      <c r="F4980" s="32" t="s">
        <v>13375</v>
      </c>
      <c r="G4980" s="39" t="s">
        <v>181</v>
      </c>
      <c r="H4980" s="33"/>
      <c r="I4980" s="33"/>
      <c r="J4980" s="33"/>
      <c r="K4980" s="33"/>
      <c r="L4980" s="33"/>
      <c r="M4980" s="33"/>
    </row>
    <row r="4981">
      <c r="A4981" s="32" t="s">
        <v>13376</v>
      </c>
      <c r="B4981" s="32" t="s">
        <v>13377</v>
      </c>
      <c r="C4981" s="35">
        <v>46.9693985</v>
      </c>
      <c r="D4981" s="35">
        <v>-122.9029999</v>
      </c>
      <c r="E4981" s="32" t="s">
        <v>180</v>
      </c>
      <c r="F4981" s="32" t="s">
        <v>13378</v>
      </c>
      <c r="G4981" s="39" t="s">
        <v>181</v>
      </c>
      <c r="H4981" s="33"/>
      <c r="I4981" s="33"/>
      <c r="J4981" s="33"/>
      <c r="K4981" s="33"/>
      <c r="L4981" s="33"/>
      <c r="M4981" s="33"/>
    </row>
    <row r="4982">
      <c r="A4982" s="32" t="s">
        <v>13379</v>
      </c>
      <c r="B4982" s="32" t="s">
        <v>13380</v>
      </c>
      <c r="C4982" s="35">
        <v>-30.48500061</v>
      </c>
      <c r="D4982" s="35">
        <v>136.8769989</v>
      </c>
      <c r="E4982" s="32" t="s">
        <v>1968</v>
      </c>
      <c r="F4982" s="32" t="s">
        <v>13381</v>
      </c>
      <c r="G4982" s="36" t="e">
        <v>#N/A</v>
      </c>
      <c r="H4982" s="33"/>
      <c r="I4982" s="33"/>
      <c r="J4982" s="33"/>
      <c r="K4982" s="33"/>
      <c r="L4982" s="33"/>
      <c r="M4982" s="33"/>
    </row>
    <row r="4983">
      <c r="A4983" s="32" t="s">
        <v>13382</v>
      </c>
      <c r="B4983" s="32" t="s">
        <v>12964</v>
      </c>
      <c r="C4983" s="35">
        <v>31.41769981</v>
      </c>
      <c r="D4983" s="35">
        <v>-110.8479996</v>
      </c>
      <c r="E4983" s="32" t="s">
        <v>180</v>
      </c>
      <c r="F4983" s="32" t="s">
        <v>12965</v>
      </c>
      <c r="G4983" s="39" t="s">
        <v>181</v>
      </c>
      <c r="H4983" s="33"/>
      <c r="I4983" s="33"/>
      <c r="J4983" s="33"/>
      <c r="K4983" s="33"/>
      <c r="L4983" s="33"/>
      <c r="M4983" s="33"/>
    </row>
    <row r="4984">
      <c r="A4984" s="32" t="s">
        <v>13383</v>
      </c>
      <c r="B4984" s="32" t="s">
        <v>6004</v>
      </c>
      <c r="C4984" s="35">
        <v>41.44800186</v>
      </c>
      <c r="D4984" s="35">
        <v>-97.34259796</v>
      </c>
      <c r="E4984" s="32" t="s">
        <v>180</v>
      </c>
      <c r="F4984" s="32" t="s">
        <v>6005</v>
      </c>
      <c r="G4984" s="39" t="s">
        <v>181</v>
      </c>
      <c r="H4984" s="33"/>
      <c r="I4984" s="33"/>
      <c r="J4984" s="33"/>
      <c r="K4984" s="33"/>
      <c r="L4984" s="33"/>
      <c r="M4984" s="33"/>
    </row>
    <row r="4985">
      <c r="A4985" s="32" t="s">
        <v>13384</v>
      </c>
      <c r="B4985" s="32" t="s">
        <v>13385</v>
      </c>
      <c r="C4985" s="35">
        <v>34.97869873</v>
      </c>
      <c r="D4985" s="35">
        <v>-89.78690338</v>
      </c>
      <c r="E4985" s="32" t="s">
        <v>180</v>
      </c>
      <c r="F4985" s="32" t="s">
        <v>13386</v>
      </c>
      <c r="G4985" s="39" t="s">
        <v>181</v>
      </c>
      <c r="H4985" s="33"/>
      <c r="I4985" s="33"/>
      <c r="J4985" s="33"/>
      <c r="K4985" s="33"/>
      <c r="L4985" s="33"/>
      <c r="M4985" s="33"/>
    </row>
    <row r="4986">
      <c r="A4986" s="32" t="s">
        <v>13387</v>
      </c>
      <c r="B4986" s="32" t="s">
        <v>13388</v>
      </c>
      <c r="C4986" s="35">
        <v>-14.88169956</v>
      </c>
      <c r="D4986" s="35">
        <v>166.5579987</v>
      </c>
      <c r="E4986" s="32" t="s">
        <v>4279</v>
      </c>
      <c r="F4986" s="32" t="s">
        <v>13389</v>
      </c>
      <c r="G4986" s="36" t="e">
        <v>#N/A</v>
      </c>
      <c r="H4986" s="33"/>
      <c r="I4986" s="33"/>
      <c r="J4986" s="33"/>
      <c r="K4986" s="33"/>
      <c r="L4986" s="33"/>
      <c r="M4986" s="33"/>
    </row>
    <row r="4987">
      <c r="A4987" s="32" t="s">
        <v>13390</v>
      </c>
      <c r="B4987" s="32" t="s">
        <v>13391</v>
      </c>
      <c r="C4987" s="35">
        <v>41.30319977</v>
      </c>
      <c r="D4987" s="35">
        <v>-95.89409637</v>
      </c>
      <c r="E4987" s="32" t="s">
        <v>180</v>
      </c>
      <c r="F4987" s="32" t="s">
        <v>13272</v>
      </c>
      <c r="G4987" s="39" t="s">
        <v>181</v>
      </c>
      <c r="H4987" s="33"/>
      <c r="I4987" s="33"/>
      <c r="J4987" s="33"/>
      <c r="K4987" s="33"/>
      <c r="L4987" s="33"/>
      <c r="M4987" s="33"/>
    </row>
    <row r="4988">
      <c r="A4988" s="32" t="s">
        <v>13392</v>
      </c>
      <c r="B4988" s="32" t="s">
        <v>13393</v>
      </c>
      <c r="C4988" s="35">
        <v>-1.574730039</v>
      </c>
      <c r="D4988" s="35">
        <v>9.26268959</v>
      </c>
      <c r="E4988" s="32" t="s">
        <v>4974</v>
      </c>
      <c r="F4988" s="32" t="s">
        <v>13394</v>
      </c>
      <c r="G4988" s="36" t="e">
        <v>#N/A</v>
      </c>
      <c r="H4988" s="33"/>
      <c r="I4988" s="33"/>
      <c r="J4988" s="33"/>
      <c r="K4988" s="33"/>
      <c r="L4988" s="33"/>
      <c r="M4988" s="33"/>
    </row>
    <row r="4989">
      <c r="A4989" s="32" t="s">
        <v>13395</v>
      </c>
      <c r="B4989" s="32" t="s">
        <v>13396</v>
      </c>
      <c r="C4989" s="35">
        <v>11.05799961</v>
      </c>
      <c r="D4989" s="35">
        <v>124.5650024</v>
      </c>
      <c r="E4989" s="32" t="s">
        <v>270</v>
      </c>
      <c r="F4989" s="32" t="s">
        <v>13397</v>
      </c>
      <c r="G4989" s="36" t="e">
        <v>#N/A</v>
      </c>
      <c r="H4989" s="33"/>
      <c r="I4989" s="33"/>
      <c r="J4989" s="33"/>
      <c r="K4989" s="33"/>
      <c r="L4989" s="33"/>
      <c r="M4989" s="33"/>
    </row>
    <row r="4990">
      <c r="A4990" s="32" t="s">
        <v>13398</v>
      </c>
      <c r="B4990" s="32" t="s">
        <v>13399</v>
      </c>
      <c r="C4990" s="35">
        <v>-28.58469963</v>
      </c>
      <c r="D4990" s="35">
        <v>16.44669914</v>
      </c>
      <c r="E4990" s="32" t="s">
        <v>3193</v>
      </c>
      <c r="F4990" s="32" t="s">
        <v>13400</v>
      </c>
      <c r="G4990" s="36" t="e">
        <v>#N/A</v>
      </c>
      <c r="H4990" s="33"/>
      <c r="I4990" s="33"/>
      <c r="J4990" s="33"/>
      <c r="K4990" s="33"/>
      <c r="L4990" s="33"/>
      <c r="M4990" s="33"/>
    </row>
    <row r="4991">
      <c r="A4991" s="32" t="s">
        <v>13401</v>
      </c>
      <c r="B4991" s="32" t="s">
        <v>13402</v>
      </c>
      <c r="C4991" s="35">
        <v>64.5121994</v>
      </c>
      <c r="D4991" s="35">
        <v>-165.4450073</v>
      </c>
      <c r="E4991" s="32" t="s">
        <v>180</v>
      </c>
      <c r="F4991" s="32" t="s">
        <v>13403</v>
      </c>
      <c r="G4991" s="39" t="s">
        <v>181</v>
      </c>
      <c r="H4991" s="33"/>
      <c r="I4991" s="33"/>
      <c r="J4991" s="33"/>
      <c r="K4991" s="33"/>
      <c r="L4991" s="33"/>
      <c r="M4991" s="33"/>
    </row>
    <row r="4992">
      <c r="A4992" s="32" t="s">
        <v>13404</v>
      </c>
      <c r="B4992" s="32" t="s">
        <v>13405</v>
      </c>
      <c r="C4992" s="35">
        <v>32.3564</v>
      </c>
      <c r="D4992" s="35">
        <v>36.259201</v>
      </c>
      <c r="E4992" s="32" t="s">
        <v>253</v>
      </c>
      <c r="F4992" s="32" t="s">
        <v>13406</v>
      </c>
      <c r="G4992" s="36" t="e">
        <v>#N/A</v>
      </c>
      <c r="H4992" s="33"/>
      <c r="I4992" s="33"/>
      <c r="J4992" s="33"/>
      <c r="K4992" s="33"/>
      <c r="L4992" s="33"/>
      <c r="M4992" s="33"/>
    </row>
    <row r="4993">
      <c r="A4993" s="32" t="s">
        <v>13407</v>
      </c>
      <c r="B4993" s="32" t="s">
        <v>13408</v>
      </c>
      <c r="C4993" s="35">
        <v>37.66809845</v>
      </c>
      <c r="D4993" s="35">
        <v>45.06869888</v>
      </c>
      <c r="E4993" s="32" t="s">
        <v>1378</v>
      </c>
      <c r="F4993" s="32" t="s">
        <v>13409</v>
      </c>
      <c r="G4993" s="36" t="e">
        <v>#N/A</v>
      </c>
      <c r="H4993" s="33"/>
      <c r="I4993" s="33"/>
      <c r="J4993" s="33"/>
      <c r="K4993" s="33"/>
      <c r="L4993" s="33"/>
      <c r="M4993" s="33"/>
    </row>
    <row r="4994">
      <c r="A4994" s="32" t="s">
        <v>13410</v>
      </c>
      <c r="B4994" s="32" t="s">
        <v>13411</v>
      </c>
      <c r="C4994" s="35">
        <v>29.30060005</v>
      </c>
      <c r="D4994" s="35">
        <v>-81.11360168</v>
      </c>
      <c r="E4994" s="32" t="s">
        <v>180</v>
      </c>
      <c r="F4994" s="32" t="s">
        <v>13412</v>
      </c>
      <c r="G4994" s="39" t="s">
        <v>181</v>
      </c>
      <c r="H4994" s="33"/>
      <c r="I4994" s="33"/>
      <c r="J4994" s="33"/>
      <c r="K4994" s="33"/>
      <c r="L4994" s="33"/>
      <c r="M4994" s="33"/>
    </row>
    <row r="4995">
      <c r="A4995" s="32" t="s">
        <v>13413</v>
      </c>
      <c r="B4995" s="32" t="s">
        <v>13414</v>
      </c>
      <c r="C4995" s="35">
        <v>43.28290176</v>
      </c>
      <c r="D4995" s="35">
        <v>17.84589958</v>
      </c>
      <c r="E4995" s="32" t="s">
        <v>2150</v>
      </c>
      <c r="F4995" s="32" t="s">
        <v>13415</v>
      </c>
      <c r="G4995" s="36" t="e">
        <v>#N/A</v>
      </c>
      <c r="H4995" s="33"/>
      <c r="I4995" s="33"/>
      <c r="J4995" s="33"/>
      <c r="K4995" s="33"/>
      <c r="L4995" s="33"/>
      <c r="M4995" s="33"/>
    </row>
    <row r="4996">
      <c r="A4996" s="32" t="s">
        <v>13416</v>
      </c>
      <c r="B4996" s="32" t="s">
        <v>13417</v>
      </c>
      <c r="C4996" s="35">
        <v>47.02529907</v>
      </c>
      <c r="D4996" s="35">
        <v>21.90250015</v>
      </c>
      <c r="E4996" s="32" t="s">
        <v>2874</v>
      </c>
      <c r="F4996" s="32" t="s">
        <v>13418</v>
      </c>
      <c r="G4996" s="36" t="e">
        <v>#N/A</v>
      </c>
      <c r="H4996" s="33"/>
      <c r="I4996" s="33"/>
      <c r="J4996" s="33"/>
      <c r="K4996" s="33"/>
      <c r="L4996" s="33"/>
      <c r="M4996" s="33"/>
    </row>
    <row r="4997">
      <c r="A4997" s="32" t="s">
        <v>13419</v>
      </c>
      <c r="B4997" s="32" t="s">
        <v>13420</v>
      </c>
      <c r="C4997" s="35">
        <v>54.96699905</v>
      </c>
      <c r="D4997" s="35">
        <v>73.3105011</v>
      </c>
      <c r="E4997" s="32" t="s">
        <v>2040</v>
      </c>
      <c r="F4997" s="32" t="s">
        <v>3320</v>
      </c>
      <c r="G4997" s="36" t="e">
        <v>#N/A</v>
      </c>
      <c r="H4997" s="33"/>
      <c r="I4997" s="33"/>
      <c r="J4997" s="33"/>
      <c r="K4997" s="33"/>
      <c r="L4997" s="33"/>
      <c r="M4997" s="33"/>
    </row>
    <row r="4998">
      <c r="A4998" s="32" t="s">
        <v>13421</v>
      </c>
      <c r="B4998" s="32" t="s">
        <v>13422</v>
      </c>
      <c r="C4998" s="35">
        <v>-17.878201</v>
      </c>
      <c r="D4998" s="35">
        <v>15.9526</v>
      </c>
      <c r="E4998" s="32" t="s">
        <v>3193</v>
      </c>
      <c r="F4998" s="32" t="s">
        <v>13423</v>
      </c>
      <c r="G4998" s="36" t="e">
        <v>#N/A</v>
      </c>
      <c r="H4998" s="33"/>
      <c r="I4998" s="33"/>
      <c r="J4998" s="33"/>
      <c r="K4998" s="33"/>
      <c r="L4998" s="33"/>
      <c r="M4998" s="33"/>
    </row>
    <row r="4999">
      <c r="A4999" s="32" t="s">
        <v>13424</v>
      </c>
      <c r="B4999" s="32" t="s">
        <v>13425</v>
      </c>
      <c r="C4999" s="35">
        <v>-16.66250038</v>
      </c>
      <c r="D4999" s="35">
        <v>139.1779938</v>
      </c>
      <c r="E4999" s="32" t="s">
        <v>1968</v>
      </c>
      <c r="F4999" s="32" t="s">
        <v>13426</v>
      </c>
      <c r="G4999" s="36" t="e">
        <v>#N/A</v>
      </c>
      <c r="H4999" s="33"/>
      <c r="I4999" s="33"/>
      <c r="J4999" s="33"/>
      <c r="K4999" s="33"/>
      <c r="L4999" s="33"/>
      <c r="M4999" s="33"/>
    </row>
    <row r="5000">
      <c r="A5000" s="32" t="s">
        <v>13427</v>
      </c>
      <c r="B5000" s="32" t="s">
        <v>13428</v>
      </c>
      <c r="C5000" s="35">
        <v>40.19189835</v>
      </c>
      <c r="D5000" s="35">
        <v>140.3710022</v>
      </c>
      <c r="E5000" s="32" t="s">
        <v>170</v>
      </c>
      <c r="F5000" s="32" t="s">
        <v>13429</v>
      </c>
      <c r="G5000" s="39" t="s">
        <v>171</v>
      </c>
      <c r="H5000" s="33"/>
      <c r="I5000" s="33"/>
      <c r="J5000" s="33"/>
      <c r="K5000" s="33"/>
      <c r="L5000" s="33"/>
      <c r="M5000" s="33"/>
    </row>
    <row r="5001">
      <c r="A5001" s="32" t="s">
        <v>13430</v>
      </c>
      <c r="B5001" s="32" t="s">
        <v>13431</v>
      </c>
      <c r="C5001" s="35">
        <v>44.58039856</v>
      </c>
      <c r="D5001" s="35">
        <v>-124.0579987</v>
      </c>
      <c r="E5001" s="32" t="s">
        <v>180</v>
      </c>
      <c r="F5001" s="32" t="s">
        <v>13432</v>
      </c>
      <c r="G5001" s="39" t="s">
        <v>181</v>
      </c>
      <c r="H5001" s="33"/>
      <c r="I5001" s="33"/>
      <c r="J5001" s="33"/>
      <c r="K5001" s="33"/>
      <c r="L5001" s="33"/>
      <c r="M5001" s="33"/>
    </row>
    <row r="5002">
      <c r="A5002" s="32" t="s">
        <v>13433</v>
      </c>
      <c r="B5002" s="32" t="s">
        <v>13434</v>
      </c>
      <c r="C5002" s="35">
        <v>41.50640106</v>
      </c>
      <c r="D5002" s="35">
        <v>32.08860016</v>
      </c>
      <c r="E5002" s="32" t="s">
        <v>133</v>
      </c>
      <c r="F5002" s="32" t="s">
        <v>13435</v>
      </c>
      <c r="G5002" s="39" t="s">
        <v>134</v>
      </c>
      <c r="H5002" s="33"/>
      <c r="I5002" s="33"/>
      <c r="J5002" s="33"/>
      <c r="K5002" s="33"/>
      <c r="L5002" s="33"/>
      <c r="M5002" s="33"/>
    </row>
    <row r="5003">
      <c r="A5003" s="32" t="s">
        <v>13436</v>
      </c>
      <c r="B5003" s="32" t="s">
        <v>13437</v>
      </c>
      <c r="C5003" s="35">
        <v>-21.66830063</v>
      </c>
      <c r="D5003" s="35">
        <v>115.112999</v>
      </c>
      <c r="E5003" s="32" t="s">
        <v>1968</v>
      </c>
      <c r="F5003" s="32" t="s">
        <v>13438</v>
      </c>
      <c r="G5003" s="36" t="e">
        <v>#N/A</v>
      </c>
      <c r="H5003" s="33"/>
      <c r="I5003" s="33"/>
      <c r="J5003" s="33"/>
      <c r="K5003" s="33"/>
      <c r="L5003" s="33"/>
      <c r="M5003" s="33"/>
    </row>
    <row r="5004">
      <c r="A5004" s="32" t="s">
        <v>13439</v>
      </c>
      <c r="B5004" s="32" t="s">
        <v>13440</v>
      </c>
      <c r="C5004" s="35">
        <v>34.05599976</v>
      </c>
      <c r="D5004" s="35">
        <v>-117.6009979</v>
      </c>
      <c r="E5004" s="32" t="s">
        <v>180</v>
      </c>
      <c r="F5004" s="32" t="s">
        <v>2510</v>
      </c>
      <c r="G5004" s="39" t="s">
        <v>181</v>
      </c>
      <c r="H5004" s="33"/>
      <c r="I5004" s="33"/>
      <c r="J5004" s="33"/>
      <c r="K5004" s="33"/>
      <c r="L5004" s="33"/>
      <c r="M5004" s="33"/>
    </row>
    <row r="5005">
      <c r="A5005" s="32" t="s">
        <v>13441</v>
      </c>
      <c r="B5005" s="32" t="s">
        <v>13442</v>
      </c>
      <c r="C5005" s="35">
        <v>9.356639862</v>
      </c>
      <c r="D5005" s="35">
        <v>-79.86740112</v>
      </c>
      <c r="E5005" s="32" t="s">
        <v>327</v>
      </c>
      <c r="F5005" s="32" t="s">
        <v>13443</v>
      </c>
      <c r="G5005" s="36" t="e">
        <v>#N/A</v>
      </c>
      <c r="H5005" s="33"/>
      <c r="I5005" s="33"/>
      <c r="J5005" s="33"/>
      <c r="K5005" s="33"/>
      <c r="L5005" s="33"/>
      <c r="M5005" s="33"/>
    </row>
    <row r="5006">
      <c r="A5006" s="32" t="s">
        <v>13444</v>
      </c>
      <c r="B5006" s="32" t="s">
        <v>13445</v>
      </c>
      <c r="C5006" s="35">
        <v>60.54140091</v>
      </c>
      <c r="D5006" s="35">
        <v>-165.0870056</v>
      </c>
      <c r="E5006" s="32" t="s">
        <v>180</v>
      </c>
      <c r="F5006" s="32" t="s">
        <v>13446</v>
      </c>
      <c r="G5006" s="39" t="s">
        <v>181</v>
      </c>
      <c r="H5006" s="33"/>
      <c r="I5006" s="33"/>
      <c r="J5006" s="33"/>
      <c r="K5006" s="33"/>
      <c r="L5006" s="33"/>
      <c r="M5006" s="33"/>
    </row>
    <row r="5007">
      <c r="A5007" s="32" t="s">
        <v>13447</v>
      </c>
      <c r="B5007" s="32" t="s">
        <v>13448</v>
      </c>
      <c r="C5007" s="35">
        <v>-28.1644001</v>
      </c>
      <c r="D5007" s="35">
        <v>153.5050049</v>
      </c>
      <c r="E5007" s="32" t="s">
        <v>1968</v>
      </c>
      <c r="F5007" s="32" t="s">
        <v>13449</v>
      </c>
      <c r="G5007" s="36" t="e">
        <v>#N/A</v>
      </c>
      <c r="H5007" s="33"/>
      <c r="I5007" s="33"/>
      <c r="J5007" s="33"/>
      <c r="K5007" s="33"/>
      <c r="L5007" s="33"/>
      <c r="M5007" s="33"/>
    </row>
    <row r="5008">
      <c r="A5008" s="32" t="s">
        <v>13450</v>
      </c>
      <c r="B5008" s="32" t="s">
        <v>13451</v>
      </c>
      <c r="C5008" s="35">
        <v>-36.30059814</v>
      </c>
      <c r="D5008" s="35">
        <v>148.973999</v>
      </c>
      <c r="E5008" s="32" t="s">
        <v>1968</v>
      </c>
      <c r="F5008" s="32" t="s">
        <v>13452</v>
      </c>
      <c r="G5008" s="36" t="e">
        <v>#N/A</v>
      </c>
      <c r="H5008" s="33"/>
      <c r="I5008" s="33"/>
      <c r="J5008" s="33"/>
      <c r="K5008" s="33"/>
      <c r="L5008" s="33"/>
      <c r="M5008" s="33"/>
    </row>
    <row r="5009">
      <c r="A5009" s="32" t="s">
        <v>13453</v>
      </c>
      <c r="B5009" s="32" t="s">
        <v>13454</v>
      </c>
      <c r="C5009" s="35">
        <v>25.90699959</v>
      </c>
      <c r="D5009" s="35">
        <v>-80.27839661</v>
      </c>
      <c r="E5009" s="32" t="s">
        <v>180</v>
      </c>
      <c r="F5009" s="32" t="s">
        <v>11920</v>
      </c>
      <c r="G5009" s="39" t="s">
        <v>181</v>
      </c>
      <c r="H5009" s="33"/>
      <c r="I5009" s="33"/>
      <c r="J5009" s="33"/>
      <c r="K5009" s="33"/>
      <c r="L5009" s="33"/>
      <c r="M5009" s="33"/>
    </row>
    <row r="5010">
      <c r="A5010" s="32" t="s">
        <v>13455</v>
      </c>
      <c r="B5010" s="32" t="s">
        <v>13456</v>
      </c>
      <c r="C5010" s="35">
        <v>41.24810028</v>
      </c>
      <c r="D5010" s="35">
        <v>-8.681389809</v>
      </c>
      <c r="E5010" s="32" t="s">
        <v>121</v>
      </c>
      <c r="F5010" s="32" t="s">
        <v>13457</v>
      </c>
      <c r="G5010" s="39" t="s">
        <v>122</v>
      </c>
      <c r="H5010" s="33"/>
      <c r="I5010" s="33"/>
      <c r="J5010" s="33"/>
      <c r="K5010" s="33"/>
      <c r="L5010" s="33"/>
      <c r="M5010" s="33"/>
    </row>
    <row r="5011">
      <c r="A5011" s="32" t="s">
        <v>13458</v>
      </c>
      <c r="B5011" s="32" t="s">
        <v>13459</v>
      </c>
      <c r="C5011" s="35">
        <v>-11.88500023</v>
      </c>
      <c r="D5011" s="35">
        <v>-55.58610916</v>
      </c>
      <c r="E5011" s="32" t="s">
        <v>288</v>
      </c>
      <c r="F5011" s="32" t="s">
        <v>13460</v>
      </c>
      <c r="G5011" s="36" t="e">
        <v>#N/A</v>
      </c>
      <c r="H5011" s="33"/>
      <c r="I5011" s="33"/>
      <c r="J5011" s="33"/>
      <c r="K5011" s="33"/>
      <c r="L5011" s="33"/>
      <c r="M5011" s="33"/>
    </row>
    <row r="5012">
      <c r="A5012" s="32" t="s">
        <v>13461</v>
      </c>
      <c r="B5012" s="32" t="s">
        <v>13462</v>
      </c>
      <c r="C5012" s="35">
        <v>39.99010086</v>
      </c>
      <c r="D5012" s="35">
        <v>-75.58190155</v>
      </c>
      <c r="E5012" s="32" t="s">
        <v>180</v>
      </c>
      <c r="F5012" s="32" t="s">
        <v>13463</v>
      </c>
      <c r="G5012" s="39" t="s">
        <v>181</v>
      </c>
      <c r="H5012" s="33"/>
      <c r="I5012" s="33"/>
      <c r="J5012" s="33"/>
      <c r="K5012" s="33"/>
      <c r="L5012" s="33"/>
      <c r="M5012" s="33"/>
    </row>
    <row r="5013">
      <c r="A5013" s="32" t="s">
        <v>13464</v>
      </c>
      <c r="B5013" s="32" t="s">
        <v>13465</v>
      </c>
      <c r="C5013" s="35">
        <v>41.597099299999996</v>
      </c>
      <c r="D5013" s="35">
        <v>-71.41210175</v>
      </c>
      <c r="E5013" s="32" t="s">
        <v>180</v>
      </c>
      <c r="F5013" s="32" t="s">
        <v>13466</v>
      </c>
      <c r="G5013" s="39" t="s">
        <v>181</v>
      </c>
      <c r="H5013" s="33"/>
      <c r="I5013" s="33"/>
      <c r="J5013" s="33"/>
      <c r="K5013" s="33"/>
      <c r="L5013" s="33"/>
      <c r="M5013" s="33"/>
    </row>
    <row r="5014">
      <c r="A5014" s="32" t="s">
        <v>13467</v>
      </c>
      <c r="B5014" s="32" t="s">
        <v>13468</v>
      </c>
      <c r="C5014" s="35">
        <v>-23.15279961</v>
      </c>
      <c r="D5014" s="35">
        <v>-64.32920074</v>
      </c>
      <c r="E5014" s="32" t="s">
        <v>296</v>
      </c>
      <c r="F5014" s="32" t="s">
        <v>13469</v>
      </c>
      <c r="G5014" s="36" t="e">
        <v>#N/A</v>
      </c>
      <c r="H5014" s="33"/>
      <c r="I5014" s="33"/>
      <c r="J5014" s="33"/>
      <c r="K5014" s="33"/>
      <c r="L5014" s="33"/>
      <c r="M5014" s="33"/>
    </row>
    <row r="5015">
      <c r="A5015" s="32" t="s">
        <v>13470</v>
      </c>
      <c r="B5015" s="32" t="s">
        <v>13471</v>
      </c>
      <c r="C5015" s="35">
        <v>59.22370148</v>
      </c>
      <c r="D5015" s="35">
        <v>15.03800011</v>
      </c>
      <c r="E5015" s="32" t="s">
        <v>347</v>
      </c>
      <c r="F5015" s="32" t="s">
        <v>13472</v>
      </c>
      <c r="G5015" s="36" t="e">
        <v>#N/A</v>
      </c>
      <c r="H5015" s="33"/>
      <c r="I5015" s="33"/>
      <c r="J5015" s="33"/>
      <c r="K5015" s="33"/>
      <c r="L5015" s="33"/>
      <c r="M5015" s="33"/>
    </row>
    <row r="5016">
      <c r="A5016" s="32" t="s">
        <v>13473</v>
      </c>
      <c r="B5016" s="32" t="s">
        <v>13474</v>
      </c>
      <c r="C5016" s="35">
        <v>41.97859955</v>
      </c>
      <c r="D5016" s="35">
        <v>-87.90480042</v>
      </c>
      <c r="E5016" s="32" t="s">
        <v>180</v>
      </c>
      <c r="F5016" s="32" t="s">
        <v>5824</v>
      </c>
      <c r="G5016" s="39" t="s">
        <v>181</v>
      </c>
      <c r="H5016" s="33"/>
      <c r="I5016" s="33"/>
      <c r="J5016" s="33"/>
      <c r="K5016" s="33"/>
      <c r="L5016" s="33"/>
      <c r="M5016" s="33"/>
    </row>
    <row r="5017">
      <c r="A5017" s="32" t="s">
        <v>13475</v>
      </c>
      <c r="B5017" s="32" t="s">
        <v>13476</v>
      </c>
      <c r="C5017" s="35">
        <v>47.9878006</v>
      </c>
      <c r="D5017" s="35">
        <v>1.760560036</v>
      </c>
      <c r="E5017" s="32" t="s">
        <v>96</v>
      </c>
      <c r="F5017" s="32" t="s">
        <v>978</v>
      </c>
      <c r="G5017" s="39" t="s">
        <v>97</v>
      </c>
      <c r="H5017" s="33"/>
      <c r="I5017" s="33"/>
      <c r="J5017" s="33"/>
      <c r="K5017" s="33"/>
      <c r="L5017" s="33"/>
      <c r="M5017" s="33"/>
    </row>
    <row r="5018">
      <c r="A5018" s="32" t="s">
        <v>13477</v>
      </c>
      <c r="B5018" s="32" t="s">
        <v>13478</v>
      </c>
      <c r="C5018" s="35">
        <v>36.89459991</v>
      </c>
      <c r="D5018" s="35">
        <v>-76.20120239</v>
      </c>
      <c r="E5018" s="32" t="s">
        <v>180</v>
      </c>
      <c r="F5018" s="32" t="s">
        <v>12821</v>
      </c>
      <c r="G5018" s="39" t="s">
        <v>181</v>
      </c>
      <c r="H5018" s="33"/>
      <c r="I5018" s="33"/>
      <c r="J5018" s="33"/>
      <c r="K5018" s="33"/>
      <c r="L5018" s="33"/>
      <c r="M5018" s="33"/>
    </row>
    <row r="5019">
      <c r="A5019" s="32" t="s">
        <v>13479</v>
      </c>
      <c r="B5019" s="32" t="s">
        <v>13480</v>
      </c>
      <c r="C5019" s="35">
        <v>5.811079979</v>
      </c>
      <c r="D5019" s="35">
        <v>-55.19070053</v>
      </c>
      <c r="E5019" s="32" t="s">
        <v>2192</v>
      </c>
      <c r="F5019" s="32" t="s">
        <v>13481</v>
      </c>
      <c r="G5019" s="36" t="e">
        <v>#N/A</v>
      </c>
      <c r="H5019" s="33"/>
      <c r="I5019" s="33"/>
      <c r="J5019" s="33"/>
      <c r="K5019" s="33"/>
      <c r="L5019" s="33"/>
      <c r="M5019" s="33"/>
    </row>
    <row r="5020">
      <c r="A5020" s="32" t="s">
        <v>13482</v>
      </c>
      <c r="B5020" s="32" t="s">
        <v>13483</v>
      </c>
      <c r="C5020" s="35">
        <v>42.26729965</v>
      </c>
      <c r="D5020" s="35">
        <v>-71.8757019</v>
      </c>
      <c r="E5020" s="32" t="s">
        <v>180</v>
      </c>
      <c r="F5020" s="32" t="s">
        <v>13484</v>
      </c>
      <c r="G5020" s="39" t="s">
        <v>181</v>
      </c>
      <c r="H5020" s="33"/>
      <c r="I5020" s="33"/>
      <c r="J5020" s="33"/>
      <c r="K5020" s="33"/>
      <c r="L5020" s="33"/>
      <c r="M5020" s="33"/>
    </row>
    <row r="5021">
      <c r="A5021" s="32" t="s">
        <v>13485</v>
      </c>
      <c r="B5021" s="32" t="s">
        <v>13486</v>
      </c>
      <c r="C5021" s="35">
        <v>4.725269794</v>
      </c>
      <c r="D5021" s="35">
        <v>-60.03499985</v>
      </c>
      <c r="E5021" s="32" t="s">
        <v>1822</v>
      </c>
      <c r="F5021" s="32" t="s">
        <v>13487</v>
      </c>
      <c r="G5021" s="36" t="e">
        <v>#N/A</v>
      </c>
      <c r="H5021" s="33"/>
      <c r="I5021" s="33"/>
      <c r="J5021" s="33"/>
      <c r="K5021" s="33"/>
      <c r="L5021" s="33"/>
      <c r="M5021" s="33"/>
    </row>
    <row r="5022">
      <c r="A5022" s="32" t="s">
        <v>13488</v>
      </c>
      <c r="B5022" s="32" t="s">
        <v>13489</v>
      </c>
      <c r="C5022" s="35">
        <v>51.84130096</v>
      </c>
      <c r="D5022" s="35">
        <v>-8.491109848</v>
      </c>
      <c r="E5022" s="32" t="s">
        <v>199</v>
      </c>
      <c r="F5022" s="32" t="s">
        <v>13490</v>
      </c>
      <c r="G5022" s="39" t="s">
        <v>200</v>
      </c>
      <c r="H5022" s="33"/>
      <c r="I5022" s="33"/>
      <c r="J5022" s="33"/>
      <c r="K5022" s="33"/>
      <c r="L5022" s="33"/>
      <c r="M5022" s="33"/>
    </row>
    <row r="5023">
      <c r="A5023" s="32" t="s">
        <v>13491</v>
      </c>
      <c r="B5023" s="32" t="s">
        <v>13492</v>
      </c>
      <c r="C5023" s="35">
        <v>28.5454998</v>
      </c>
      <c r="D5023" s="35">
        <v>-81.332901</v>
      </c>
      <c r="E5023" s="32" t="s">
        <v>180</v>
      </c>
      <c r="F5023" s="32" t="s">
        <v>11670</v>
      </c>
      <c r="G5023" s="39" t="s">
        <v>181</v>
      </c>
      <c r="H5023" s="33"/>
      <c r="I5023" s="33"/>
      <c r="J5023" s="33"/>
      <c r="K5023" s="33"/>
      <c r="L5023" s="33"/>
      <c r="M5023" s="33"/>
    </row>
    <row r="5024">
      <c r="A5024" s="32" t="s">
        <v>13493</v>
      </c>
      <c r="B5024" s="32" t="s">
        <v>13494</v>
      </c>
      <c r="C5024" s="35">
        <v>35.62390137</v>
      </c>
      <c r="D5024" s="35">
        <v>-0.621182978</v>
      </c>
      <c r="E5024" s="32" t="s">
        <v>20</v>
      </c>
      <c r="F5024" s="32" t="s">
        <v>13469</v>
      </c>
      <c r="G5024" s="36" t="e">
        <v>#N/A</v>
      </c>
      <c r="H5024" s="33"/>
      <c r="I5024" s="33"/>
      <c r="J5024" s="33"/>
      <c r="K5024" s="33"/>
      <c r="L5024" s="33"/>
      <c r="M5024" s="33"/>
    </row>
    <row r="5025">
      <c r="A5025" s="32" t="s">
        <v>13495</v>
      </c>
      <c r="B5025" s="32" t="s">
        <v>13496</v>
      </c>
      <c r="C5025" s="35">
        <v>-21.26670074</v>
      </c>
      <c r="D5025" s="35">
        <v>25.31669998</v>
      </c>
      <c r="E5025" s="32" t="s">
        <v>2285</v>
      </c>
      <c r="F5025" s="32" t="s">
        <v>13497</v>
      </c>
      <c r="G5025" s="36" t="e">
        <v>#N/A</v>
      </c>
      <c r="H5025" s="33"/>
      <c r="I5025" s="33"/>
      <c r="J5025" s="33"/>
      <c r="K5025" s="33"/>
      <c r="L5025" s="33"/>
      <c r="M5025" s="33"/>
    </row>
    <row r="5026">
      <c r="A5026" s="32" t="s">
        <v>13498</v>
      </c>
      <c r="B5026" s="32" t="s">
        <v>13499</v>
      </c>
      <c r="C5026" s="35">
        <v>62.9612999</v>
      </c>
      <c r="D5026" s="35">
        <v>-141.9290009</v>
      </c>
      <c r="E5026" s="32" t="s">
        <v>180</v>
      </c>
      <c r="F5026" s="32" t="s">
        <v>13500</v>
      </c>
      <c r="G5026" s="39" t="s">
        <v>181</v>
      </c>
      <c r="H5026" s="33"/>
      <c r="I5026" s="33"/>
      <c r="J5026" s="33"/>
      <c r="K5026" s="33"/>
      <c r="L5026" s="33"/>
      <c r="M5026" s="33"/>
    </row>
    <row r="5027">
      <c r="A5027" s="32" t="s">
        <v>13501</v>
      </c>
      <c r="B5027" s="32" t="s">
        <v>13502</v>
      </c>
      <c r="C5027" s="35">
        <v>66.81790161</v>
      </c>
      <c r="D5027" s="35">
        <v>-161.0189972</v>
      </c>
      <c r="E5027" s="32" t="s">
        <v>180</v>
      </c>
      <c r="F5027" s="32" t="s">
        <v>13503</v>
      </c>
      <c r="G5027" s="39" t="s">
        <v>181</v>
      </c>
      <c r="H5027" s="33"/>
      <c r="I5027" s="33"/>
      <c r="J5027" s="33"/>
      <c r="K5027" s="33"/>
      <c r="L5027" s="33"/>
      <c r="M5027" s="33"/>
    </row>
    <row r="5028">
      <c r="A5028" s="32" t="s">
        <v>13504</v>
      </c>
      <c r="B5028" s="32" t="s">
        <v>13505</v>
      </c>
      <c r="C5028" s="35">
        <v>25.27470016</v>
      </c>
      <c r="D5028" s="35">
        <v>64.58599854</v>
      </c>
      <c r="E5028" s="32" t="s">
        <v>1470</v>
      </c>
      <c r="F5028" s="32" t="s">
        <v>13506</v>
      </c>
      <c r="G5028" s="36" t="e">
        <v>#N/A</v>
      </c>
      <c r="H5028" s="33"/>
      <c r="I5028" s="33"/>
      <c r="J5028" s="33"/>
      <c r="K5028" s="33"/>
      <c r="L5028" s="33"/>
      <c r="M5028" s="33"/>
    </row>
    <row r="5029">
      <c r="A5029" s="32" t="s">
        <v>13507</v>
      </c>
      <c r="B5029" s="32" t="s">
        <v>13508</v>
      </c>
      <c r="C5029" s="35">
        <v>-1.714079976</v>
      </c>
      <c r="D5029" s="35">
        <v>-55.83620071</v>
      </c>
      <c r="E5029" s="32" t="s">
        <v>288</v>
      </c>
      <c r="F5029" s="32" t="s">
        <v>13509</v>
      </c>
      <c r="G5029" s="36" t="e">
        <v>#N/A</v>
      </c>
      <c r="H5029" s="33"/>
      <c r="I5029" s="33"/>
      <c r="J5029" s="33"/>
      <c r="K5029" s="33"/>
      <c r="L5029" s="33"/>
      <c r="M5029" s="33"/>
    </row>
    <row r="5030">
      <c r="A5030" s="32" t="s">
        <v>13510</v>
      </c>
      <c r="B5030" s="32" t="s">
        <v>13511</v>
      </c>
      <c r="C5030" s="35">
        <v>48.7233333</v>
      </c>
      <c r="D5030" s="35">
        <v>2.3794444</v>
      </c>
      <c r="E5030" s="32" t="s">
        <v>96</v>
      </c>
      <c r="F5030" s="32" t="s">
        <v>5670</v>
      </c>
      <c r="G5030" s="39" t="s">
        <v>97</v>
      </c>
      <c r="H5030" s="33"/>
      <c r="I5030" s="33"/>
      <c r="J5030" s="33"/>
      <c r="K5030" s="33"/>
      <c r="L5030" s="33"/>
      <c r="M5030" s="33"/>
    </row>
    <row r="5031">
      <c r="A5031" s="32" t="s">
        <v>13512</v>
      </c>
      <c r="B5031" s="32" t="s">
        <v>13513</v>
      </c>
      <c r="C5031" s="35">
        <v>36.30580139</v>
      </c>
      <c r="D5031" s="35">
        <v>43.1473999</v>
      </c>
      <c r="E5031" s="32" t="s">
        <v>259</v>
      </c>
      <c r="F5031" s="32" t="s">
        <v>13514</v>
      </c>
      <c r="G5031" s="36" t="e">
        <v>#N/A</v>
      </c>
      <c r="H5031" s="33"/>
      <c r="I5031" s="33"/>
      <c r="J5031" s="33"/>
      <c r="K5031" s="33"/>
      <c r="L5031" s="33"/>
      <c r="M5031" s="33"/>
    </row>
    <row r="5032">
      <c r="A5032" s="32" t="s">
        <v>13515</v>
      </c>
      <c r="B5032" s="32" t="s">
        <v>13516</v>
      </c>
      <c r="C5032" s="35">
        <v>44.45159912</v>
      </c>
      <c r="D5032" s="35">
        <v>-83.39409637</v>
      </c>
      <c r="E5032" s="32" t="s">
        <v>180</v>
      </c>
      <c r="F5032" s="32" t="s">
        <v>13517</v>
      </c>
      <c r="G5032" s="39" t="s">
        <v>181</v>
      </c>
      <c r="H5032" s="33"/>
      <c r="I5032" s="33"/>
      <c r="J5032" s="33"/>
      <c r="K5032" s="33"/>
      <c r="L5032" s="33"/>
      <c r="M5032" s="33"/>
    </row>
    <row r="5033">
      <c r="A5033" s="32" t="s">
        <v>13518</v>
      </c>
      <c r="B5033" s="32" t="s">
        <v>13519</v>
      </c>
      <c r="C5033" s="35">
        <v>63.19440079</v>
      </c>
      <c r="D5033" s="35">
        <v>14.50030041</v>
      </c>
      <c r="E5033" s="32" t="s">
        <v>347</v>
      </c>
      <c r="F5033" s="32" t="s">
        <v>13520</v>
      </c>
      <c r="G5033" s="36" t="e">
        <v>#N/A</v>
      </c>
      <c r="H5033" s="33"/>
      <c r="I5033" s="33"/>
      <c r="J5033" s="33"/>
      <c r="K5033" s="33"/>
      <c r="L5033" s="33"/>
      <c r="M5033" s="33"/>
    </row>
    <row r="5034">
      <c r="A5034" s="32" t="s">
        <v>13521</v>
      </c>
      <c r="B5034" s="32" t="s">
        <v>13522</v>
      </c>
      <c r="C5034" s="35">
        <v>43.9844017</v>
      </c>
      <c r="D5034" s="35">
        <v>-88.55699921</v>
      </c>
      <c r="E5034" s="32" t="s">
        <v>180</v>
      </c>
      <c r="F5034" s="32" t="s">
        <v>13523</v>
      </c>
      <c r="G5034" s="39" t="s">
        <v>181</v>
      </c>
      <c r="H5034" s="33"/>
      <c r="I5034" s="33"/>
      <c r="J5034" s="33"/>
      <c r="K5034" s="33"/>
      <c r="L5034" s="33"/>
      <c r="M5034" s="33"/>
    </row>
    <row r="5035">
      <c r="A5035" s="32" t="s">
        <v>13524</v>
      </c>
      <c r="B5035" s="32" t="s">
        <v>13525</v>
      </c>
      <c r="C5035" s="35">
        <v>45.46269989</v>
      </c>
      <c r="D5035" s="35">
        <v>18.81019974</v>
      </c>
      <c r="E5035" s="32" t="s">
        <v>211</v>
      </c>
      <c r="F5035" s="32" t="s">
        <v>13526</v>
      </c>
      <c r="G5035" s="39" t="s">
        <v>212</v>
      </c>
      <c r="H5035" s="33"/>
      <c r="I5035" s="33"/>
      <c r="J5035" s="33"/>
      <c r="K5035" s="33"/>
      <c r="L5035" s="33"/>
      <c r="M5035" s="33"/>
    </row>
    <row r="5036">
      <c r="A5036" s="32" t="s">
        <v>13527</v>
      </c>
      <c r="B5036" s="32" t="s">
        <v>13528</v>
      </c>
      <c r="C5036" s="35">
        <v>57.3504982</v>
      </c>
      <c r="D5036" s="35">
        <v>16.49799919</v>
      </c>
      <c r="E5036" s="32" t="s">
        <v>347</v>
      </c>
      <c r="F5036" s="32" t="s">
        <v>13529</v>
      </c>
      <c r="G5036" s="36" t="e">
        <v>#N/A</v>
      </c>
      <c r="H5036" s="33"/>
      <c r="I5036" s="33"/>
      <c r="J5036" s="33"/>
      <c r="K5036" s="33"/>
      <c r="L5036" s="33"/>
      <c r="M5036" s="33"/>
    </row>
    <row r="5037">
      <c r="A5037" s="32" t="s">
        <v>13530</v>
      </c>
      <c r="B5037" s="32" t="s">
        <v>13531</v>
      </c>
      <c r="C5037" s="35">
        <v>60.19390106</v>
      </c>
      <c r="D5037" s="35">
        <v>11.10039997</v>
      </c>
      <c r="E5037" s="32" t="s">
        <v>343</v>
      </c>
      <c r="F5037" s="32" t="s">
        <v>7540</v>
      </c>
      <c r="G5037" s="36" t="e">
        <v>#N/A</v>
      </c>
      <c r="H5037" s="33"/>
      <c r="I5037" s="33"/>
      <c r="J5037" s="33"/>
      <c r="K5037" s="33"/>
      <c r="L5037" s="33"/>
      <c r="M5037" s="33"/>
    </row>
    <row r="5038">
      <c r="A5038" s="32" t="s">
        <v>13532</v>
      </c>
      <c r="B5038" s="32" t="s">
        <v>13533</v>
      </c>
      <c r="C5038" s="35">
        <v>37.090599</v>
      </c>
      <c r="D5038" s="35">
        <v>127.029999</v>
      </c>
      <c r="E5038" s="32" t="s">
        <v>151</v>
      </c>
      <c r="F5038" s="32" t="s">
        <v>13534</v>
      </c>
      <c r="G5038" s="39" t="s">
        <v>152</v>
      </c>
      <c r="H5038" s="33"/>
      <c r="I5038" s="33"/>
      <c r="J5038" s="33"/>
      <c r="K5038" s="33"/>
      <c r="L5038" s="33"/>
      <c r="M5038" s="33"/>
    </row>
    <row r="5039">
      <c r="A5039" s="32" t="s">
        <v>13535</v>
      </c>
      <c r="B5039" s="32" t="s">
        <v>13536</v>
      </c>
      <c r="C5039" s="35">
        <v>54.47890091</v>
      </c>
      <c r="D5039" s="35">
        <v>17.10750008</v>
      </c>
      <c r="E5039" s="32" t="s">
        <v>192</v>
      </c>
      <c r="F5039" s="32" t="s">
        <v>13537</v>
      </c>
      <c r="G5039" s="39" t="s">
        <v>193</v>
      </c>
      <c r="H5039" s="33"/>
      <c r="I5039" s="33"/>
      <c r="J5039" s="33"/>
      <c r="K5039" s="33"/>
      <c r="L5039" s="33"/>
      <c r="M5039" s="33"/>
    </row>
    <row r="5040">
      <c r="A5040" s="32" t="s">
        <v>13538</v>
      </c>
      <c r="B5040" s="32" t="s">
        <v>13539</v>
      </c>
      <c r="C5040" s="35">
        <v>49.69630051</v>
      </c>
      <c r="D5040" s="35">
        <v>18.11109924</v>
      </c>
      <c r="E5040" s="32" t="s">
        <v>1104</v>
      </c>
      <c r="F5040" s="32" t="s">
        <v>13540</v>
      </c>
      <c r="G5040" s="36" t="e">
        <v>#N/A</v>
      </c>
      <c r="H5040" s="33"/>
      <c r="I5040" s="33"/>
      <c r="J5040" s="33"/>
      <c r="K5040" s="33"/>
      <c r="L5040" s="33"/>
      <c r="M5040" s="33"/>
    </row>
    <row r="5041">
      <c r="A5041" s="32" t="s">
        <v>13541</v>
      </c>
      <c r="B5041" s="32" t="s">
        <v>13542</v>
      </c>
      <c r="C5041" s="35">
        <v>40.60900116</v>
      </c>
      <c r="D5041" s="35">
        <v>72.79329681</v>
      </c>
      <c r="E5041" s="32" t="s">
        <v>2342</v>
      </c>
      <c r="F5041" s="32" t="s">
        <v>13543</v>
      </c>
      <c r="G5041" s="36" t="e">
        <v>#N/A</v>
      </c>
      <c r="H5041" s="33"/>
      <c r="I5041" s="33"/>
      <c r="J5041" s="33"/>
      <c r="K5041" s="33"/>
      <c r="L5041" s="33"/>
      <c r="M5041" s="33"/>
    </row>
    <row r="5042">
      <c r="A5042" s="32" t="s">
        <v>13544</v>
      </c>
      <c r="B5042" s="32" t="s">
        <v>13545</v>
      </c>
      <c r="C5042" s="35">
        <v>51.19889832</v>
      </c>
      <c r="D5042" s="35">
        <v>2.862220049</v>
      </c>
      <c r="E5042" s="32" t="s">
        <v>197</v>
      </c>
      <c r="F5042" s="32" t="s">
        <v>13546</v>
      </c>
      <c r="G5042" s="36" t="e">
        <v>#N/A</v>
      </c>
      <c r="H5042" s="33"/>
      <c r="I5042" s="33"/>
      <c r="J5042" s="33"/>
      <c r="K5042" s="33"/>
      <c r="L5042" s="33"/>
      <c r="M5042" s="33"/>
    </row>
    <row r="5043">
      <c r="A5043" s="32" t="s">
        <v>13547</v>
      </c>
      <c r="B5043" s="32" t="s">
        <v>13548</v>
      </c>
      <c r="C5043" s="35">
        <v>40.07979965</v>
      </c>
      <c r="D5043" s="35">
        <v>-83.07299805</v>
      </c>
      <c r="E5043" s="32" t="s">
        <v>180</v>
      </c>
      <c r="F5043" s="32" t="s">
        <v>6005</v>
      </c>
      <c r="G5043" s="39" t="s">
        <v>181</v>
      </c>
      <c r="H5043" s="33"/>
      <c r="I5043" s="33"/>
      <c r="J5043" s="33"/>
      <c r="K5043" s="33"/>
      <c r="L5043" s="33"/>
      <c r="M5043" s="33"/>
    </row>
    <row r="5044">
      <c r="A5044" s="32" t="s">
        <v>13549</v>
      </c>
      <c r="B5044" s="32" t="s">
        <v>13550</v>
      </c>
      <c r="C5044" s="35">
        <v>51.07249832</v>
      </c>
      <c r="D5044" s="35">
        <v>58.59560013</v>
      </c>
      <c r="E5044" s="32" t="s">
        <v>2040</v>
      </c>
      <c r="F5044" s="32" t="s">
        <v>13551</v>
      </c>
      <c r="G5044" s="36" t="e">
        <v>#N/A</v>
      </c>
      <c r="H5044" s="33"/>
      <c r="I5044" s="33"/>
      <c r="J5044" s="33"/>
      <c r="K5044" s="33"/>
      <c r="L5044" s="33"/>
      <c r="M5044" s="33"/>
    </row>
    <row r="5045">
      <c r="A5045" s="32" t="s">
        <v>13552</v>
      </c>
      <c r="B5045" s="32" t="s">
        <v>13553</v>
      </c>
      <c r="C5045" s="35">
        <v>64.47219849</v>
      </c>
      <c r="D5045" s="35">
        <v>11.57859993</v>
      </c>
      <c r="E5045" s="32" t="s">
        <v>343</v>
      </c>
      <c r="F5045" s="32" t="s">
        <v>13554</v>
      </c>
      <c r="G5045" s="36" t="e">
        <v>#N/A</v>
      </c>
      <c r="H5045" s="33"/>
      <c r="I5045" s="33"/>
      <c r="J5045" s="33"/>
      <c r="K5045" s="33"/>
      <c r="L5045" s="33"/>
      <c r="M5045" s="33"/>
    </row>
    <row r="5046">
      <c r="A5046" s="32" t="s">
        <v>13555</v>
      </c>
      <c r="B5046" s="32" t="s">
        <v>13556</v>
      </c>
      <c r="C5046" s="35">
        <v>54.0425</v>
      </c>
      <c r="D5046" s="35">
        <v>16.2656</v>
      </c>
      <c r="E5046" s="32" t="s">
        <v>192</v>
      </c>
      <c r="F5046" s="32" t="s">
        <v>13557</v>
      </c>
      <c r="G5046" s="39" t="s">
        <v>193</v>
      </c>
      <c r="H5046" s="33"/>
      <c r="I5046" s="33"/>
      <c r="J5046" s="33"/>
      <c r="K5046" s="33"/>
      <c r="L5046" s="33"/>
      <c r="M5046" s="33"/>
    </row>
    <row r="5047">
      <c r="A5047" s="32" t="s">
        <v>13558</v>
      </c>
      <c r="B5047" s="32" t="s">
        <v>13559</v>
      </c>
      <c r="C5047" s="35">
        <v>43.417099</v>
      </c>
      <c r="D5047" s="35">
        <v>-124.2460022</v>
      </c>
      <c r="E5047" s="32" t="s">
        <v>180</v>
      </c>
      <c r="F5047" s="32" t="s">
        <v>13560</v>
      </c>
      <c r="G5047" s="39" t="s">
        <v>181</v>
      </c>
      <c r="H5047" s="33"/>
      <c r="I5047" s="33"/>
      <c r="J5047" s="33"/>
      <c r="K5047" s="33"/>
      <c r="L5047" s="33"/>
      <c r="M5047" s="33"/>
    </row>
    <row r="5048">
      <c r="A5048" s="32" t="s">
        <v>13561</v>
      </c>
      <c r="B5048" s="32" t="s">
        <v>13562</v>
      </c>
      <c r="C5048" s="35">
        <v>2.04598999</v>
      </c>
      <c r="D5048" s="35">
        <v>128.3249969</v>
      </c>
      <c r="E5048" s="32" t="s">
        <v>280</v>
      </c>
      <c r="F5048" s="32" t="s">
        <v>13563</v>
      </c>
      <c r="G5048" s="36" t="e">
        <v>#N/A</v>
      </c>
      <c r="H5048" s="33"/>
      <c r="I5048" s="33"/>
      <c r="J5048" s="33"/>
      <c r="K5048" s="33"/>
      <c r="L5048" s="33"/>
      <c r="M5048" s="33"/>
    </row>
    <row r="5049">
      <c r="A5049" s="32" t="s">
        <v>13564</v>
      </c>
      <c r="B5049" s="32" t="s">
        <v>13565</v>
      </c>
      <c r="C5049" s="35">
        <v>41.10660172</v>
      </c>
      <c r="D5049" s="35">
        <v>-92.44789886</v>
      </c>
      <c r="E5049" s="32" t="s">
        <v>180</v>
      </c>
      <c r="F5049" s="32" t="s">
        <v>13566</v>
      </c>
      <c r="G5049" s="39" t="s">
        <v>181</v>
      </c>
      <c r="H5049" s="33"/>
      <c r="I5049" s="33"/>
      <c r="J5049" s="33"/>
      <c r="K5049" s="33"/>
      <c r="L5049" s="33"/>
      <c r="M5049" s="33"/>
    </row>
    <row r="5050">
      <c r="A5050" s="32" t="s">
        <v>13567</v>
      </c>
      <c r="B5050" s="32" t="s">
        <v>13568</v>
      </c>
      <c r="C5050" s="35">
        <v>44.5711111</v>
      </c>
      <c r="D5050" s="35">
        <v>26.085</v>
      </c>
      <c r="E5050" s="32" t="s">
        <v>2874</v>
      </c>
      <c r="F5050" s="32" t="s">
        <v>4481</v>
      </c>
      <c r="G5050" s="36" t="e">
        <v>#N/A</v>
      </c>
      <c r="H5050" s="33"/>
      <c r="I5050" s="33"/>
      <c r="J5050" s="33"/>
      <c r="K5050" s="33"/>
      <c r="L5050" s="33"/>
      <c r="M5050" s="33"/>
    </row>
    <row r="5051">
      <c r="A5051" s="32" t="s">
        <v>13569</v>
      </c>
      <c r="B5051" s="32" t="s">
        <v>13570</v>
      </c>
      <c r="C5051" s="35">
        <v>8.601559639</v>
      </c>
      <c r="D5051" s="35">
        <v>-82.96859741</v>
      </c>
      <c r="E5051" s="32" t="s">
        <v>1267</v>
      </c>
      <c r="F5051" s="32" t="s">
        <v>13571</v>
      </c>
      <c r="G5051" s="36" t="e">
        <v>#N/A</v>
      </c>
      <c r="H5051" s="33"/>
      <c r="I5051" s="33"/>
      <c r="J5051" s="33"/>
      <c r="K5051" s="33"/>
      <c r="L5051" s="33"/>
      <c r="M5051" s="33"/>
    </row>
    <row r="5052">
      <c r="A5052" s="32" t="s">
        <v>13572</v>
      </c>
      <c r="B5052" s="32" t="s">
        <v>13573</v>
      </c>
      <c r="C5052" s="35">
        <v>7.01037</v>
      </c>
      <c r="D5052" s="35">
        <v>-74.7155</v>
      </c>
      <c r="E5052" s="32" t="s">
        <v>292</v>
      </c>
      <c r="F5052" s="32" t="s">
        <v>13574</v>
      </c>
      <c r="G5052" s="36" t="e">
        <v>#N/A</v>
      </c>
      <c r="H5052" s="33"/>
      <c r="I5052" s="33"/>
      <c r="J5052" s="33"/>
      <c r="K5052" s="33"/>
      <c r="L5052" s="33"/>
      <c r="M5052" s="33"/>
    </row>
    <row r="5053">
      <c r="A5053" s="32" t="s">
        <v>13575</v>
      </c>
      <c r="B5053" s="32" t="s">
        <v>13576</v>
      </c>
      <c r="C5053" s="35">
        <v>66.88469696</v>
      </c>
      <c r="D5053" s="35">
        <v>-162.598999</v>
      </c>
      <c r="E5053" s="32" t="s">
        <v>180</v>
      </c>
      <c r="F5053" s="32" t="s">
        <v>13577</v>
      </c>
      <c r="G5053" s="39" t="s">
        <v>181</v>
      </c>
      <c r="H5053" s="33"/>
      <c r="I5053" s="33"/>
      <c r="J5053" s="33"/>
      <c r="K5053" s="33"/>
      <c r="L5053" s="33"/>
      <c r="M5053" s="33"/>
    </row>
    <row r="5054">
      <c r="A5054" s="32" t="s">
        <v>13578</v>
      </c>
      <c r="B5054" s="32" t="s">
        <v>13579</v>
      </c>
      <c r="C5054" s="35">
        <v>12.35319996</v>
      </c>
      <c r="D5054" s="35">
        <v>-1.512420058</v>
      </c>
      <c r="E5054" s="32" t="s">
        <v>5092</v>
      </c>
      <c r="F5054" s="32" t="s">
        <v>13580</v>
      </c>
      <c r="G5054" s="36" t="e">
        <v>#N/A</v>
      </c>
      <c r="H5054" s="33"/>
      <c r="I5054" s="33"/>
      <c r="J5054" s="33"/>
      <c r="K5054" s="33"/>
      <c r="L5054" s="33"/>
      <c r="M5054" s="33"/>
    </row>
    <row r="5055">
      <c r="A5055" s="32" t="s">
        <v>13581</v>
      </c>
      <c r="B5055" s="32" t="s">
        <v>13582</v>
      </c>
      <c r="C5055" s="35">
        <v>34.78720093</v>
      </c>
      <c r="D5055" s="35">
        <v>-1.9239900109999999</v>
      </c>
      <c r="E5055" s="32" t="s">
        <v>17</v>
      </c>
      <c r="F5055" s="32" t="s">
        <v>13583</v>
      </c>
      <c r="G5055" s="36" t="e">
        <v>#N/A</v>
      </c>
      <c r="H5055" s="33"/>
      <c r="I5055" s="33"/>
      <c r="J5055" s="33"/>
      <c r="K5055" s="33"/>
      <c r="L5055" s="33"/>
      <c r="M5055" s="33"/>
    </row>
    <row r="5056">
      <c r="A5056" s="32" t="s">
        <v>13584</v>
      </c>
      <c r="B5056" s="32" t="s">
        <v>13585</v>
      </c>
      <c r="C5056" s="35">
        <v>1.615990043</v>
      </c>
      <c r="D5056" s="35">
        <v>16.03790092</v>
      </c>
      <c r="E5056" s="32" t="s">
        <v>800</v>
      </c>
      <c r="F5056" s="32" t="s">
        <v>13586</v>
      </c>
      <c r="G5056" s="36" t="e">
        <v>#N/A</v>
      </c>
      <c r="H5056" s="33"/>
      <c r="I5056" s="33"/>
      <c r="J5056" s="33"/>
      <c r="K5056" s="33"/>
      <c r="L5056" s="33"/>
      <c r="M5056" s="33"/>
    </row>
    <row r="5057">
      <c r="A5057" s="32" t="s">
        <v>13587</v>
      </c>
      <c r="B5057" s="32" t="s">
        <v>13588</v>
      </c>
      <c r="C5057" s="35">
        <v>20.25729942</v>
      </c>
      <c r="D5057" s="35">
        <v>100.4369965</v>
      </c>
      <c r="E5057" s="32" t="s">
        <v>1872</v>
      </c>
      <c r="F5057" s="32" t="s">
        <v>13589</v>
      </c>
      <c r="G5057" s="36" t="e">
        <v>#N/A</v>
      </c>
      <c r="H5057" s="33"/>
      <c r="I5057" s="33"/>
      <c r="J5057" s="33"/>
      <c r="K5057" s="33"/>
      <c r="L5057" s="33"/>
      <c r="M5057" s="33"/>
    </row>
    <row r="5058">
      <c r="A5058" s="32" t="s">
        <v>13590</v>
      </c>
      <c r="B5058" s="32" t="s">
        <v>13591</v>
      </c>
      <c r="C5058" s="35">
        <v>64.93009949</v>
      </c>
      <c r="D5058" s="35">
        <v>25.35460091</v>
      </c>
      <c r="E5058" s="32" t="s">
        <v>408</v>
      </c>
      <c r="F5058" s="32" t="s">
        <v>13592</v>
      </c>
      <c r="G5058" s="36" t="e">
        <v>#N/A</v>
      </c>
      <c r="H5058" s="33"/>
      <c r="I5058" s="33"/>
      <c r="J5058" s="33"/>
      <c r="K5058" s="33"/>
      <c r="L5058" s="33"/>
      <c r="M5058" s="33"/>
    </row>
    <row r="5059">
      <c r="A5059" s="32" t="s">
        <v>13593</v>
      </c>
      <c r="B5059" s="32" t="s">
        <v>13594</v>
      </c>
      <c r="C5059" s="35">
        <v>22.75639915</v>
      </c>
      <c r="D5059" s="35">
        <v>-12.48359966</v>
      </c>
      <c r="E5059" s="32" t="s">
        <v>817</v>
      </c>
      <c r="F5059" s="32" t="s">
        <v>13595</v>
      </c>
      <c r="G5059" s="36" t="e">
        <v>#N/A</v>
      </c>
      <c r="H5059" s="33"/>
      <c r="I5059" s="33"/>
      <c r="J5059" s="33"/>
      <c r="K5059" s="33"/>
      <c r="L5059" s="33"/>
      <c r="M5059" s="33"/>
    </row>
    <row r="5060">
      <c r="A5060" s="32" t="s">
        <v>13596</v>
      </c>
      <c r="B5060" s="32" t="s">
        <v>13597</v>
      </c>
      <c r="C5060" s="35">
        <v>-24.23569475</v>
      </c>
      <c r="D5060" s="35">
        <v>45.30452728</v>
      </c>
      <c r="E5060" s="32" t="s">
        <v>384</v>
      </c>
      <c r="F5060" s="32" t="s">
        <v>13598</v>
      </c>
      <c r="G5060" s="36" t="e">
        <v>#N/A</v>
      </c>
      <c r="H5060" s="33"/>
      <c r="I5060" s="33"/>
      <c r="J5060" s="33"/>
      <c r="K5060" s="33"/>
      <c r="L5060" s="33"/>
      <c r="M5060" s="33"/>
    </row>
    <row r="5061">
      <c r="A5061" s="32" t="s">
        <v>13599</v>
      </c>
      <c r="B5061" s="32" t="s">
        <v>13600</v>
      </c>
      <c r="C5061" s="35">
        <v>55.01259995</v>
      </c>
      <c r="D5061" s="35">
        <v>82.65070343</v>
      </c>
      <c r="E5061" s="32" t="s">
        <v>2040</v>
      </c>
      <c r="F5061" s="32" t="s">
        <v>2041</v>
      </c>
      <c r="G5061" s="36" t="e">
        <v>#N/A</v>
      </c>
      <c r="H5061" s="33"/>
      <c r="I5061" s="33"/>
      <c r="J5061" s="33"/>
      <c r="K5061" s="33"/>
      <c r="L5061" s="33"/>
      <c r="M5061" s="33"/>
    </row>
    <row r="5062">
      <c r="A5062" s="32" t="s">
        <v>13601</v>
      </c>
      <c r="B5062" s="32" t="s">
        <v>13602</v>
      </c>
      <c r="C5062" s="35">
        <v>43.56359863</v>
      </c>
      <c r="D5062" s="35">
        <v>-6.034619808</v>
      </c>
      <c r="E5062" s="32" t="s">
        <v>115</v>
      </c>
      <c r="F5062" s="32" t="s">
        <v>13603</v>
      </c>
      <c r="G5062" s="39" t="s">
        <v>116</v>
      </c>
      <c r="H5062" s="33"/>
      <c r="I5062" s="33"/>
      <c r="J5062" s="33"/>
      <c r="K5062" s="33"/>
      <c r="L5062" s="33"/>
      <c r="M5062" s="33"/>
    </row>
    <row r="5063">
      <c r="A5063" s="32" t="s">
        <v>13604</v>
      </c>
      <c r="B5063" s="32" t="s">
        <v>13605</v>
      </c>
      <c r="C5063" s="35">
        <v>61.32662201</v>
      </c>
      <c r="D5063" s="35">
        <v>63.60191345</v>
      </c>
      <c r="E5063" s="32" t="s">
        <v>2040</v>
      </c>
      <c r="F5063" s="32" t="s">
        <v>13606</v>
      </c>
      <c r="G5063" s="36" t="e">
        <v>#N/A</v>
      </c>
      <c r="H5063" s="33"/>
      <c r="I5063" s="33"/>
      <c r="J5063" s="33"/>
      <c r="K5063" s="33"/>
      <c r="L5063" s="33"/>
      <c r="M5063" s="33"/>
    </row>
    <row r="5064">
      <c r="A5064" s="32" t="s">
        <v>13607</v>
      </c>
      <c r="B5064" s="32" t="s">
        <v>13608</v>
      </c>
      <c r="C5064" s="35">
        <v>37.74010086</v>
      </c>
      <c r="D5064" s="35">
        <v>-87.16680145</v>
      </c>
      <c r="E5064" s="32" t="s">
        <v>180</v>
      </c>
      <c r="F5064" s="32" t="s">
        <v>13609</v>
      </c>
      <c r="G5064" s="39" t="s">
        <v>181</v>
      </c>
      <c r="H5064" s="33"/>
      <c r="I5064" s="33"/>
      <c r="J5064" s="33"/>
      <c r="K5064" s="33"/>
      <c r="L5064" s="33"/>
      <c r="M5064" s="33"/>
    </row>
    <row r="5065">
      <c r="A5065" s="32" t="s">
        <v>13610</v>
      </c>
      <c r="B5065" s="32" t="s">
        <v>13611</v>
      </c>
      <c r="C5065" s="35">
        <v>42.19049835</v>
      </c>
      <c r="D5065" s="35">
        <v>-71.17289734</v>
      </c>
      <c r="E5065" s="32" t="s">
        <v>180</v>
      </c>
      <c r="F5065" s="32" t="s">
        <v>13612</v>
      </c>
      <c r="G5065" s="39" t="s">
        <v>181</v>
      </c>
      <c r="H5065" s="33"/>
      <c r="I5065" s="33"/>
      <c r="J5065" s="33"/>
      <c r="K5065" s="33"/>
      <c r="L5065" s="33"/>
      <c r="M5065" s="33"/>
    </row>
    <row r="5066">
      <c r="A5066" s="32" t="s">
        <v>13613</v>
      </c>
      <c r="B5066" s="32" t="s">
        <v>13614</v>
      </c>
      <c r="C5066" s="35">
        <v>11.89480019</v>
      </c>
      <c r="D5066" s="35">
        <v>-15.65369987</v>
      </c>
      <c r="E5066" s="32" t="s">
        <v>810</v>
      </c>
      <c r="F5066" s="32" t="s">
        <v>13615</v>
      </c>
      <c r="G5066" s="36" t="e">
        <v>#N/A</v>
      </c>
      <c r="H5066" s="33"/>
      <c r="I5066" s="33"/>
      <c r="J5066" s="33"/>
      <c r="K5066" s="33"/>
      <c r="L5066" s="33"/>
      <c r="M5066" s="33"/>
    </row>
    <row r="5067">
      <c r="A5067" s="32" t="s">
        <v>13616</v>
      </c>
      <c r="B5067" s="32" t="s">
        <v>13617</v>
      </c>
      <c r="C5067" s="35">
        <v>41.47859955</v>
      </c>
      <c r="D5067" s="35">
        <v>-73.1352005</v>
      </c>
      <c r="E5067" s="32" t="s">
        <v>180</v>
      </c>
      <c r="F5067" s="32" t="s">
        <v>8836</v>
      </c>
      <c r="G5067" s="39" t="s">
        <v>181</v>
      </c>
      <c r="H5067" s="33"/>
      <c r="I5067" s="33"/>
      <c r="J5067" s="33"/>
      <c r="K5067" s="33"/>
      <c r="L5067" s="33"/>
      <c r="M5067" s="33"/>
    </row>
    <row r="5068">
      <c r="A5068" s="32" t="s">
        <v>13618</v>
      </c>
      <c r="B5068" s="32" t="s">
        <v>13619</v>
      </c>
      <c r="C5068" s="35">
        <v>51.8368988</v>
      </c>
      <c r="D5068" s="35">
        <v>-1.320000052</v>
      </c>
      <c r="E5068" s="32" t="s">
        <v>90</v>
      </c>
      <c r="F5068" s="32" t="s">
        <v>8836</v>
      </c>
      <c r="G5068" s="39" t="s">
        <v>91</v>
      </c>
      <c r="H5068" s="33"/>
      <c r="I5068" s="33"/>
      <c r="J5068" s="33"/>
      <c r="K5068" s="33"/>
      <c r="L5068" s="33"/>
      <c r="M5068" s="33"/>
    </row>
    <row r="5069">
      <c r="A5069" s="32" t="s">
        <v>13620</v>
      </c>
      <c r="B5069" s="32" t="s">
        <v>13621</v>
      </c>
      <c r="C5069" s="35">
        <v>34.20080185</v>
      </c>
      <c r="D5069" s="35">
        <v>-119.2070007</v>
      </c>
      <c r="E5069" s="32" t="s">
        <v>180</v>
      </c>
      <c r="F5069" s="32" t="s">
        <v>13622</v>
      </c>
      <c r="G5069" s="39" t="s">
        <v>181</v>
      </c>
      <c r="H5069" s="33"/>
      <c r="I5069" s="33"/>
      <c r="J5069" s="33"/>
      <c r="K5069" s="33"/>
      <c r="L5069" s="33"/>
      <c r="M5069" s="33"/>
    </row>
    <row r="5070">
      <c r="A5070" s="32" t="s">
        <v>13623</v>
      </c>
      <c r="B5070" s="32" t="s">
        <v>13624</v>
      </c>
      <c r="C5070" s="35">
        <v>1.543110013</v>
      </c>
      <c r="D5070" s="35">
        <v>11.58139992</v>
      </c>
      <c r="E5070" s="32" t="s">
        <v>4974</v>
      </c>
      <c r="F5070" s="32" t="s">
        <v>13625</v>
      </c>
      <c r="G5070" s="36" t="e">
        <v>#N/A</v>
      </c>
      <c r="H5070" s="33"/>
      <c r="I5070" s="33"/>
      <c r="J5070" s="33"/>
      <c r="K5070" s="33"/>
      <c r="L5070" s="33"/>
      <c r="M5070" s="33"/>
    </row>
    <row r="5071">
      <c r="A5071" s="32" t="s">
        <v>13626</v>
      </c>
      <c r="B5071" s="32" t="s">
        <v>13627</v>
      </c>
      <c r="C5071" s="35">
        <v>3.46972</v>
      </c>
      <c r="D5071" s="35">
        <v>39.101398</v>
      </c>
      <c r="E5071" s="32" t="s">
        <v>21</v>
      </c>
      <c r="F5071" s="32" t="s">
        <v>13628</v>
      </c>
      <c r="G5071" s="36" t="e">
        <v>#N/A</v>
      </c>
      <c r="H5071" s="33"/>
      <c r="I5071" s="33"/>
      <c r="J5071" s="33"/>
      <c r="K5071" s="33"/>
      <c r="L5071" s="33"/>
      <c r="M5071" s="33"/>
    </row>
    <row r="5072">
      <c r="A5072" s="32" t="s">
        <v>13629</v>
      </c>
      <c r="B5072" s="32" t="s">
        <v>13630</v>
      </c>
      <c r="C5072" s="35">
        <v>30.73530006</v>
      </c>
      <c r="D5072" s="35">
        <v>-101.2030029</v>
      </c>
      <c r="E5072" s="32" t="s">
        <v>180</v>
      </c>
      <c r="F5072" s="32" t="s">
        <v>13631</v>
      </c>
      <c r="G5072" s="39" t="s">
        <v>181</v>
      </c>
      <c r="H5072" s="33"/>
      <c r="I5072" s="33"/>
      <c r="J5072" s="33"/>
      <c r="K5072" s="33"/>
      <c r="L5072" s="33"/>
      <c r="M5072" s="33"/>
    </row>
    <row r="5073">
      <c r="A5073" s="32" t="s">
        <v>13632</v>
      </c>
      <c r="B5073" s="32" t="s">
        <v>13633</v>
      </c>
      <c r="C5073" s="35">
        <v>8.178509712</v>
      </c>
      <c r="D5073" s="35">
        <v>123.8420029</v>
      </c>
      <c r="E5073" s="32" t="s">
        <v>270</v>
      </c>
      <c r="F5073" s="32" t="s">
        <v>13634</v>
      </c>
      <c r="G5073" s="36" t="e">
        <v>#N/A</v>
      </c>
      <c r="H5073" s="33"/>
      <c r="I5073" s="33"/>
      <c r="J5073" s="33"/>
      <c r="K5073" s="33"/>
      <c r="L5073" s="33"/>
      <c r="M5073" s="33"/>
    </row>
    <row r="5074">
      <c r="A5074" s="32" t="s">
        <v>13635</v>
      </c>
      <c r="B5074" s="32" t="s">
        <v>13636</v>
      </c>
      <c r="C5074" s="35">
        <v>47.86700058</v>
      </c>
      <c r="D5074" s="35">
        <v>35.31570053</v>
      </c>
      <c r="E5074" s="32" t="s">
        <v>3293</v>
      </c>
      <c r="F5074" s="32" t="s">
        <v>13637</v>
      </c>
      <c r="G5074" s="36" t="e">
        <v>#N/A</v>
      </c>
      <c r="H5074" s="33"/>
      <c r="I5074" s="33"/>
      <c r="J5074" s="33"/>
      <c r="K5074" s="33"/>
      <c r="L5074" s="33"/>
      <c r="M5074" s="33"/>
    </row>
    <row r="5075">
      <c r="A5075" s="32" t="s">
        <v>13638</v>
      </c>
      <c r="B5075" s="32" t="s">
        <v>13639</v>
      </c>
      <c r="C5075" s="35">
        <v>37.17490005</v>
      </c>
      <c r="D5075" s="35">
        <v>-5.615940094</v>
      </c>
      <c r="E5075" s="32" t="s">
        <v>115</v>
      </c>
      <c r="F5075" s="32" t="s">
        <v>2872</v>
      </c>
      <c r="G5075" s="39" t="s">
        <v>116</v>
      </c>
      <c r="H5075" s="33"/>
      <c r="I5075" s="33"/>
      <c r="J5075" s="33"/>
      <c r="K5075" s="33"/>
      <c r="L5075" s="33"/>
      <c r="M5075" s="33"/>
    </row>
    <row r="5076">
      <c r="A5076" s="32" t="s">
        <v>13640</v>
      </c>
      <c r="B5076" s="32" t="s">
        <v>13641</v>
      </c>
      <c r="C5076" s="35">
        <v>31.27569962</v>
      </c>
      <c r="D5076" s="35">
        <v>-85.71340179</v>
      </c>
      <c r="E5076" s="32" t="s">
        <v>180</v>
      </c>
      <c r="F5076" s="32" t="s">
        <v>13642</v>
      </c>
      <c r="G5076" s="39" t="s">
        <v>181</v>
      </c>
      <c r="H5076" s="33"/>
      <c r="I5076" s="33"/>
      <c r="J5076" s="33"/>
      <c r="K5076" s="33"/>
      <c r="L5076" s="33"/>
      <c r="M5076" s="33"/>
    </row>
    <row r="5077">
      <c r="A5077" s="32" t="s">
        <v>13643</v>
      </c>
      <c r="B5077" s="32" t="s">
        <v>13644</v>
      </c>
      <c r="C5077" s="35">
        <v>30.93910027</v>
      </c>
      <c r="D5077" s="35">
        <v>-6.909430027</v>
      </c>
      <c r="E5077" s="32" t="s">
        <v>17</v>
      </c>
      <c r="F5077" s="32" t="s">
        <v>13645</v>
      </c>
      <c r="G5077" s="36" t="e">
        <v>#N/A</v>
      </c>
      <c r="H5077" s="33"/>
      <c r="I5077" s="33"/>
      <c r="J5077" s="33"/>
      <c r="K5077" s="33"/>
      <c r="L5077" s="33"/>
      <c r="M5077" s="33"/>
    </row>
    <row r="5078">
      <c r="A5078" s="32" t="s">
        <v>13646</v>
      </c>
      <c r="B5078" s="32" t="s">
        <v>13647</v>
      </c>
      <c r="C5078" s="35">
        <v>32.93590164</v>
      </c>
      <c r="D5078" s="35">
        <v>-111.427002</v>
      </c>
      <c r="E5078" s="32" t="s">
        <v>180</v>
      </c>
      <c r="F5078" s="32" t="s">
        <v>13648</v>
      </c>
      <c r="G5078" s="39" t="s">
        <v>181</v>
      </c>
      <c r="H5078" s="33"/>
      <c r="I5078" s="33"/>
      <c r="J5078" s="33"/>
      <c r="K5078" s="33"/>
      <c r="L5078" s="33"/>
      <c r="M5078" s="33"/>
    </row>
    <row r="5079">
      <c r="A5079" s="32" t="s">
        <v>13649</v>
      </c>
      <c r="B5079" s="32" t="s">
        <v>13650</v>
      </c>
      <c r="C5079" s="35">
        <v>34.72999954</v>
      </c>
      <c r="D5079" s="35">
        <v>-112.0350037</v>
      </c>
      <c r="E5079" s="32" t="s">
        <v>180</v>
      </c>
      <c r="F5079" s="32" t="s">
        <v>13651</v>
      </c>
      <c r="G5079" s="39" t="s">
        <v>181</v>
      </c>
      <c r="H5079" s="33"/>
      <c r="I5079" s="33"/>
      <c r="J5079" s="33"/>
      <c r="K5079" s="33"/>
      <c r="L5079" s="33"/>
      <c r="M5079" s="33"/>
    </row>
    <row r="5080">
      <c r="A5080" s="32" t="s">
        <v>13652</v>
      </c>
      <c r="B5080" s="32" t="s">
        <v>13653</v>
      </c>
      <c r="C5080" s="35">
        <v>21.98839951</v>
      </c>
      <c r="D5080" s="35">
        <v>82.11100006</v>
      </c>
      <c r="E5080" s="32" t="s">
        <v>217</v>
      </c>
      <c r="F5080" s="32" t="s">
        <v>13654</v>
      </c>
      <c r="G5080" s="39" t="s">
        <v>218</v>
      </c>
      <c r="H5080" s="33"/>
      <c r="I5080" s="33"/>
      <c r="J5080" s="33"/>
      <c r="K5080" s="33"/>
      <c r="L5080" s="33"/>
      <c r="M5080" s="33"/>
    </row>
    <row r="5081">
      <c r="A5081" s="32" t="s">
        <v>13655</v>
      </c>
      <c r="B5081" s="32" t="s">
        <v>13656</v>
      </c>
      <c r="C5081" s="35">
        <v>8.973340034</v>
      </c>
      <c r="D5081" s="35">
        <v>-79.55560303</v>
      </c>
      <c r="E5081" s="32" t="s">
        <v>327</v>
      </c>
      <c r="F5081" s="32" t="s">
        <v>327</v>
      </c>
      <c r="G5081" s="36" t="e">
        <v>#N/A</v>
      </c>
      <c r="H5081" s="33"/>
      <c r="I5081" s="33"/>
      <c r="J5081" s="33"/>
      <c r="K5081" s="33"/>
      <c r="L5081" s="33"/>
      <c r="M5081" s="33"/>
    </row>
    <row r="5082">
      <c r="A5082" s="32" t="s">
        <v>13657</v>
      </c>
      <c r="B5082" s="32" t="s">
        <v>13658</v>
      </c>
      <c r="C5082" s="35">
        <v>51.61410141</v>
      </c>
      <c r="D5082" s="35">
        <v>8.616319656</v>
      </c>
      <c r="E5082" s="32" t="s">
        <v>109</v>
      </c>
      <c r="F5082" s="32" t="s">
        <v>13659</v>
      </c>
      <c r="G5082" s="39" t="s">
        <v>110</v>
      </c>
      <c r="H5082" s="33"/>
      <c r="I5082" s="33"/>
      <c r="J5082" s="33"/>
      <c r="K5082" s="33"/>
      <c r="L5082" s="33"/>
      <c r="M5082" s="33"/>
    </row>
    <row r="5083">
      <c r="A5083" s="32" t="s">
        <v>13660</v>
      </c>
      <c r="B5083" s="32" t="s">
        <v>13661</v>
      </c>
      <c r="C5083" s="35">
        <v>47.90629959</v>
      </c>
      <c r="D5083" s="35">
        <v>-122.2819977</v>
      </c>
      <c r="E5083" s="32" t="s">
        <v>180</v>
      </c>
      <c r="F5083" s="32" t="s">
        <v>13662</v>
      </c>
      <c r="G5083" s="39" t="s">
        <v>181</v>
      </c>
      <c r="H5083" s="33"/>
      <c r="I5083" s="33"/>
      <c r="J5083" s="33"/>
      <c r="K5083" s="33"/>
      <c r="L5083" s="33"/>
      <c r="M5083" s="33"/>
    </row>
    <row r="5084">
      <c r="A5084" s="32" t="s">
        <v>13663</v>
      </c>
      <c r="B5084" s="32" t="s">
        <v>13664</v>
      </c>
      <c r="C5084" s="35">
        <v>2.2</v>
      </c>
      <c r="D5084" s="35">
        <v>31.55</v>
      </c>
      <c r="E5084" s="32" t="s">
        <v>2219</v>
      </c>
      <c r="F5084" s="32" t="s">
        <v>13665</v>
      </c>
      <c r="G5084" s="36" t="e">
        <v>#N/A</v>
      </c>
      <c r="H5084" s="33"/>
      <c r="I5084" s="33"/>
      <c r="J5084" s="33"/>
      <c r="K5084" s="33"/>
      <c r="L5084" s="33"/>
      <c r="M5084" s="33"/>
    </row>
    <row r="5085">
      <c r="A5085" s="32" t="s">
        <v>13666</v>
      </c>
      <c r="B5085" s="32" t="s">
        <v>13667</v>
      </c>
      <c r="C5085" s="35">
        <v>7.830731448</v>
      </c>
      <c r="D5085" s="35">
        <v>123.4611797</v>
      </c>
      <c r="E5085" s="32" t="s">
        <v>270</v>
      </c>
      <c r="F5085" s="32" t="s">
        <v>13668</v>
      </c>
      <c r="G5085" s="36" t="e">
        <v>#N/A</v>
      </c>
      <c r="H5085" s="33"/>
      <c r="I5085" s="33"/>
      <c r="J5085" s="33"/>
      <c r="K5085" s="33"/>
      <c r="L5085" s="33"/>
      <c r="M5085" s="33"/>
    </row>
    <row r="5086">
      <c r="A5086" s="32" t="s">
        <v>13669</v>
      </c>
      <c r="B5086" s="32" t="s">
        <v>13670</v>
      </c>
      <c r="C5086" s="35">
        <v>37.06079865</v>
      </c>
      <c r="D5086" s="35">
        <v>-88.77380371</v>
      </c>
      <c r="E5086" s="32" t="s">
        <v>180</v>
      </c>
      <c r="F5086" s="32" t="s">
        <v>13671</v>
      </c>
      <c r="G5086" s="39" t="s">
        <v>181</v>
      </c>
      <c r="H5086" s="33"/>
      <c r="I5086" s="33"/>
      <c r="J5086" s="33"/>
      <c r="K5086" s="33"/>
      <c r="L5086" s="33"/>
      <c r="M5086" s="33"/>
    </row>
    <row r="5087">
      <c r="A5087" s="32" t="s">
        <v>13672</v>
      </c>
      <c r="B5087" s="32" t="s">
        <v>13673</v>
      </c>
      <c r="C5087" s="35">
        <v>33.90209961</v>
      </c>
      <c r="D5087" s="35">
        <v>70.07160187</v>
      </c>
      <c r="E5087" s="32" t="s">
        <v>1470</v>
      </c>
      <c r="F5087" s="32" t="s">
        <v>13674</v>
      </c>
      <c r="G5087" s="36" t="e">
        <v>#N/A</v>
      </c>
      <c r="H5087" s="33"/>
      <c r="I5087" s="33"/>
      <c r="J5087" s="33"/>
      <c r="K5087" s="33"/>
      <c r="L5087" s="33"/>
      <c r="M5087" s="33"/>
    </row>
    <row r="5088">
      <c r="A5088" s="32" t="s">
        <v>13675</v>
      </c>
      <c r="B5088" s="32" t="s">
        <v>13676</v>
      </c>
      <c r="C5088" s="35">
        <v>5.48361</v>
      </c>
      <c r="D5088" s="35">
        <v>-74.6574</v>
      </c>
      <c r="E5088" s="32" t="s">
        <v>292</v>
      </c>
      <c r="F5088" s="32" t="s">
        <v>13677</v>
      </c>
      <c r="G5088" s="36" t="e">
        <v>#N/A</v>
      </c>
      <c r="H5088" s="33"/>
      <c r="I5088" s="33"/>
      <c r="J5088" s="33"/>
      <c r="K5088" s="33"/>
      <c r="L5088" s="33"/>
      <c r="M5088" s="33"/>
    </row>
    <row r="5089">
      <c r="A5089" s="32" t="s">
        <v>13678</v>
      </c>
      <c r="B5089" s="32" t="s">
        <v>13679</v>
      </c>
      <c r="C5089" s="35">
        <v>30.06959915</v>
      </c>
      <c r="D5089" s="35">
        <v>-85.57540131</v>
      </c>
      <c r="E5089" s="32" t="s">
        <v>180</v>
      </c>
      <c r="F5089" s="32" t="s">
        <v>7080</v>
      </c>
      <c r="G5089" s="39" t="s">
        <v>181</v>
      </c>
      <c r="H5089" s="33"/>
      <c r="I5089" s="33"/>
      <c r="J5089" s="33"/>
      <c r="K5089" s="33"/>
      <c r="L5089" s="33"/>
      <c r="M5089" s="33"/>
    </row>
    <row r="5090">
      <c r="A5090" s="32" t="s">
        <v>13680</v>
      </c>
      <c r="B5090" s="32" t="s">
        <v>13681</v>
      </c>
      <c r="C5090" s="35">
        <v>6.785459995</v>
      </c>
      <c r="D5090" s="35">
        <v>101.1539993</v>
      </c>
      <c r="E5090" s="32" t="s">
        <v>175</v>
      </c>
      <c r="F5090" s="32" t="s">
        <v>13682</v>
      </c>
      <c r="G5090" s="39" t="s">
        <v>176</v>
      </c>
      <c r="H5090" s="33"/>
      <c r="I5090" s="33"/>
      <c r="J5090" s="33"/>
      <c r="K5090" s="33"/>
      <c r="L5090" s="33"/>
      <c r="M5090" s="33"/>
    </row>
    <row r="5091">
      <c r="A5091" s="32" t="s">
        <v>13683</v>
      </c>
      <c r="B5091" s="32" t="s">
        <v>13684</v>
      </c>
      <c r="C5091" s="35">
        <v>37.46110153</v>
      </c>
      <c r="D5091" s="35">
        <v>-122.1149979</v>
      </c>
      <c r="E5091" s="32" t="s">
        <v>180</v>
      </c>
      <c r="F5091" s="32" t="s">
        <v>13685</v>
      </c>
      <c r="G5091" s="39" t="s">
        <v>181</v>
      </c>
      <c r="H5091" s="33"/>
      <c r="I5091" s="33"/>
      <c r="J5091" s="33"/>
      <c r="K5091" s="33"/>
      <c r="L5091" s="33"/>
      <c r="M5091" s="33"/>
    </row>
    <row r="5092">
      <c r="A5092" s="32" t="s">
        <v>13686</v>
      </c>
      <c r="B5092" s="32" t="s">
        <v>13687</v>
      </c>
      <c r="C5092" s="35">
        <v>18.57999992</v>
      </c>
      <c r="D5092" s="35">
        <v>-72.29250336</v>
      </c>
      <c r="E5092" s="32" t="s">
        <v>1289</v>
      </c>
      <c r="F5092" s="32" t="s">
        <v>13688</v>
      </c>
      <c r="G5092" s="36" t="e">
        <v>#N/A</v>
      </c>
      <c r="H5092" s="33"/>
      <c r="I5092" s="33"/>
      <c r="J5092" s="33"/>
      <c r="K5092" s="33"/>
      <c r="L5092" s="33"/>
      <c r="M5092" s="33"/>
    </row>
    <row r="5093">
      <c r="A5093" s="32" t="s">
        <v>13689</v>
      </c>
      <c r="B5093" s="32" t="s">
        <v>13690</v>
      </c>
      <c r="C5093" s="35">
        <v>61.59489822</v>
      </c>
      <c r="D5093" s="35">
        <v>-149.0890045</v>
      </c>
      <c r="E5093" s="32" t="s">
        <v>180</v>
      </c>
      <c r="F5093" s="32" t="s">
        <v>13691</v>
      </c>
      <c r="G5093" s="39" t="s">
        <v>181</v>
      </c>
      <c r="H5093" s="33"/>
      <c r="I5093" s="33"/>
      <c r="J5093" s="33"/>
      <c r="K5093" s="33"/>
      <c r="L5093" s="33"/>
      <c r="M5093" s="33"/>
    </row>
    <row r="5094">
      <c r="A5094" s="32" t="s">
        <v>13692</v>
      </c>
      <c r="B5094" s="32" t="s">
        <v>13693</v>
      </c>
      <c r="C5094" s="35">
        <v>37.020495</v>
      </c>
      <c r="D5094" s="35">
        <v>25.113195</v>
      </c>
      <c r="E5094" s="32" t="s">
        <v>339</v>
      </c>
      <c r="F5094" s="32" t="s">
        <v>13694</v>
      </c>
      <c r="G5094" s="36" t="e">
        <v>#N/A</v>
      </c>
      <c r="H5094" s="33"/>
      <c r="I5094" s="33"/>
      <c r="J5094" s="33"/>
      <c r="K5094" s="33"/>
      <c r="L5094" s="33"/>
      <c r="M5094" s="33"/>
    </row>
    <row r="5095">
      <c r="A5095" s="32" t="s">
        <v>13695</v>
      </c>
      <c r="B5095" s="32" t="s">
        <v>13696</v>
      </c>
      <c r="C5095" s="35">
        <v>25.59129906</v>
      </c>
      <c r="D5095" s="35">
        <v>85.08799744</v>
      </c>
      <c r="E5095" s="32" t="s">
        <v>217</v>
      </c>
      <c r="F5095" s="32" t="s">
        <v>13697</v>
      </c>
      <c r="G5095" s="39" t="s">
        <v>218</v>
      </c>
      <c r="H5095" s="33"/>
      <c r="I5095" s="33"/>
      <c r="J5095" s="33"/>
      <c r="K5095" s="33"/>
      <c r="L5095" s="33"/>
      <c r="M5095" s="33"/>
    </row>
    <row r="5096">
      <c r="A5096" s="32" t="s">
        <v>13698</v>
      </c>
      <c r="B5096" s="32" t="s">
        <v>13699</v>
      </c>
      <c r="C5096" s="35">
        <v>-9.40087986</v>
      </c>
      <c r="D5096" s="35">
        <v>-38.25059891</v>
      </c>
      <c r="E5096" s="32" t="s">
        <v>288</v>
      </c>
      <c r="F5096" s="32" t="s">
        <v>13700</v>
      </c>
      <c r="G5096" s="36" t="e">
        <v>#N/A</v>
      </c>
      <c r="H5096" s="33"/>
      <c r="I5096" s="33"/>
      <c r="J5096" s="33"/>
      <c r="K5096" s="33"/>
      <c r="L5096" s="33"/>
      <c r="M5096" s="33"/>
    </row>
    <row r="5097">
      <c r="A5097" s="32" t="s">
        <v>13701</v>
      </c>
      <c r="B5097" s="32" t="s">
        <v>13702</v>
      </c>
      <c r="C5097" s="35">
        <v>19.93359947</v>
      </c>
      <c r="D5097" s="35">
        <v>-72.84860229</v>
      </c>
      <c r="E5097" s="32" t="s">
        <v>1289</v>
      </c>
      <c r="F5097" s="32" t="s">
        <v>13703</v>
      </c>
      <c r="G5097" s="36" t="e">
        <v>#N/A</v>
      </c>
      <c r="H5097" s="33"/>
      <c r="I5097" s="33"/>
      <c r="J5097" s="33"/>
      <c r="K5097" s="33"/>
      <c r="L5097" s="33"/>
      <c r="M5097" s="33"/>
    </row>
    <row r="5098">
      <c r="A5098" s="32" t="s">
        <v>13704</v>
      </c>
      <c r="B5098" s="32" t="s">
        <v>13705</v>
      </c>
      <c r="C5098" s="35">
        <v>20.60269928</v>
      </c>
      <c r="D5098" s="35">
        <v>-97.46080017</v>
      </c>
      <c r="E5098" s="32" t="s">
        <v>186</v>
      </c>
      <c r="F5098" s="32" t="s">
        <v>13706</v>
      </c>
      <c r="G5098" s="39" t="s">
        <v>187</v>
      </c>
      <c r="H5098" s="33"/>
      <c r="I5098" s="33"/>
      <c r="J5098" s="33"/>
      <c r="K5098" s="33"/>
      <c r="L5098" s="33"/>
      <c r="M5098" s="33"/>
    </row>
    <row r="5099">
      <c r="A5099" s="32" t="s">
        <v>13707</v>
      </c>
      <c r="B5099" s="32" t="s">
        <v>13708</v>
      </c>
      <c r="C5099" s="35">
        <v>19.15810013</v>
      </c>
      <c r="D5099" s="35">
        <v>-98.37139893</v>
      </c>
      <c r="E5099" s="32" t="s">
        <v>186</v>
      </c>
      <c r="F5099" s="32" t="s">
        <v>13709</v>
      </c>
      <c r="G5099" s="39" t="s">
        <v>187</v>
      </c>
      <c r="H5099" s="33"/>
      <c r="I5099" s="33"/>
      <c r="J5099" s="33"/>
      <c r="K5099" s="33"/>
      <c r="L5099" s="33"/>
      <c r="M5099" s="33"/>
    </row>
    <row r="5100">
      <c r="A5100" s="32" t="s">
        <v>13710</v>
      </c>
      <c r="B5100" s="32" t="s">
        <v>13711</v>
      </c>
      <c r="C5100" s="35">
        <v>21.64870071</v>
      </c>
      <c r="D5100" s="35">
        <v>69.65720367</v>
      </c>
      <c r="E5100" s="32" t="s">
        <v>217</v>
      </c>
      <c r="F5100" s="32" t="s">
        <v>13712</v>
      </c>
      <c r="G5100" s="39" t="s">
        <v>218</v>
      </c>
      <c r="H5100" s="33"/>
      <c r="I5100" s="33"/>
      <c r="J5100" s="33"/>
      <c r="K5100" s="33"/>
      <c r="L5100" s="33"/>
      <c r="M5100" s="33"/>
    </row>
    <row r="5101">
      <c r="A5101" s="32" t="s">
        <v>13713</v>
      </c>
      <c r="B5101" s="32" t="s">
        <v>13714</v>
      </c>
      <c r="C5101" s="35">
        <v>34.17309952</v>
      </c>
      <c r="D5101" s="35">
        <v>-91.93560028</v>
      </c>
      <c r="E5101" s="32" t="s">
        <v>180</v>
      </c>
      <c r="F5101" s="32" t="s">
        <v>13715</v>
      </c>
      <c r="G5101" s="39" t="s">
        <v>181</v>
      </c>
      <c r="H5101" s="33"/>
      <c r="I5101" s="33"/>
      <c r="J5101" s="33"/>
      <c r="K5101" s="33"/>
      <c r="L5101" s="33"/>
      <c r="M5101" s="33"/>
    </row>
    <row r="5102">
      <c r="A5102" s="32" t="s">
        <v>13716</v>
      </c>
      <c r="B5102" s="32" t="s">
        <v>13717</v>
      </c>
      <c r="C5102" s="35">
        <v>44.65090179</v>
      </c>
      <c r="D5102" s="35">
        <v>-73.4681015</v>
      </c>
      <c r="E5102" s="32" t="s">
        <v>180</v>
      </c>
      <c r="F5102" s="32" t="s">
        <v>13718</v>
      </c>
      <c r="G5102" s="39" t="s">
        <v>181</v>
      </c>
      <c r="H5102" s="33"/>
      <c r="I5102" s="33"/>
      <c r="J5102" s="33"/>
      <c r="K5102" s="33"/>
      <c r="L5102" s="33"/>
      <c r="M5102" s="33"/>
    </row>
    <row r="5103">
      <c r="A5103" s="32" t="s">
        <v>13719</v>
      </c>
      <c r="B5103" s="32" t="s">
        <v>13720</v>
      </c>
      <c r="C5103" s="35">
        <v>27.40320015</v>
      </c>
      <c r="D5103" s="35">
        <v>89.42459869</v>
      </c>
      <c r="E5103" s="32" t="s">
        <v>5322</v>
      </c>
      <c r="F5103" s="32" t="s">
        <v>13721</v>
      </c>
      <c r="G5103" s="36" t="e">
        <v>#N/A</v>
      </c>
      <c r="H5103" s="33"/>
      <c r="I5103" s="33"/>
      <c r="J5103" s="33"/>
      <c r="K5103" s="33"/>
      <c r="L5103" s="33"/>
      <c r="M5103" s="33"/>
    </row>
    <row r="5104">
      <c r="A5104" s="32" t="s">
        <v>13722</v>
      </c>
      <c r="B5104" s="32" t="s">
        <v>13723</v>
      </c>
      <c r="C5104" s="35">
        <v>26.68320084</v>
      </c>
      <c r="D5104" s="35">
        <v>-80.09559631</v>
      </c>
      <c r="E5104" s="32" t="s">
        <v>180</v>
      </c>
      <c r="F5104" s="32" t="s">
        <v>11145</v>
      </c>
      <c r="G5104" s="39" t="s">
        <v>181</v>
      </c>
      <c r="H5104" s="33"/>
      <c r="I5104" s="33"/>
      <c r="J5104" s="33"/>
      <c r="K5104" s="33"/>
      <c r="L5104" s="33"/>
      <c r="M5104" s="33"/>
    </row>
    <row r="5105">
      <c r="A5105" s="32" t="s">
        <v>13724</v>
      </c>
      <c r="B5105" s="32" t="s">
        <v>13725</v>
      </c>
      <c r="C5105" s="35">
        <v>-16.43899918</v>
      </c>
      <c r="D5105" s="35">
        <v>168.2570038</v>
      </c>
      <c r="E5105" s="32" t="s">
        <v>4279</v>
      </c>
      <c r="F5105" s="32" t="s">
        <v>13726</v>
      </c>
      <c r="G5105" s="36" t="e">
        <v>#N/A</v>
      </c>
      <c r="H5105" s="33"/>
      <c r="I5105" s="33"/>
      <c r="J5105" s="33"/>
      <c r="K5105" s="33"/>
      <c r="L5105" s="33"/>
      <c r="M5105" s="33"/>
    </row>
    <row r="5106">
      <c r="A5106" s="32" t="s">
        <v>13727</v>
      </c>
      <c r="B5106" s="32" t="s">
        <v>13728</v>
      </c>
      <c r="C5106" s="35">
        <v>10.48050022</v>
      </c>
      <c r="D5106" s="35">
        <v>-68.07299805</v>
      </c>
      <c r="E5106" s="32" t="s">
        <v>315</v>
      </c>
      <c r="F5106" s="32" t="s">
        <v>13729</v>
      </c>
      <c r="G5106" s="36" t="e">
        <v>#N/A</v>
      </c>
      <c r="H5106" s="33"/>
      <c r="I5106" s="33"/>
      <c r="J5106" s="33"/>
      <c r="K5106" s="33"/>
      <c r="L5106" s="33"/>
      <c r="M5106" s="33"/>
    </row>
    <row r="5107">
      <c r="A5107" s="32" t="s">
        <v>13730</v>
      </c>
      <c r="B5107" s="32" t="s">
        <v>13731</v>
      </c>
      <c r="C5107" s="35">
        <v>5.452829838</v>
      </c>
      <c r="D5107" s="35">
        <v>-55.18780136</v>
      </c>
      <c r="E5107" s="32" t="s">
        <v>2192</v>
      </c>
      <c r="F5107" s="32" t="s">
        <v>13732</v>
      </c>
      <c r="G5107" s="36" t="e">
        <v>#N/A</v>
      </c>
      <c r="H5107" s="33"/>
      <c r="I5107" s="33"/>
      <c r="J5107" s="33"/>
      <c r="K5107" s="33"/>
      <c r="L5107" s="33"/>
      <c r="M5107" s="33"/>
    </row>
    <row r="5108">
      <c r="A5108" s="32" t="s">
        <v>13733</v>
      </c>
      <c r="B5108" s="32" t="s">
        <v>13734</v>
      </c>
      <c r="C5108" s="35">
        <v>-10.72200012</v>
      </c>
      <c r="D5108" s="35">
        <v>13.76550007</v>
      </c>
      <c r="E5108" s="32" t="s">
        <v>764</v>
      </c>
      <c r="F5108" s="32" t="s">
        <v>13735</v>
      </c>
      <c r="G5108" s="36" t="e">
        <v>#N/A</v>
      </c>
      <c r="H5108" s="33"/>
      <c r="I5108" s="33"/>
      <c r="J5108" s="33"/>
      <c r="K5108" s="33"/>
      <c r="L5108" s="33"/>
      <c r="M5108" s="33"/>
    </row>
    <row r="5109">
      <c r="A5109" s="32" t="s">
        <v>13736</v>
      </c>
      <c r="B5109" s="32" t="s">
        <v>13737</v>
      </c>
      <c r="C5109" s="35">
        <v>-23.17110062</v>
      </c>
      <c r="D5109" s="35">
        <v>117.7450027</v>
      </c>
      <c r="E5109" s="32" t="s">
        <v>1968</v>
      </c>
      <c r="F5109" s="32" t="s">
        <v>13738</v>
      </c>
      <c r="G5109" s="36" t="e">
        <v>#N/A</v>
      </c>
      <c r="H5109" s="33"/>
      <c r="I5109" s="33"/>
      <c r="J5109" s="33"/>
      <c r="K5109" s="33"/>
      <c r="L5109" s="33"/>
      <c r="M5109" s="33"/>
    </row>
    <row r="5110">
      <c r="A5110" s="32" t="s">
        <v>13739</v>
      </c>
      <c r="B5110" s="32" t="s">
        <v>13740</v>
      </c>
      <c r="C5110" s="35">
        <v>9.856109619</v>
      </c>
      <c r="D5110" s="35">
        <v>-85.3707962</v>
      </c>
      <c r="E5110" s="32" t="s">
        <v>1267</v>
      </c>
      <c r="F5110" s="32" t="s">
        <v>13741</v>
      </c>
      <c r="G5110" s="36" t="e">
        <v>#N/A</v>
      </c>
      <c r="H5110" s="33"/>
      <c r="I5110" s="33"/>
      <c r="J5110" s="33"/>
      <c r="K5110" s="33"/>
      <c r="L5110" s="33"/>
      <c r="M5110" s="33"/>
    </row>
    <row r="5111">
      <c r="A5111" s="32" t="s">
        <v>13742</v>
      </c>
      <c r="B5111" s="32" t="s">
        <v>13743</v>
      </c>
      <c r="C5111" s="35">
        <v>15.73089981</v>
      </c>
      <c r="D5111" s="35">
        <v>-88.58380127</v>
      </c>
      <c r="E5111" s="32" t="s">
        <v>1238</v>
      </c>
      <c r="F5111" s="32" t="s">
        <v>13744</v>
      </c>
      <c r="G5111" s="36" t="e">
        <v>#N/A</v>
      </c>
      <c r="H5111" s="33"/>
      <c r="I5111" s="33"/>
      <c r="J5111" s="33"/>
      <c r="K5111" s="33"/>
      <c r="L5111" s="33"/>
      <c r="M5111" s="33"/>
    </row>
    <row r="5112">
      <c r="A5112" s="32" t="s">
        <v>13745</v>
      </c>
      <c r="B5112" s="32" t="s">
        <v>13746</v>
      </c>
      <c r="C5112" s="35">
        <v>27.32990074</v>
      </c>
      <c r="D5112" s="35">
        <v>97.42630005</v>
      </c>
      <c r="E5112" s="32" t="s">
        <v>1918</v>
      </c>
      <c r="F5112" s="32" t="s">
        <v>13747</v>
      </c>
      <c r="G5112" s="36" t="e">
        <v>#N/A</v>
      </c>
      <c r="H5112" s="33"/>
      <c r="I5112" s="33"/>
      <c r="J5112" s="33"/>
      <c r="K5112" s="33"/>
      <c r="L5112" s="33"/>
      <c r="M5112" s="33"/>
    </row>
    <row r="5113">
      <c r="A5113" s="32" t="s">
        <v>13748</v>
      </c>
      <c r="B5113" s="32" t="s">
        <v>13749</v>
      </c>
      <c r="C5113" s="35">
        <v>37.5617981</v>
      </c>
      <c r="D5113" s="35">
        <v>-82.56639862</v>
      </c>
      <c r="E5113" s="32" t="s">
        <v>180</v>
      </c>
      <c r="F5113" s="32" t="s">
        <v>13750</v>
      </c>
      <c r="G5113" s="39" t="s">
        <v>181</v>
      </c>
      <c r="H5113" s="33"/>
      <c r="I5113" s="33"/>
      <c r="J5113" s="33"/>
      <c r="K5113" s="33"/>
      <c r="L5113" s="33"/>
      <c r="M5113" s="33"/>
    </row>
    <row r="5114">
      <c r="A5114" s="32" t="s">
        <v>13751</v>
      </c>
      <c r="B5114" s="32" t="s">
        <v>13752</v>
      </c>
      <c r="C5114" s="35">
        <v>20.07740021</v>
      </c>
      <c r="D5114" s="35">
        <v>-98.78250122</v>
      </c>
      <c r="E5114" s="32" t="s">
        <v>186</v>
      </c>
      <c r="F5114" s="32" t="s">
        <v>13753</v>
      </c>
      <c r="G5114" s="39" t="s">
        <v>187</v>
      </c>
      <c r="H5114" s="33"/>
      <c r="I5114" s="33"/>
      <c r="J5114" s="33"/>
      <c r="K5114" s="33"/>
      <c r="L5114" s="33"/>
      <c r="M5114" s="33"/>
    </row>
    <row r="5115">
      <c r="A5115" s="32" t="s">
        <v>13754</v>
      </c>
      <c r="B5115" s="32" t="s">
        <v>13755</v>
      </c>
      <c r="C5115" s="35">
        <v>-6.336959839</v>
      </c>
      <c r="D5115" s="35">
        <v>106.7649994</v>
      </c>
      <c r="E5115" s="32" t="s">
        <v>280</v>
      </c>
      <c r="F5115" s="32" t="s">
        <v>5803</v>
      </c>
      <c r="G5115" s="36" t="e">
        <v>#N/A</v>
      </c>
      <c r="H5115" s="33"/>
      <c r="I5115" s="33"/>
      <c r="J5115" s="33"/>
      <c r="K5115" s="33"/>
      <c r="L5115" s="33"/>
      <c r="M5115" s="33"/>
    </row>
    <row r="5116">
      <c r="A5116" s="32" t="s">
        <v>13756</v>
      </c>
      <c r="B5116" s="32" t="s">
        <v>13757</v>
      </c>
      <c r="C5116" s="35">
        <v>-8.377940178</v>
      </c>
      <c r="D5116" s="35">
        <v>-74.57430267</v>
      </c>
      <c r="E5116" s="32" t="s">
        <v>307</v>
      </c>
      <c r="F5116" s="32" t="s">
        <v>13758</v>
      </c>
      <c r="G5116" s="36" t="e">
        <v>#N/A</v>
      </c>
      <c r="H5116" s="33"/>
      <c r="I5116" s="33"/>
      <c r="J5116" s="33"/>
      <c r="K5116" s="33"/>
      <c r="L5116" s="33"/>
      <c r="M5116" s="33"/>
    </row>
    <row r="5117">
      <c r="A5117" s="32" t="s">
        <v>13759</v>
      </c>
      <c r="B5117" s="32" t="s">
        <v>13760</v>
      </c>
      <c r="C5117" s="35">
        <v>-41.34609985</v>
      </c>
      <c r="D5117" s="35">
        <v>173.9559937</v>
      </c>
      <c r="E5117" s="32" t="s">
        <v>1328</v>
      </c>
      <c r="F5117" s="32" t="s">
        <v>13761</v>
      </c>
      <c r="G5117" s="36" t="e">
        <v>#N/A</v>
      </c>
      <c r="H5117" s="33"/>
      <c r="I5117" s="33"/>
      <c r="J5117" s="33"/>
      <c r="K5117" s="33"/>
      <c r="L5117" s="33"/>
      <c r="M5117" s="33"/>
    </row>
    <row r="5118">
      <c r="A5118" s="32" t="s">
        <v>13762</v>
      </c>
      <c r="B5118" s="32" t="s">
        <v>13763</v>
      </c>
      <c r="C5118" s="35">
        <v>1.662940025</v>
      </c>
      <c r="D5118" s="35">
        <v>7.411739826</v>
      </c>
      <c r="E5118" s="32" t="s">
        <v>13764</v>
      </c>
      <c r="F5118" s="32" t="s">
        <v>13765</v>
      </c>
      <c r="G5118" s="36" t="e">
        <v>#N/A</v>
      </c>
      <c r="H5118" s="33"/>
      <c r="I5118" s="33"/>
      <c r="J5118" s="33"/>
      <c r="K5118" s="33"/>
      <c r="L5118" s="33"/>
      <c r="M5118" s="33"/>
    </row>
    <row r="5119">
      <c r="A5119" s="32" t="s">
        <v>13766</v>
      </c>
      <c r="B5119" s="32" t="s">
        <v>13767</v>
      </c>
      <c r="C5119" s="35">
        <v>6.18472</v>
      </c>
      <c r="D5119" s="35">
        <v>-67.4932</v>
      </c>
      <c r="E5119" s="32" t="s">
        <v>292</v>
      </c>
      <c r="F5119" s="32" t="s">
        <v>13768</v>
      </c>
      <c r="G5119" s="36" t="e">
        <v>#N/A</v>
      </c>
      <c r="H5119" s="33"/>
      <c r="I5119" s="33"/>
      <c r="J5119" s="33"/>
      <c r="K5119" s="33"/>
      <c r="L5119" s="33"/>
      <c r="M5119" s="33"/>
    </row>
    <row r="5120">
      <c r="A5120" s="32" t="s">
        <v>13769</v>
      </c>
      <c r="B5120" s="32" t="s">
        <v>13770</v>
      </c>
      <c r="C5120" s="35">
        <v>-7.062059879</v>
      </c>
      <c r="D5120" s="35">
        <v>-41.52370071</v>
      </c>
      <c r="E5120" s="32" t="s">
        <v>288</v>
      </c>
      <c r="F5120" s="32" t="s">
        <v>13771</v>
      </c>
      <c r="G5120" s="36" t="e">
        <v>#N/A</v>
      </c>
      <c r="H5120" s="33"/>
      <c r="I5120" s="33"/>
      <c r="J5120" s="33"/>
      <c r="K5120" s="33"/>
      <c r="L5120" s="33"/>
      <c r="M5120" s="33"/>
    </row>
    <row r="5121">
      <c r="A5121" s="32" t="s">
        <v>13772</v>
      </c>
      <c r="B5121" s="32" t="s">
        <v>13773</v>
      </c>
      <c r="C5121" s="35">
        <v>41.5163002</v>
      </c>
      <c r="D5121" s="35">
        <v>-82.86869812</v>
      </c>
      <c r="E5121" s="32" t="s">
        <v>180</v>
      </c>
      <c r="F5121" s="32" t="s">
        <v>13774</v>
      </c>
      <c r="G5121" s="39" t="s">
        <v>181</v>
      </c>
      <c r="H5121" s="33"/>
      <c r="I5121" s="33"/>
      <c r="J5121" s="33"/>
      <c r="K5121" s="33"/>
      <c r="L5121" s="33"/>
      <c r="M5121" s="33"/>
    </row>
    <row r="5122">
      <c r="A5122" s="32" t="s">
        <v>13775</v>
      </c>
      <c r="B5122" s="32" t="s">
        <v>13776</v>
      </c>
      <c r="C5122" s="35">
        <v>44.33330154</v>
      </c>
      <c r="D5122" s="35">
        <v>-89.01979828</v>
      </c>
      <c r="E5122" s="32" t="s">
        <v>180</v>
      </c>
      <c r="F5122" s="32" t="s">
        <v>13777</v>
      </c>
      <c r="G5122" s="39" t="s">
        <v>181</v>
      </c>
      <c r="H5122" s="33"/>
      <c r="I5122" s="33"/>
      <c r="J5122" s="33"/>
      <c r="K5122" s="33"/>
      <c r="L5122" s="33"/>
      <c r="M5122" s="33"/>
    </row>
    <row r="5123">
      <c r="A5123" s="32" t="s">
        <v>13778</v>
      </c>
      <c r="B5123" s="32" t="s">
        <v>13779</v>
      </c>
      <c r="C5123" s="35">
        <v>3.85353</v>
      </c>
      <c r="D5123" s="35">
        <v>-67.9062</v>
      </c>
      <c r="E5123" s="32" t="s">
        <v>292</v>
      </c>
      <c r="F5123" s="32" t="s">
        <v>13780</v>
      </c>
      <c r="G5123" s="36" t="e">
        <v>#N/A</v>
      </c>
      <c r="H5123" s="33"/>
      <c r="I5123" s="33"/>
      <c r="J5123" s="33"/>
      <c r="K5123" s="33"/>
      <c r="L5123" s="33"/>
      <c r="M5123" s="33"/>
    </row>
    <row r="5124">
      <c r="A5124" s="32" t="s">
        <v>13781</v>
      </c>
      <c r="B5124" s="32" t="s">
        <v>13782</v>
      </c>
      <c r="C5124" s="35">
        <v>-0.874988973</v>
      </c>
      <c r="D5124" s="35">
        <v>100.3519974</v>
      </c>
      <c r="E5124" s="32" t="s">
        <v>280</v>
      </c>
      <c r="F5124" s="32" t="s">
        <v>1945</v>
      </c>
      <c r="G5124" s="36" t="e">
        <v>#N/A</v>
      </c>
      <c r="H5124" s="33"/>
      <c r="I5124" s="33"/>
      <c r="J5124" s="33"/>
      <c r="K5124" s="33"/>
      <c r="L5124" s="33"/>
      <c r="M5124" s="33"/>
    </row>
    <row r="5125">
      <c r="A5125" s="32" t="s">
        <v>13783</v>
      </c>
      <c r="B5125" s="32" t="s">
        <v>13784</v>
      </c>
      <c r="C5125" s="35">
        <v>33.87559891</v>
      </c>
      <c r="D5125" s="35">
        <v>-84.30200195</v>
      </c>
      <c r="E5125" s="32" t="s">
        <v>180</v>
      </c>
      <c r="F5125" s="32" t="s">
        <v>4222</v>
      </c>
      <c r="G5125" s="39" t="s">
        <v>181</v>
      </c>
      <c r="H5125" s="33"/>
      <c r="I5125" s="33"/>
      <c r="J5125" s="33"/>
      <c r="K5125" s="33"/>
      <c r="L5125" s="33"/>
      <c r="M5125" s="33"/>
    </row>
    <row r="5126">
      <c r="A5126" s="32" t="s">
        <v>13785</v>
      </c>
      <c r="B5126" s="32" t="s">
        <v>13786</v>
      </c>
      <c r="C5126" s="35">
        <v>37.74119949</v>
      </c>
      <c r="D5126" s="35">
        <v>-25.69790077</v>
      </c>
      <c r="E5126" s="32" t="s">
        <v>121</v>
      </c>
      <c r="F5126" s="32" t="s">
        <v>13787</v>
      </c>
      <c r="G5126" s="39" t="s">
        <v>122</v>
      </c>
      <c r="H5126" s="33"/>
      <c r="I5126" s="33"/>
      <c r="J5126" s="33"/>
      <c r="K5126" s="33"/>
      <c r="L5126" s="33"/>
      <c r="M5126" s="33"/>
    </row>
    <row r="5127">
      <c r="A5127" s="32" t="s">
        <v>13788</v>
      </c>
      <c r="B5127" s="32" t="s">
        <v>13789</v>
      </c>
      <c r="C5127" s="35">
        <v>-3.286070108</v>
      </c>
      <c r="D5127" s="35">
        <v>103.8799973</v>
      </c>
      <c r="E5127" s="32" t="s">
        <v>280</v>
      </c>
      <c r="F5127" s="32" t="s">
        <v>13790</v>
      </c>
      <c r="G5127" s="36" t="e">
        <v>#N/A</v>
      </c>
      <c r="H5127" s="33"/>
      <c r="I5127" s="33"/>
      <c r="J5127" s="33"/>
      <c r="K5127" s="33"/>
      <c r="L5127" s="33"/>
      <c r="M5127" s="33"/>
    </row>
    <row r="5128">
      <c r="A5128" s="32" t="s">
        <v>13791</v>
      </c>
      <c r="B5128" s="32" t="s">
        <v>13792</v>
      </c>
      <c r="C5128" s="35">
        <v>-34.85509872</v>
      </c>
      <c r="D5128" s="35">
        <v>-55.09429932</v>
      </c>
      <c r="E5128" s="32" t="s">
        <v>1779</v>
      </c>
      <c r="F5128" s="32" t="s">
        <v>13793</v>
      </c>
      <c r="G5128" s="36" t="e">
        <v>#N/A</v>
      </c>
      <c r="H5128" s="33"/>
      <c r="I5128" s="33"/>
      <c r="J5128" s="33"/>
      <c r="K5128" s="33"/>
      <c r="L5128" s="33"/>
      <c r="M5128" s="33"/>
    </row>
    <row r="5129">
      <c r="A5129" s="32" t="s">
        <v>13794</v>
      </c>
      <c r="B5129" s="32" t="s">
        <v>13795</v>
      </c>
      <c r="C5129" s="35">
        <v>28.62739944</v>
      </c>
      <c r="D5129" s="35">
        <v>-100.5350037</v>
      </c>
      <c r="E5129" s="32" t="s">
        <v>186</v>
      </c>
      <c r="F5129" s="32" t="s">
        <v>13796</v>
      </c>
      <c r="G5129" s="39" t="s">
        <v>187</v>
      </c>
      <c r="H5129" s="33"/>
      <c r="I5129" s="33"/>
      <c r="J5129" s="33"/>
      <c r="K5129" s="33"/>
      <c r="L5129" s="33"/>
      <c r="M5129" s="33"/>
    </row>
    <row r="5130">
      <c r="A5130" s="32" t="s">
        <v>13797</v>
      </c>
      <c r="B5130" s="32" t="s">
        <v>13798</v>
      </c>
      <c r="C5130" s="35">
        <v>45.69509888</v>
      </c>
      <c r="D5130" s="35">
        <v>-118.8410034</v>
      </c>
      <c r="E5130" s="32" t="s">
        <v>180</v>
      </c>
      <c r="F5130" s="32" t="s">
        <v>13799</v>
      </c>
      <c r="G5130" s="39" t="s">
        <v>181</v>
      </c>
      <c r="H5130" s="33"/>
      <c r="I5130" s="33"/>
      <c r="J5130" s="33"/>
      <c r="K5130" s="33"/>
      <c r="L5130" s="33"/>
      <c r="M5130" s="33"/>
    </row>
    <row r="5131">
      <c r="A5131" s="32" t="s">
        <v>13800</v>
      </c>
      <c r="B5131" s="32" t="s">
        <v>13801</v>
      </c>
      <c r="C5131" s="35">
        <v>-32.36330032</v>
      </c>
      <c r="D5131" s="35">
        <v>-58.06190109</v>
      </c>
      <c r="E5131" s="32" t="s">
        <v>1779</v>
      </c>
      <c r="F5131" s="32" t="s">
        <v>13802</v>
      </c>
      <c r="G5131" s="36" t="e">
        <v>#N/A</v>
      </c>
      <c r="H5131" s="33"/>
      <c r="I5131" s="33"/>
      <c r="J5131" s="33"/>
      <c r="K5131" s="33"/>
      <c r="L5131" s="33"/>
      <c r="M5131" s="33"/>
    </row>
    <row r="5132">
      <c r="A5132" s="32" t="s">
        <v>13803</v>
      </c>
      <c r="B5132" s="32" t="s">
        <v>13804</v>
      </c>
      <c r="C5132" s="35">
        <v>42.067799</v>
      </c>
      <c r="D5132" s="35">
        <v>24.8508</v>
      </c>
      <c r="E5132" s="32" t="s">
        <v>849</v>
      </c>
      <c r="F5132" s="32" t="s">
        <v>13805</v>
      </c>
      <c r="G5132" s="36" t="e">
        <v>#N/A</v>
      </c>
      <c r="H5132" s="33"/>
      <c r="I5132" s="33"/>
      <c r="J5132" s="33"/>
      <c r="K5132" s="33"/>
      <c r="L5132" s="33"/>
      <c r="M5132" s="33"/>
    </row>
    <row r="5133">
      <c r="A5133" s="32" t="s">
        <v>13806</v>
      </c>
      <c r="B5133" s="32" t="s">
        <v>13807</v>
      </c>
      <c r="C5133" s="35">
        <v>45.58869934</v>
      </c>
      <c r="D5133" s="35">
        <v>-122.5979996</v>
      </c>
      <c r="E5133" s="32" t="s">
        <v>180</v>
      </c>
      <c r="F5133" s="32" t="s">
        <v>13808</v>
      </c>
      <c r="G5133" s="39" t="s">
        <v>181</v>
      </c>
      <c r="H5133" s="33"/>
      <c r="I5133" s="33"/>
      <c r="J5133" s="33"/>
      <c r="K5133" s="33"/>
      <c r="L5133" s="33"/>
      <c r="M5133" s="33"/>
    </row>
    <row r="5134">
      <c r="A5134" s="32" t="s">
        <v>13809</v>
      </c>
      <c r="B5134" s="32" t="s">
        <v>13810</v>
      </c>
      <c r="C5134" s="35">
        <v>-35.75584629</v>
      </c>
      <c r="D5134" s="35">
        <v>137.9628754</v>
      </c>
      <c r="E5134" s="32" t="s">
        <v>1968</v>
      </c>
      <c r="F5134" s="32" t="s">
        <v>13811</v>
      </c>
      <c r="G5134" s="36" t="e">
        <v>#N/A</v>
      </c>
      <c r="H5134" s="33"/>
      <c r="I5134" s="33"/>
      <c r="J5134" s="33"/>
      <c r="K5134" s="33"/>
      <c r="L5134" s="33"/>
      <c r="M5134" s="33"/>
    </row>
    <row r="5135">
      <c r="A5135" s="32" t="s">
        <v>13812</v>
      </c>
      <c r="B5135" s="32" t="s">
        <v>13813</v>
      </c>
      <c r="C5135" s="35">
        <v>50.01340103</v>
      </c>
      <c r="D5135" s="35">
        <v>15.73859978</v>
      </c>
      <c r="E5135" s="32" t="s">
        <v>1104</v>
      </c>
      <c r="F5135" s="32" t="s">
        <v>13814</v>
      </c>
      <c r="G5135" s="36" t="e">
        <v>#N/A</v>
      </c>
      <c r="H5135" s="33"/>
      <c r="I5135" s="33"/>
      <c r="J5135" s="33"/>
      <c r="K5135" s="33"/>
      <c r="L5135" s="33"/>
      <c r="M5135" s="33"/>
    </row>
    <row r="5136">
      <c r="A5136" s="32" t="s">
        <v>13815</v>
      </c>
      <c r="B5136" s="32" t="s">
        <v>13816</v>
      </c>
      <c r="C5136" s="35">
        <v>57.91450119</v>
      </c>
      <c r="D5136" s="35">
        <v>56.02119827</v>
      </c>
      <c r="E5136" s="32" t="s">
        <v>2040</v>
      </c>
      <c r="F5136" s="32" t="s">
        <v>13817</v>
      </c>
      <c r="G5136" s="36" t="e">
        <v>#N/A</v>
      </c>
      <c r="H5136" s="33"/>
      <c r="I5136" s="33"/>
      <c r="J5136" s="33"/>
      <c r="K5136" s="33"/>
      <c r="L5136" s="33"/>
      <c r="M5136" s="33"/>
    </row>
    <row r="5137">
      <c r="A5137" s="32" t="s">
        <v>13818</v>
      </c>
      <c r="B5137" s="32" t="s">
        <v>13819</v>
      </c>
      <c r="C5137" s="35">
        <v>54.15777969</v>
      </c>
      <c r="D5137" s="35">
        <v>13.77444363</v>
      </c>
      <c r="E5137" s="32" t="s">
        <v>109</v>
      </c>
      <c r="F5137" s="32" t="s">
        <v>13820</v>
      </c>
      <c r="G5137" s="39" t="s">
        <v>110</v>
      </c>
      <c r="H5137" s="33"/>
      <c r="I5137" s="33"/>
      <c r="J5137" s="33"/>
      <c r="K5137" s="33"/>
      <c r="L5137" s="33"/>
      <c r="M5137" s="33"/>
    </row>
    <row r="5138">
      <c r="A5138" s="32" t="s">
        <v>13821</v>
      </c>
      <c r="B5138" s="32" t="s">
        <v>13822</v>
      </c>
      <c r="C5138" s="35">
        <v>43.095901</v>
      </c>
      <c r="D5138" s="35">
        <v>12.5132</v>
      </c>
      <c r="E5138" s="32" t="s">
        <v>103</v>
      </c>
      <c r="F5138" s="32" t="s">
        <v>13823</v>
      </c>
      <c r="G5138" s="39" t="s">
        <v>104</v>
      </c>
      <c r="H5138" s="33"/>
      <c r="I5138" s="33"/>
      <c r="J5138" s="33"/>
      <c r="K5138" s="33"/>
      <c r="L5138" s="33"/>
      <c r="M5138" s="33"/>
    </row>
    <row r="5139">
      <c r="A5139" s="32" t="s">
        <v>13824</v>
      </c>
      <c r="B5139" s="32" t="s">
        <v>13825</v>
      </c>
      <c r="C5139" s="35">
        <v>4.81267</v>
      </c>
      <c r="D5139" s="35">
        <v>-75.7395</v>
      </c>
      <c r="E5139" s="32" t="s">
        <v>292</v>
      </c>
      <c r="F5139" s="32" t="s">
        <v>13826</v>
      </c>
      <c r="G5139" s="36" t="e">
        <v>#N/A</v>
      </c>
      <c r="H5139" s="33"/>
      <c r="I5139" s="33"/>
      <c r="J5139" s="33"/>
      <c r="K5139" s="33"/>
      <c r="L5139" s="33"/>
      <c r="M5139" s="33"/>
    </row>
    <row r="5140">
      <c r="A5140" s="32" t="s">
        <v>13827</v>
      </c>
      <c r="B5140" s="32" t="s">
        <v>13828</v>
      </c>
      <c r="C5140" s="35">
        <v>40.08010101</v>
      </c>
      <c r="D5140" s="35">
        <v>116.5849991</v>
      </c>
      <c r="E5140" s="32" t="s">
        <v>205</v>
      </c>
      <c r="F5140" s="32" t="s">
        <v>12707</v>
      </c>
      <c r="G5140" s="39" t="s">
        <v>206</v>
      </c>
      <c r="H5140" s="33"/>
      <c r="I5140" s="33"/>
      <c r="J5140" s="33"/>
      <c r="K5140" s="33"/>
      <c r="L5140" s="33"/>
      <c r="M5140" s="33"/>
    </row>
    <row r="5141">
      <c r="A5141" s="32" t="s">
        <v>13829</v>
      </c>
      <c r="B5141" s="32" t="s">
        <v>13830</v>
      </c>
      <c r="C5141" s="35">
        <v>-12.61359978</v>
      </c>
      <c r="D5141" s="35">
        <v>-69.22859955</v>
      </c>
      <c r="E5141" s="32" t="s">
        <v>307</v>
      </c>
      <c r="F5141" s="32" t="s">
        <v>13831</v>
      </c>
      <c r="G5141" s="36" t="e">
        <v>#N/A</v>
      </c>
      <c r="H5141" s="33"/>
      <c r="I5141" s="33"/>
      <c r="J5141" s="33"/>
      <c r="K5141" s="33"/>
      <c r="L5141" s="33"/>
      <c r="M5141" s="33"/>
    </row>
    <row r="5142">
      <c r="A5142" s="32" t="s">
        <v>13832</v>
      </c>
      <c r="B5142" s="32" t="s">
        <v>13833</v>
      </c>
      <c r="C5142" s="35">
        <v>5.297140121</v>
      </c>
      <c r="D5142" s="35">
        <v>100.2770004</v>
      </c>
      <c r="E5142" s="32" t="s">
        <v>284</v>
      </c>
      <c r="F5142" s="32" t="s">
        <v>13834</v>
      </c>
      <c r="G5142" s="36" t="e">
        <v>#N/A</v>
      </c>
      <c r="H5142" s="33"/>
      <c r="I5142" s="33"/>
      <c r="J5142" s="33"/>
      <c r="K5142" s="33"/>
      <c r="L5142" s="33"/>
      <c r="M5142" s="33"/>
    </row>
    <row r="5143">
      <c r="A5143" s="32" t="s">
        <v>13835</v>
      </c>
      <c r="B5143" s="32" t="s">
        <v>13836</v>
      </c>
      <c r="C5143" s="35">
        <v>31.38240051</v>
      </c>
      <c r="D5143" s="35">
        <v>-103.5110016</v>
      </c>
      <c r="E5143" s="32" t="s">
        <v>180</v>
      </c>
      <c r="F5143" s="32" t="s">
        <v>13837</v>
      </c>
      <c r="G5143" s="39" t="s">
        <v>181</v>
      </c>
      <c r="H5143" s="33"/>
      <c r="I5143" s="33"/>
      <c r="J5143" s="33"/>
      <c r="K5143" s="33"/>
      <c r="L5143" s="33"/>
      <c r="M5143" s="33"/>
    </row>
    <row r="5144">
      <c r="A5144" s="32" t="s">
        <v>13838</v>
      </c>
      <c r="B5144" s="32" t="s">
        <v>13839</v>
      </c>
      <c r="C5144" s="35">
        <v>-31.94029999</v>
      </c>
      <c r="D5144" s="35">
        <v>115.9670029</v>
      </c>
      <c r="E5144" s="32" t="s">
        <v>1968</v>
      </c>
      <c r="F5144" s="32" t="s">
        <v>2130</v>
      </c>
      <c r="G5144" s="36" t="e">
        <v>#N/A</v>
      </c>
      <c r="H5144" s="33"/>
      <c r="I5144" s="33"/>
      <c r="J5144" s="33"/>
      <c r="K5144" s="33"/>
      <c r="L5144" s="33"/>
      <c r="M5144" s="33"/>
    </row>
    <row r="5145">
      <c r="A5145" s="32" t="s">
        <v>13840</v>
      </c>
      <c r="B5145" s="32" t="s">
        <v>13841</v>
      </c>
      <c r="C5145" s="35">
        <v>61.8852005</v>
      </c>
      <c r="D5145" s="35">
        <v>34.15470123</v>
      </c>
      <c r="E5145" s="32" t="s">
        <v>2040</v>
      </c>
      <c r="F5145" s="32" t="s">
        <v>3310</v>
      </c>
      <c r="G5145" s="36" t="e">
        <v>#N/A</v>
      </c>
      <c r="H5145" s="33"/>
      <c r="I5145" s="33"/>
      <c r="J5145" s="33"/>
      <c r="K5145" s="33"/>
      <c r="L5145" s="33"/>
      <c r="M5145" s="33"/>
    </row>
    <row r="5146">
      <c r="A5146" s="32" t="s">
        <v>13842</v>
      </c>
      <c r="B5146" s="32" t="s">
        <v>13843</v>
      </c>
      <c r="C5146" s="35">
        <v>-31.71839905</v>
      </c>
      <c r="D5146" s="35">
        <v>-52.32770157</v>
      </c>
      <c r="E5146" s="32" t="s">
        <v>288</v>
      </c>
      <c r="F5146" s="32" t="s">
        <v>13844</v>
      </c>
      <c r="G5146" s="36" t="e">
        <v>#N/A</v>
      </c>
      <c r="H5146" s="33"/>
      <c r="I5146" s="33"/>
      <c r="J5146" s="33"/>
      <c r="K5146" s="33"/>
      <c r="L5146" s="33"/>
      <c r="M5146" s="33"/>
    </row>
    <row r="5147">
      <c r="A5147" s="32" t="s">
        <v>13845</v>
      </c>
      <c r="B5147" s="32" t="s">
        <v>13846</v>
      </c>
      <c r="C5147" s="35">
        <v>15.2622</v>
      </c>
      <c r="D5147" s="35">
        <v>-83.781197</v>
      </c>
      <c r="E5147" s="32" t="s">
        <v>1245</v>
      </c>
      <c r="F5147" s="32" t="s">
        <v>13847</v>
      </c>
      <c r="G5147" s="36" t="e">
        <v>#N/A</v>
      </c>
      <c r="H5147" s="33"/>
      <c r="I5147" s="33"/>
      <c r="J5147" s="33"/>
      <c r="K5147" s="33"/>
      <c r="L5147" s="33"/>
      <c r="M5147" s="33"/>
    </row>
    <row r="5148">
      <c r="A5148" s="32" t="s">
        <v>13848</v>
      </c>
      <c r="B5148" s="32" t="s">
        <v>13849</v>
      </c>
      <c r="C5148" s="35">
        <v>45.990898</v>
      </c>
      <c r="D5148" s="35">
        <v>18.240996</v>
      </c>
      <c r="E5148" s="32" t="s">
        <v>1056</v>
      </c>
      <c r="F5148" s="32" t="s">
        <v>13850</v>
      </c>
      <c r="G5148" s="36" t="e">
        <v>#N/A</v>
      </c>
      <c r="H5148" s="33"/>
      <c r="I5148" s="33"/>
      <c r="J5148" s="33"/>
      <c r="K5148" s="33"/>
      <c r="L5148" s="33"/>
      <c r="M5148" s="33"/>
    </row>
    <row r="5149">
      <c r="A5149" s="32" t="s">
        <v>13851</v>
      </c>
      <c r="B5149" s="32" t="s">
        <v>13852</v>
      </c>
      <c r="C5149" s="35">
        <v>33.9939003</v>
      </c>
      <c r="D5149" s="35">
        <v>71.51460266</v>
      </c>
      <c r="E5149" s="32" t="s">
        <v>1470</v>
      </c>
      <c r="F5149" s="32" t="s">
        <v>13853</v>
      </c>
      <c r="G5149" s="36" t="e">
        <v>#N/A</v>
      </c>
      <c r="H5149" s="33"/>
      <c r="I5149" s="33"/>
      <c r="J5149" s="33"/>
      <c r="K5149" s="33"/>
      <c r="L5149" s="33"/>
      <c r="M5149" s="33"/>
    </row>
    <row r="5150">
      <c r="A5150" s="32" t="s">
        <v>13854</v>
      </c>
      <c r="B5150" s="32" t="s">
        <v>13855</v>
      </c>
      <c r="C5150" s="35">
        <v>65.12110138</v>
      </c>
      <c r="D5150" s="35">
        <v>57.13079834</v>
      </c>
      <c r="E5150" s="32" t="s">
        <v>2040</v>
      </c>
      <c r="F5150" s="32" t="s">
        <v>13856</v>
      </c>
      <c r="G5150" s="36" t="e">
        <v>#N/A</v>
      </c>
      <c r="H5150" s="33"/>
      <c r="I5150" s="33"/>
      <c r="J5150" s="33"/>
      <c r="K5150" s="33"/>
      <c r="L5150" s="33"/>
      <c r="M5150" s="33"/>
    </row>
    <row r="5151">
      <c r="A5151" s="32" t="s">
        <v>13857</v>
      </c>
      <c r="B5151" s="32" t="s">
        <v>13858</v>
      </c>
      <c r="C5151" s="35">
        <v>53.11059952</v>
      </c>
      <c r="D5151" s="35">
        <v>45.02109909</v>
      </c>
      <c r="E5151" s="32" t="s">
        <v>2040</v>
      </c>
      <c r="F5151" s="32" t="s">
        <v>13859</v>
      </c>
      <c r="G5151" s="36" t="e">
        <v>#N/A</v>
      </c>
      <c r="H5151" s="33"/>
      <c r="I5151" s="33"/>
      <c r="J5151" s="33"/>
      <c r="K5151" s="33"/>
      <c r="L5151" s="33"/>
      <c r="M5151" s="33"/>
    </row>
    <row r="5152">
      <c r="A5152" s="32" t="s">
        <v>13860</v>
      </c>
      <c r="B5152" s="32" t="s">
        <v>13861</v>
      </c>
      <c r="C5152" s="35">
        <v>-28.24399948</v>
      </c>
      <c r="D5152" s="35">
        <v>-52.32659912</v>
      </c>
      <c r="E5152" s="32" t="s">
        <v>288</v>
      </c>
      <c r="F5152" s="32" t="s">
        <v>13862</v>
      </c>
      <c r="G5152" s="36" t="e">
        <v>#N/A</v>
      </c>
      <c r="H5152" s="33"/>
      <c r="I5152" s="33"/>
      <c r="J5152" s="33"/>
      <c r="K5152" s="33"/>
      <c r="L5152" s="33"/>
      <c r="M5152" s="33"/>
    </row>
    <row r="5153">
      <c r="A5153" s="32" t="s">
        <v>13863</v>
      </c>
      <c r="B5153" s="32" t="s">
        <v>13864</v>
      </c>
      <c r="C5153" s="35">
        <v>65.555801</v>
      </c>
      <c r="D5153" s="35">
        <v>-23.965</v>
      </c>
      <c r="E5153" s="32" t="s">
        <v>2037</v>
      </c>
      <c r="F5153" s="32" t="s">
        <v>13865</v>
      </c>
      <c r="G5153" s="36" t="e">
        <v>#N/A</v>
      </c>
      <c r="H5153" s="33"/>
      <c r="I5153" s="33"/>
      <c r="J5153" s="33"/>
      <c r="K5153" s="33"/>
      <c r="L5153" s="33"/>
      <c r="M5153" s="33"/>
    </row>
    <row r="5154">
      <c r="A5154" s="32" t="s">
        <v>13866</v>
      </c>
      <c r="B5154" s="32" t="s">
        <v>13867</v>
      </c>
      <c r="C5154" s="35">
        <v>30.212099</v>
      </c>
      <c r="D5154" s="35">
        <v>-85.6828</v>
      </c>
      <c r="E5154" s="32" t="s">
        <v>180</v>
      </c>
      <c r="F5154" s="32" t="s">
        <v>7080</v>
      </c>
      <c r="G5154" s="39" t="s">
        <v>181</v>
      </c>
      <c r="H5154" s="33"/>
      <c r="I5154" s="33"/>
      <c r="J5154" s="33"/>
      <c r="K5154" s="33"/>
      <c r="L5154" s="33"/>
      <c r="M5154" s="33"/>
    </row>
    <row r="5155">
      <c r="A5155" s="32" t="s">
        <v>13868</v>
      </c>
      <c r="B5155" s="32" t="s">
        <v>13869</v>
      </c>
      <c r="C5155" s="35">
        <v>34.7179985</v>
      </c>
      <c r="D5155" s="35">
        <v>32.4856987</v>
      </c>
      <c r="E5155" s="32" t="s">
        <v>3847</v>
      </c>
      <c r="F5155" s="32" t="s">
        <v>13870</v>
      </c>
      <c r="G5155" s="36" t="e">
        <v>#N/A</v>
      </c>
      <c r="H5155" s="33"/>
      <c r="I5155" s="33"/>
      <c r="J5155" s="33"/>
      <c r="K5155" s="33"/>
      <c r="L5155" s="33"/>
      <c r="M5155" s="33"/>
    </row>
    <row r="5156">
      <c r="A5156" s="32" t="s">
        <v>13871</v>
      </c>
      <c r="B5156" s="32" t="s">
        <v>13872</v>
      </c>
      <c r="C5156" s="35">
        <v>39.60359955</v>
      </c>
      <c r="D5156" s="35">
        <v>47.88150024</v>
      </c>
      <c r="E5156" s="32" t="s">
        <v>1378</v>
      </c>
      <c r="F5156" s="32" t="s">
        <v>13873</v>
      </c>
      <c r="G5156" s="36" t="e">
        <v>#N/A</v>
      </c>
      <c r="H5156" s="33"/>
      <c r="I5156" s="33"/>
      <c r="J5156" s="33"/>
      <c r="K5156" s="33"/>
      <c r="L5156" s="33"/>
      <c r="M5156" s="33"/>
    </row>
    <row r="5157">
      <c r="A5157" s="32" t="s">
        <v>13874</v>
      </c>
      <c r="B5157" s="32" t="s">
        <v>13875</v>
      </c>
      <c r="C5157" s="35">
        <v>-4.329919</v>
      </c>
      <c r="D5157" s="35">
        <v>20.590124</v>
      </c>
      <c r="E5157" s="32" t="s">
        <v>800</v>
      </c>
      <c r="F5157" s="32" t="s">
        <v>13876</v>
      </c>
      <c r="G5157" s="36" t="e">
        <v>#N/A</v>
      </c>
      <c r="H5157" s="33"/>
      <c r="I5157" s="33"/>
      <c r="J5157" s="33"/>
      <c r="K5157" s="33"/>
      <c r="L5157" s="33"/>
      <c r="M5157" s="33"/>
    </row>
    <row r="5158">
      <c r="A5158" s="32" t="s">
        <v>13877</v>
      </c>
      <c r="B5158" s="32" t="s">
        <v>13878</v>
      </c>
      <c r="C5158" s="35">
        <v>36.92610168</v>
      </c>
      <c r="D5158" s="35">
        <v>-111.447998</v>
      </c>
      <c r="E5158" s="32" t="s">
        <v>180</v>
      </c>
      <c r="F5158" s="32" t="s">
        <v>13879</v>
      </c>
      <c r="G5158" s="39" t="s">
        <v>181</v>
      </c>
      <c r="H5158" s="33"/>
      <c r="I5158" s="33"/>
      <c r="J5158" s="33"/>
      <c r="K5158" s="33"/>
      <c r="L5158" s="33"/>
      <c r="M5158" s="33"/>
    </row>
    <row r="5159">
      <c r="A5159" s="32" t="s">
        <v>13880</v>
      </c>
      <c r="B5159" s="32" t="s">
        <v>13881</v>
      </c>
      <c r="C5159" s="35">
        <v>26.920200350000002</v>
      </c>
      <c r="D5159" s="35">
        <v>-81.9905014</v>
      </c>
      <c r="E5159" s="32" t="s">
        <v>180</v>
      </c>
      <c r="F5159" s="32" t="s">
        <v>13882</v>
      </c>
      <c r="G5159" s="39" t="s">
        <v>181</v>
      </c>
      <c r="H5159" s="33"/>
      <c r="I5159" s="33"/>
      <c r="J5159" s="33"/>
      <c r="K5159" s="33"/>
      <c r="L5159" s="33"/>
      <c r="M5159" s="33"/>
    </row>
    <row r="5160">
      <c r="A5160" s="32" t="s">
        <v>13883</v>
      </c>
      <c r="B5160" s="32" t="s">
        <v>13884</v>
      </c>
      <c r="C5160" s="35">
        <v>42.74039841</v>
      </c>
      <c r="D5160" s="35">
        <v>2.87067008</v>
      </c>
      <c r="E5160" s="32" t="s">
        <v>96</v>
      </c>
      <c r="F5160" s="32" t="s">
        <v>13885</v>
      </c>
      <c r="G5160" s="39" t="s">
        <v>97</v>
      </c>
      <c r="H5160" s="33"/>
      <c r="I5160" s="33"/>
      <c r="J5160" s="33"/>
      <c r="K5160" s="33"/>
      <c r="L5160" s="33"/>
      <c r="M5160" s="33"/>
    </row>
    <row r="5161">
      <c r="A5161" s="32" t="s">
        <v>13886</v>
      </c>
      <c r="B5161" s="32" t="s">
        <v>13887</v>
      </c>
      <c r="C5161" s="35">
        <v>29.03339958</v>
      </c>
      <c r="D5161" s="35">
        <v>79.47370148</v>
      </c>
      <c r="E5161" s="32" t="s">
        <v>217</v>
      </c>
      <c r="F5161" s="32" t="s">
        <v>13888</v>
      </c>
      <c r="G5161" s="39" t="s">
        <v>218</v>
      </c>
      <c r="H5161" s="33"/>
      <c r="I5161" s="33"/>
      <c r="J5161" s="33"/>
      <c r="K5161" s="33"/>
      <c r="L5161" s="33"/>
      <c r="M5161" s="33"/>
    </row>
    <row r="5162">
      <c r="A5162" s="32" t="s">
        <v>13889</v>
      </c>
      <c r="B5162" s="32" t="s">
        <v>13890</v>
      </c>
      <c r="C5162" s="35">
        <v>-2.162199974</v>
      </c>
      <c r="D5162" s="35">
        <v>106.1389999</v>
      </c>
      <c r="E5162" s="32" t="s">
        <v>280</v>
      </c>
      <c r="F5162" s="32" t="s">
        <v>13891</v>
      </c>
      <c r="G5162" s="36" t="e">
        <v>#N/A</v>
      </c>
      <c r="H5162" s="33"/>
      <c r="I5162" s="33"/>
      <c r="J5162" s="33"/>
      <c r="K5162" s="33"/>
      <c r="L5162" s="33"/>
      <c r="M5162" s="33"/>
    </row>
    <row r="5163">
      <c r="A5163" s="32" t="s">
        <v>13892</v>
      </c>
      <c r="B5163" s="32" t="s">
        <v>13893</v>
      </c>
      <c r="C5163" s="35">
        <v>27.379601</v>
      </c>
      <c r="D5163" s="35">
        <v>52.737701</v>
      </c>
      <c r="E5163" s="32" t="s">
        <v>1378</v>
      </c>
      <c r="F5163" s="32" t="s">
        <v>13894</v>
      </c>
      <c r="G5163" s="36" t="e">
        <v>#N/A</v>
      </c>
      <c r="H5163" s="33"/>
      <c r="I5163" s="33"/>
      <c r="J5163" s="33"/>
      <c r="K5163" s="33"/>
      <c r="L5163" s="33"/>
      <c r="M5163" s="33"/>
    </row>
    <row r="5164">
      <c r="A5164" s="32" t="s">
        <v>13895</v>
      </c>
      <c r="B5164" s="32" t="s">
        <v>13896</v>
      </c>
      <c r="C5164" s="35">
        <v>35.6352005</v>
      </c>
      <c r="D5164" s="35">
        <v>-77.38529968</v>
      </c>
      <c r="E5164" s="32" t="s">
        <v>180</v>
      </c>
      <c r="F5164" s="32" t="s">
        <v>6164</v>
      </c>
      <c r="G5164" s="39" t="s">
        <v>181</v>
      </c>
      <c r="H5164" s="33"/>
      <c r="I5164" s="33"/>
      <c r="J5164" s="33"/>
      <c r="K5164" s="33"/>
      <c r="L5164" s="33"/>
      <c r="M5164" s="33"/>
    </row>
    <row r="5165">
      <c r="A5165" s="32" t="s">
        <v>13897</v>
      </c>
      <c r="B5165" s="32" t="s">
        <v>13898</v>
      </c>
      <c r="C5165" s="35">
        <v>45.19810104</v>
      </c>
      <c r="D5165" s="35">
        <v>0.81555599</v>
      </c>
      <c r="E5165" s="32" t="s">
        <v>96</v>
      </c>
      <c r="F5165" s="32" t="s">
        <v>13899</v>
      </c>
      <c r="G5165" s="39" t="s">
        <v>97</v>
      </c>
      <c r="H5165" s="33"/>
      <c r="I5165" s="33"/>
      <c r="J5165" s="33"/>
      <c r="K5165" s="33"/>
      <c r="L5165" s="33"/>
      <c r="M5165" s="33"/>
    </row>
    <row r="5166">
      <c r="A5166" s="32" t="s">
        <v>13900</v>
      </c>
      <c r="B5166" s="32" t="s">
        <v>13901</v>
      </c>
      <c r="C5166" s="35">
        <v>11.6335001</v>
      </c>
      <c r="D5166" s="35">
        <v>108.9520035</v>
      </c>
      <c r="E5166" s="32" t="s">
        <v>1913</v>
      </c>
      <c r="F5166" s="32" t="s">
        <v>13902</v>
      </c>
      <c r="G5166" s="36" t="e">
        <v>#N/A</v>
      </c>
      <c r="H5166" s="33"/>
      <c r="I5166" s="33"/>
      <c r="J5166" s="33"/>
      <c r="K5166" s="33"/>
      <c r="L5166" s="33"/>
      <c r="M5166" s="33"/>
    </row>
    <row r="5167">
      <c r="A5167" s="32" t="s">
        <v>13903</v>
      </c>
      <c r="B5167" s="32" t="s">
        <v>13904</v>
      </c>
      <c r="C5167" s="35">
        <v>5.015490055</v>
      </c>
      <c r="D5167" s="35">
        <v>6.949590206</v>
      </c>
      <c r="E5167" s="32" t="s">
        <v>19</v>
      </c>
      <c r="F5167" s="32" t="s">
        <v>13905</v>
      </c>
      <c r="G5167" s="36" t="e">
        <v>#N/A</v>
      </c>
      <c r="H5167" s="33"/>
      <c r="I5167" s="33"/>
      <c r="J5167" s="33"/>
      <c r="K5167" s="33"/>
      <c r="L5167" s="33"/>
      <c r="M5167" s="33"/>
    </row>
    <row r="5168">
      <c r="A5168" s="32" t="s">
        <v>13906</v>
      </c>
      <c r="B5168" s="32" t="s">
        <v>13907</v>
      </c>
      <c r="C5168" s="35">
        <v>40.47090149</v>
      </c>
      <c r="D5168" s="35">
        <v>-81.41970062</v>
      </c>
      <c r="E5168" s="32" t="s">
        <v>180</v>
      </c>
      <c r="F5168" s="32" t="s">
        <v>13908</v>
      </c>
      <c r="G5168" s="39" t="s">
        <v>181</v>
      </c>
      <c r="H5168" s="33"/>
      <c r="I5168" s="33"/>
      <c r="J5168" s="33"/>
      <c r="K5168" s="33"/>
      <c r="L5168" s="33"/>
      <c r="M5168" s="33"/>
    </row>
    <row r="5169">
      <c r="A5169" s="32" t="s">
        <v>13909</v>
      </c>
      <c r="B5169" s="32" t="s">
        <v>13910</v>
      </c>
      <c r="C5169" s="35">
        <v>-20.37779999</v>
      </c>
      <c r="D5169" s="35">
        <v>118.6259995</v>
      </c>
      <c r="E5169" s="32" t="s">
        <v>1968</v>
      </c>
      <c r="F5169" s="32" t="s">
        <v>13911</v>
      </c>
      <c r="G5169" s="36" t="e">
        <v>#N/A</v>
      </c>
      <c r="H5169" s="33"/>
      <c r="I5169" s="33"/>
      <c r="J5169" s="33"/>
      <c r="K5169" s="33"/>
      <c r="L5169" s="33"/>
      <c r="M5169" s="33"/>
    </row>
    <row r="5170">
      <c r="A5170" s="32" t="s">
        <v>13912</v>
      </c>
      <c r="B5170" s="32" t="s">
        <v>13913</v>
      </c>
      <c r="C5170" s="35">
        <v>37.13190079</v>
      </c>
      <c r="D5170" s="35">
        <v>-76.49299622</v>
      </c>
      <c r="E5170" s="32" t="s">
        <v>180</v>
      </c>
      <c r="F5170" s="32" t="s">
        <v>13914</v>
      </c>
      <c r="G5170" s="39" t="s">
        <v>181</v>
      </c>
      <c r="H5170" s="33"/>
      <c r="I5170" s="33"/>
      <c r="J5170" s="33"/>
      <c r="K5170" s="33"/>
      <c r="L5170" s="33"/>
      <c r="M5170" s="33"/>
    </row>
    <row r="5171">
      <c r="A5171" s="32" t="s">
        <v>13915</v>
      </c>
      <c r="B5171" s="32" t="s">
        <v>13916</v>
      </c>
      <c r="C5171" s="35">
        <v>26.78499985</v>
      </c>
      <c r="D5171" s="35">
        <v>-80.69339752</v>
      </c>
      <c r="E5171" s="32" t="s">
        <v>180</v>
      </c>
      <c r="F5171" s="32" t="s">
        <v>13917</v>
      </c>
      <c r="G5171" s="39" t="s">
        <v>181</v>
      </c>
      <c r="H5171" s="33"/>
      <c r="I5171" s="33"/>
      <c r="J5171" s="33"/>
      <c r="K5171" s="33"/>
      <c r="L5171" s="33"/>
      <c r="M5171" s="33"/>
    </row>
    <row r="5172">
      <c r="A5172" s="32" t="s">
        <v>13918</v>
      </c>
      <c r="B5172" s="32" t="s">
        <v>13919</v>
      </c>
      <c r="C5172" s="35">
        <v>39.87189865</v>
      </c>
      <c r="D5172" s="35">
        <v>-75.2410965</v>
      </c>
      <c r="E5172" s="32" t="s">
        <v>180</v>
      </c>
      <c r="F5172" s="32" t="s">
        <v>4484</v>
      </c>
      <c r="G5172" s="39" t="s">
        <v>181</v>
      </c>
      <c r="H5172" s="33"/>
      <c r="I5172" s="33"/>
      <c r="J5172" s="33"/>
      <c r="K5172" s="33"/>
      <c r="L5172" s="33"/>
      <c r="M5172" s="33"/>
    </row>
    <row r="5173">
      <c r="A5173" s="32" t="s">
        <v>13920</v>
      </c>
      <c r="B5173" s="32" t="s">
        <v>13921</v>
      </c>
      <c r="C5173" s="35">
        <v>42.9109993</v>
      </c>
      <c r="D5173" s="35">
        <v>-82.52890015</v>
      </c>
      <c r="E5173" s="32" t="s">
        <v>180</v>
      </c>
      <c r="F5173" s="32" t="s">
        <v>13922</v>
      </c>
      <c r="G5173" s="39" t="s">
        <v>181</v>
      </c>
      <c r="H5173" s="33"/>
      <c r="I5173" s="33"/>
      <c r="J5173" s="33"/>
      <c r="K5173" s="33"/>
      <c r="L5173" s="33"/>
      <c r="M5173" s="33"/>
    </row>
    <row r="5174">
      <c r="A5174" s="32" t="s">
        <v>13923</v>
      </c>
      <c r="B5174" s="32" t="s">
        <v>13924</v>
      </c>
      <c r="C5174" s="35">
        <v>16.78289986</v>
      </c>
      <c r="D5174" s="35">
        <v>100.2789993</v>
      </c>
      <c r="E5174" s="32" t="s">
        <v>175</v>
      </c>
      <c r="F5174" s="32" t="s">
        <v>13925</v>
      </c>
      <c r="G5174" s="39" t="s">
        <v>176</v>
      </c>
      <c r="H5174" s="33"/>
      <c r="I5174" s="33"/>
      <c r="J5174" s="33"/>
      <c r="K5174" s="33"/>
      <c r="L5174" s="33"/>
      <c r="M5174" s="33"/>
    </row>
    <row r="5175">
      <c r="A5175" s="32" t="s">
        <v>13926</v>
      </c>
      <c r="B5175" s="32" t="s">
        <v>13927</v>
      </c>
      <c r="C5175" s="35">
        <v>-23.93720055</v>
      </c>
      <c r="D5175" s="35">
        <v>31.15539932</v>
      </c>
      <c r="E5175" s="32" t="s">
        <v>16</v>
      </c>
      <c r="F5175" s="32" t="s">
        <v>13928</v>
      </c>
      <c r="G5175" s="36" t="e">
        <v>#N/A</v>
      </c>
      <c r="H5175" s="33"/>
      <c r="I5175" s="33"/>
      <c r="J5175" s="33"/>
      <c r="K5175" s="33"/>
      <c r="L5175" s="33"/>
      <c r="M5175" s="33"/>
    </row>
    <row r="5176">
      <c r="A5176" s="32" t="s">
        <v>13929</v>
      </c>
      <c r="B5176" s="32" t="s">
        <v>13930</v>
      </c>
      <c r="C5176" s="35">
        <v>33.43429947</v>
      </c>
      <c r="D5176" s="35">
        <v>-112.012001</v>
      </c>
      <c r="E5176" s="32" t="s">
        <v>180</v>
      </c>
      <c r="F5176" s="32" t="s">
        <v>3418</v>
      </c>
      <c r="G5176" s="39" t="s">
        <v>181</v>
      </c>
      <c r="H5176" s="33"/>
      <c r="I5176" s="33"/>
      <c r="J5176" s="33"/>
      <c r="K5176" s="33"/>
      <c r="L5176" s="33"/>
      <c r="M5176" s="33"/>
    </row>
    <row r="5177">
      <c r="A5177" s="32" t="s">
        <v>13931</v>
      </c>
      <c r="B5177" s="32" t="s">
        <v>13932</v>
      </c>
      <c r="C5177" s="35">
        <v>16.6760006</v>
      </c>
      <c r="D5177" s="35">
        <v>101.1949997</v>
      </c>
      <c r="E5177" s="32" t="s">
        <v>175</v>
      </c>
      <c r="F5177" s="32" t="s">
        <v>1896</v>
      </c>
      <c r="G5177" s="39" t="s">
        <v>176</v>
      </c>
      <c r="H5177" s="33"/>
      <c r="I5177" s="33"/>
      <c r="J5177" s="33"/>
      <c r="K5177" s="33"/>
      <c r="L5177" s="33"/>
      <c r="M5177" s="33"/>
    </row>
    <row r="5178">
      <c r="A5178" s="32" t="s">
        <v>13933</v>
      </c>
      <c r="B5178" s="32" t="s">
        <v>13934</v>
      </c>
      <c r="C5178" s="35">
        <v>40.66419983</v>
      </c>
      <c r="D5178" s="35">
        <v>-89.69329834</v>
      </c>
      <c r="E5178" s="32" t="s">
        <v>180</v>
      </c>
      <c r="F5178" s="32" t="s">
        <v>13935</v>
      </c>
      <c r="G5178" s="39" t="s">
        <v>181</v>
      </c>
      <c r="H5178" s="33"/>
      <c r="I5178" s="33"/>
      <c r="J5178" s="33"/>
      <c r="K5178" s="33"/>
      <c r="L5178" s="33"/>
      <c r="M5178" s="33"/>
    </row>
    <row r="5179">
      <c r="A5179" s="32" t="s">
        <v>13936</v>
      </c>
      <c r="B5179" s="32" t="s">
        <v>13937</v>
      </c>
      <c r="C5179" s="35">
        <v>31.46710014</v>
      </c>
      <c r="D5179" s="35">
        <v>-89.33709717</v>
      </c>
      <c r="E5179" s="32" t="s">
        <v>180</v>
      </c>
      <c r="F5179" s="32" t="s">
        <v>13938</v>
      </c>
      <c r="G5179" s="39" t="s">
        <v>181</v>
      </c>
      <c r="H5179" s="33"/>
      <c r="I5179" s="33"/>
      <c r="J5179" s="33"/>
      <c r="K5179" s="33"/>
      <c r="L5179" s="33"/>
      <c r="M5179" s="33"/>
    </row>
    <row r="5180">
      <c r="A5180" s="32" t="s">
        <v>13939</v>
      </c>
      <c r="B5180" s="32" t="s">
        <v>13940</v>
      </c>
      <c r="C5180" s="35">
        <v>25.08300018</v>
      </c>
      <c r="D5180" s="35">
        <v>-77.30000305</v>
      </c>
      <c r="E5180" s="32" t="s">
        <v>319</v>
      </c>
      <c r="F5180" s="32" t="s">
        <v>12695</v>
      </c>
      <c r="G5180" s="36" t="e">
        <v>#N/A</v>
      </c>
      <c r="H5180" s="33"/>
      <c r="I5180" s="33"/>
      <c r="J5180" s="33"/>
      <c r="K5180" s="33"/>
      <c r="L5180" s="33"/>
      <c r="M5180" s="33"/>
    </row>
    <row r="5181">
      <c r="A5181" s="32" t="s">
        <v>13941</v>
      </c>
      <c r="B5181" s="32" t="s">
        <v>13942</v>
      </c>
      <c r="C5181" s="35">
        <v>27.91020012</v>
      </c>
      <c r="D5181" s="35">
        <v>-82.68740082</v>
      </c>
      <c r="E5181" s="32" t="s">
        <v>180</v>
      </c>
      <c r="F5181" s="32" t="s">
        <v>3304</v>
      </c>
      <c r="G5181" s="39" t="s">
        <v>181</v>
      </c>
      <c r="H5181" s="33"/>
      <c r="I5181" s="33"/>
      <c r="J5181" s="33"/>
      <c r="K5181" s="33"/>
      <c r="L5181" s="33"/>
      <c r="M5181" s="33"/>
    </row>
    <row r="5182">
      <c r="A5182" s="32" t="s">
        <v>13943</v>
      </c>
      <c r="B5182" s="32" t="s">
        <v>13944</v>
      </c>
      <c r="C5182" s="35">
        <v>22.70019913</v>
      </c>
      <c r="D5182" s="35">
        <v>120.4820023</v>
      </c>
      <c r="E5182" s="32" t="s">
        <v>1497</v>
      </c>
      <c r="F5182" s="32" t="s">
        <v>1498</v>
      </c>
      <c r="G5182" s="36" t="e">
        <v>#N/A</v>
      </c>
      <c r="H5182" s="33"/>
      <c r="I5182" s="33"/>
      <c r="J5182" s="33"/>
      <c r="K5182" s="33"/>
      <c r="L5182" s="33"/>
      <c r="M5182" s="33"/>
    </row>
    <row r="5183">
      <c r="A5183" s="32" t="s">
        <v>13945</v>
      </c>
      <c r="B5183" s="32" t="s">
        <v>13946</v>
      </c>
      <c r="C5183" s="35">
        <v>42.90980148</v>
      </c>
      <c r="D5183" s="35">
        <v>-112.5960007</v>
      </c>
      <c r="E5183" s="32" t="s">
        <v>180</v>
      </c>
      <c r="F5183" s="32" t="s">
        <v>13947</v>
      </c>
      <c r="G5183" s="39" t="s">
        <v>181</v>
      </c>
      <c r="H5183" s="33"/>
      <c r="I5183" s="33"/>
      <c r="J5183" s="33"/>
      <c r="K5183" s="33"/>
      <c r="L5183" s="33"/>
      <c r="M5183" s="33"/>
    </row>
    <row r="5184">
      <c r="A5184" s="32" t="s">
        <v>13948</v>
      </c>
      <c r="B5184" s="32" t="s">
        <v>13949</v>
      </c>
      <c r="C5184" s="35">
        <v>55.50939941</v>
      </c>
      <c r="D5184" s="35">
        <v>-4.586669922</v>
      </c>
      <c r="E5184" s="32" t="s">
        <v>90</v>
      </c>
      <c r="F5184" s="32" t="s">
        <v>13950</v>
      </c>
      <c r="G5184" s="39" t="s">
        <v>91</v>
      </c>
      <c r="H5184" s="33"/>
      <c r="I5184" s="33"/>
      <c r="J5184" s="33"/>
      <c r="K5184" s="33"/>
      <c r="L5184" s="33"/>
      <c r="M5184" s="33"/>
    </row>
    <row r="5185">
      <c r="A5185" s="32" t="s">
        <v>13951</v>
      </c>
      <c r="B5185" s="32" t="s">
        <v>13952</v>
      </c>
      <c r="C5185" s="35">
        <v>32.84069824</v>
      </c>
      <c r="D5185" s="35">
        <v>-84.88240051</v>
      </c>
      <c r="E5185" s="32" t="s">
        <v>180</v>
      </c>
      <c r="F5185" s="32" t="s">
        <v>13953</v>
      </c>
      <c r="G5185" s="39" t="s">
        <v>181</v>
      </c>
      <c r="H5185" s="33"/>
      <c r="I5185" s="33"/>
      <c r="J5185" s="33"/>
      <c r="K5185" s="33"/>
      <c r="L5185" s="33"/>
      <c r="M5185" s="33"/>
    </row>
    <row r="5186">
      <c r="A5186" s="32" t="s">
        <v>13954</v>
      </c>
      <c r="B5186" s="32" t="s">
        <v>13955</v>
      </c>
      <c r="C5186" s="35">
        <v>-2.673019886</v>
      </c>
      <c r="D5186" s="35">
        <v>-56.77719879</v>
      </c>
      <c r="E5186" s="32" t="s">
        <v>288</v>
      </c>
      <c r="F5186" s="32" t="s">
        <v>13956</v>
      </c>
      <c r="G5186" s="36" t="e">
        <v>#N/A</v>
      </c>
      <c r="H5186" s="33"/>
      <c r="I5186" s="33"/>
      <c r="J5186" s="33"/>
      <c r="K5186" s="33"/>
      <c r="L5186" s="33"/>
      <c r="M5186" s="33"/>
    </row>
    <row r="5187">
      <c r="A5187" s="32" t="s">
        <v>13957</v>
      </c>
      <c r="B5187" s="32" t="s">
        <v>13958</v>
      </c>
      <c r="C5187" s="35">
        <v>-13.74489975</v>
      </c>
      <c r="D5187" s="35">
        <v>-76.22029877</v>
      </c>
      <c r="E5187" s="32" t="s">
        <v>307</v>
      </c>
      <c r="F5187" s="32" t="s">
        <v>13959</v>
      </c>
      <c r="G5187" s="36" t="e">
        <v>#N/A</v>
      </c>
      <c r="H5187" s="33"/>
      <c r="I5187" s="33"/>
      <c r="J5187" s="33"/>
      <c r="K5187" s="33"/>
      <c r="L5187" s="33"/>
      <c r="M5187" s="33"/>
    </row>
    <row r="5188">
      <c r="A5188" s="32" t="s">
        <v>13960</v>
      </c>
      <c r="B5188" s="32" t="s">
        <v>13961</v>
      </c>
      <c r="C5188" s="35">
        <v>57.58039856</v>
      </c>
      <c r="D5188" s="35">
        <v>-157.5720062</v>
      </c>
      <c r="E5188" s="32" t="s">
        <v>180</v>
      </c>
      <c r="F5188" s="32" t="s">
        <v>13962</v>
      </c>
      <c r="G5188" s="39" t="s">
        <v>181</v>
      </c>
      <c r="H5188" s="33"/>
      <c r="I5188" s="33"/>
      <c r="J5188" s="33"/>
      <c r="K5188" s="33"/>
      <c r="L5188" s="33"/>
      <c r="M5188" s="33"/>
    </row>
    <row r="5189">
      <c r="A5189" s="32" t="s">
        <v>13963</v>
      </c>
      <c r="B5189" s="32" t="s">
        <v>13964</v>
      </c>
      <c r="C5189" s="35">
        <v>44.38270187</v>
      </c>
      <c r="D5189" s="35">
        <v>-100.2860031</v>
      </c>
      <c r="E5189" s="32" t="s">
        <v>180</v>
      </c>
      <c r="F5189" s="32" t="s">
        <v>13965</v>
      </c>
      <c r="G5189" s="39" t="s">
        <v>181</v>
      </c>
      <c r="H5189" s="33"/>
      <c r="I5189" s="33"/>
      <c r="J5189" s="33"/>
      <c r="K5189" s="33"/>
      <c r="L5189" s="33"/>
      <c r="M5189" s="33"/>
    </row>
    <row r="5190">
      <c r="A5190" s="32" t="s">
        <v>13966</v>
      </c>
      <c r="B5190" s="32" t="s">
        <v>13967</v>
      </c>
      <c r="C5190" s="35">
        <v>46.58769989</v>
      </c>
      <c r="D5190" s="35">
        <v>0.306665987</v>
      </c>
      <c r="E5190" s="32" t="s">
        <v>96</v>
      </c>
      <c r="F5190" s="32" t="s">
        <v>13968</v>
      </c>
      <c r="G5190" s="39" t="s">
        <v>97</v>
      </c>
      <c r="H5190" s="33"/>
      <c r="I5190" s="33"/>
      <c r="J5190" s="33"/>
      <c r="K5190" s="33"/>
      <c r="L5190" s="33"/>
      <c r="M5190" s="33"/>
    </row>
    <row r="5191">
      <c r="A5191" s="32" t="s">
        <v>13969</v>
      </c>
      <c r="B5191" s="32" t="s">
        <v>13970</v>
      </c>
      <c r="C5191" s="35">
        <v>40.49150085</v>
      </c>
      <c r="D5191" s="35">
        <v>-80.23290253</v>
      </c>
      <c r="E5191" s="32" t="s">
        <v>180</v>
      </c>
      <c r="F5191" s="32" t="s">
        <v>3685</v>
      </c>
      <c r="G5191" s="39" t="s">
        <v>181</v>
      </c>
      <c r="H5191" s="33"/>
      <c r="I5191" s="33"/>
      <c r="J5191" s="33"/>
      <c r="K5191" s="33"/>
      <c r="L5191" s="33"/>
      <c r="M5191" s="33"/>
    </row>
    <row r="5192">
      <c r="A5192" s="32" t="s">
        <v>13971</v>
      </c>
      <c r="B5192" s="32" t="s">
        <v>13972</v>
      </c>
      <c r="C5192" s="35">
        <v>-5.205749989</v>
      </c>
      <c r="D5192" s="35">
        <v>-80.61640167</v>
      </c>
      <c r="E5192" s="32" t="s">
        <v>307</v>
      </c>
      <c r="F5192" s="32" t="s">
        <v>13973</v>
      </c>
      <c r="G5192" s="36" t="e">
        <v>#N/A</v>
      </c>
      <c r="H5192" s="33"/>
      <c r="I5192" s="33"/>
      <c r="J5192" s="33"/>
      <c r="K5192" s="33"/>
      <c r="L5192" s="33"/>
      <c r="M5192" s="33"/>
    </row>
    <row r="5193">
      <c r="A5193" s="32" t="s">
        <v>13974</v>
      </c>
      <c r="B5193" s="32" t="s">
        <v>13975</v>
      </c>
      <c r="C5193" s="35">
        <v>55.58890152</v>
      </c>
      <c r="D5193" s="35">
        <v>-97.16419983</v>
      </c>
      <c r="E5193" s="32" t="s">
        <v>94</v>
      </c>
      <c r="F5193" s="32" t="s">
        <v>13976</v>
      </c>
      <c r="G5193" s="36" t="e">
        <v>#N/A</v>
      </c>
      <c r="H5193" s="33"/>
      <c r="I5193" s="33"/>
      <c r="J5193" s="33"/>
      <c r="K5193" s="33"/>
      <c r="L5193" s="33"/>
      <c r="M5193" s="33"/>
    </row>
    <row r="5194">
      <c r="A5194" s="32" t="s">
        <v>13977</v>
      </c>
      <c r="B5194" s="32" t="s">
        <v>13978</v>
      </c>
      <c r="C5194" s="35">
        <v>38.5542984</v>
      </c>
      <c r="D5194" s="35">
        <v>-28.44129944</v>
      </c>
      <c r="E5194" s="32" t="s">
        <v>121</v>
      </c>
      <c r="F5194" s="32" t="s">
        <v>13979</v>
      </c>
      <c r="G5194" s="39" t="s">
        <v>122</v>
      </c>
      <c r="H5194" s="33"/>
      <c r="I5194" s="33"/>
      <c r="J5194" s="33"/>
      <c r="K5194" s="33"/>
      <c r="L5194" s="33"/>
      <c r="M5194" s="33"/>
    </row>
    <row r="5195">
      <c r="A5195" s="32" t="s">
        <v>13980</v>
      </c>
      <c r="B5195" s="32" t="s">
        <v>13981</v>
      </c>
      <c r="C5195" s="35">
        <v>69.73290253</v>
      </c>
      <c r="D5195" s="35">
        <v>-163.0050049</v>
      </c>
      <c r="E5195" s="32" t="s">
        <v>180</v>
      </c>
      <c r="F5195" s="32" t="s">
        <v>13982</v>
      </c>
      <c r="G5195" s="39" t="s">
        <v>181</v>
      </c>
      <c r="H5195" s="33"/>
      <c r="I5195" s="33"/>
      <c r="J5195" s="33"/>
      <c r="K5195" s="33"/>
      <c r="L5195" s="33"/>
      <c r="M5195" s="33"/>
    </row>
    <row r="5196">
      <c r="A5196" s="32" t="s">
        <v>13983</v>
      </c>
      <c r="B5196" s="32" t="s">
        <v>13984</v>
      </c>
      <c r="C5196" s="35">
        <v>67.24559784</v>
      </c>
      <c r="D5196" s="35">
        <v>23.06889915</v>
      </c>
      <c r="E5196" s="32" t="s">
        <v>347</v>
      </c>
      <c r="F5196" s="32" t="s">
        <v>13985</v>
      </c>
      <c r="G5196" s="36" t="e">
        <v>#N/A</v>
      </c>
      <c r="H5196" s="33"/>
      <c r="I5196" s="33"/>
      <c r="J5196" s="33"/>
      <c r="K5196" s="33"/>
      <c r="L5196" s="33"/>
      <c r="M5196" s="33"/>
    </row>
    <row r="5197">
      <c r="A5197" s="32" t="s">
        <v>13986</v>
      </c>
      <c r="B5197" s="32" t="s">
        <v>13987</v>
      </c>
      <c r="C5197" s="35">
        <v>-22.63999939</v>
      </c>
      <c r="D5197" s="35">
        <v>-55.83000183</v>
      </c>
      <c r="E5197" s="32" t="s">
        <v>1723</v>
      </c>
      <c r="F5197" s="32" t="s">
        <v>13988</v>
      </c>
      <c r="G5197" s="36" t="e">
        <v>#N/A</v>
      </c>
      <c r="H5197" s="33"/>
      <c r="I5197" s="33"/>
      <c r="J5197" s="33"/>
      <c r="K5197" s="33"/>
      <c r="L5197" s="33"/>
      <c r="M5197" s="33"/>
    </row>
    <row r="5198">
      <c r="A5198" s="32" t="s">
        <v>13989</v>
      </c>
      <c r="B5198" s="32" t="s">
        <v>13990</v>
      </c>
      <c r="C5198" s="35">
        <v>26.9545002</v>
      </c>
      <c r="D5198" s="35">
        <v>64.13249969</v>
      </c>
      <c r="E5198" s="32" t="s">
        <v>1470</v>
      </c>
      <c r="F5198" s="32" t="s">
        <v>13991</v>
      </c>
      <c r="G5198" s="36" t="e">
        <v>#N/A</v>
      </c>
      <c r="H5198" s="33"/>
      <c r="I5198" s="33"/>
      <c r="J5198" s="33"/>
      <c r="K5198" s="33"/>
      <c r="L5198" s="33"/>
      <c r="M5198" s="33"/>
    </row>
    <row r="5199">
      <c r="A5199" s="32" t="s">
        <v>13992</v>
      </c>
      <c r="B5199" s="32" t="s">
        <v>13993</v>
      </c>
      <c r="C5199" s="35">
        <v>8.533329964</v>
      </c>
      <c r="D5199" s="35">
        <v>-83.30000305</v>
      </c>
      <c r="E5199" s="32" t="s">
        <v>1267</v>
      </c>
      <c r="F5199" s="32" t="s">
        <v>13994</v>
      </c>
      <c r="G5199" s="36" t="e">
        <v>#N/A</v>
      </c>
      <c r="H5199" s="33"/>
      <c r="I5199" s="33"/>
      <c r="J5199" s="33"/>
      <c r="K5199" s="33"/>
      <c r="L5199" s="33"/>
      <c r="M5199" s="33"/>
    </row>
    <row r="5200">
      <c r="A5200" s="32" t="s">
        <v>13995</v>
      </c>
      <c r="B5200" s="32" t="s">
        <v>13996</v>
      </c>
      <c r="C5200" s="35">
        <v>60.70289993</v>
      </c>
      <c r="D5200" s="35">
        <v>-161.7779999</v>
      </c>
      <c r="E5200" s="32" t="s">
        <v>180</v>
      </c>
      <c r="F5200" s="32" t="s">
        <v>13997</v>
      </c>
      <c r="G5200" s="39" t="s">
        <v>181</v>
      </c>
      <c r="H5200" s="33"/>
      <c r="I5200" s="33"/>
      <c r="J5200" s="33"/>
      <c r="K5200" s="33"/>
      <c r="L5200" s="33"/>
      <c r="M5200" s="33"/>
    </row>
    <row r="5201">
      <c r="A5201" s="32" t="s">
        <v>13998</v>
      </c>
      <c r="B5201" s="32" t="s">
        <v>13999</v>
      </c>
      <c r="C5201" s="35">
        <v>39.3451004</v>
      </c>
      <c r="D5201" s="35">
        <v>-81.43920135</v>
      </c>
      <c r="E5201" s="32" t="s">
        <v>180</v>
      </c>
      <c r="F5201" s="32" t="s">
        <v>14000</v>
      </c>
      <c r="G5201" s="39" t="s">
        <v>181</v>
      </c>
      <c r="H5201" s="33"/>
      <c r="I5201" s="33"/>
      <c r="J5201" s="33"/>
      <c r="K5201" s="33"/>
      <c r="L5201" s="33"/>
      <c r="M5201" s="33"/>
    </row>
    <row r="5202">
      <c r="A5202" s="32" t="s">
        <v>14001</v>
      </c>
      <c r="B5202" s="32" t="s">
        <v>14002</v>
      </c>
      <c r="C5202" s="35">
        <v>53.16790009</v>
      </c>
      <c r="D5202" s="35">
        <v>158.4539948</v>
      </c>
      <c r="E5202" s="32" t="s">
        <v>2040</v>
      </c>
      <c r="F5202" s="32" t="s">
        <v>14003</v>
      </c>
      <c r="G5202" s="36" t="e">
        <v>#N/A</v>
      </c>
      <c r="H5202" s="33"/>
      <c r="I5202" s="33"/>
      <c r="J5202" s="33"/>
      <c r="K5202" s="33"/>
      <c r="L5202" s="33"/>
      <c r="M5202" s="33"/>
    </row>
    <row r="5203">
      <c r="A5203" s="32" t="s">
        <v>14004</v>
      </c>
      <c r="B5203" s="32" t="s">
        <v>14005</v>
      </c>
      <c r="C5203" s="35">
        <v>-33.13140106</v>
      </c>
      <c r="D5203" s="35">
        <v>148.2389984</v>
      </c>
      <c r="E5203" s="32" t="s">
        <v>1968</v>
      </c>
      <c r="F5203" s="32" t="s">
        <v>14006</v>
      </c>
      <c r="G5203" s="36" t="e">
        <v>#N/A</v>
      </c>
      <c r="H5203" s="33"/>
      <c r="I5203" s="33"/>
      <c r="J5203" s="33"/>
      <c r="K5203" s="33"/>
      <c r="L5203" s="33"/>
      <c r="M5203" s="33"/>
    </row>
    <row r="5204">
      <c r="A5204" s="32" t="s">
        <v>14007</v>
      </c>
      <c r="B5204" s="32" t="s">
        <v>14008</v>
      </c>
      <c r="C5204" s="35">
        <v>4.244719982</v>
      </c>
      <c r="D5204" s="35">
        <v>100.5530014</v>
      </c>
      <c r="E5204" s="32" t="s">
        <v>284</v>
      </c>
      <c r="F5204" s="32" t="s">
        <v>14009</v>
      </c>
      <c r="G5204" s="36" t="e">
        <v>#N/A</v>
      </c>
      <c r="H5204" s="33"/>
      <c r="I5204" s="33"/>
      <c r="J5204" s="33"/>
      <c r="K5204" s="33"/>
      <c r="L5204" s="33"/>
      <c r="M5204" s="33"/>
    </row>
    <row r="5205">
      <c r="A5205" s="32" t="s">
        <v>14010</v>
      </c>
      <c r="B5205" s="32" t="s">
        <v>14011</v>
      </c>
      <c r="C5205" s="35">
        <v>37.297501</v>
      </c>
      <c r="D5205" s="35">
        <v>23.1478</v>
      </c>
      <c r="E5205" s="32" t="s">
        <v>339</v>
      </c>
      <c r="F5205" s="32" t="s">
        <v>14012</v>
      </c>
      <c r="G5205" s="36" t="e">
        <v>#N/A</v>
      </c>
      <c r="H5205" s="33"/>
      <c r="I5205" s="33"/>
      <c r="J5205" s="33"/>
      <c r="K5205" s="33"/>
      <c r="L5205" s="33"/>
      <c r="M5205" s="33"/>
    </row>
    <row r="5206">
      <c r="A5206" s="32" t="s">
        <v>14013</v>
      </c>
      <c r="B5206" s="32" t="s">
        <v>14014</v>
      </c>
      <c r="C5206" s="35">
        <v>21.4043</v>
      </c>
      <c r="D5206" s="35">
        <v>95.11125</v>
      </c>
      <c r="E5206" s="32" t="s">
        <v>1918</v>
      </c>
      <c r="F5206" s="32" t="s">
        <v>14015</v>
      </c>
      <c r="G5206" s="36" t="e">
        <v>#N/A</v>
      </c>
      <c r="H5206" s="33"/>
      <c r="I5206" s="33"/>
      <c r="J5206" s="33"/>
      <c r="K5206" s="33"/>
      <c r="L5206" s="33"/>
      <c r="M5206" s="33"/>
    </row>
    <row r="5207">
      <c r="A5207" s="32" t="s">
        <v>14016</v>
      </c>
      <c r="B5207" s="32" t="s">
        <v>14017</v>
      </c>
      <c r="C5207" s="35">
        <v>-2.705199957</v>
      </c>
      <c r="D5207" s="35">
        <v>111.6729965</v>
      </c>
      <c r="E5207" s="32" t="s">
        <v>280</v>
      </c>
      <c r="F5207" s="32" t="s">
        <v>14018</v>
      </c>
      <c r="G5207" s="36" t="e">
        <v>#N/A</v>
      </c>
      <c r="H5207" s="33"/>
      <c r="I5207" s="33"/>
      <c r="J5207" s="33"/>
      <c r="K5207" s="33"/>
      <c r="L5207" s="33"/>
      <c r="M5207" s="33"/>
    </row>
    <row r="5208">
      <c r="A5208" s="32" t="s">
        <v>14019</v>
      </c>
      <c r="B5208" s="32" t="s">
        <v>14020</v>
      </c>
      <c r="C5208" s="35">
        <v>-14.80949974</v>
      </c>
      <c r="D5208" s="35">
        <v>-138.8130035</v>
      </c>
      <c r="E5208" s="32" t="s">
        <v>1325</v>
      </c>
      <c r="F5208" s="32" t="s">
        <v>14021</v>
      </c>
      <c r="G5208" s="36" t="e">
        <v>#N/A</v>
      </c>
      <c r="H5208" s="33"/>
      <c r="I5208" s="33"/>
      <c r="J5208" s="33"/>
      <c r="K5208" s="33"/>
      <c r="L5208" s="33"/>
      <c r="M5208" s="33"/>
    </row>
    <row r="5209">
      <c r="A5209" s="32" t="s">
        <v>14022</v>
      </c>
      <c r="B5209" s="32" t="s">
        <v>14023</v>
      </c>
      <c r="C5209" s="35">
        <v>28.20089912</v>
      </c>
      <c r="D5209" s="35">
        <v>83.98210144</v>
      </c>
      <c r="E5209" s="32" t="s">
        <v>1877</v>
      </c>
      <c r="F5209" s="32" t="s">
        <v>14024</v>
      </c>
      <c r="G5209" s="36" t="e">
        <v>#N/A</v>
      </c>
      <c r="H5209" s="33"/>
      <c r="I5209" s="33"/>
      <c r="J5209" s="33"/>
      <c r="K5209" s="33"/>
      <c r="L5209" s="33"/>
      <c r="M5209" s="33"/>
    </row>
    <row r="5210">
      <c r="A5210" s="32" t="s">
        <v>14025</v>
      </c>
      <c r="B5210" s="32" t="s">
        <v>14026</v>
      </c>
      <c r="C5210" s="35">
        <v>-14.25</v>
      </c>
      <c r="D5210" s="35">
        <v>129.529007</v>
      </c>
      <c r="E5210" s="32" t="s">
        <v>1968</v>
      </c>
      <c r="F5210" s="32" t="s">
        <v>14027</v>
      </c>
      <c r="G5210" s="36" t="e">
        <v>#N/A</v>
      </c>
      <c r="H5210" s="33"/>
      <c r="I5210" s="33"/>
      <c r="J5210" s="33"/>
      <c r="K5210" s="33"/>
      <c r="L5210" s="33"/>
      <c r="M5210" s="33"/>
    </row>
    <row r="5211">
      <c r="A5211" s="32" t="s">
        <v>14028</v>
      </c>
      <c r="B5211" s="32" t="s">
        <v>14029</v>
      </c>
      <c r="C5211" s="35">
        <v>0.460786015</v>
      </c>
      <c r="D5211" s="35">
        <v>101.4449997</v>
      </c>
      <c r="E5211" s="32" t="s">
        <v>280</v>
      </c>
      <c r="F5211" s="32" t="s">
        <v>14030</v>
      </c>
      <c r="G5211" s="36" t="e">
        <v>#N/A</v>
      </c>
      <c r="H5211" s="33"/>
      <c r="I5211" s="33"/>
      <c r="J5211" s="33"/>
      <c r="K5211" s="33"/>
      <c r="L5211" s="33"/>
      <c r="M5211" s="33"/>
    </row>
    <row r="5212">
      <c r="A5212" s="32" t="s">
        <v>14031</v>
      </c>
      <c r="B5212" s="32" t="s">
        <v>14032</v>
      </c>
      <c r="C5212" s="35">
        <v>57.78390121</v>
      </c>
      <c r="D5212" s="35">
        <v>28.39559937</v>
      </c>
      <c r="E5212" s="32" t="s">
        <v>2040</v>
      </c>
      <c r="F5212" s="32" t="s">
        <v>14033</v>
      </c>
      <c r="G5212" s="36" t="e">
        <v>#N/A</v>
      </c>
      <c r="H5212" s="33"/>
      <c r="I5212" s="33"/>
      <c r="J5212" s="33"/>
      <c r="K5212" s="33"/>
      <c r="L5212" s="33"/>
      <c r="M5212" s="33"/>
    </row>
    <row r="5213">
      <c r="A5213" s="32" t="s">
        <v>14034</v>
      </c>
      <c r="B5213" s="32" t="s">
        <v>14035</v>
      </c>
      <c r="C5213" s="35">
        <v>-22.0583</v>
      </c>
      <c r="D5213" s="35">
        <v>27.8288</v>
      </c>
      <c r="E5213" s="32" t="s">
        <v>2285</v>
      </c>
      <c r="F5213" s="32" t="s">
        <v>14036</v>
      </c>
      <c r="G5213" s="36" t="e">
        <v>#N/A</v>
      </c>
      <c r="H5213" s="33"/>
      <c r="I5213" s="33"/>
      <c r="J5213" s="33"/>
      <c r="K5213" s="33"/>
      <c r="L5213" s="33"/>
      <c r="M5213" s="33"/>
    </row>
    <row r="5214">
      <c r="A5214" s="32" t="s">
        <v>14037</v>
      </c>
      <c r="B5214" s="32" t="s">
        <v>14038</v>
      </c>
      <c r="C5214" s="35">
        <v>-2.225130081</v>
      </c>
      <c r="D5214" s="35">
        <v>113.9430008</v>
      </c>
      <c r="E5214" s="32" t="s">
        <v>280</v>
      </c>
      <c r="F5214" s="32" t="s">
        <v>14039</v>
      </c>
      <c r="G5214" s="36" t="e">
        <v>#N/A</v>
      </c>
      <c r="H5214" s="33"/>
      <c r="I5214" s="33"/>
      <c r="J5214" s="33"/>
      <c r="K5214" s="33"/>
      <c r="L5214" s="33"/>
      <c r="M5214" s="33"/>
    </row>
    <row r="5215">
      <c r="A5215" s="32" t="s">
        <v>14040</v>
      </c>
      <c r="B5215" s="32" t="s">
        <v>14041</v>
      </c>
      <c r="C5215" s="35">
        <v>15.13210011</v>
      </c>
      <c r="D5215" s="35">
        <v>105.7809982</v>
      </c>
      <c r="E5215" s="32" t="s">
        <v>1872</v>
      </c>
      <c r="F5215" s="32" t="s">
        <v>14042</v>
      </c>
      <c r="G5215" s="36" t="e">
        <v>#N/A</v>
      </c>
      <c r="H5215" s="33"/>
      <c r="I5215" s="33"/>
      <c r="J5215" s="33"/>
      <c r="K5215" s="33"/>
      <c r="L5215" s="33"/>
      <c r="M5215" s="33"/>
    </row>
    <row r="5216">
      <c r="A5216" s="32" t="s">
        <v>14043</v>
      </c>
      <c r="B5216" s="32" t="s">
        <v>14044</v>
      </c>
      <c r="C5216" s="35">
        <v>9.870510101</v>
      </c>
      <c r="D5216" s="35">
        <v>-85.48139954</v>
      </c>
      <c r="E5216" s="32" t="s">
        <v>1267</v>
      </c>
      <c r="F5216" s="32" t="s">
        <v>14045</v>
      </c>
      <c r="G5216" s="36" t="e">
        <v>#N/A</v>
      </c>
      <c r="H5216" s="33"/>
      <c r="I5216" s="33"/>
      <c r="J5216" s="33"/>
      <c r="K5216" s="33"/>
      <c r="L5216" s="33"/>
      <c r="M5216" s="33"/>
    </row>
    <row r="5217">
      <c r="A5217" s="32" t="s">
        <v>14046</v>
      </c>
      <c r="B5217" s="32" t="s">
        <v>14047</v>
      </c>
      <c r="C5217" s="35">
        <v>50.422798</v>
      </c>
      <c r="D5217" s="35">
        <v>-4.10583</v>
      </c>
      <c r="E5217" s="32" t="s">
        <v>90</v>
      </c>
      <c r="F5217" s="32" t="s">
        <v>14048</v>
      </c>
      <c r="G5217" s="39" t="s">
        <v>91</v>
      </c>
      <c r="H5217" s="33"/>
      <c r="I5217" s="33"/>
      <c r="J5217" s="33"/>
      <c r="K5217" s="33"/>
      <c r="L5217" s="33"/>
      <c r="M5217" s="33"/>
    </row>
    <row r="5218">
      <c r="A5218" s="32" t="s">
        <v>14049</v>
      </c>
      <c r="B5218" s="32" t="s">
        <v>14050</v>
      </c>
      <c r="C5218" s="35">
        <v>-3.146039963</v>
      </c>
      <c r="D5218" s="35">
        <v>-59.98630142</v>
      </c>
      <c r="E5218" s="32" t="s">
        <v>288</v>
      </c>
      <c r="F5218" s="32" t="s">
        <v>11576</v>
      </c>
      <c r="G5218" s="36" t="e">
        <v>#N/A</v>
      </c>
      <c r="H5218" s="33"/>
      <c r="I5218" s="33"/>
      <c r="J5218" s="33"/>
      <c r="K5218" s="33"/>
      <c r="L5218" s="33"/>
      <c r="M5218" s="33"/>
    </row>
    <row r="5219">
      <c r="A5219" s="32" t="s">
        <v>14051</v>
      </c>
      <c r="B5219" s="32" t="s">
        <v>14052</v>
      </c>
      <c r="C5219" s="35">
        <v>-2.898250103</v>
      </c>
      <c r="D5219" s="35">
        <v>104.6999969</v>
      </c>
      <c r="E5219" s="32" t="s">
        <v>280</v>
      </c>
      <c r="F5219" s="32" t="s">
        <v>14053</v>
      </c>
      <c r="G5219" s="36" t="e">
        <v>#N/A</v>
      </c>
      <c r="H5219" s="33"/>
      <c r="I5219" s="33"/>
      <c r="J5219" s="33"/>
      <c r="K5219" s="33"/>
      <c r="L5219" s="33"/>
      <c r="M5219" s="33"/>
    </row>
    <row r="5220">
      <c r="A5220" s="32" t="s">
        <v>14054</v>
      </c>
      <c r="B5220" s="32" t="s">
        <v>14055</v>
      </c>
      <c r="C5220" s="35">
        <v>45.57089996</v>
      </c>
      <c r="D5220" s="35">
        <v>-84.79669952</v>
      </c>
      <c r="E5220" s="32" t="s">
        <v>180</v>
      </c>
      <c r="F5220" s="32" t="s">
        <v>14056</v>
      </c>
      <c r="G5220" s="39" t="s">
        <v>181</v>
      </c>
      <c r="H5220" s="33"/>
      <c r="I5220" s="33"/>
      <c r="J5220" s="33"/>
      <c r="K5220" s="33"/>
      <c r="L5220" s="33"/>
      <c r="M5220" s="33"/>
    </row>
    <row r="5221">
      <c r="A5221" s="32" t="s">
        <v>14057</v>
      </c>
      <c r="B5221" s="32" t="s">
        <v>14058</v>
      </c>
      <c r="C5221" s="35">
        <v>-34.6053009</v>
      </c>
      <c r="D5221" s="35">
        <v>135.8800049</v>
      </c>
      <c r="E5221" s="32" t="s">
        <v>1968</v>
      </c>
      <c r="F5221" s="32" t="s">
        <v>14059</v>
      </c>
      <c r="G5221" s="36" t="e">
        <v>#N/A</v>
      </c>
      <c r="H5221" s="33"/>
      <c r="I5221" s="33"/>
      <c r="J5221" s="33"/>
      <c r="K5221" s="33"/>
      <c r="L5221" s="33"/>
      <c r="M5221" s="33"/>
    </row>
    <row r="5222">
      <c r="A5222" s="32" t="s">
        <v>14060</v>
      </c>
      <c r="B5222" s="32" t="s">
        <v>14061</v>
      </c>
      <c r="C5222" s="35">
        <v>8.406669617</v>
      </c>
      <c r="D5222" s="35">
        <v>-78.14170074</v>
      </c>
      <c r="E5222" s="32" t="s">
        <v>327</v>
      </c>
      <c r="F5222" s="32" t="s">
        <v>14062</v>
      </c>
      <c r="G5222" s="36" t="e">
        <v>#N/A</v>
      </c>
      <c r="H5222" s="33"/>
      <c r="I5222" s="33"/>
      <c r="J5222" s="33"/>
      <c r="K5222" s="33"/>
      <c r="L5222" s="33"/>
      <c r="M5222" s="33"/>
    </row>
    <row r="5223">
      <c r="A5223" s="32" t="s">
        <v>14063</v>
      </c>
      <c r="B5223" s="32" t="s">
        <v>14064</v>
      </c>
      <c r="C5223" s="35">
        <v>55.97320175</v>
      </c>
      <c r="D5223" s="35">
        <v>21.09390068</v>
      </c>
      <c r="E5223" s="32" t="s">
        <v>2012</v>
      </c>
      <c r="F5223" s="32" t="s">
        <v>14065</v>
      </c>
      <c r="G5223" s="36" t="e">
        <v>#N/A</v>
      </c>
      <c r="H5223" s="33"/>
      <c r="I5223" s="33"/>
      <c r="J5223" s="33"/>
      <c r="K5223" s="33"/>
      <c r="L5223" s="33"/>
      <c r="M5223" s="33"/>
    </row>
    <row r="5224">
      <c r="A5224" s="32" t="s">
        <v>14066</v>
      </c>
      <c r="B5224" s="32" t="s">
        <v>14067</v>
      </c>
      <c r="C5224" s="35">
        <v>21.77359962</v>
      </c>
      <c r="D5224" s="35">
        <v>-72.26589966</v>
      </c>
      <c r="E5224" s="32" t="s">
        <v>7978</v>
      </c>
      <c r="F5224" s="32" t="s">
        <v>14068</v>
      </c>
      <c r="G5224" s="36" t="e">
        <v>#N/A</v>
      </c>
      <c r="H5224" s="33"/>
      <c r="I5224" s="33"/>
      <c r="J5224" s="33"/>
      <c r="K5224" s="33"/>
      <c r="L5224" s="33"/>
      <c r="M5224" s="33"/>
    </row>
    <row r="5225">
      <c r="A5225" s="32" t="s">
        <v>14069</v>
      </c>
      <c r="B5225" s="32" t="s">
        <v>14070</v>
      </c>
      <c r="C5225" s="35">
        <v>-19.8512001</v>
      </c>
      <c r="D5225" s="35">
        <v>-43.95059967</v>
      </c>
      <c r="E5225" s="32" t="s">
        <v>288</v>
      </c>
      <c r="F5225" s="32" t="s">
        <v>6068</v>
      </c>
      <c r="G5225" s="36" t="e">
        <v>#N/A</v>
      </c>
      <c r="H5225" s="33"/>
      <c r="I5225" s="33"/>
      <c r="J5225" s="33"/>
      <c r="K5225" s="33"/>
      <c r="L5225" s="33"/>
      <c r="M5225" s="33"/>
    </row>
    <row r="5226">
      <c r="A5226" s="32" t="s">
        <v>14071</v>
      </c>
      <c r="B5226" s="32" t="s">
        <v>14072</v>
      </c>
      <c r="C5226" s="35">
        <v>49.5685997</v>
      </c>
      <c r="D5226" s="35">
        <v>34.39720154</v>
      </c>
      <c r="E5226" s="32" t="s">
        <v>3293</v>
      </c>
      <c r="F5226" s="32" t="s">
        <v>14073</v>
      </c>
      <c r="G5226" s="36" t="e">
        <v>#N/A</v>
      </c>
      <c r="H5226" s="33"/>
      <c r="I5226" s="33"/>
      <c r="J5226" s="33"/>
      <c r="K5226" s="33"/>
      <c r="L5226" s="33"/>
      <c r="M5226" s="33"/>
    </row>
    <row r="5227">
      <c r="A5227" s="32" t="s">
        <v>14074</v>
      </c>
      <c r="B5227" s="32" t="s">
        <v>14075</v>
      </c>
      <c r="C5227" s="35">
        <v>-0.918542027</v>
      </c>
      <c r="D5227" s="35">
        <v>119.9100037</v>
      </c>
      <c r="E5227" s="32" t="s">
        <v>280</v>
      </c>
      <c r="F5227" s="32" t="s">
        <v>14076</v>
      </c>
      <c r="G5227" s="36" t="e">
        <v>#N/A</v>
      </c>
      <c r="H5227" s="33"/>
      <c r="I5227" s="33"/>
      <c r="J5227" s="33"/>
      <c r="K5227" s="33"/>
      <c r="L5227" s="33"/>
      <c r="M5227" s="33"/>
    </row>
    <row r="5228">
      <c r="A5228" s="32" t="s">
        <v>14077</v>
      </c>
      <c r="B5228" s="32" t="s">
        <v>14078</v>
      </c>
      <c r="C5228" s="35">
        <v>50.35129929</v>
      </c>
      <c r="D5228" s="35">
        <v>80.23439789</v>
      </c>
      <c r="E5228" s="32" t="s">
        <v>2817</v>
      </c>
      <c r="F5228" s="32" t="s">
        <v>14079</v>
      </c>
      <c r="G5228" s="36" t="e">
        <v>#N/A</v>
      </c>
      <c r="H5228" s="33"/>
      <c r="I5228" s="33"/>
      <c r="J5228" s="33"/>
      <c r="K5228" s="33"/>
      <c r="L5228" s="33"/>
      <c r="M5228" s="33"/>
    </row>
    <row r="5229">
      <c r="A5229" s="32" t="s">
        <v>14080</v>
      </c>
      <c r="B5229" s="32" t="s">
        <v>14081</v>
      </c>
      <c r="C5229" s="35">
        <v>-33.98490143</v>
      </c>
      <c r="D5229" s="35">
        <v>25.61730003</v>
      </c>
      <c r="E5229" s="32" t="s">
        <v>16</v>
      </c>
      <c r="F5229" s="32" t="s">
        <v>14082</v>
      </c>
      <c r="G5229" s="36" t="e">
        <v>#N/A</v>
      </c>
      <c r="H5229" s="33"/>
      <c r="I5229" s="33"/>
      <c r="J5229" s="33"/>
      <c r="K5229" s="33"/>
      <c r="L5229" s="33"/>
      <c r="M5229" s="33"/>
    </row>
    <row r="5230">
      <c r="A5230" s="32" t="s">
        <v>14083</v>
      </c>
      <c r="B5230" s="32" t="s">
        <v>14084</v>
      </c>
      <c r="C5230" s="35">
        <v>-5.257259846</v>
      </c>
      <c r="D5230" s="35">
        <v>39.81140137</v>
      </c>
      <c r="E5230" s="32" t="s">
        <v>2937</v>
      </c>
      <c r="F5230" s="32" t="s">
        <v>14085</v>
      </c>
      <c r="G5230" s="36" t="e">
        <v>#N/A</v>
      </c>
      <c r="H5230" s="33"/>
      <c r="I5230" s="33"/>
      <c r="J5230" s="33"/>
      <c r="K5230" s="33"/>
      <c r="L5230" s="33"/>
      <c r="M5230" s="33"/>
    </row>
    <row r="5231">
      <c r="A5231" s="32" t="s">
        <v>14086</v>
      </c>
      <c r="B5231" s="32" t="s">
        <v>14087</v>
      </c>
      <c r="C5231" s="35">
        <v>48.94250107</v>
      </c>
      <c r="D5231" s="35">
        <v>-97.24079895</v>
      </c>
      <c r="E5231" s="32" t="s">
        <v>180</v>
      </c>
      <c r="F5231" s="32" t="s">
        <v>14088</v>
      </c>
      <c r="G5231" s="39" t="s">
        <v>181</v>
      </c>
      <c r="H5231" s="33"/>
      <c r="I5231" s="33"/>
      <c r="J5231" s="33"/>
      <c r="K5231" s="33"/>
      <c r="L5231" s="33"/>
      <c r="M5231" s="33"/>
    </row>
    <row r="5232">
      <c r="A5232" s="32" t="s">
        <v>14089</v>
      </c>
      <c r="B5232" s="32" t="s">
        <v>14090</v>
      </c>
      <c r="C5232" s="35">
        <v>-41.43889999</v>
      </c>
      <c r="D5232" s="35">
        <v>-73.09400177</v>
      </c>
      <c r="E5232" s="32" t="s">
        <v>300</v>
      </c>
      <c r="F5232" s="32" t="s">
        <v>14091</v>
      </c>
      <c r="G5232" s="36" t="e">
        <v>#N/A</v>
      </c>
      <c r="H5232" s="33"/>
      <c r="I5232" s="33"/>
      <c r="J5232" s="33"/>
      <c r="K5232" s="33"/>
      <c r="L5232" s="33"/>
      <c r="M5232" s="33"/>
    </row>
    <row r="5233">
      <c r="A5233" s="32" t="s">
        <v>14092</v>
      </c>
      <c r="B5233" s="32" t="s">
        <v>14093</v>
      </c>
      <c r="C5233" s="35">
        <v>34.62939835</v>
      </c>
      <c r="D5233" s="35">
        <v>-118.0849991</v>
      </c>
      <c r="E5233" s="32" t="s">
        <v>180</v>
      </c>
      <c r="F5233" s="32" t="s">
        <v>14094</v>
      </c>
      <c r="G5233" s="39" t="s">
        <v>181</v>
      </c>
      <c r="H5233" s="33"/>
      <c r="I5233" s="33"/>
      <c r="J5233" s="33"/>
      <c r="K5233" s="33"/>
      <c r="L5233" s="33"/>
      <c r="M5233" s="33"/>
    </row>
    <row r="5234">
      <c r="A5234" s="32" t="s">
        <v>14095</v>
      </c>
      <c r="B5234" s="32" t="s">
        <v>14096</v>
      </c>
      <c r="C5234" s="35">
        <v>44.824501</v>
      </c>
      <c r="D5234" s="35">
        <v>10.2964</v>
      </c>
      <c r="E5234" s="32" t="s">
        <v>103</v>
      </c>
      <c r="F5234" s="32" t="s">
        <v>14097</v>
      </c>
      <c r="G5234" s="39" t="s">
        <v>104</v>
      </c>
      <c r="H5234" s="33"/>
      <c r="I5234" s="33"/>
      <c r="J5234" s="33"/>
      <c r="K5234" s="33"/>
      <c r="L5234" s="33"/>
      <c r="M5234" s="33"/>
    </row>
    <row r="5235">
      <c r="A5235" s="32" t="s">
        <v>14098</v>
      </c>
      <c r="B5235" s="32" t="s">
        <v>14099</v>
      </c>
      <c r="C5235" s="35">
        <v>-22.5496006</v>
      </c>
      <c r="D5235" s="35">
        <v>-55.70259857</v>
      </c>
      <c r="E5235" s="32" t="s">
        <v>288</v>
      </c>
      <c r="F5235" s="32" t="s">
        <v>14100</v>
      </c>
      <c r="G5235" s="36" t="e">
        <v>#N/A</v>
      </c>
      <c r="H5235" s="33"/>
      <c r="I5235" s="33"/>
      <c r="J5235" s="33"/>
      <c r="K5235" s="33"/>
      <c r="L5235" s="33"/>
      <c r="M5235" s="33"/>
    </row>
    <row r="5236">
      <c r="A5236" s="32" t="s">
        <v>14101</v>
      </c>
      <c r="B5236" s="32" t="s">
        <v>14102</v>
      </c>
      <c r="C5236" s="35">
        <v>39.55170059</v>
      </c>
      <c r="D5236" s="35">
        <v>2.738810062</v>
      </c>
      <c r="E5236" s="32" t="s">
        <v>115</v>
      </c>
      <c r="F5236" s="32" t="s">
        <v>14103</v>
      </c>
      <c r="G5236" s="39" t="s">
        <v>116</v>
      </c>
      <c r="H5236" s="33"/>
      <c r="I5236" s="33"/>
      <c r="J5236" s="33"/>
      <c r="K5236" s="33"/>
      <c r="L5236" s="33"/>
      <c r="M5236" s="33"/>
    </row>
    <row r="5237">
      <c r="A5237" s="32" t="s">
        <v>14104</v>
      </c>
      <c r="B5237" s="32" t="s">
        <v>14105</v>
      </c>
      <c r="C5237" s="35">
        <v>-18.75530052</v>
      </c>
      <c r="D5237" s="35">
        <v>146.5809937</v>
      </c>
      <c r="E5237" s="32" t="s">
        <v>1968</v>
      </c>
      <c r="F5237" s="32" t="s">
        <v>14106</v>
      </c>
      <c r="G5237" s="36" t="e">
        <v>#N/A</v>
      </c>
      <c r="H5237" s="33"/>
      <c r="I5237" s="33"/>
      <c r="J5237" s="33"/>
      <c r="K5237" s="33"/>
      <c r="L5237" s="33"/>
      <c r="M5237" s="33"/>
    </row>
    <row r="5238">
      <c r="A5238" s="32" t="s">
        <v>14107</v>
      </c>
      <c r="B5238" s="32" t="s">
        <v>14108</v>
      </c>
      <c r="C5238" s="35">
        <v>56.00600052</v>
      </c>
      <c r="D5238" s="35">
        <v>-160.5610046</v>
      </c>
      <c r="E5238" s="32" t="s">
        <v>180</v>
      </c>
      <c r="F5238" s="32" t="s">
        <v>5664</v>
      </c>
      <c r="G5238" s="39" t="s">
        <v>181</v>
      </c>
      <c r="H5238" s="33"/>
      <c r="I5238" s="33"/>
      <c r="J5238" s="33"/>
      <c r="K5238" s="33"/>
      <c r="L5238" s="33"/>
      <c r="M5238" s="33"/>
    </row>
    <row r="5239">
      <c r="A5239" s="32" t="s">
        <v>14109</v>
      </c>
      <c r="B5239" s="32" t="s">
        <v>14110</v>
      </c>
      <c r="C5239" s="35">
        <v>38.175999</v>
      </c>
      <c r="D5239" s="35">
        <v>13.091</v>
      </c>
      <c r="E5239" s="32" t="s">
        <v>103</v>
      </c>
      <c r="F5239" s="32" t="s">
        <v>1071</v>
      </c>
      <c r="G5239" s="39" t="s">
        <v>104</v>
      </c>
      <c r="H5239" s="33"/>
      <c r="I5239" s="33"/>
      <c r="J5239" s="33"/>
      <c r="K5239" s="33"/>
      <c r="L5239" s="33"/>
      <c r="M5239" s="33"/>
    </row>
    <row r="5240">
      <c r="A5240" s="32" t="s">
        <v>14111</v>
      </c>
      <c r="B5240" s="32" t="s">
        <v>14112</v>
      </c>
      <c r="C5240" s="35">
        <v>26.24710083</v>
      </c>
      <c r="D5240" s="35">
        <v>-80.11109924</v>
      </c>
      <c r="E5240" s="32" t="s">
        <v>180</v>
      </c>
      <c r="F5240" s="32" t="s">
        <v>14113</v>
      </c>
      <c r="G5240" s="39" t="s">
        <v>181</v>
      </c>
      <c r="H5240" s="33"/>
      <c r="I5240" s="33"/>
      <c r="J5240" s="33"/>
      <c r="K5240" s="33"/>
      <c r="L5240" s="33"/>
      <c r="M5240" s="33"/>
    </row>
    <row r="5241">
      <c r="A5241" s="32" t="s">
        <v>14114</v>
      </c>
      <c r="B5241" s="32" t="s">
        <v>14115</v>
      </c>
      <c r="C5241" s="35">
        <v>-46.53789902</v>
      </c>
      <c r="D5241" s="35">
        <v>-70.97869873</v>
      </c>
      <c r="E5241" s="32" t="s">
        <v>296</v>
      </c>
      <c r="F5241" s="32" t="s">
        <v>14116</v>
      </c>
      <c r="G5241" s="36" t="e">
        <v>#N/A</v>
      </c>
      <c r="H5241" s="33"/>
      <c r="I5241" s="33"/>
      <c r="J5241" s="33"/>
      <c r="K5241" s="33"/>
      <c r="L5241" s="33"/>
      <c r="M5241" s="33"/>
    </row>
    <row r="5242">
      <c r="A5242" s="32" t="s">
        <v>14117</v>
      </c>
      <c r="B5242" s="32" t="s">
        <v>14118</v>
      </c>
      <c r="C5242" s="35">
        <v>-40.3205986</v>
      </c>
      <c r="D5242" s="35">
        <v>175.6170044</v>
      </c>
      <c r="E5242" s="32" t="s">
        <v>1328</v>
      </c>
      <c r="F5242" s="32" t="s">
        <v>14119</v>
      </c>
      <c r="G5242" s="36" t="e">
        <v>#N/A</v>
      </c>
      <c r="H5242" s="33"/>
      <c r="I5242" s="33"/>
      <c r="J5242" s="33"/>
      <c r="K5242" s="33"/>
      <c r="L5242" s="33"/>
      <c r="M5242" s="33"/>
    </row>
    <row r="5243">
      <c r="A5243" s="32" t="s">
        <v>14120</v>
      </c>
      <c r="B5243" s="32" t="s">
        <v>14121</v>
      </c>
      <c r="C5243" s="35">
        <v>34.5574</v>
      </c>
      <c r="D5243" s="35">
        <v>38.316898</v>
      </c>
      <c r="E5243" s="32" t="s">
        <v>3896</v>
      </c>
      <c r="F5243" s="32" t="s">
        <v>14122</v>
      </c>
      <c r="G5243" s="36" t="e">
        <v>#N/A</v>
      </c>
      <c r="H5243" s="33"/>
      <c r="I5243" s="33"/>
      <c r="J5243" s="33"/>
      <c r="K5243" s="33"/>
      <c r="L5243" s="33"/>
      <c r="M5243" s="33"/>
    </row>
    <row r="5244">
      <c r="A5244" s="32" t="s">
        <v>14123</v>
      </c>
      <c r="B5244" s="32" t="s">
        <v>14124</v>
      </c>
      <c r="C5244" s="35">
        <v>10.91260338</v>
      </c>
      <c r="D5244" s="35">
        <v>-63.96659851</v>
      </c>
      <c r="E5244" s="32" t="s">
        <v>315</v>
      </c>
      <c r="F5244" s="32" t="s">
        <v>14125</v>
      </c>
      <c r="G5244" s="36" t="e">
        <v>#N/A</v>
      </c>
      <c r="H5244" s="33"/>
      <c r="I5244" s="33"/>
      <c r="J5244" s="33"/>
      <c r="K5244" s="33"/>
      <c r="L5244" s="33"/>
      <c r="M5244" s="33"/>
    </row>
    <row r="5245">
      <c r="A5245" s="32" t="s">
        <v>14126</v>
      </c>
      <c r="B5245" s="32" t="s">
        <v>14127</v>
      </c>
      <c r="C5245" s="35">
        <v>-10.29150009</v>
      </c>
      <c r="D5245" s="35">
        <v>-48.35699844</v>
      </c>
      <c r="E5245" s="32" t="s">
        <v>288</v>
      </c>
      <c r="F5245" s="32" t="s">
        <v>14128</v>
      </c>
      <c r="G5245" s="36" t="e">
        <v>#N/A</v>
      </c>
      <c r="H5245" s="33"/>
      <c r="I5245" s="33"/>
      <c r="J5245" s="33"/>
      <c r="K5245" s="33"/>
      <c r="L5245" s="33"/>
      <c r="M5245" s="33"/>
    </row>
    <row r="5246">
      <c r="A5246" s="32" t="s">
        <v>14129</v>
      </c>
      <c r="B5246" s="32" t="s">
        <v>14130</v>
      </c>
      <c r="C5246" s="35">
        <v>-42.7592</v>
      </c>
      <c r="D5246" s="35">
        <v>-65.1027</v>
      </c>
      <c r="E5246" s="32" t="s">
        <v>296</v>
      </c>
      <c r="F5246" s="32" t="s">
        <v>14131</v>
      </c>
      <c r="G5246" s="36" t="e">
        <v>#N/A</v>
      </c>
      <c r="H5246" s="33"/>
      <c r="I5246" s="33"/>
      <c r="J5246" s="33"/>
      <c r="K5246" s="33"/>
      <c r="L5246" s="33"/>
      <c r="M5246" s="33"/>
    </row>
    <row r="5247">
      <c r="A5247" s="32" t="s">
        <v>14132</v>
      </c>
      <c r="B5247" s="32" t="s">
        <v>14133</v>
      </c>
      <c r="C5247" s="35">
        <v>8.951029778</v>
      </c>
      <c r="D5247" s="35">
        <v>-83.46859741</v>
      </c>
      <c r="E5247" s="32" t="s">
        <v>1267</v>
      </c>
      <c r="F5247" s="32" t="s">
        <v>14134</v>
      </c>
      <c r="G5247" s="36" t="e">
        <v>#N/A</v>
      </c>
      <c r="H5247" s="33"/>
      <c r="I5247" s="33"/>
      <c r="J5247" s="33"/>
      <c r="K5247" s="33"/>
      <c r="L5247" s="33"/>
      <c r="M5247" s="33"/>
    </row>
    <row r="5248">
      <c r="A5248" s="32" t="s">
        <v>14135</v>
      </c>
      <c r="B5248" s="32" t="s">
        <v>14136</v>
      </c>
      <c r="C5248" s="35">
        <v>42.77000046</v>
      </c>
      <c r="D5248" s="35">
        <v>-1.646329999</v>
      </c>
      <c r="E5248" s="32" t="s">
        <v>115</v>
      </c>
      <c r="F5248" s="32" t="s">
        <v>14137</v>
      </c>
      <c r="G5248" s="39" t="s">
        <v>116</v>
      </c>
      <c r="H5248" s="33"/>
      <c r="I5248" s="33"/>
      <c r="J5248" s="33"/>
      <c r="K5248" s="33"/>
      <c r="L5248" s="33"/>
      <c r="M5248" s="33"/>
    </row>
    <row r="5249">
      <c r="A5249" s="32" t="s">
        <v>14138</v>
      </c>
      <c r="B5249" s="32" t="s">
        <v>14139</v>
      </c>
      <c r="C5249" s="35">
        <v>-10.71940041</v>
      </c>
      <c r="D5249" s="35">
        <v>-48.39970016</v>
      </c>
      <c r="E5249" s="32" t="s">
        <v>288</v>
      </c>
      <c r="F5249" s="32" t="s">
        <v>14140</v>
      </c>
      <c r="G5249" s="36" t="e">
        <v>#N/A</v>
      </c>
      <c r="H5249" s="33"/>
      <c r="I5249" s="33"/>
      <c r="J5249" s="33"/>
      <c r="K5249" s="33"/>
      <c r="L5249" s="33"/>
      <c r="M5249" s="33"/>
    </row>
    <row r="5250">
      <c r="A5250" s="32" t="s">
        <v>14141</v>
      </c>
      <c r="B5250" s="32" t="s">
        <v>14142</v>
      </c>
      <c r="C5250" s="35">
        <v>36.73199844</v>
      </c>
      <c r="D5250" s="35">
        <v>-97.09980011</v>
      </c>
      <c r="E5250" s="32" t="s">
        <v>180</v>
      </c>
      <c r="F5250" s="32" t="s">
        <v>14143</v>
      </c>
      <c r="G5250" s="39" t="s">
        <v>181</v>
      </c>
      <c r="H5250" s="33"/>
      <c r="I5250" s="33"/>
      <c r="J5250" s="33"/>
      <c r="K5250" s="33"/>
      <c r="L5250" s="33"/>
      <c r="M5250" s="33"/>
    </row>
    <row r="5251">
      <c r="A5251" s="32" t="s">
        <v>14144</v>
      </c>
      <c r="B5251" s="32" t="s">
        <v>14145</v>
      </c>
      <c r="C5251" s="35">
        <v>40.08190155</v>
      </c>
      <c r="D5251" s="35">
        <v>-75.01059723</v>
      </c>
      <c r="E5251" s="32" t="s">
        <v>180</v>
      </c>
      <c r="F5251" s="32" t="s">
        <v>4484</v>
      </c>
      <c r="G5251" s="39" t="s">
        <v>181</v>
      </c>
      <c r="H5251" s="33"/>
      <c r="I5251" s="33"/>
      <c r="J5251" s="33"/>
      <c r="K5251" s="33"/>
      <c r="L5251" s="33"/>
      <c r="M5251" s="33"/>
    </row>
    <row r="5252">
      <c r="A5252" s="32" t="s">
        <v>14146</v>
      </c>
      <c r="B5252" s="32" t="s">
        <v>14147</v>
      </c>
      <c r="C5252" s="35">
        <v>11.54660034</v>
      </c>
      <c r="D5252" s="35">
        <v>104.8440018</v>
      </c>
      <c r="E5252" s="32" t="s">
        <v>1832</v>
      </c>
      <c r="F5252" s="32" t="s">
        <v>14148</v>
      </c>
      <c r="G5252" s="36" t="e">
        <v>#N/A</v>
      </c>
      <c r="H5252" s="33"/>
      <c r="I5252" s="33"/>
      <c r="J5252" s="33"/>
      <c r="K5252" s="33"/>
      <c r="L5252" s="33"/>
      <c r="M5252" s="33"/>
    </row>
    <row r="5253">
      <c r="A5253" s="32" t="s">
        <v>14149</v>
      </c>
      <c r="B5253" s="32" t="s">
        <v>14150</v>
      </c>
      <c r="C5253" s="35">
        <v>6.985099792</v>
      </c>
      <c r="D5253" s="35">
        <v>158.2089996</v>
      </c>
      <c r="E5253" s="32" t="s">
        <v>10468</v>
      </c>
      <c r="F5253" s="32" t="s">
        <v>14151</v>
      </c>
      <c r="G5253" s="36" t="e">
        <v>#N/A</v>
      </c>
      <c r="H5253" s="33"/>
      <c r="I5253" s="33"/>
      <c r="J5253" s="33"/>
      <c r="K5253" s="33"/>
      <c r="L5253" s="33"/>
      <c r="M5253" s="33"/>
    </row>
    <row r="5254">
      <c r="A5254" s="32" t="s">
        <v>14152</v>
      </c>
      <c r="B5254" s="32" t="s">
        <v>14153</v>
      </c>
      <c r="C5254" s="35">
        <v>-0.150711</v>
      </c>
      <c r="D5254" s="35">
        <v>109.4039993</v>
      </c>
      <c r="E5254" s="32" t="s">
        <v>280</v>
      </c>
      <c r="F5254" s="32" t="s">
        <v>14154</v>
      </c>
      <c r="G5254" s="36" t="e">
        <v>#N/A</v>
      </c>
      <c r="H5254" s="33"/>
      <c r="I5254" s="33"/>
      <c r="J5254" s="33"/>
      <c r="K5254" s="33"/>
      <c r="L5254" s="33"/>
      <c r="M5254" s="33"/>
    </row>
    <row r="5255">
      <c r="A5255" s="32" t="s">
        <v>14155</v>
      </c>
      <c r="B5255" s="32" t="s">
        <v>14156</v>
      </c>
      <c r="C5255" s="35">
        <v>36.816502</v>
      </c>
      <c r="D5255" s="35">
        <v>11.9689</v>
      </c>
      <c r="E5255" s="32" t="s">
        <v>103</v>
      </c>
      <c r="F5255" s="32" t="s">
        <v>14157</v>
      </c>
      <c r="G5255" s="39" t="s">
        <v>104</v>
      </c>
      <c r="H5255" s="33"/>
      <c r="I5255" s="33"/>
      <c r="J5255" s="33"/>
      <c r="K5255" s="33"/>
      <c r="L5255" s="33"/>
      <c r="M5255" s="33"/>
    </row>
    <row r="5256">
      <c r="A5256" s="32" t="s">
        <v>14158</v>
      </c>
      <c r="B5256" s="32" t="s">
        <v>14159</v>
      </c>
      <c r="C5256" s="35">
        <v>45.55989838</v>
      </c>
      <c r="D5256" s="35">
        <v>-93.60820007</v>
      </c>
      <c r="E5256" s="32" t="s">
        <v>180</v>
      </c>
      <c r="F5256" s="32" t="s">
        <v>14160</v>
      </c>
      <c r="G5256" s="39" t="s">
        <v>181</v>
      </c>
      <c r="H5256" s="33"/>
      <c r="I5256" s="33"/>
      <c r="J5256" s="33"/>
      <c r="K5256" s="33"/>
      <c r="L5256" s="33"/>
      <c r="M5256" s="33"/>
    </row>
    <row r="5257">
      <c r="A5257" s="32" t="s">
        <v>14161</v>
      </c>
      <c r="B5257" s="32" t="s">
        <v>14162</v>
      </c>
      <c r="C5257" s="35">
        <v>-8.80453968</v>
      </c>
      <c r="D5257" s="35">
        <v>148.3090057</v>
      </c>
      <c r="E5257" s="32" t="s">
        <v>5289</v>
      </c>
      <c r="F5257" s="32" t="s">
        <v>14163</v>
      </c>
      <c r="G5257" s="36" t="e">
        <v>#N/A</v>
      </c>
      <c r="H5257" s="33"/>
      <c r="I5257" s="33"/>
      <c r="J5257" s="33"/>
      <c r="K5257" s="33"/>
      <c r="L5257" s="33"/>
      <c r="M5257" s="33"/>
    </row>
    <row r="5258">
      <c r="A5258" s="32" t="s">
        <v>14164</v>
      </c>
      <c r="B5258" s="32" t="s">
        <v>14165</v>
      </c>
      <c r="C5258" s="35">
        <v>18.58209991</v>
      </c>
      <c r="D5258" s="35">
        <v>73.91970062</v>
      </c>
      <c r="E5258" s="32" t="s">
        <v>217</v>
      </c>
      <c r="F5258" s="32" t="s">
        <v>14166</v>
      </c>
      <c r="G5258" s="39" t="s">
        <v>218</v>
      </c>
      <c r="H5258" s="33"/>
      <c r="I5258" s="33"/>
      <c r="J5258" s="33"/>
      <c r="K5258" s="33"/>
      <c r="L5258" s="33"/>
      <c r="M5258" s="33"/>
    </row>
    <row r="5259">
      <c r="A5259" s="32" t="s">
        <v>14167</v>
      </c>
      <c r="B5259" s="32" t="s">
        <v>14168</v>
      </c>
      <c r="C5259" s="35">
        <v>-4.816030025</v>
      </c>
      <c r="D5259" s="35">
        <v>11.88659954</v>
      </c>
      <c r="E5259" s="32" t="s">
        <v>5496</v>
      </c>
      <c r="F5259" s="32" t="s">
        <v>14169</v>
      </c>
      <c r="G5259" s="36" t="e">
        <v>#N/A</v>
      </c>
      <c r="H5259" s="33"/>
      <c r="I5259" s="33"/>
      <c r="J5259" s="33"/>
      <c r="K5259" s="33"/>
      <c r="L5259" s="33"/>
      <c r="M5259" s="33"/>
    </row>
    <row r="5260">
      <c r="A5260" s="32" t="s">
        <v>14170</v>
      </c>
      <c r="B5260" s="32" t="s">
        <v>14171</v>
      </c>
      <c r="C5260" s="35">
        <v>30.47340012</v>
      </c>
      <c r="D5260" s="35">
        <v>-87.18659973</v>
      </c>
      <c r="E5260" s="32" t="s">
        <v>180</v>
      </c>
      <c r="F5260" s="32" t="s">
        <v>12990</v>
      </c>
      <c r="G5260" s="39" t="s">
        <v>181</v>
      </c>
      <c r="H5260" s="33"/>
      <c r="I5260" s="33"/>
      <c r="J5260" s="33"/>
      <c r="K5260" s="33"/>
      <c r="L5260" s="33"/>
      <c r="M5260" s="33"/>
    </row>
    <row r="5261">
      <c r="A5261" s="32" t="s">
        <v>14172</v>
      </c>
      <c r="B5261" s="32" t="s">
        <v>14173</v>
      </c>
      <c r="C5261" s="35">
        <v>-51.67150116</v>
      </c>
      <c r="D5261" s="35">
        <v>-72.52839661</v>
      </c>
      <c r="E5261" s="32" t="s">
        <v>300</v>
      </c>
      <c r="F5261" s="32" t="s">
        <v>14174</v>
      </c>
      <c r="G5261" s="36" t="e">
        <v>#N/A</v>
      </c>
      <c r="H5261" s="33"/>
      <c r="I5261" s="33"/>
      <c r="J5261" s="33"/>
      <c r="K5261" s="33"/>
      <c r="L5261" s="33"/>
      <c r="M5261" s="33"/>
    </row>
    <row r="5262">
      <c r="A5262" s="32" t="s">
        <v>14175</v>
      </c>
      <c r="B5262" s="32" t="s">
        <v>14176</v>
      </c>
      <c r="C5262" s="35">
        <v>55.72940063</v>
      </c>
      <c r="D5262" s="35">
        <v>24.46080017</v>
      </c>
      <c r="E5262" s="32" t="s">
        <v>2012</v>
      </c>
      <c r="F5262" s="32" t="s">
        <v>14177</v>
      </c>
      <c r="G5262" s="36" t="e">
        <v>#N/A</v>
      </c>
      <c r="H5262" s="33"/>
      <c r="I5262" s="33"/>
      <c r="J5262" s="33"/>
      <c r="K5262" s="33"/>
      <c r="L5262" s="33"/>
      <c r="M5262" s="33"/>
    </row>
    <row r="5263">
      <c r="A5263" s="32" t="s">
        <v>14178</v>
      </c>
      <c r="B5263" s="32" t="s">
        <v>14179</v>
      </c>
      <c r="C5263" s="35">
        <v>11.96870041</v>
      </c>
      <c r="D5263" s="35">
        <v>79.81009674</v>
      </c>
      <c r="E5263" s="32" t="s">
        <v>217</v>
      </c>
      <c r="F5263" s="32" t="s">
        <v>14180</v>
      </c>
      <c r="G5263" s="39" t="s">
        <v>218</v>
      </c>
      <c r="H5263" s="33"/>
      <c r="I5263" s="33"/>
      <c r="J5263" s="33"/>
      <c r="K5263" s="33"/>
      <c r="L5263" s="33"/>
      <c r="M5263" s="33"/>
    </row>
    <row r="5264">
      <c r="A5264" s="32" t="s">
        <v>14181</v>
      </c>
      <c r="B5264" s="32" t="s">
        <v>14182</v>
      </c>
      <c r="C5264" s="35">
        <v>-9.362409592</v>
      </c>
      <c r="D5264" s="35">
        <v>-40.56909943</v>
      </c>
      <c r="E5264" s="32" t="s">
        <v>288</v>
      </c>
      <c r="F5264" s="32" t="s">
        <v>14183</v>
      </c>
      <c r="G5264" s="36" t="e">
        <v>#N/A</v>
      </c>
      <c r="H5264" s="33"/>
      <c r="I5264" s="33"/>
      <c r="J5264" s="33"/>
      <c r="K5264" s="33"/>
      <c r="L5264" s="33"/>
      <c r="M5264" s="33"/>
    </row>
    <row r="5265">
      <c r="A5265" s="32" t="s">
        <v>14184</v>
      </c>
      <c r="B5265" s="32" t="s">
        <v>14185</v>
      </c>
      <c r="C5265" s="35">
        <v>-29.99440002</v>
      </c>
      <c r="D5265" s="35">
        <v>-51.17139816</v>
      </c>
      <c r="E5265" s="32" t="s">
        <v>288</v>
      </c>
      <c r="F5265" s="32" t="s">
        <v>1644</v>
      </c>
      <c r="G5265" s="36" t="e">
        <v>#N/A</v>
      </c>
      <c r="H5265" s="33"/>
      <c r="I5265" s="33"/>
      <c r="J5265" s="33"/>
      <c r="K5265" s="33"/>
      <c r="L5265" s="33"/>
      <c r="M5265" s="33"/>
    </row>
    <row r="5266">
      <c r="A5266" s="32" t="s">
        <v>14186</v>
      </c>
      <c r="B5266" s="32" t="s">
        <v>14187</v>
      </c>
      <c r="C5266" s="35">
        <v>35.17089844</v>
      </c>
      <c r="D5266" s="35">
        <v>-79.01450348</v>
      </c>
      <c r="E5266" s="32" t="s">
        <v>180</v>
      </c>
      <c r="F5266" s="32" t="s">
        <v>14188</v>
      </c>
      <c r="G5266" s="39" t="s">
        <v>181</v>
      </c>
      <c r="H5266" s="33"/>
      <c r="I5266" s="33"/>
      <c r="J5266" s="33"/>
      <c r="K5266" s="33"/>
      <c r="L5266" s="33"/>
      <c r="M5266" s="33"/>
    </row>
    <row r="5267">
      <c r="A5267" s="32" t="s">
        <v>14189</v>
      </c>
      <c r="B5267" s="32" t="s">
        <v>14190</v>
      </c>
      <c r="C5267" s="35">
        <v>34.09159851</v>
      </c>
      <c r="D5267" s="35">
        <v>-117.7819977</v>
      </c>
      <c r="E5267" s="32" t="s">
        <v>180</v>
      </c>
      <c r="F5267" s="32" t="s">
        <v>14191</v>
      </c>
      <c r="G5267" s="39" t="s">
        <v>181</v>
      </c>
      <c r="H5267" s="33"/>
      <c r="I5267" s="33"/>
      <c r="J5267" s="33"/>
      <c r="K5267" s="33"/>
      <c r="L5267" s="33"/>
      <c r="M5267" s="33"/>
    </row>
    <row r="5268">
      <c r="A5268" s="32" t="s">
        <v>14192</v>
      </c>
      <c r="B5268" s="32" t="s">
        <v>14193</v>
      </c>
      <c r="C5268" s="35">
        <v>31.0447998</v>
      </c>
      <c r="D5268" s="35">
        <v>-93.1917038</v>
      </c>
      <c r="E5268" s="32" t="s">
        <v>180</v>
      </c>
      <c r="F5268" s="32" t="s">
        <v>14194</v>
      </c>
      <c r="G5268" s="39" t="s">
        <v>181</v>
      </c>
      <c r="H5268" s="33"/>
      <c r="I5268" s="33"/>
      <c r="J5268" s="33"/>
      <c r="K5268" s="33"/>
      <c r="L5268" s="33"/>
      <c r="M5268" s="33"/>
    </row>
    <row r="5269">
      <c r="A5269" s="32" t="s">
        <v>14195</v>
      </c>
      <c r="B5269" s="32" t="s">
        <v>14196</v>
      </c>
      <c r="C5269" s="35">
        <v>36.77389908</v>
      </c>
      <c r="D5269" s="35">
        <v>-90.32489777</v>
      </c>
      <c r="E5269" s="32" t="s">
        <v>180</v>
      </c>
      <c r="F5269" s="32" t="s">
        <v>14197</v>
      </c>
      <c r="G5269" s="39" t="s">
        <v>181</v>
      </c>
      <c r="H5269" s="33"/>
      <c r="I5269" s="33"/>
      <c r="J5269" s="33"/>
      <c r="K5269" s="33"/>
      <c r="L5269" s="33"/>
      <c r="M5269" s="33"/>
    </row>
    <row r="5270">
      <c r="A5270" s="32" t="s">
        <v>14198</v>
      </c>
      <c r="B5270" s="32" t="s">
        <v>14199</v>
      </c>
      <c r="C5270" s="35">
        <v>-0.711739004</v>
      </c>
      <c r="D5270" s="35">
        <v>8.754380226</v>
      </c>
      <c r="E5270" s="32" t="s">
        <v>4974</v>
      </c>
      <c r="F5270" s="32" t="s">
        <v>14200</v>
      </c>
      <c r="G5270" s="36" t="e">
        <v>#N/A</v>
      </c>
      <c r="H5270" s="33"/>
      <c r="I5270" s="33"/>
      <c r="J5270" s="33"/>
      <c r="K5270" s="33"/>
      <c r="L5270" s="33"/>
      <c r="M5270" s="33"/>
    </row>
    <row r="5271">
      <c r="A5271" s="32" t="s">
        <v>14201</v>
      </c>
      <c r="B5271" s="32" t="s">
        <v>14202</v>
      </c>
      <c r="C5271" s="35">
        <v>-19.54310036</v>
      </c>
      <c r="D5271" s="35">
        <v>-65.72370148</v>
      </c>
      <c r="E5271" s="32" t="s">
        <v>323</v>
      </c>
      <c r="F5271" s="32" t="s">
        <v>14203</v>
      </c>
      <c r="G5271" s="36" t="e">
        <v>#N/A</v>
      </c>
      <c r="H5271" s="33"/>
      <c r="I5271" s="33"/>
      <c r="J5271" s="33"/>
      <c r="K5271" s="33"/>
      <c r="L5271" s="33"/>
      <c r="M5271" s="33"/>
    </row>
    <row r="5272">
      <c r="A5272" s="32" t="s">
        <v>14204</v>
      </c>
      <c r="B5272" s="32" t="s">
        <v>14205</v>
      </c>
      <c r="C5272" s="35">
        <v>-18.67280006</v>
      </c>
      <c r="D5272" s="35">
        <v>-46.49119949</v>
      </c>
      <c r="E5272" s="32" t="s">
        <v>288</v>
      </c>
      <c r="F5272" s="32" t="s">
        <v>14206</v>
      </c>
      <c r="G5272" s="36" t="e">
        <v>#N/A</v>
      </c>
      <c r="H5272" s="33"/>
      <c r="I5272" s="33"/>
      <c r="J5272" s="33"/>
      <c r="K5272" s="33"/>
      <c r="L5272" s="33"/>
      <c r="M5272" s="33"/>
    </row>
    <row r="5273">
      <c r="A5273" s="32" t="s">
        <v>14207</v>
      </c>
      <c r="B5273" s="32" t="s">
        <v>14084</v>
      </c>
      <c r="C5273" s="35">
        <v>-12.99176216</v>
      </c>
      <c r="D5273" s="35">
        <v>40.52401352</v>
      </c>
      <c r="E5273" s="32" t="s">
        <v>767</v>
      </c>
      <c r="F5273" s="32" t="s">
        <v>14085</v>
      </c>
      <c r="G5273" s="36" t="e">
        <v>#N/A</v>
      </c>
      <c r="H5273" s="33"/>
      <c r="I5273" s="33"/>
      <c r="J5273" s="33"/>
      <c r="K5273" s="33"/>
      <c r="L5273" s="33"/>
      <c r="M5273" s="33"/>
    </row>
    <row r="5274">
      <c r="A5274" s="32" t="s">
        <v>14208</v>
      </c>
      <c r="B5274" s="32" t="s">
        <v>14209</v>
      </c>
      <c r="C5274" s="35">
        <v>-9.443380356</v>
      </c>
      <c r="D5274" s="35">
        <v>147.2200012</v>
      </c>
      <c r="E5274" s="32" t="s">
        <v>5289</v>
      </c>
      <c r="F5274" s="32" t="s">
        <v>14210</v>
      </c>
      <c r="G5274" s="36" t="e">
        <v>#N/A</v>
      </c>
      <c r="H5274" s="33"/>
      <c r="I5274" s="33"/>
      <c r="J5274" s="33"/>
      <c r="K5274" s="33"/>
      <c r="L5274" s="33"/>
      <c r="M5274" s="33"/>
    </row>
    <row r="5275">
      <c r="A5275" s="32" t="s">
        <v>14211</v>
      </c>
      <c r="B5275" s="32" t="s">
        <v>14212</v>
      </c>
      <c r="C5275" s="35">
        <v>-21.84300041</v>
      </c>
      <c r="D5275" s="35">
        <v>-46.56790161</v>
      </c>
      <c r="E5275" s="32" t="s">
        <v>288</v>
      </c>
      <c r="F5275" s="32" t="s">
        <v>14213</v>
      </c>
      <c r="G5275" s="36" t="e">
        <v>#N/A</v>
      </c>
      <c r="H5275" s="33"/>
      <c r="I5275" s="33"/>
      <c r="J5275" s="33"/>
      <c r="K5275" s="33"/>
      <c r="L5275" s="33"/>
      <c r="M5275" s="33"/>
    </row>
    <row r="5276">
      <c r="A5276" s="32" t="s">
        <v>14214</v>
      </c>
      <c r="B5276" s="32" t="s">
        <v>14215</v>
      </c>
      <c r="C5276" s="35">
        <v>19.75790024</v>
      </c>
      <c r="D5276" s="35">
        <v>-70.56999969</v>
      </c>
      <c r="E5276" s="32" t="s">
        <v>335</v>
      </c>
      <c r="F5276" s="32" t="s">
        <v>14216</v>
      </c>
      <c r="G5276" s="36" t="e">
        <v>#N/A</v>
      </c>
      <c r="H5276" s="33"/>
      <c r="I5276" s="33"/>
      <c r="J5276" s="33"/>
      <c r="K5276" s="33"/>
      <c r="L5276" s="33"/>
      <c r="M5276" s="33"/>
    </row>
    <row r="5277">
      <c r="A5277" s="32" t="s">
        <v>14217</v>
      </c>
      <c r="B5277" s="32" t="s">
        <v>14218</v>
      </c>
      <c r="C5277" s="35">
        <v>61.46170044</v>
      </c>
      <c r="D5277" s="35">
        <v>21.79999924</v>
      </c>
      <c r="E5277" s="32" t="s">
        <v>408</v>
      </c>
      <c r="F5277" s="32" t="s">
        <v>14219</v>
      </c>
      <c r="G5277" s="36" t="e">
        <v>#N/A</v>
      </c>
      <c r="H5277" s="33"/>
      <c r="I5277" s="33"/>
      <c r="J5277" s="33"/>
      <c r="K5277" s="33"/>
      <c r="L5277" s="33"/>
      <c r="M5277" s="33"/>
    </row>
    <row r="5278">
      <c r="A5278" s="32" t="s">
        <v>14220</v>
      </c>
      <c r="B5278" s="32" t="s">
        <v>14221</v>
      </c>
      <c r="C5278" s="35">
        <v>10.59539986</v>
      </c>
      <c r="D5278" s="35">
        <v>-61.33720016</v>
      </c>
      <c r="E5278" s="32" t="s">
        <v>14222</v>
      </c>
      <c r="F5278" s="32" t="s">
        <v>14223</v>
      </c>
      <c r="G5278" s="36" t="e">
        <v>#N/A</v>
      </c>
      <c r="H5278" s="33"/>
      <c r="I5278" s="33"/>
      <c r="J5278" s="33"/>
      <c r="K5278" s="33"/>
      <c r="L5278" s="33"/>
      <c r="M5278" s="33"/>
    </row>
    <row r="5279">
      <c r="A5279" s="32" t="s">
        <v>14224</v>
      </c>
      <c r="B5279" s="32" t="s">
        <v>14225</v>
      </c>
      <c r="C5279" s="35">
        <v>18.19879913</v>
      </c>
      <c r="D5279" s="35">
        <v>-76.53450012</v>
      </c>
      <c r="E5279" s="32" t="s">
        <v>10180</v>
      </c>
      <c r="F5279" s="32" t="s">
        <v>14226</v>
      </c>
      <c r="G5279" s="36" t="e">
        <v>#N/A</v>
      </c>
      <c r="H5279" s="33"/>
      <c r="I5279" s="33"/>
      <c r="J5279" s="33"/>
      <c r="K5279" s="33"/>
      <c r="L5279" s="33"/>
      <c r="M5279" s="33"/>
    </row>
    <row r="5280">
      <c r="A5280" s="32" t="s">
        <v>14227</v>
      </c>
      <c r="B5280" s="32" t="s">
        <v>14228</v>
      </c>
      <c r="C5280" s="35">
        <v>41.62659836</v>
      </c>
      <c r="D5280" s="35">
        <v>-73.88420105</v>
      </c>
      <c r="E5280" s="32" t="s">
        <v>180</v>
      </c>
      <c r="F5280" s="32" t="s">
        <v>14229</v>
      </c>
      <c r="G5280" s="39" t="s">
        <v>181</v>
      </c>
      <c r="H5280" s="33"/>
      <c r="I5280" s="33"/>
      <c r="J5280" s="33"/>
      <c r="K5280" s="33"/>
      <c r="L5280" s="33"/>
      <c r="M5280" s="33"/>
    </row>
    <row r="5281">
      <c r="A5281" s="32" t="s">
        <v>14230</v>
      </c>
      <c r="B5281" s="32" t="s">
        <v>14231</v>
      </c>
      <c r="C5281" s="35">
        <v>45.47340012</v>
      </c>
      <c r="D5281" s="35">
        <v>13.61499977</v>
      </c>
      <c r="E5281" s="32" t="s">
        <v>1099</v>
      </c>
      <c r="F5281" s="32" t="s">
        <v>14232</v>
      </c>
      <c r="G5281" s="36" t="e">
        <v>#N/A</v>
      </c>
      <c r="H5281" s="33"/>
      <c r="I5281" s="33"/>
      <c r="J5281" s="33"/>
      <c r="K5281" s="33"/>
      <c r="L5281" s="33"/>
      <c r="M5281" s="33"/>
    </row>
    <row r="5282">
      <c r="A5282" s="32" t="s">
        <v>14233</v>
      </c>
      <c r="B5282" s="32" t="s">
        <v>14234</v>
      </c>
      <c r="C5282" s="35">
        <v>49.0966667</v>
      </c>
      <c r="D5282" s="35">
        <v>2.0408333</v>
      </c>
      <c r="E5282" s="32" t="s">
        <v>96</v>
      </c>
      <c r="F5282" s="32" t="s">
        <v>14235</v>
      </c>
      <c r="G5282" s="39" t="s">
        <v>97</v>
      </c>
      <c r="H5282" s="33"/>
      <c r="I5282" s="33"/>
      <c r="J5282" s="33"/>
      <c r="K5282" s="33"/>
      <c r="L5282" s="33"/>
      <c r="M5282" s="33"/>
    </row>
    <row r="5283">
      <c r="A5283" s="32" t="s">
        <v>14236</v>
      </c>
      <c r="B5283" s="32" t="s">
        <v>14237</v>
      </c>
      <c r="C5283" s="35">
        <v>52.42100143</v>
      </c>
      <c r="D5283" s="35">
        <v>16.82629967</v>
      </c>
      <c r="E5283" s="32" t="s">
        <v>192</v>
      </c>
      <c r="F5283" s="32" t="s">
        <v>2336</v>
      </c>
      <c r="G5283" s="39" t="s">
        <v>193</v>
      </c>
      <c r="H5283" s="33"/>
      <c r="I5283" s="33"/>
      <c r="J5283" s="33"/>
      <c r="K5283" s="33"/>
      <c r="L5283" s="33"/>
      <c r="M5283" s="33"/>
    </row>
    <row r="5284">
      <c r="A5284" s="32" t="s">
        <v>14238</v>
      </c>
      <c r="B5284" s="32" t="s">
        <v>14239</v>
      </c>
      <c r="C5284" s="35">
        <v>-22.17510033</v>
      </c>
      <c r="D5284" s="35">
        <v>-51.42459869</v>
      </c>
      <c r="E5284" s="32" t="s">
        <v>288</v>
      </c>
      <c r="F5284" s="32" t="s">
        <v>14240</v>
      </c>
      <c r="G5284" s="36" t="e">
        <v>#N/A</v>
      </c>
      <c r="H5284" s="33"/>
      <c r="I5284" s="33"/>
      <c r="J5284" s="33"/>
      <c r="K5284" s="33"/>
      <c r="L5284" s="33"/>
      <c r="M5284" s="33"/>
    </row>
    <row r="5285">
      <c r="A5285" s="32" t="s">
        <v>14241</v>
      </c>
      <c r="B5285" s="32" t="s">
        <v>14242</v>
      </c>
      <c r="C5285" s="35">
        <v>66.81410217</v>
      </c>
      <c r="D5285" s="35">
        <v>-150.6439972</v>
      </c>
      <c r="E5285" s="32" t="s">
        <v>180</v>
      </c>
      <c r="F5285" s="32" t="s">
        <v>14243</v>
      </c>
      <c r="G5285" s="39" t="s">
        <v>181</v>
      </c>
      <c r="H5285" s="33"/>
      <c r="I5285" s="33"/>
      <c r="J5285" s="33"/>
      <c r="K5285" s="33"/>
      <c r="L5285" s="33"/>
      <c r="M5285" s="33"/>
    </row>
    <row r="5286">
      <c r="A5286" s="32" t="s">
        <v>14244</v>
      </c>
      <c r="B5286" s="32" t="s">
        <v>14245</v>
      </c>
      <c r="C5286" s="35">
        <v>31.356202</v>
      </c>
      <c r="D5286" s="35">
        <v>-113.525677</v>
      </c>
      <c r="E5286" s="32" t="s">
        <v>186</v>
      </c>
      <c r="F5286" s="32" t="s">
        <v>14246</v>
      </c>
      <c r="G5286" s="39" t="s">
        <v>187</v>
      </c>
      <c r="H5286" s="33"/>
      <c r="I5286" s="33"/>
      <c r="J5286" s="33"/>
      <c r="K5286" s="33"/>
      <c r="L5286" s="33"/>
      <c r="M5286" s="33"/>
    </row>
    <row r="5287">
      <c r="A5287" s="32" t="s">
        <v>14247</v>
      </c>
      <c r="B5287" s="32" t="s">
        <v>14248</v>
      </c>
      <c r="C5287" s="35">
        <v>-14.33100033</v>
      </c>
      <c r="D5287" s="35">
        <v>-170.7100067</v>
      </c>
      <c r="E5287" s="32" t="s">
        <v>7819</v>
      </c>
      <c r="F5287" s="32" t="s">
        <v>14249</v>
      </c>
      <c r="G5287" s="36" t="e">
        <v>#N/A</v>
      </c>
      <c r="H5287" s="33"/>
      <c r="I5287" s="33"/>
      <c r="J5287" s="33"/>
      <c r="K5287" s="33"/>
      <c r="L5287" s="33"/>
      <c r="M5287" s="33"/>
    </row>
    <row r="5288">
      <c r="A5288" s="32" t="s">
        <v>14250</v>
      </c>
      <c r="B5288" s="32" t="s">
        <v>14251</v>
      </c>
      <c r="C5288" s="35">
        <v>-33.23889923</v>
      </c>
      <c r="D5288" s="35">
        <v>137.9949951</v>
      </c>
      <c r="E5288" s="32" t="s">
        <v>1968</v>
      </c>
      <c r="F5288" s="33"/>
      <c r="G5288" s="36" t="e">
        <v>#N/A</v>
      </c>
      <c r="H5288" s="33"/>
      <c r="I5288" s="33"/>
      <c r="J5288" s="33"/>
      <c r="K5288" s="33"/>
      <c r="L5288" s="33"/>
      <c r="M5288" s="33"/>
    </row>
    <row r="5289">
      <c r="A5289" s="32" t="s">
        <v>14252</v>
      </c>
      <c r="B5289" s="32" t="s">
        <v>14253</v>
      </c>
      <c r="C5289" s="35">
        <v>54.77470016</v>
      </c>
      <c r="D5289" s="35">
        <v>69.18389893</v>
      </c>
      <c r="E5289" s="32" t="s">
        <v>2817</v>
      </c>
      <c r="F5289" s="32" t="s">
        <v>14254</v>
      </c>
      <c r="G5289" s="36" t="e">
        <v>#N/A</v>
      </c>
      <c r="H5289" s="33"/>
      <c r="I5289" s="33"/>
      <c r="J5289" s="33"/>
      <c r="K5289" s="33"/>
      <c r="L5289" s="33"/>
      <c r="M5289" s="33"/>
    </row>
    <row r="5290">
      <c r="A5290" s="32" t="s">
        <v>14255</v>
      </c>
      <c r="B5290" s="32" t="s">
        <v>14256</v>
      </c>
      <c r="C5290" s="35">
        <v>27.51778688</v>
      </c>
      <c r="D5290" s="35">
        <v>86.58445358</v>
      </c>
      <c r="E5290" s="32" t="s">
        <v>1877</v>
      </c>
      <c r="F5290" s="32" t="s">
        <v>14257</v>
      </c>
      <c r="G5290" s="36" t="e">
        <v>#N/A</v>
      </c>
      <c r="H5290" s="33"/>
      <c r="I5290" s="33"/>
      <c r="J5290" s="33"/>
      <c r="K5290" s="33"/>
      <c r="L5290" s="33"/>
      <c r="M5290" s="33"/>
    </row>
    <row r="5291">
      <c r="A5291" s="32" t="s">
        <v>14258</v>
      </c>
      <c r="B5291" s="32" t="s">
        <v>14259</v>
      </c>
      <c r="C5291" s="35">
        <v>2.4544</v>
      </c>
      <c r="D5291" s="35">
        <v>-76.6093</v>
      </c>
      <c r="E5291" s="32" t="s">
        <v>292</v>
      </c>
      <c r="F5291" s="32" t="s">
        <v>14260</v>
      </c>
      <c r="G5291" s="36" t="e">
        <v>#N/A</v>
      </c>
      <c r="H5291" s="33"/>
      <c r="I5291" s="33"/>
      <c r="J5291" s="33"/>
      <c r="K5291" s="33"/>
      <c r="L5291" s="33"/>
      <c r="M5291" s="33"/>
    </row>
    <row r="5292">
      <c r="A5292" s="32" t="s">
        <v>14261</v>
      </c>
      <c r="B5292" s="32" t="s">
        <v>14262</v>
      </c>
      <c r="C5292" s="35">
        <v>-20.49500084</v>
      </c>
      <c r="D5292" s="35">
        <v>148.552002</v>
      </c>
      <c r="E5292" s="32" t="s">
        <v>1968</v>
      </c>
      <c r="F5292" s="32" t="s">
        <v>14263</v>
      </c>
      <c r="G5292" s="36" t="e">
        <v>#N/A</v>
      </c>
      <c r="H5292" s="33"/>
      <c r="I5292" s="33"/>
      <c r="J5292" s="33"/>
      <c r="K5292" s="33"/>
      <c r="L5292" s="33"/>
      <c r="M5292" s="33"/>
    </row>
    <row r="5293">
      <c r="A5293" s="32" t="s">
        <v>14264</v>
      </c>
      <c r="B5293" s="32" t="s">
        <v>14265</v>
      </c>
      <c r="C5293" s="35">
        <v>-40.90470123</v>
      </c>
      <c r="D5293" s="35">
        <v>174.9889984</v>
      </c>
      <c r="E5293" s="32" t="s">
        <v>1328</v>
      </c>
      <c r="F5293" s="32" t="s">
        <v>14266</v>
      </c>
      <c r="G5293" s="36" t="e">
        <v>#N/A</v>
      </c>
      <c r="H5293" s="33"/>
      <c r="I5293" s="33"/>
      <c r="J5293" s="33"/>
      <c r="K5293" s="33"/>
      <c r="L5293" s="33"/>
      <c r="M5293" s="33"/>
    </row>
    <row r="5294">
      <c r="A5294" s="32" t="s">
        <v>14267</v>
      </c>
      <c r="B5294" s="32" t="s">
        <v>14268</v>
      </c>
      <c r="C5294" s="35">
        <v>9.742119789</v>
      </c>
      <c r="D5294" s="35">
        <v>118.7590027</v>
      </c>
      <c r="E5294" s="32" t="s">
        <v>270</v>
      </c>
      <c r="F5294" s="32" t="s">
        <v>14269</v>
      </c>
      <c r="G5294" s="36" t="e">
        <v>#N/A</v>
      </c>
      <c r="H5294" s="33"/>
      <c r="I5294" s="33"/>
      <c r="J5294" s="33"/>
      <c r="K5294" s="33"/>
      <c r="L5294" s="33"/>
      <c r="M5294" s="33"/>
    </row>
    <row r="5295">
      <c r="A5295" s="32" t="s">
        <v>14270</v>
      </c>
      <c r="B5295" s="32" t="s">
        <v>14271</v>
      </c>
      <c r="C5295" s="35">
        <v>-17.55369949</v>
      </c>
      <c r="D5295" s="35">
        <v>-149.6069946</v>
      </c>
      <c r="E5295" s="32" t="s">
        <v>1325</v>
      </c>
      <c r="F5295" s="32" t="s">
        <v>14272</v>
      </c>
      <c r="G5295" s="36" t="e">
        <v>#N/A</v>
      </c>
      <c r="H5295" s="33"/>
      <c r="I5295" s="33"/>
      <c r="J5295" s="33"/>
      <c r="K5295" s="33"/>
      <c r="L5295" s="33"/>
      <c r="M5295" s="33"/>
    </row>
    <row r="5296">
      <c r="A5296" s="32" t="s">
        <v>14273</v>
      </c>
      <c r="B5296" s="32" t="s">
        <v>14274</v>
      </c>
      <c r="C5296" s="35">
        <v>59.35169983</v>
      </c>
      <c r="D5296" s="35">
        <v>-2.900279999</v>
      </c>
      <c r="E5296" s="32" t="s">
        <v>90</v>
      </c>
      <c r="F5296" s="32" t="s">
        <v>14275</v>
      </c>
      <c r="G5296" s="39" t="s">
        <v>91</v>
      </c>
      <c r="H5296" s="33"/>
      <c r="I5296" s="33"/>
      <c r="J5296" s="33"/>
      <c r="K5296" s="33"/>
      <c r="L5296" s="33"/>
      <c r="M5296" s="33"/>
    </row>
    <row r="5297">
      <c r="A5297" s="32" t="s">
        <v>14276</v>
      </c>
      <c r="B5297" s="32" t="s">
        <v>14277</v>
      </c>
      <c r="C5297" s="35">
        <v>-22.28919983</v>
      </c>
      <c r="D5297" s="35">
        <v>-45.91910172</v>
      </c>
      <c r="E5297" s="32" t="s">
        <v>288</v>
      </c>
      <c r="F5297" s="32" t="s">
        <v>14278</v>
      </c>
      <c r="G5297" s="36" t="e">
        <v>#N/A</v>
      </c>
      <c r="H5297" s="33"/>
      <c r="I5297" s="33"/>
      <c r="J5297" s="33"/>
      <c r="K5297" s="33"/>
      <c r="L5297" s="33"/>
      <c r="M5297" s="33"/>
    </row>
    <row r="5298">
      <c r="A5298" s="32" t="s">
        <v>14279</v>
      </c>
      <c r="B5298" s="32" t="s">
        <v>14280</v>
      </c>
      <c r="C5298" s="35">
        <v>10.1698</v>
      </c>
      <c r="D5298" s="35">
        <v>103.9931</v>
      </c>
      <c r="E5298" s="32" t="s">
        <v>1913</v>
      </c>
      <c r="F5298" s="32" t="s">
        <v>14281</v>
      </c>
      <c r="G5298" s="36" t="e">
        <v>#N/A</v>
      </c>
      <c r="H5298" s="33"/>
      <c r="I5298" s="33"/>
      <c r="J5298" s="33"/>
      <c r="K5298" s="33"/>
      <c r="L5298" s="33"/>
      <c r="M5298" s="33"/>
    </row>
    <row r="5299">
      <c r="A5299" s="32" t="s">
        <v>14282</v>
      </c>
      <c r="B5299" s="32" t="s">
        <v>14283</v>
      </c>
      <c r="C5299" s="35">
        <v>46.68899918</v>
      </c>
      <c r="D5299" s="35">
        <v>-68.0447998</v>
      </c>
      <c r="E5299" s="32" t="s">
        <v>180</v>
      </c>
      <c r="F5299" s="32" t="s">
        <v>14284</v>
      </c>
      <c r="G5299" s="39" t="s">
        <v>181</v>
      </c>
      <c r="H5299" s="33"/>
      <c r="I5299" s="33"/>
      <c r="J5299" s="33"/>
      <c r="K5299" s="33"/>
      <c r="L5299" s="33"/>
      <c r="M5299" s="33"/>
    </row>
    <row r="5300">
      <c r="A5300" s="32" t="s">
        <v>14285</v>
      </c>
      <c r="B5300" s="32" t="s">
        <v>14286</v>
      </c>
      <c r="C5300" s="35">
        <v>-31.43580055</v>
      </c>
      <c r="D5300" s="35">
        <v>152.8630066</v>
      </c>
      <c r="E5300" s="32" t="s">
        <v>1968</v>
      </c>
      <c r="F5300" s="32" t="s">
        <v>14287</v>
      </c>
      <c r="G5300" s="36" t="e">
        <v>#N/A</v>
      </c>
      <c r="H5300" s="33"/>
      <c r="I5300" s="33"/>
      <c r="J5300" s="33"/>
      <c r="K5300" s="33"/>
      <c r="L5300" s="33"/>
      <c r="M5300" s="33"/>
    </row>
    <row r="5301">
      <c r="A5301" s="32" t="s">
        <v>14288</v>
      </c>
      <c r="B5301" s="32" t="s">
        <v>14289</v>
      </c>
      <c r="C5301" s="35">
        <v>-31.7948</v>
      </c>
      <c r="D5301" s="35">
        <v>-60.4804</v>
      </c>
      <c r="E5301" s="32" t="s">
        <v>296</v>
      </c>
      <c r="F5301" s="32" t="s">
        <v>14290</v>
      </c>
      <c r="G5301" s="36" t="e">
        <v>#N/A</v>
      </c>
      <c r="H5301" s="33"/>
      <c r="I5301" s="33"/>
      <c r="J5301" s="33"/>
      <c r="K5301" s="33"/>
      <c r="L5301" s="33"/>
      <c r="M5301" s="33"/>
    </row>
    <row r="5302">
      <c r="A5302" s="32" t="s">
        <v>14291</v>
      </c>
      <c r="B5302" s="32" t="s">
        <v>14292</v>
      </c>
      <c r="C5302" s="35">
        <v>35.67290115</v>
      </c>
      <c r="D5302" s="35">
        <v>-120.6269989</v>
      </c>
      <c r="E5302" s="32" t="s">
        <v>180</v>
      </c>
      <c r="F5302" s="32" t="s">
        <v>14293</v>
      </c>
      <c r="G5302" s="39" t="s">
        <v>181</v>
      </c>
      <c r="H5302" s="33"/>
      <c r="I5302" s="33"/>
      <c r="J5302" s="33"/>
      <c r="K5302" s="33"/>
      <c r="L5302" s="33"/>
      <c r="M5302" s="33"/>
    </row>
    <row r="5303">
      <c r="A5303" s="32" t="s">
        <v>14294</v>
      </c>
      <c r="B5303" s="32" t="s">
        <v>14295</v>
      </c>
      <c r="C5303" s="35">
        <v>34.65449905</v>
      </c>
      <c r="D5303" s="35">
        <v>-112.4199982</v>
      </c>
      <c r="E5303" s="32" t="s">
        <v>180</v>
      </c>
      <c r="F5303" s="32" t="s">
        <v>14296</v>
      </c>
      <c r="G5303" s="39" t="s">
        <v>181</v>
      </c>
      <c r="H5303" s="33"/>
      <c r="I5303" s="33"/>
      <c r="J5303" s="33"/>
      <c r="K5303" s="33"/>
      <c r="L5303" s="33"/>
      <c r="M5303" s="33"/>
    </row>
    <row r="5304">
      <c r="A5304" s="32" t="s">
        <v>14297</v>
      </c>
      <c r="B5304" s="32" t="s">
        <v>14298</v>
      </c>
      <c r="C5304" s="35">
        <v>50.1008</v>
      </c>
      <c r="D5304" s="35">
        <v>14.26</v>
      </c>
      <c r="E5304" s="32" t="s">
        <v>1104</v>
      </c>
      <c r="F5304" s="32" t="s">
        <v>14299</v>
      </c>
      <c r="G5304" s="36" t="e">
        <v>#N/A</v>
      </c>
      <c r="H5304" s="33"/>
      <c r="I5304" s="33"/>
      <c r="J5304" s="33"/>
      <c r="K5304" s="33"/>
      <c r="L5304" s="33"/>
      <c r="M5304" s="33"/>
    </row>
    <row r="5305">
      <c r="A5305" s="32" t="s">
        <v>14300</v>
      </c>
      <c r="B5305" s="32" t="s">
        <v>14301</v>
      </c>
      <c r="C5305" s="35">
        <v>18.13220024</v>
      </c>
      <c r="D5305" s="35">
        <v>100.1650009</v>
      </c>
      <c r="E5305" s="32" t="s">
        <v>175</v>
      </c>
      <c r="F5305" s="32" t="s">
        <v>14302</v>
      </c>
      <c r="G5305" s="39" t="s">
        <v>176</v>
      </c>
      <c r="H5305" s="33"/>
      <c r="I5305" s="33"/>
      <c r="J5305" s="33"/>
      <c r="K5305" s="33"/>
      <c r="L5305" s="33"/>
      <c r="M5305" s="33"/>
    </row>
    <row r="5306">
      <c r="A5306" s="32" t="s">
        <v>14303</v>
      </c>
      <c r="B5306" s="32" t="s">
        <v>14304</v>
      </c>
      <c r="C5306" s="35">
        <v>-4.319290161</v>
      </c>
      <c r="D5306" s="35">
        <v>55.69139862</v>
      </c>
      <c r="E5306" s="32" t="s">
        <v>778</v>
      </c>
      <c r="F5306" s="32" t="s">
        <v>14305</v>
      </c>
      <c r="G5306" s="36" t="e">
        <v>#N/A</v>
      </c>
      <c r="H5306" s="33"/>
      <c r="I5306" s="33"/>
      <c r="J5306" s="33"/>
      <c r="K5306" s="33"/>
      <c r="L5306" s="33"/>
      <c r="M5306" s="33"/>
    </row>
    <row r="5307">
      <c r="A5307" s="32" t="s">
        <v>14306</v>
      </c>
      <c r="B5307" s="32" t="s">
        <v>14307</v>
      </c>
      <c r="C5307" s="35">
        <v>42.5728</v>
      </c>
      <c r="D5307" s="35">
        <v>21.035801</v>
      </c>
      <c r="E5307" s="32" t="s">
        <v>1226</v>
      </c>
      <c r="F5307" s="32" t="s">
        <v>14308</v>
      </c>
      <c r="G5307" s="36" t="e">
        <v>#N/A</v>
      </c>
      <c r="H5307" s="33"/>
      <c r="I5307" s="33"/>
      <c r="J5307" s="33"/>
      <c r="K5307" s="33"/>
      <c r="L5307" s="33"/>
      <c r="M5307" s="33"/>
    </row>
    <row r="5308">
      <c r="A5308" s="32" t="s">
        <v>14309</v>
      </c>
      <c r="B5308" s="32" t="s">
        <v>14310</v>
      </c>
      <c r="C5308" s="35">
        <v>49.42580032</v>
      </c>
      <c r="D5308" s="35">
        <v>17.40469933</v>
      </c>
      <c r="E5308" s="32" t="s">
        <v>1104</v>
      </c>
      <c r="F5308" s="32" t="s">
        <v>14311</v>
      </c>
      <c r="G5308" s="36" t="e">
        <v>#N/A</v>
      </c>
      <c r="H5308" s="33"/>
      <c r="I5308" s="33"/>
      <c r="J5308" s="33"/>
      <c r="K5308" s="33"/>
      <c r="L5308" s="33"/>
      <c r="M5308" s="33"/>
    </row>
    <row r="5309">
      <c r="A5309" s="32" t="s">
        <v>14312</v>
      </c>
      <c r="B5309" s="32" t="s">
        <v>14313</v>
      </c>
      <c r="C5309" s="35">
        <v>33.63660049</v>
      </c>
      <c r="D5309" s="35">
        <v>-95.45079803</v>
      </c>
      <c r="E5309" s="32" t="s">
        <v>180</v>
      </c>
      <c r="F5309" s="32" t="s">
        <v>5670</v>
      </c>
      <c r="G5309" s="39" t="s">
        <v>181</v>
      </c>
      <c r="H5309" s="33"/>
      <c r="I5309" s="33"/>
      <c r="J5309" s="33"/>
      <c r="K5309" s="33"/>
      <c r="L5309" s="33"/>
      <c r="M5309" s="33"/>
    </row>
    <row r="5310">
      <c r="A5310" s="32" t="s">
        <v>14314</v>
      </c>
      <c r="B5310" s="32" t="s">
        <v>14315</v>
      </c>
      <c r="C5310" s="35">
        <v>-25.6539</v>
      </c>
      <c r="D5310" s="35">
        <v>28.224199</v>
      </c>
      <c r="E5310" s="32" t="s">
        <v>16</v>
      </c>
      <c r="F5310" s="32" t="s">
        <v>14316</v>
      </c>
      <c r="G5310" s="36" t="e">
        <v>#N/A</v>
      </c>
      <c r="H5310" s="33"/>
      <c r="I5310" s="33"/>
      <c r="J5310" s="33"/>
      <c r="K5310" s="33"/>
      <c r="L5310" s="33"/>
      <c r="M5310" s="33"/>
    </row>
    <row r="5311">
      <c r="A5311" s="32" t="s">
        <v>14317</v>
      </c>
      <c r="B5311" s="32" t="s">
        <v>14318</v>
      </c>
      <c r="C5311" s="35">
        <v>43.683899</v>
      </c>
      <c r="D5311" s="35">
        <v>10.3927</v>
      </c>
      <c r="E5311" s="32" t="s">
        <v>103</v>
      </c>
      <c r="F5311" s="32" t="s">
        <v>14319</v>
      </c>
      <c r="G5311" s="39" t="s">
        <v>104</v>
      </c>
      <c r="H5311" s="33"/>
      <c r="I5311" s="33"/>
      <c r="J5311" s="33"/>
      <c r="K5311" s="33"/>
      <c r="L5311" s="33"/>
      <c r="M5311" s="33"/>
    </row>
    <row r="5312">
      <c r="A5312" s="32" t="s">
        <v>14320</v>
      </c>
      <c r="B5312" s="32" t="s">
        <v>6489</v>
      </c>
      <c r="C5312" s="35">
        <v>46.26470184</v>
      </c>
      <c r="D5312" s="35">
        <v>-119.1190033</v>
      </c>
      <c r="E5312" s="32" t="s">
        <v>180</v>
      </c>
      <c r="F5312" s="32" t="s">
        <v>14321</v>
      </c>
      <c r="G5312" s="39" t="s">
        <v>181</v>
      </c>
      <c r="H5312" s="33"/>
      <c r="I5312" s="33"/>
      <c r="J5312" s="33"/>
      <c r="K5312" s="33"/>
      <c r="L5312" s="33"/>
      <c r="M5312" s="33"/>
    </row>
    <row r="5313">
      <c r="A5313" s="32" t="s">
        <v>14322</v>
      </c>
      <c r="B5313" s="32" t="s">
        <v>14323</v>
      </c>
      <c r="C5313" s="35">
        <v>31.27939987</v>
      </c>
      <c r="D5313" s="35">
        <v>32.24000168</v>
      </c>
      <c r="E5313" s="32" t="s">
        <v>15</v>
      </c>
      <c r="F5313" s="32" t="s">
        <v>14324</v>
      </c>
      <c r="G5313" s="36" t="e">
        <v>#N/A</v>
      </c>
      <c r="H5313" s="33"/>
      <c r="I5313" s="33"/>
      <c r="J5313" s="33"/>
      <c r="K5313" s="33"/>
      <c r="L5313" s="33"/>
      <c r="M5313" s="33"/>
    </row>
    <row r="5314">
      <c r="A5314" s="32" t="s">
        <v>14325</v>
      </c>
      <c r="B5314" s="32" t="s">
        <v>14326</v>
      </c>
      <c r="C5314" s="35">
        <v>18.00830078</v>
      </c>
      <c r="D5314" s="35">
        <v>-66.56300354</v>
      </c>
      <c r="E5314" s="32" t="s">
        <v>331</v>
      </c>
      <c r="F5314" s="32" t="s">
        <v>14327</v>
      </c>
      <c r="G5314" s="36" t="e">
        <v>#N/A</v>
      </c>
      <c r="H5314" s="33"/>
      <c r="I5314" s="33"/>
      <c r="J5314" s="33"/>
      <c r="K5314" s="33"/>
      <c r="L5314" s="33"/>
      <c r="M5314" s="33"/>
    </row>
    <row r="5315">
      <c r="A5315" s="32" t="s">
        <v>14328</v>
      </c>
      <c r="B5315" s="32" t="s">
        <v>14329</v>
      </c>
      <c r="C5315" s="35">
        <v>56.80170059</v>
      </c>
      <c r="D5315" s="35">
        <v>-132.9450073</v>
      </c>
      <c r="E5315" s="32" t="s">
        <v>180</v>
      </c>
      <c r="F5315" s="32" t="s">
        <v>14330</v>
      </c>
      <c r="G5315" s="39" t="s">
        <v>181</v>
      </c>
      <c r="H5315" s="33"/>
      <c r="I5315" s="33"/>
      <c r="J5315" s="33"/>
      <c r="K5315" s="33"/>
      <c r="L5315" s="33"/>
      <c r="M5315" s="33"/>
    </row>
    <row r="5316">
      <c r="A5316" s="32" t="s">
        <v>14331</v>
      </c>
      <c r="B5316" s="32" t="s">
        <v>14332</v>
      </c>
      <c r="C5316" s="35">
        <v>54.30888748</v>
      </c>
      <c r="D5316" s="35">
        <v>8.686944008</v>
      </c>
      <c r="E5316" s="32" t="s">
        <v>109</v>
      </c>
      <c r="F5316" s="32" t="s">
        <v>14333</v>
      </c>
      <c r="G5316" s="39" t="s">
        <v>110</v>
      </c>
      <c r="H5316" s="33"/>
      <c r="I5316" s="33"/>
      <c r="J5316" s="33"/>
      <c r="K5316" s="33"/>
      <c r="L5316" s="33"/>
      <c r="M5316" s="33"/>
    </row>
    <row r="5317">
      <c r="A5317" s="32" t="s">
        <v>14334</v>
      </c>
      <c r="B5317" s="32" t="s">
        <v>14335</v>
      </c>
      <c r="C5317" s="35">
        <v>25.29050064</v>
      </c>
      <c r="D5317" s="35">
        <v>63.3451004</v>
      </c>
      <c r="E5317" s="32" t="s">
        <v>1470</v>
      </c>
      <c r="F5317" s="32" t="s">
        <v>14336</v>
      </c>
      <c r="G5317" s="36" t="e">
        <v>#N/A</v>
      </c>
      <c r="H5317" s="33"/>
      <c r="I5317" s="33"/>
      <c r="J5317" s="33"/>
      <c r="K5317" s="33"/>
      <c r="L5317" s="33"/>
      <c r="M5317" s="33"/>
    </row>
    <row r="5318">
      <c r="A5318" s="32" t="s">
        <v>14337</v>
      </c>
      <c r="B5318" s="32" t="s">
        <v>14338</v>
      </c>
      <c r="C5318" s="35">
        <v>-1.416749954</v>
      </c>
      <c r="D5318" s="35">
        <v>120.6579971</v>
      </c>
      <c r="E5318" s="32" t="s">
        <v>280</v>
      </c>
      <c r="F5318" s="32" t="s">
        <v>14339</v>
      </c>
      <c r="G5318" s="36" t="e">
        <v>#N/A</v>
      </c>
      <c r="H5318" s="33"/>
      <c r="I5318" s="33"/>
      <c r="J5318" s="33"/>
      <c r="K5318" s="33"/>
      <c r="L5318" s="33"/>
      <c r="M5318" s="33"/>
    </row>
    <row r="5319">
      <c r="A5319" s="32" t="s">
        <v>14340</v>
      </c>
      <c r="B5319" s="32" t="s">
        <v>14341</v>
      </c>
      <c r="C5319" s="35">
        <v>56.43920135</v>
      </c>
      <c r="D5319" s="35">
        <v>-3.372220039</v>
      </c>
      <c r="E5319" s="32" t="s">
        <v>90</v>
      </c>
      <c r="F5319" s="32" t="s">
        <v>2130</v>
      </c>
      <c r="G5319" s="39" t="s">
        <v>91</v>
      </c>
      <c r="H5319" s="33"/>
      <c r="I5319" s="33"/>
      <c r="J5319" s="33"/>
      <c r="K5319" s="33"/>
      <c r="L5319" s="33"/>
      <c r="M5319" s="33"/>
    </row>
    <row r="5320">
      <c r="A5320" s="32" t="s">
        <v>14342</v>
      </c>
      <c r="B5320" s="32" t="s">
        <v>14343</v>
      </c>
      <c r="C5320" s="35">
        <v>43.07789993</v>
      </c>
      <c r="D5320" s="35">
        <v>-70.82330322</v>
      </c>
      <c r="E5320" s="32" t="s">
        <v>180</v>
      </c>
      <c r="F5320" s="32" t="s">
        <v>14344</v>
      </c>
      <c r="G5320" s="39" t="s">
        <v>181</v>
      </c>
      <c r="H5320" s="33"/>
      <c r="I5320" s="33"/>
      <c r="J5320" s="33"/>
      <c r="K5320" s="33"/>
      <c r="L5320" s="33"/>
      <c r="M5320" s="33"/>
    </row>
    <row r="5321">
      <c r="A5321" s="32" t="s">
        <v>14345</v>
      </c>
      <c r="B5321" s="32" t="s">
        <v>14346</v>
      </c>
      <c r="C5321" s="35">
        <v>1.39625</v>
      </c>
      <c r="D5321" s="35">
        <v>-77.2915</v>
      </c>
      <c r="E5321" s="32" t="s">
        <v>292</v>
      </c>
      <c r="F5321" s="32" t="s">
        <v>14347</v>
      </c>
      <c r="G5321" s="36" t="e">
        <v>#N/A</v>
      </c>
      <c r="H5321" s="33"/>
      <c r="I5321" s="33"/>
      <c r="J5321" s="33"/>
      <c r="K5321" s="33"/>
      <c r="L5321" s="33"/>
      <c r="M5321" s="33"/>
    </row>
    <row r="5322">
      <c r="A5322" s="32" t="s">
        <v>14348</v>
      </c>
      <c r="B5322" s="32" t="s">
        <v>14349</v>
      </c>
      <c r="C5322" s="35">
        <v>33.82970047</v>
      </c>
      <c r="D5322" s="35">
        <v>-116.5070038</v>
      </c>
      <c r="E5322" s="32" t="s">
        <v>180</v>
      </c>
      <c r="F5322" s="32" t="s">
        <v>14350</v>
      </c>
      <c r="G5322" s="39" t="s">
        <v>181</v>
      </c>
      <c r="H5322" s="33"/>
      <c r="I5322" s="33"/>
      <c r="J5322" s="33"/>
      <c r="K5322" s="33"/>
      <c r="L5322" s="33"/>
      <c r="M5322" s="33"/>
    </row>
    <row r="5323">
      <c r="A5323" s="32" t="s">
        <v>14351</v>
      </c>
      <c r="B5323" s="32" t="s">
        <v>14352</v>
      </c>
      <c r="C5323" s="35">
        <v>42.431702</v>
      </c>
      <c r="D5323" s="35">
        <v>14.1811</v>
      </c>
      <c r="E5323" s="32" t="s">
        <v>103</v>
      </c>
      <c r="F5323" s="32" t="s">
        <v>14353</v>
      </c>
      <c r="G5323" s="39" t="s">
        <v>104</v>
      </c>
      <c r="H5323" s="33"/>
      <c r="I5323" s="33"/>
      <c r="J5323" s="33"/>
      <c r="K5323" s="33"/>
      <c r="L5323" s="33"/>
      <c r="M5323" s="33"/>
    </row>
    <row r="5324">
      <c r="A5324" s="32" t="s">
        <v>14354</v>
      </c>
      <c r="B5324" s="32" t="s">
        <v>14355</v>
      </c>
      <c r="C5324" s="35">
        <v>-27.3858</v>
      </c>
      <c r="D5324" s="35">
        <v>-55.9707</v>
      </c>
      <c r="E5324" s="32" t="s">
        <v>296</v>
      </c>
      <c r="F5324" s="32" t="s">
        <v>14356</v>
      </c>
      <c r="G5324" s="36" t="e">
        <v>#N/A</v>
      </c>
      <c r="H5324" s="33"/>
      <c r="I5324" s="33"/>
      <c r="J5324" s="33"/>
      <c r="K5324" s="33"/>
      <c r="L5324" s="33"/>
      <c r="M5324" s="33"/>
    </row>
    <row r="5325">
      <c r="A5325" s="32" t="s">
        <v>14357</v>
      </c>
      <c r="B5325" s="32" t="s">
        <v>14358</v>
      </c>
      <c r="C5325" s="35">
        <v>0.835578024</v>
      </c>
      <c r="D5325" s="35">
        <v>112.9369965</v>
      </c>
      <c r="E5325" s="32" t="s">
        <v>280</v>
      </c>
      <c r="F5325" s="32" t="s">
        <v>14359</v>
      </c>
      <c r="G5325" s="36" t="e">
        <v>#N/A</v>
      </c>
      <c r="H5325" s="33"/>
      <c r="I5325" s="33"/>
      <c r="J5325" s="33"/>
      <c r="K5325" s="33"/>
      <c r="L5325" s="33"/>
      <c r="M5325" s="33"/>
    </row>
    <row r="5326">
      <c r="A5326" s="32" t="s">
        <v>14360</v>
      </c>
      <c r="B5326" s="32" t="s">
        <v>14361</v>
      </c>
      <c r="C5326" s="35">
        <v>28.72750092</v>
      </c>
      <c r="D5326" s="35">
        <v>-96.25099945</v>
      </c>
      <c r="E5326" s="32" t="s">
        <v>180</v>
      </c>
      <c r="F5326" s="32" t="s">
        <v>14362</v>
      </c>
      <c r="G5326" s="39" t="s">
        <v>181</v>
      </c>
      <c r="H5326" s="33"/>
      <c r="I5326" s="33"/>
      <c r="J5326" s="33"/>
      <c r="K5326" s="33"/>
      <c r="L5326" s="33"/>
      <c r="M5326" s="33"/>
    </row>
    <row r="5327">
      <c r="A5327" s="32" t="s">
        <v>14363</v>
      </c>
      <c r="B5327" s="32" t="s">
        <v>14364</v>
      </c>
      <c r="C5327" s="35">
        <v>-51.68569946</v>
      </c>
      <c r="D5327" s="35">
        <v>-57.77759933</v>
      </c>
      <c r="E5327" s="32" t="s">
        <v>12238</v>
      </c>
      <c r="F5327" s="32" t="s">
        <v>14365</v>
      </c>
      <c r="G5327" s="36" t="e">
        <v>#N/A</v>
      </c>
      <c r="H5327" s="33"/>
      <c r="I5327" s="33"/>
      <c r="J5327" s="33"/>
      <c r="K5327" s="33"/>
      <c r="L5327" s="33"/>
      <c r="M5327" s="33"/>
    </row>
    <row r="5328">
      <c r="A5328" s="32" t="s">
        <v>14366</v>
      </c>
      <c r="B5328" s="32" t="s">
        <v>14367</v>
      </c>
      <c r="C5328" s="35">
        <v>-18.97529984</v>
      </c>
      <c r="D5328" s="35">
        <v>-57.8205986</v>
      </c>
      <c r="E5328" s="32" t="s">
        <v>323</v>
      </c>
      <c r="F5328" s="32" t="s">
        <v>14368</v>
      </c>
      <c r="G5328" s="36" t="e">
        <v>#N/A</v>
      </c>
      <c r="H5328" s="33"/>
      <c r="I5328" s="33"/>
      <c r="J5328" s="33"/>
      <c r="K5328" s="33"/>
      <c r="L5328" s="33"/>
      <c r="M5328" s="33"/>
    </row>
    <row r="5329">
      <c r="A5329" s="32" t="s">
        <v>14369</v>
      </c>
      <c r="B5329" s="32" t="s">
        <v>14370</v>
      </c>
      <c r="C5329" s="35">
        <v>37.18379974</v>
      </c>
      <c r="D5329" s="35">
        <v>-77.50740051</v>
      </c>
      <c r="E5329" s="32" t="s">
        <v>180</v>
      </c>
      <c r="F5329" s="32" t="s">
        <v>14330</v>
      </c>
      <c r="G5329" s="39" t="s">
        <v>181</v>
      </c>
      <c r="H5329" s="33"/>
      <c r="I5329" s="33"/>
      <c r="J5329" s="33"/>
      <c r="K5329" s="33"/>
      <c r="L5329" s="33"/>
      <c r="M5329" s="33"/>
    </row>
    <row r="5330">
      <c r="A5330" s="32" t="s">
        <v>14371</v>
      </c>
      <c r="B5330" s="32" t="s">
        <v>14372</v>
      </c>
      <c r="C5330" s="35">
        <v>-17.7779007</v>
      </c>
      <c r="D5330" s="35">
        <v>177.1970062</v>
      </c>
      <c r="E5330" s="32" t="s">
        <v>9136</v>
      </c>
      <c r="F5330" s="32" t="s">
        <v>14373</v>
      </c>
      <c r="G5330" s="36" t="e">
        <v>#N/A</v>
      </c>
      <c r="H5330" s="33"/>
      <c r="I5330" s="33"/>
      <c r="J5330" s="33"/>
      <c r="K5330" s="33"/>
      <c r="L5330" s="33"/>
      <c r="M5330" s="33"/>
    </row>
    <row r="5331">
      <c r="A5331" s="32" t="s">
        <v>14374</v>
      </c>
      <c r="B5331" s="32" t="s">
        <v>14375</v>
      </c>
      <c r="C5331" s="35">
        <v>-23.845269</v>
      </c>
      <c r="D5331" s="35">
        <v>29.458615</v>
      </c>
      <c r="E5331" s="32" t="s">
        <v>16</v>
      </c>
      <c r="F5331" s="32" t="s">
        <v>14376</v>
      </c>
      <c r="G5331" s="36" t="e">
        <v>#N/A</v>
      </c>
      <c r="H5331" s="33"/>
      <c r="I5331" s="33"/>
      <c r="J5331" s="33"/>
      <c r="K5331" s="33"/>
      <c r="L5331" s="33"/>
      <c r="M5331" s="33"/>
    </row>
    <row r="5332">
      <c r="A5332" s="32" t="s">
        <v>14377</v>
      </c>
      <c r="B5332" s="32" t="s">
        <v>14378</v>
      </c>
      <c r="C5332" s="35">
        <v>56.95909882</v>
      </c>
      <c r="D5332" s="35">
        <v>-158.6329956</v>
      </c>
      <c r="E5332" s="32" t="s">
        <v>180</v>
      </c>
      <c r="F5332" s="32" t="s">
        <v>14379</v>
      </c>
      <c r="G5332" s="39" t="s">
        <v>181</v>
      </c>
      <c r="H5332" s="33"/>
      <c r="I5332" s="33"/>
      <c r="J5332" s="33"/>
      <c r="K5332" s="33"/>
      <c r="L5332" s="33"/>
      <c r="M5332" s="33"/>
    </row>
    <row r="5333">
      <c r="A5333" s="32" t="s">
        <v>14380</v>
      </c>
      <c r="B5333" s="32" t="s">
        <v>14381</v>
      </c>
      <c r="C5333" s="35">
        <v>-38.31809998</v>
      </c>
      <c r="D5333" s="35">
        <v>141.470993</v>
      </c>
      <c r="E5333" s="32" t="s">
        <v>1968</v>
      </c>
      <c r="F5333" s="32" t="s">
        <v>13808</v>
      </c>
      <c r="G5333" s="36" t="e">
        <v>#N/A</v>
      </c>
      <c r="H5333" s="33"/>
      <c r="I5333" s="33"/>
      <c r="J5333" s="33"/>
      <c r="K5333" s="33"/>
      <c r="L5333" s="33"/>
      <c r="M5333" s="33"/>
    </row>
    <row r="5334">
      <c r="A5334" s="32" t="s">
        <v>14382</v>
      </c>
      <c r="B5334" s="32" t="s">
        <v>14383</v>
      </c>
      <c r="C5334" s="35">
        <v>42.66550064</v>
      </c>
      <c r="D5334" s="35">
        <v>-83.42009735</v>
      </c>
      <c r="E5334" s="32" t="s">
        <v>180</v>
      </c>
      <c r="F5334" s="32" t="s">
        <v>14384</v>
      </c>
      <c r="G5334" s="39" t="s">
        <v>181</v>
      </c>
      <c r="H5334" s="33"/>
      <c r="I5334" s="33"/>
      <c r="J5334" s="33"/>
      <c r="K5334" s="33"/>
      <c r="L5334" s="33"/>
      <c r="M5334" s="33"/>
    </row>
    <row r="5335">
      <c r="A5335" s="32" t="s">
        <v>14385</v>
      </c>
      <c r="B5335" s="32" t="s">
        <v>14386</v>
      </c>
      <c r="C5335" s="35">
        <v>16.26530075</v>
      </c>
      <c r="D5335" s="35">
        <v>-61.53179932</v>
      </c>
      <c r="E5335" s="32" t="s">
        <v>4470</v>
      </c>
      <c r="F5335" s="32" t="s">
        <v>14387</v>
      </c>
      <c r="G5335" s="36" t="e">
        <v>#N/A</v>
      </c>
      <c r="H5335" s="33"/>
      <c r="I5335" s="33"/>
      <c r="J5335" s="33"/>
      <c r="K5335" s="33"/>
      <c r="L5335" s="33"/>
      <c r="M5335" s="33"/>
    </row>
    <row r="5336">
      <c r="A5336" s="32" t="s">
        <v>14388</v>
      </c>
      <c r="B5336" s="32" t="s">
        <v>14389</v>
      </c>
      <c r="C5336" s="35">
        <v>37.70159912</v>
      </c>
      <c r="D5336" s="35">
        <v>-98.74690247</v>
      </c>
      <c r="E5336" s="32" t="s">
        <v>180</v>
      </c>
      <c r="F5336" s="32" t="s">
        <v>14390</v>
      </c>
      <c r="G5336" s="39" t="s">
        <v>181</v>
      </c>
      <c r="H5336" s="33"/>
      <c r="I5336" s="33"/>
      <c r="J5336" s="33"/>
      <c r="K5336" s="33"/>
      <c r="L5336" s="33"/>
      <c r="M5336" s="33"/>
    </row>
    <row r="5337">
      <c r="A5337" s="32" t="s">
        <v>14391</v>
      </c>
      <c r="B5337" s="32" t="s">
        <v>14392</v>
      </c>
      <c r="C5337" s="35">
        <v>59.01139832</v>
      </c>
      <c r="D5337" s="35">
        <v>-161.8200073</v>
      </c>
      <c r="E5337" s="32" t="s">
        <v>180</v>
      </c>
      <c r="F5337" s="32" t="s">
        <v>14393</v>
      </c>
      <c r="G5337" s="39" t="s">
        <v>181</v>
      </c>
      <c r="H5337" s="33"/>
      <c r="I5337" s="33"/>
      <c r="J5337" s="33"/>
      <c r="K5337" s="33"/>
      <c r="L5337" s="33"/>
      <c r="M5337" s="33"/>
    </row>
    <row r="5338">
      <c r="A5338" s="32" t="s">
        <v>14394</v>
      </c>
      <c r="B5338" s="32" t="s">
        <v>14395</v>
      </c>
      <c r="C5338" s="35">
        <v>9.071359634</v>
      </c>
      <c r="D5338" s="35">
        <v>-79.38349915</v>
      </c>
      <c r="E5338" s="32" t="s">
        <v>327</v>
      </c>
      <c r="F5338" s="32" t="s">
        <v>7080</v>
      </c>
      <c r="G5338" s="36" t="e">
        <v>#N/A</v>
      </c>
      <c r="H5338" s="33"/>
      <c r="I5338" s="33"/>
      <c r="J5338" s="33"/>
      <c r="K5338" s="33"/>
      <c r="L5338" s="33"/>
      <c r="M5338" s="33"/>
    </row>
    <row r="5339">
      <c r="A5339" s="32" t="s">
        <v>14396</v>
      </c>
      <c r="B5339" s="32" t="s">
        <v>14397</v>
      </c>
      <c r="C5339" s="35">
        <v>-1.505239964</v>
      </c>
      <c r="D5339" s="35">
        <v>-78.06269836</v>
      </c>
      <c r="E5339" s="32" t="s">
        <v>311</v>
      </c>
      <c r="F5339" s="32" t="s">
        <v>14398</v>
      </c>
      <c r="G5339" s="36" t="e">
        <v>#N/A</v>
      </c>
      <c r="H5339" s="33"/>
      <c r="I5339" s="33"/>
      <c r="J5339" s="33"/>
      <c r="K5339" s="33"/>
      <c r="L5339" s="33"/>
      <c r="M5339" s="33"/>
    </row>
    <row r="5340">
      <c r="A5340" s="32" t="s">
        <v>14399</v>
      </c>
      <c r="B5340" s="32" t="s">
        <v>14400</v>
      </c>
      <c r="C5340" s="35">
        <v>38.28910065</v>
      </c>
      <c r="D5340" s="35">
        <v>-104.4970016</v>
      </c>
      <c r="E5340" s="32" t="s">
        <v>180</v>
      </c>
      <c r="F5340" s="32" t="s">
        <v>14401</v>
      </c>
      <c r="G5340" s="39" t="s">
        <v>181</v>
      </c>
      <c r="H5340" s="33"/>
      <c r="I5340" s="33"/>
      <c r="J5340" s="33"/>
      <c r="K5340" s="33"/>
      <c r="L5340" s="33"/>
      <c r="M5340" s="33"/>
    </row>
    <row r="5341">
      <c r="A5341" s="32" t="s">
        <v>14402</v>
      </c>
      <c r="B5341" s="32" t="s">
        <v>14403</v>
      </c>
      <c r="C5341" s="35">
        <v>39.61389923</v>
      </c>
      <c r="D5341" s="35">
        <v>-110.7509995</v>
      </c>
      <c r="E5341" s="32" t="s">
        <v>180</v>
      </c>
      <c r="F5341" s="32" t="s">
        <v>14404</v>
      </c>
      <c r="G5341" s="39" t="s">
        <v>181</v>
      </c>
      <c r="H5341" s="33"/>
      <c r="I5341" s="33"/>
      <c r="J5341" s="33"/>
      <c r="K5341" s="33"/>
      <c r="L5341" s="33"/>
      <c r="M5341" s="33"/>
    </row>
    <row r="5342">
      <c r="A5342" s="32" t="s">
        <v>14405</v>
      </c>
      <c r="B5342" s="32" t="s">
        <v>14406</v>
      </c>
      <c r="C5342" s="35">
        <v>-47.7353</v>
      </c>
      <c r="D5342" s="35">
        <v>-65.9041</v>
      </c>
      <c r="E5342" s="32" t="s">
        <v>296</v>
      </c>
      <c r="F5342" s="32" t="s">
        <v>14407</v>
      </c>
      <c r="G5342" s="36" t="e">
        <v>#N/A</v>
      </c>
      <c r="H5342" s="33"/>
      <c r="I5342" s="33"/>
      <c r="J5342" s="33"/>
      <c r="K5342" s="33"/>
      <c r="L5342" s="33"/>
      <c r="M5342" s="33"/>
    </row>
    <row r="5343">
      <c r="A5343" s="32" t="s">
        <v>14408</v>
      </c>
      <c r="B5343" s="32" t="s">
        <v>14409</v>
      </c>
      <c r="C5343" s="35">
        <v>8.667</v>
      </c>
      <c r="D5343" s="35">
        <v>-77.418</v>
      </c>
      <c r="E5343" s="32" t="s">
        <v>327</v>
      </c>
      <c r="F5343" s="32" t="s">
        <v>14410</v>
      </c>
      <c r="G5343" s="36" t="e">
        <v>#N/A</v>
      </c>
      <c r="H5343" s="33"/>
      <c r="I5343" s="33"/>
      <c r="J5343" s="33"/>
      <c r="K5343" s="33"/>
      <c r="L5343" s="33"/>
      <c r="M5343" s="33"/>
    </row>
    <row r="5344">
      <c r="A5344" s="32" t="s">
        <v>14411</v>
      </c>
      <c r="B5344" s="32" t="s">
        <v>14412</v>
      </c>
      <c r="C5344" s="35">
        <v>43.38000107</v>
      </c>
      <c r="D5344" s="35">
        <v>-0.41861099</v>
      </c>
      <c r="E5344" s="32" t="s">
        <v>96</v>
      </c>
      <c r="F5344" s="32" t="s">
        <v>14413</v>
      </c>
      <c r="G5344" s="39" t="s">
        <v>97</v>
      </c>
      <c r="H5344" s="33"/>
      <c r="I5344" s="33"/>
      <c r="J5344" s="33"/>
      <c r="K5344" s="33"/>
      <c r="L5344" s="33"/>
      <c r="M5344" s="33"/>
    </row>
    <row r="5345">
      <c r="A5345" s="32" t="s">
        <v>14414</v>
      </c>
      <c r="B5345" s="32" t="s">
        <v>14415</v>
      </c>
      <c r="C5345" s="35">
        <v>-32.50690079</v>
      </c>
      <c r="D5345" s="35">
        <v>137.7169952</v>
      </c>
      <c r="E5345" s="32" t="s">
        <v>1968</v>
      </c>
      <c r="F5345" s="32" t="s">
        <v>8482</v>
      </c>
      <c r="G5345" s="36" t="e">
        <v>#N/A</v>
      </c>
      <c r="H5345" s="33"/>
      <c r="I5345" s="33"/>
      <c r="J5345" s="33"/>
      <c r="K5345" s="33"/>
      <c r="L5345" s="33"/>
      <c r="M5345" s="33"/>
    </row>
    <row r="5346">
      <c r="A5346" s="32" t="s">
        <v>14416</v>
      </c>
      <c r="B5346" s="32" t="s">
        <v>14417</v>
      </c>
      <c r="C5346" s="35">
        <v>18.56739998</v>
      </c>
      <c r="D5346" s="35">
        <v>-68.36340332</v>
      </c>
      <c r="E5346" s="32" t="s">
        <v>335</v>
      </c>
      <c r="F5346" s="32" t="s">
        <v>14418</v>
      </c>
      <c r="G5346" s="36" t="e">
        <v>#N/A</v>
      </c>
      <c r="H5346" s="33"/>
      <c r="I5346" s="33"/>
      <c r="J5346" s="33"/>
      <c r="K5346" s="33"/>
      <c r="L5346" s="33"/>
      <c r="M5346" s="33"/>
    </row>
    <row r="5347">
      <c r="A5347" s="32" t="s">
        <v>14419</v>
      </c>
      <c r="B5347" s="32" t="s">
        <v>14420</v>
      </c>
      <c r="C5347" s="35">
        <v>-18.29560089</v>
      </c>
      <c r="D5347" s="35">
        <v>-137.0169983</v>
      </c>
      <c r="E5347" s="32" t="s">
        <v>1325</v>
      </c>
      <c r="F5347" s="32" t="s">
        <v>14421</v>
      </c>
      <c r="G5347" s="36" t="e">
        <v>#N/A</v>
      </c>
      <c r="H5347" s="33"/>
      <c r="I5347" s="33"/>
      <c r="J5347" s="33"/>
      <c r="K5347" s="33"/>
      <c r="L5347" s="33"/>
      <c r="M5347" s="33"/>
    </row>
    <row r="5348">
      <c r="A5348" s="32" t="s">
        <v>14422</v>
      </c>
      <c r="B5348" s="32" t="s">
        <v>14423</v>
      </c>
      <c r="C5348" s="35">
        <v>-53.00260162</v>
      </c>
      <c r="D5348" s="35">
        <v>-70.854599</v>
      </c>
      <c r="E5348" s="32" t="s">
        <v>300</v>
      </c>
      <c r="F5348" s="32" t="s">
        <v>14424</v>
      </c>
      <c r="G5348" s="36" t="e">
        <v>#N/A</v>
      </c>
      <c r="H5348" s="33"/>
      <c r="I5348" s="33"/>
      <c r="J5348" s="33"/>
      <c r="K5348" s="33"/>
      <c r="L5348" s="33"/>
      <c r="M5348" s="33"/>
    </row>
    <row r="5349">
      <c r="A5349" s="32" t="s">
        <v>14425</v>
      </c>
      <c r="B5349" s="32" t="s">
        <v>14426</v>
      </c>
      <c r="C5349" s="35">
        <v>-11.10766315</v>
      </c>
      <c r="D5349" s="35">
        <v>-67.55115509</v>
      </c>
      <c r="E5349" s="32" t="s">
        <v>323</v>
      </c>
      <c r="F5349" s="32" t="s">
        <v>14427</v>
      </c>
      <c r="G5349" s="36" t="e">
        <v>#N/A</v>
      </c>
      <c r="H5349" s="33"/>
      <c r="I5349" s="33"/>
      <c r="J5349" s="33"/>
      <c r="K5349" s="33"/>
      <c r="L5349" s="33"/>
      <c r="M5349" s="33"/>
    </row>
    <row r="5350">
      <c r="A5350" s="32" t="s">
        <v>14428</v>
      </c>
      <c r="B5350" s="32" t="s">
        <v>14429</v>
      </c>
      <c r="C5350" s="35">
        <v>35.17950058</v>
      </c>
      <c r="D5350" s="35">
        <v>128.9380035</v>
      </c>
      <c r="E5350" s="32" t="s">
        <v>151</v>
      </c>
      <c r="F5350" s="32" t="s">
        <v>14430</v>
      </c>
      <c r="G5350" s="39" t="s">
        <v>152</v>
      </c>
      <c r="H5350" s="33"/>
      <c r="I5350" s="33"/>
      <c r="J5350" s="33"/>
      <c r="K5350" s="33"/>
      <c r="L5350" s="33"/>
      <c r="M5350" s="33"/>
    </row>
    <row r="5351">
      <c r="A5351" s="32" t="s">
        <v>14431</v>
      </c>
      <c r="B5351" s="32" t="s">
        <v>14432</v>
      </c>
      <c r="C5351" s="35">
        <v>14.14929962</v>
      </c>
      <c r="D5351" s="35">
        <v>77.79109955</v>
      </c>
      <c r="E5351" s="32" t="s">
        <v>217</v>
      </c>
      <c r="F5351" s="32" t="s">
        <v>14433</v>
      </c>
      <c r="G5351" s="39" t="s">
        <v>218</v>
      </c>
      <c r="H5351" s="33"/>
      <c r="I5351" s="33"/>
      <c r="J5351" s="33"/>
      <c r="K5351" s="33"/>
      <c r="L5351" s="33"/>
      <c r="M5351" s="33"/>
    </row>
    <row r="5352">
      <c r="A5352" s="32" t="s">
        <v>14434</v>
      </c>
      <c r="B5352" s="32" t="s">
        <v>14435</v>
      </c>
      <c r="C5352" s="35">
        <v>0.505228</v>
      </c>
      <c r="D5352" s="35">
        <v>-76.5008</v>
      </c>
      <c r="E5352" s="32" t="s">
        <v>292</v>
      </c>
      <c r="F5352" s="32" t="s">
        <v>14436</v>
      </c>
      <c r="G5352" s="36" t="e">
        <v>#N/A</v>
      </c>
      <c r="H5352" s="33"/>
      <c r="I5352" s="33"/>
      <c r="J5352" s="33"/>
      <c r="K5352" s="33"/>
      <c r="L5352" s="33"/>
      <c r="M5352" s="33"/>
    </row>
    <row r="5353">
      <c r="A5353" s="32" t="s">
        <v>14437</v>
      </c>
      <c r="B5353" s="32" t="s">
        <v>14438</v>
      </c>
      <c r="C5353" s="35">
        <v>46.7439</v>
      </c>
      <c r="D5353" s="35">
        <v>-117.110001</v>
      </c>
      <c r="E5353" s="32" t="s">
        <v>180</v>
      </c>
      <c r="F5353" s="32" t="s">
        <v>14439</v>
      </c>
      <c r="G5353" s="39" t="s">
        <v>181</v>
      </c>
      <c r="H5353" s="33"/>
      <c r="I5353" s="33"/>
      <c r="J5353" s="33"/>
      <c r="K5353" s="33"/>
      <c r="L5353" s="33"/>
      <c r="M5353" s="33"/>
    </row>
    <row r="5354">
      <c r="A5354" s="32" t="s">
        <v>14440</v>
      </c>
      <c r="B5354" s="32" t="s">
        <v>14441</v>
      </c>
      <c r="C5354" s="35">
        <v>44.89350128</v>
      </c>
      <c r="D5354" s="35">
        <v>13.9222002</v>
      </c>
      <c r="E5354" s="32" t="s">
        <v>211</v>
      </c>
      <c r="F5354" s="32" t="s">
        <v>14442</v>
      </c>
      <c r="G5354" s="39" t="s">
        <v>212</v>
      </c>
      <c r="H5354" s="33"/>
      <c r="I5354" s="33"/>
      <c r="J5354" s="33"/>
      <c r="K5354" s="33"/>
      <c r="L5354" s="33"/>
      <c r="M5354" s="33"/>
    </row>
    <row r="5355">
      <c r="A5355" s="32" t="s">
        <v>14443</v>
      </c>
      <c r="B5355" s="32" t="s">
        <v>14444</v>
      </c>
      <c r="C5355" s="35">
        <v>14.0472002</v>
      </c>
      <c r="D5355" s="35">
        <v>-83.38670349</v>
      </c>
      <c r="E5355" s="32" t="s">
        <v>1260</v>
      </c>
      <c r="F5355" s="32" t="s">
        <v>14445</v>
      </c>
      <c r="G5355" s="36" t="e">
        <v>#N/A</v>
      </c>
      <c r="H5355" s="33"/>
      <c r="I5355" s="33"/>
      <c r="J5355" s="33"/>
      <c r="K5355" s="33"/>
      <c r="L5355" s="33"/>
      <c r="M5355" s="33"/>
    </row>
    <row r="5356">
      <c r="A5356" s="32" t="s">
        <v>14446</v>
      </c>
      <c r="B5356" s="32" t="s">
        <v>14447</v>
      </c>
      <c r="C5356" s="35">
        <v>13.3569</v>
      </c>
      <c r="D5356" s="35">
        <v>-81.3583</v>
      </c>
      <c r="E5356" s="32" t="s">
        <v>292</v>
      </c>
      <c r="F5356" s="32" t="s">
        <v>14448</v>
      </c>
      <c r="G5356" s="36" t="e">
        <v>#N/A</v>
      </c>
      <c r="H5356" s="33"/>
      <c r="I5356" s="33"/>
      <c r="J5356" s="33"/>
      <c r="K5356" s="33"/>
      <c r="L5356" s="33"/>
      <c r="M5356" s="33"/>
    </row>
    <row r="5357">
      <c r="A5357" s="32" t="s">
        <v>14449</v>
      </c>
      <c r="B5357" s="32" t="s">
        <v>14450</v>
      </c>
      <c r="C5357" s="35">
        <v>42.07189941</v>
      </c>
      <c r="D5357" s="35">
        <v>-70.2213974</v>
      </c>
      <c r="E5357" s="32" t="s">
        <v>180</v>
      </c>
      <c r="F5357" s="32" t="s">
        <v>14451</v>
      </c>
      <c r="G5357" s="39" t="s">
        <v>181</v>
      </c>
      <c r="H5357" s="33"/>
      <c r="I5357" s="33"/>
      <c r="J5357" s="33"/>
      <c r="K5357" s="33"/>
      <c r="L5357" s="33"/>
      <c r="M5357" s="33"/>
    </row>
    <row r="5358">
      <c r="A5358" s="32" t="s">
        <v>14452</v>
      </c>
      <c r="B5358" s="32" t="s">
        <v>14453</v>
      </c>
      <c r="C5358" s="35">
        <v>41.73260117</v>
      </c>
      <c r="D5358" s="35">
        <v>-71.42040253</v>
      </c>
      <c r="E5358" s="32" t="s">
        <v>180</v>
      </c>
      <c r="F5358" s="32" t="s">
        <v>14454</v>
      </c>
      <c r="G5358" s="39" t="s">
        <v>181</v>
      </c>
      <c r="H5358" s="33"/>
      <c r="I5358" s="33"/>
      <c r="J5358" s="33"/>
      <c r="K5358" s="33"/>
      <c r="L5358" s="33"/>
      <c r="M5358" s="33"/>
    </row>
    <row r="5359">
      <c r="A5359" s="32" t="s">
        <v>14455</v>
      </c>
      <c r="B5359" s="32" t="s">
        <v>14456</v>
      </c>
      <c r="C5359" s="35">
        <v>31.14340019</v>
      </c>
      <c r="D5359" s="35">
        <v>121.8050003</v>
      </c>
      <c r="E5359" s="32" t="s">
        <v>205</v>
      </c>
      <c r="F5359" s="32" t="s">
        <v>14457</v>
      </c>
      <c r="G5359" s="39" t="s">
        <v>206</v>
      </c>
      <c r="H5359" s="33"/>
      <c r="I5359" s="33"/>
      <c r="J5359" s="33"/>
      <c r="K5359" s="33"/>
      <c r="L5359" s="33"/>
      <c r="M5359" s="33"/>
    </row>
    <row r="5360">
      <c r="A5360" s="32" t="s">
        <v>14458</v>
      </c>
      <c r="B5360" s="32" t="s">
        <v>14459</v>
      </c>
      <c r="C5360" s="35">
        <v>-8.709289551</v>
      </c>
      <c r="D5360" s="35">
        <v>-63.90230179</v>
      </c>
      <c r="E5360" s="32" t="s">
        <v>288</v>
      </c>
      <c r="F5360" s="32" t="s">
        <v>14460</v>
      </c>
      <c r="G5360" s="36" t="e">
        <v>#N/A</v>
      </c>
      <c r="H5360" s="33"/>
      <c r="I5360" s="33"/>
      <c r="J5360" s="33"/>
      <c r="K5360" s="33"/>
      <c r="L5360" s="33"/>
      <c r="M5360" s="33"/>
    </row>
    <row r="5361">
      <c r="A5361" s="32" t="s">
        <v>14461</v>
      </c>
      <c r="B5361" s="32" t="s">
        <v>14462</v>
      </c>
      <c r="C5361" s="35">
        <v>38.92549896</v>
      </c>
      <c r="D5361" s="35">
        <v>20.76530075</v>
      </c>
      <c r="E5361" s="32" t="s">
        <v>339</v>
      </c>
      <c r="F5361" s="32" t="s">
        <v>14463</v>
      </c>
      <c r="G5361" s="36" t="e">
        <v>#N/A</v>
      </c>
      <c r="H5361" s="33"/>
      <c r="I5361" s="33"/>
      <c r="J5361" s="33"/>
      <c r="K5361" s="33"/>
      <c r="L5361" s="33"/>
      <c r="M5361" s="33"/>
    </row>
    <row r="5362">
      <c r="A5362" s="32" t="s">
        <v>14464</v>
      </c>
      <c r="B5362" s="32" t="s">
        <v>14465</v>
      </c>
      <c r="C5362" s="35">
        <v>-1.041650057</v>
      </c>
      <c r="D5362" s="35">
        <v>-80.47219849</v>
      </c>
      <c r="E5362" s="32" t="s">
        <v>311</v>
      </c>
      <c r="F5362" s="32" t="s">
        <v>14466</v>
      </c>
      <c r="G5362" s="36" t="e">
        <v>#N/A</v>
      </c>
      <c r="H5362" s="33"/>
      <c r="I5362" s="33"/>
      <c r="J5362" s="33"/>
      <c r="K5362" s="33"/>
      <c r="L5362" s="33"/>
      <c r="M5362" s="33"/>
    </row>
    <row r="5363">
      <c r="A5363" s="32" t="s">
        <v>14467</v>
      </c>
      <c r="B5363" s="32" t="s">
        <v>14468</v>
      </c>
      <c r="C5363" s="35">
        <v>20.68009949</v>
      </c>
      <c r="D5363" s="35">
        <v>-105.2539978</v>
      </c>
      <c r="E5363" s="32" t="s">
        <v>186</v>
      </c>
      <c r="F5363" s="32" t="s">
        <v>14469</v>
      </c>
      <c r="G5363" s="39" t="s">
        <v>187</v>
      </c>
      <c r="H5363" s="33"/>
      <c r="I5363" s="33"/>
      <c r="J5363" s="33"/>
      <c r="K5363" s="33"/>
      <c r="L5363" s="33"/>
      <c r="M5363" s="33"/>
    </row>
    <row r="5364">
      <c r="A5364" s="32" t="s">
        <v>14470</v>
      </c>
      <c r="B5364" s="32" t="s">
        <v>14471</v>
      </c>
      <c r="C5364" s="35">
        <v>64.37809753</v>
      </c>
      <c r="D5364" s="35">
        <v>-173.2429962</v>
      </c>
      <c r="E5364" s="32" t="s">
        <v>2040</v>
      </c>
      <c r="F5364" s="32" t="s">
        <v>14472</v>
      </c>
      <c r="G5364" s="36" t="e">
        <v>#N/A</v>
      </c>
      <c r="H5364" s="33"/>
      <c r="I5364" s="33"/>
      <c r="J5364" s="33"/>
      <c r="K5364" s="33"/>
      <c r="L5364" s="33"/>
      <c r="M5364" s="33"/>
    </row>
    <row r="5365">
      <c r="A5365" s="32" t="s">
        <v>14473</v>
      </c>
      <c r="B5365" s="32" t="s">
        <v>14474</v>
      </c>
      <c r="C5365" s="35">
        <v>40.21920013</v>
      </c>
      <c r="D5365" s="35">
        <v>-111.7229996</v>
      </c>
      <c r="E5365" s="32" t="s">
        <v>180</v>
      </c>
      <c r="F5365" s="32" t="s">
        <v>14475</v>
      </c>
      <c r="G5365" s="39" t="s">
        <v>181</v>
      </c>
      <c r="H5365" s="33"/>
      <c r="I5365" s="33"/>
      <c r="J5365" s="33"/>
      <c r="K5365" s="33"/>
      <c r="L5365" s="33"/>
      <c r="M5365" s="33"/>
    </row>
    <row r="5366">
      <c r="A5366" s="32" t="s">
        <v>14476</v>
      </c>
      <c r="B5366" s="32" t="s">
        <v>14477</v>
      </c>
      <c r="C5366" s="35">
        <v>69.78330231</v>
      </c>
      <c r="D5366" s="35">
        <v>170.5970001</v>
      </c>
      <c r="E5366" s="32" t="s">
        <v>2040</v>
      </c>
      <c r="F5366" s="32" t="s">
        <v>14478</v>
      </c>
      <c r="G5366" s="36" t="e">
        <v>#N/A</v>
      </c>
      <c r="H5366" s="33"/>
      <c r="I5366" s="33"/>
      <c r="J5366" s="33"/>
      <c r="K5366" s="33"/>
      <c r="L5366" s="33"/>
      <c r="M5366" s="33"/>
    </row>
    <row r="5367">
      <c r="A5367" s="32" t="s">
        <v>14479</v>
      </c>
      <c r="B5367" s="32" t="s">
        <v>14480</v>
      </c>
      <c r="C5367" s="35">
        <v>42.114222</v>
      </c>
      <c r="D5367" s="35">
        <v>-87.901494</v>
      </c>
      <c r="E5367" s="32" t="s">
        <v>180</v>
      </c>
      <c r="F5367" s="32" t="s">
        <v>14481</v>
      </c>
      <c r="G5367" s="39" t="s">
        <v>181</v>
      </c>
      <c r="H5367" s="33"/>
      <c r="I5367" s="33"/>
      <c r="J5367" s="33"/>
      <c r="K5367" s="33"/>
      <c r="L5367" s="33"/>
      <c r="M5367" s="33"/>
    </row>
    <row r="5368">
      <c r="A5368" s="32" t="s">
        <v>14482</v>
      </c>
      <c r="B5368" s="32" t="s">
        <v>14483</v>
      </c>
      <c r="C5368" s="35">
        <v>43.64619827</v>
      </c>
      <c r="D5368" s="35">
        <v>-70.30930328</v>
      </c>
      <c r="E5368" s="32" t="s">
        <v>180</v>
      </c>
      <c r="F5368" s="32" t="s">
        <v>13808</v>
      </c>
      <c r="G5368" s="39" t="s">
        <v>181</v>
      </c>
      <c r="H5368" s="33"/>
      <c r="I5368" s="33"/>
      <c r="J5368" s="33"/>
      <c r="K5368" s="33"/>
      <c r="L5368" s="33"/>
      <c r="M5368" s="33"/>
    </row>
    <row r="5369">
      <c r="A5369" s="32" t="s">
        <v>14484</v>
      </c>
      <c r="B5369" s="32" t="s">
        <v>14485</v>
      </c>
      <c r="C5369" s="35">
        <v>52.19499969</v>
      </c>
      <c r="D5369" s="35">
        <v>77.07389832</v>
      </c>
      <c r="E5369" s="32" t="s">
        <v>2817</v>
      </c>
      <c r="F5369" s="32" t="s">
        <v>14486</v>
      </c>
      <c r="G5369" s="36" t="e">
        <v>#N/A</v>
      </c>
      <c r="H5369" s="33"/>
      <c r="I5369" s="33"/>
      <c r="J5369" s="33"/>
      <c r="K5369" s="33"/>
      <c r="L5369" s="33"/>
      <c r="M5369" s="33"/>
    </row>
    <row r="5370">
      <c r="A5370" s="32" t="s">
        <v>14487</v>
      </c>
      <c r="B5370" s="32" t="s">
        <v>14488</v>
      </c>
      <c r="C5370" s="35">
        <v>47.49020004</v>
      </c>
      <c r="D5370" s="35">
        <v>-122.7649994</v>
      </c>
      <c r="E5370" s="32" t="s">
        <v>180</v>
      </c>
      <c r="F5370" s="32" t="s">
        <v>14489</v>
      </c>
      <c r="G5370" s="39" t="s">
        <v>181</v>
      </c>
      <c r="H5370" s="33"/>
      <c r="I5370" s="33"/>
      <c r="J5370" s="33"/>
      <c r="K5370" s="33"/>
      <c r="L5370" s="33"/>
      <c r="M5370" s="33"/>
    </row>
    <row r="5371">
      <c r="A5371" s="32" t="s">
        <v>14490</v>
      </c>
      <c r="B5371" s="32" t="s">
        <v>14491</v>
      </c>
      <c r="C5371" s="35">
        <v>42.79550171</v>
      </c>
      <c r="D5371" s="35">
        <v>-109.8069992</v>
      </c>
      <c r="E5371" s="32" t="s">
        <v>180</v>
      </c>
      <c r="F5371" s="32" t="s">
        <v>14492</v>
      </c>
      <c r="G5371" s="39" t="s">
        <v>181</v>
      </c>
      <c r="H5371" s="33"/>
      <c r="I5371" s="33"/>
      <c r="J5371" s="33"/>
      <c r="K5371" s="33"/>
      <c r="L5371" s="33"/>
      <c r="M5371" s="33"/>
    </row>
    <row r="5372">
      <c r="A5372" s="32" t="s">
        <v>14493</v>
      </c>
      <c r="B5372" s="32" t="s">
        <v>14494</v>
      </c>
      <c r="C5372" s="35">
        <v>32.51060104</v>
      </c>
      <c r="D5372" s="35">
        <v>-83.76730347</v>
      </c>
      <c r="E5372" s="32" t="s">
        <v>180</v>
      </c>
      <c r="F5372" s="32" t="s">
        <v>2910</v>
      </c>
      <c r="G5372" s="39" t="s">
        <v>181</v>
      </c>
      <c r="H5372" s="33"/>
      <c r="I5372" s="33"/>
      <c r="J5372" s="33"/>
      <c r="K5372" s="33"/>
      <c r="L5372" s="33"/>
      <c r="M5372" s="33"/>
    </row>
    <row r="5373">
      <c r="A5373" s="32" t="s">
        <v>14495</v>
      </c>
      <c r="B5373" s="32" t="s">
        <v>14496</v>
      </c>
      <c r="C5373" s="35">
        <v>-29.716</v>
      </c>
      <c r="D5373" s="35">
        <v>135.5244</v>
      </c>
      <c r="E5373" s="32" t="s">
        <v>1968</v>
      </c>
      <c r="F5373" s="32" t="s">
        <v>14497</v>
      </c>
      <c r="G5373" s="36" t="e">
        <v>#N/A</v>
      </c>
      <c r="H5373" s="33"/>
      <c r="I5373" s="33"/>
      <c r="J5373" s="33"/>
      <c r="K5373" s="33"/>
      <c r="L5373" s="33"/>
      <c r="M5373" s="33"/>
    </row>
    <row r="5374">
      <c r="A5374" s="32" t="s">
        <v>14498</v>
      </c>
      <c r="B5374" s="32" t="s">
        <v>14499</v>
      </c>
      <c r="C5374" s="35">
        <v>15.87689972</v>
      </c>
      <c r="D5374" s="35">
        <v>-97.0891037</v>
      </c>
      <c r="E5374" s="32" t="s">
        <v>186</v>
      </c>
      <c r="F5374" s="32" t="s">
        <v>14500</v>
      </c>
      <c r="G5374" s="39" t="s">
        <v>187</v>
      </c>
      <c r="H5374" s="33"/>
      <c r="I5374" s="33"/>
      <c r="J5374" s="33"/>
      <c r="K5374" s="33"/>
      <c r="L5374" s="33"/>
      <c r="M5374" s="33"/>
    </row>
    <row r="5375">
      <c r="A5375" s="32" t="s">
        <v>14501</v>
      </c>
      <c r="B5375" s="32" t="s">
        <v>14502</v>
      </c>
      <c r="C5375" s="35">
        <v>33.07339859</v>
      </c>
      <c r="D5375" s="35">
        <v>-16.35000038</v>
      </c>
      <c r="E5375" s="32" t="s">
        <v>121</v>
      </c>
      <c r="F5375" s="32" t="s">
        <v>14503</v>
      </c>
      <c r="G5375" s="39" t="s">
        <v>122</v>
      </c>
      <c r="H5375" s="33"/>
      <c r="I5375" s="33"/>
      <c r="J5375" s="33"/>
      <c r="K5375" s="33"/>
      <c r="L5375" s="33"/>
      <c r="M5375" s="33"/>
    </row>
    <row r="5376">
      <c r="A5376" s="32" t="s">
        <v>14504</v>
      </c>
      <c r="B5376" s="32" t="s">
        <v>14505</v>
      </c>
      <c r="C5376" s="35">
        <v>14.00450039</v>
      </c>
      <c r="D5376" s="35">
        <v>108.0169983</v>
      </c>
      <c r="E5376" s="32" t="s">
        <v>1913</v>
      </c>
      <c r="F5376" s="32" t="s">
        <v>14506</v>
      </c>
      <c r="G5376" s="36" t="e">
        <v>#N/A</v>
      </c>
      <c r="H5376" s="33"/>
      <c r="I5376" s="33"/>
      <c r="J5376" s="33"/>
      <c r="K5376" s="33"/>
      <c r="L5376" s="33"/>
      <c r="M5376" s="33"/>
    </row>
    <row r="5377">
      <c r="A5377" s="32" t="s">
        <v>14507</v>
      </c>
      <c r="B5377" s="32" t="s">
        <v>14508</v>
      </c>
      <c r="C5377" s="35">
        <v>-9.014369965</v>
      </c>
      <c r="D5377" s="35">
        <v>-158.0324097</v>
      </c>
      <c r="E5377" s="32" t="s">
        <v>3772</v>
      </c>
      <c r="F5377" s="32" t="s">
        <v>14509</v>
      </c>
      <c r="G5377" s="36" t="e">
        <v>#N/A</v>
      </c>
      <c r="H5377" s="33"/>
      <c r="I5377" s="33"/>
      <c r="J5377" s="33"/>
      <c r="K5377" s="33"/>
      <c r="L5377" s="33"/>
      <c r="M5377" s="33"/>
    </row>
    <row r="5378">
      <c r="A5378" s="32" t="s">
        <v>14510</v>
      </c>
      <c r="B5378" s="32" t="s">
        <v>14511</v>
      </c>
      <c r="C5378" s="35">
        <v>5.619989872</v>
      </c>
      <c r="D5378" s="35">
        <v>-67.60610199</v>
      </c>
      <c r="E5378" s="32" t="s">
        <v>315</v>
      </c>
      <c r="F5378" s="32" t="s">
        <v>14512</v>
      </c>
      <c r="G5378" s="36" t="e">
        <v>#N/A</v>
      </c>
      <c r="H5378" s="33"/>
      <c r="I5378" s="33"/>
      <c r="J5378" s="33"/>
      <c r="K5378" s="33"/>
      <c r="L5378" s="33"/>
      <c r="M5378" s="33"/>
    </row>
    <row r="5379">
      <c r="A5379" s="32" t="s">
        <v>14513</v>
      </c>
      <c r="B5379" s="32" t="s">
        <v>14514</v>
      </c>
      <c r="C5379" s="35">
        <v>66.40039825</v>
      </c>
      <c r="D5379" s="35">
        <v>112.0299988</v>
      </c>
      <c r="E5379" s="32" t="s">
        <v>2040</v>
      </c>
      <c r="F5379" s="32" t="s">
        <v>14515</v>
      </c>
      <c r="G5379" s="36" t="e">
        <v>#N/A</v>
      </c>
      <c r="H5379" s="33"/>
      <c r="I5379" s="33"/>
      <c r="J5379" s="33"/>
      <c r="K5379" s="33"/>
      <c r="L5379" s="33"/>
      <c r="M5379" s="33"/>
    </row>
    <row r="5380">
      <c r="A5380" s="32" t="s">
        <v>14516</v>
      </c>
      <c r="B5380" s="32" t="s">
        <v>14517</v>
      </c>
      <c r="C5380" s="35">
        <v>35.77610016</v>
      </c>
      <c r="D5380" s="35">
        <v>50.8266983</v>
      </c>
      <c r="E5380" s="32" t="s">
        <v>1378</v>
      </c>
      <c r="F5380" s="32" t="s">
        <v>14518</v>
      </c>
      <c r="G5380" s="36" t="e">
        <v>#N/A</v>
      </c>
      <c r="H5380" s="33"/>
      <c r="I5380" s="33"/>
      <c r="J5380" s="33"/>
      <c r="K5380" s="33"/>
      <c r="L5380" s="33"/>
      <c r="M5380" s="33"/>
    </row>
    <row r="5381">
      <c r="A5381" s="32" t="s">
        <v>14519</v>
      </c>
      <c r="B5381" s="32" t="s">
        <v>14520</v>
      </c>
      <c r="C5381" s="35">
        <v>41.9090004</v>
      </c>
      <c r="D5381" s="35">
        <v>-70.72879791</v>
      </c>
      <c r="E5381" s="32" t="s">
        <v>180</v>
      </c>
      <c r="F5381" s="32" t="s">
        <v>14048</v>
      </c>
      <c r="G5381" s="39" t="s">
        <v>181</v>
      </c>
      <c r="H5381" s="33"/>
      <c r="I5381" s="33"/>
      <c r="J5381" s="33"/>
      <c r="K5381" s="33"/>
      <c r="L5381" s="33"/>
      <c r="M5381" s="33"/>
    </row>
    <row r="5382">
      <c r="A5382" s="32" t="s">
        <v>14521</v>
      </c>
      <c r="B5382" s="32" t="s">
        <v>14522</v>
      </c>
      <c r="C5382" s="35">
        <v>34.089977</v>
      </c>
      <c r="D5382" s="35">
        <v>-85.610069</v>
      </c>
      <c r="E5382" s="32" t="s">
        <v>180</v>
      </c>
      <c r="F5382" s="32" t="s">
        <v>14523</v>
      </c>
      <c r="G5382" s="39" t="s">
        <v>181</v>
      </c>
      <c r="H5382" s="33"/>
      <c r="I5382" s="33"/>
      <c r="J5382" s="33"/>
      <c r="K5382" s="33"/>
      <c r="L5382" s="33"/>
      <c r="M5382" s="33"/>
    </row>
    <row r="5383">
      <c r="A5383" s="32" t="s">
        <v>14524</v>
      </c>
      <c r="B5383" s="32" t="s">
        <v>14525</v>
      </c>
      <c r="C5383" s="35">
        <v>37.9207</v>
      </c>
      <c r="D5383" s="35">
        <v>21.292601</v>
      </c>
      <c r="E5383" s="32" t="s">
        <v>339</v>
      </c>
      <c r="F5383" s="32" t="s">
        <v>14526</v>
      </c>
      <c r="G5383" s="36" t="e">
        <v>#N/A</v>
      </c>
      <c r="H5383" s="33"/>
      <c r="I5383" s="33"/>
      <c r="J5383" s="33"/>
      <c r="K5383" s="33"/>
      <c r="L5383" s="33"/>
      <c r="M5383" s="33"/>
    </row>
    <row r="5384">
      <c r="A5384" s="32" t="s">
        <v>14527</v>
      </c>
      <c r="B5384" s="32" t="s">
        <v>8673</v>
      </c>
      <c r="C5384" s="35">
        <v>19.37199974</v>
      </c>
      <c r="D5384" s="35">
        <v>98.43699646</v>
      </c>
      <c r="E5384" s="32" t="s">
        <v>175</v>
      </c>
      <c r="F5384" s="32" t="s">
        <v>14528</v>
      </c>
      <c r="G5384" s="39" t="s">
        <v>176</v>
      </c>
      <c r="H5384" s="33"/>
      <c r="I5384" s="33"/>
      <c r="J5384" s="33"/>
      <c r="K5384" s="33"/>
      <c r="L5384" s="33"/>
      <c r="M5384" s="33"/>
    </row>
    <row r="5385">
      <c r="A5385" s="32" t="s">
        <v>14529</v>
      </c>
      <c r="B5385" s="32" t="s">
        <v>14530</v>
      </c>
      <c r="C5385" s="35">
        <v>5.87615</v>
      </c>
      <c r="D5385" s="35">
        <v>-71.8866</v>
      </c>
      <c r="E5385" s="32" t="s">
        <v>292</v>
      </c>
      <c r="F5385" s="32" t="s">
        <v>14531</v>
      </c>
      <c r="G5385" s="36" t="e">
        <v>#N/A</v>
      </c>
      <c r="H5385" s="33"/>
      <c r="I5385" s="33"/>
      <c r="J5385" s="33"/>
      <c r="K5385" s="33"/>
      <c r="L5385" s="33"/>
      <c r="M5385" s="33"/>
    </row>
    <row r="5386">
      <c r="A5386" s="32" t="s">
        <v>14532</v>
      </c>
      <c r="B5386" s="32" t="s">
        <v>14533</v>
      </c>
      <c r="C5386" s="35">
        <v>-29.64900017</v>
      </c>
      <c r="D5386" s="35">
        <v>30.39870071</v>
      </c>
      <c r="E5386" s="32" t="s">
        <v>16</v>
      </c>
      <c r="F5386" s="32" t="s">
        <v>14534</v>
      </c>
      <c r="G5386" s="36" t="e">
        <v>#N/A</v>
      </c>
      <c r="H5386" s="33"/>
      <c r="I5386" s="33"/>
      <c r="J5386" s="33"/>
      <c r="K5386" s="33"/>
      <c r="L5386" s="33"/>
      <c r="M5386" s="33"/>
    </row>
    <row r="5387">
      <c r="A5387" s="32" t="s">
        <v>14535</v>
      </c>
      <c r="B5387" s="32" t="s">
        <v>14536</v>
      </c>
      <c r="C5387" s="35">
        <v>50.128101</v>
      </c>
      <c r="D5387" s="35">
        <v>-5.51845</v>
      </c>
      <c r="E5387" s="32" t="s">
        <v>90</v>
      </c>
      <c r="F5387" s="32" t="s">
        <v>14537</v>
      </c>
      <c r="G5387" s="39" t="s">
        <v>91</v>
      </c>
      <c r="H5387" s="33"/>
      <c r="I5387" s="33"/>
      <c r="J5387" s="33"/>
      <c r="K5387" s="33"/>
      <c r="L5387" s="33"/>
      <c r="M5387" s="33"/>
    </row>
    <row r="5388">
      <c r="A5388" s="32" t="s">
        <v>14538</v>
      </c>
      <c r="B5388" s="32" t="s">
        <v>14539</v>
      </c>
      <c r="C5388" s="35">
        <v>31.35840034</v>
      </c>
      <c r="D5388" s="35">
        <v>69.46360016</v>
      </c>
      <c r="E5388" s="32" t="s">
        <v>1470</v>
      </c>
      <c r="F5388" s="32" t="s">
        <v>14540</v>
      </c>
      <c r="G5388" s="36" t="e">
        <v>#N/A</v>
      </c>
      <c r="H5388" s="33"/>
      <c r="I5388" s="33"/>
      <c r="J5388" s="33"/>
      <c r="K5388" s="33"/>
      <c r="L5388" s="33"/>
      <c r="M5388" s="33"/>
    </row>
    <row r="5389">
      <c r="A5389" s="32" t="s">
        <v>14541</v>
      </c>
      <c r="B5389" s="32" t="s">
        <v>14542</v>
      </c>
      <c r="C5389" s="35">
        <v>-27.84939957</v>
      </c>
      <c r="D5389" s="35">
        <v>32.30970001</v>
      </c>
      <c r="E5389" s="32" t="s">
        <v>16</v>
      </c>
      <c r="F5389" s="32" t="s">
        <v>14543</v>
      </c>
      <c r="G5389" s="36" t="e">
        <v>#N/A</v>
      </c>
      <c r="H5389" s="33"/>
      <c r="I5389" s="33"/>
      <c r="J5389" s="33"/>
      <c r="K5389" s="33"/>
      <c r="L5389" s="33"/>
      <c r="M5389" s="33"/>
    </row>
    <row r="5390">
      <c r="A5390" s="32" t="s">
        <v>14544</v>
      </c>
      <c r="B5390" s="32" t="s">
        <v>14545</v>
      </c>
      <c r="C5390" s="35">
        <v>8.28853035</v>
      </c>
      <c r="D5390" s="35">
        <v>-62.76039886</v>
      </c>
      <c r="E5390" s="32" t="s">
        <v>315</v>
      </c>
      <c r="F5390" s="32" t="s">
        <v>14546</v>
      </c>
      <c r="G5390" s="36" t="e">
        <v>#N/A</v>
      </c>
      <c r="H5390" s="33"/>
      <c r="I5390" s="33"/>
      <c r="J5390" s="33"/>
      <c r="K5390" s="33"/>
      <c r="L5390" s="33"/>
      <c r="M5390" s="33"/>
    </row>
    <row r="5391">
      <c r="A5391" s="32" t="s">
        <v>14547</v>
      </c>
      <c r="B5391" s="32" t="s">
        <v>14548</v>
      </c>
      <c r="C5391" s="35">
        <v>19.43359947</v>
      </c>
      <c r="D5391" s="35">
        <v>37.23410034</v>
      </c>
      <c r="E5391" s="32" t="s">
        <v>844</v>
      </c>
      <c r="F5391" s="32" t="s">
        <v>14549</v>
      </c>
      <c r="G5391" s="36" t="e">
        <v>#N/A</v>
      </c>
      <c r="H5391" s="33"/>
      <c r="I5391" s="33"/>
      <c r="J5391" s="33"/>
      <c r="K5391" s="33"/>
      <c r="L5391" s="33"/>
      <c r="M5391" s="33"/>
    </row>
    <row r="5392">
      <c r="A5392" s="32" t="s">
        <v>14550</v>
      </c>
      <c r="B5392" s="32" t="s">
        <v>14551</v>
      </c>
      <c r="C5392" s="35">
        <v>48.62519836</v>
      </c>
      <c r="D5392" s="35">
        <v>17.82839966</v>
      </c>
      <c r="E5392" s="32" t="s">
        <v>1229</v>
      </c>
      <c r="F5392" s="32" t="s">
        <v>14552</v>
      </c>
      <c r="G5392" s="36" t="e">
        <v>#N/A</v>
      </c>
      <c r="H5392" s="33"/>
      <c r="I5392" s="33"/>
      <c r="J5392" s="33"/>
      <c r="K5392" s="33"/>
      <c r="L5392" s="33"/>
      <c r="M5392" s="33"/>
    </row>
    <row r="5393">
      <c r="A5393" s="32" t="s">
        <v>14553</v>
      </c>
      <c r="B5393" s="32" t="s">
        <v>14554</v>
      </c>
      <c r="C5393" s="35">
        <v>36.21269989</v>
      </c>
      <c r="D5393" s="35">
        <v>1.331769943</v>
      </c>
      <c r="E5393" s="32" t="s">
        <v>20</v>
      </c>
      <c r="F5393" s="32" t="s">
        <v>14555</v>
      </c>
      <c r="G5393" s="36" t="e">
        <v>#N/A</v>
      </c>
      <c r="H5393" s="33"/>
      <c r="I5393" s="33"/>
      <c r="J5393" s="33"/>
      <c r="K5393" s="33"/>
      <c r="L5393" s="33"/>
      <c r="M5393" s="33"/>
    </row>
    <row r="5394">
      <c r="A5394" s="32" t="s">
        <v>14556</v>
      </c>
      <c r="B5394" s="32" t="s">
        <v>14557</v>
      </c>
      <c r="C5394" s="35">
        <v>52.387501</v>
      </c>
      <c r="D5394" s="35">
        <v>-126.596001</v>
      </c>
      <c r="E5394" s="32" t="s">
        <v>94</v>
      </c>
      <c r="F5394" s="32" t="s">
        <v>14558</v>
      </c>
      <c r="G5394" s="36" t="e">
        <v>#N/A</v>
      </c>
      <c r="H5394" s="33"/>
      <c r="I5394" s="33"/>
      <c r="J5394" s="33"/>
      <c r="K5394" s="33"/>
      <c r="L5394" s="33"/>
      <c r="M5394" s="33"/>
    </row>
    <row r="5395">
      <c r="A5395" s="32" t="s">
        <v>14559</v>
      </c>
      <c r="B5395" s="32" t="s">
        <v>14560</v>
      </c>
      <c r="C5395" s="35">
        <v>-3.67888999</v>
      </c>
      <c r="D5395" s="35">
        <v>-40.33679962</v>
      </c>
      <c r="E5395" s="32" t="s">
        <v>288</v>
      </c>
      <c r="F5395" s="32" t="s">
        <v>14561</v>
      </c>
      <c r="G5395" s="36" t="e">
        <v>#N/A</v>
      </c>
      <c r="H5395" s="33"/>
      <c r="I5395" s="33"/>
      <c r="J5395" s="33"/>
      <c r="K5395" s="33"/>
      <c r="L5395" s="33"/>
      <c r="M5395" s="33"/>
    </row>
    <row r="5396">
      <c r="A5396" s="32" t="s">
        <v>14562</v>
      </c>
      <c r="B5396" s="32" t="s">
        <v>14563</v>
      </c>
      <c r="C5396" s="35">
        <v>-22.93950081</v>
      </c>
      <c r="D5396" s="35">
        <v>-48.4679985</v>
      </c>
      <c r="E5396" s="32" t="s">
        <v>288</v>
      </c>
      <c r="F5396" s="32" t="s">
        <v>14564</v>
      </c>
      <c r="G5396" s="36" t="e">
        <v>#N/A</v>
      </c>
      <c r="H5396" s="33"/>
      <c r="I5396" s="33"/>
      <c r="J5396" s="33"/>
      <c r="K5396" s="33"/>
      <c r="L5396" s="33"/>
      <c r="M5396" s="33"/>
    </row>
    <row r="5397">
      <c r="A5397" s="32" t="s">
        <v>14565</v>
      </c>
      <c r="B5397" s="32" t="s">
        <v>14566</v>
      </c>
      <c r="C5397" s="35">
        <v>53.0929985</v>
      </c>
      <c r="D5397" s="35">
        <v>-0.166014001</v>
      </c>
      <c r="E5397" s="32" t="s">
        <v>90</v>
      </c>
      <c r="F5397" s="32" t="s">
        <v>14567</v>
      </c>
      <c r="G5397" s="39" t="s">
        <v>91</v>
      </c>
      <c r="H5397" s="33"/>
      <c r="I5397" s="33"/>
      <c r="J5397" s="33"/>
      <c r="K5397" s="33"/>
      <c r="L5397" s="33"/>
      <c r="M5397" s="33"/>
    </row>
    <row r="5398">
      <c r="A5398" s="32" t="s">
        <v>14568</v>
      </c>
      <c r="B5398" s="32" t="s">
        <v>14569</v>
      </c>
      <c r="C5398" s="35">
        <v>34.6657</v>
      </c>
      <c r="D5398" s="35">
        <v>3.351</v>
      </c>
      <c r="E5398" s="32" t="s">
        <v>20</v>
      </c>
      <c r="F5398" s="32" t="s">
        <v>14570</v>
      </c>
      <c r="G5398" s="36" t="e">
        <v>#N/A</v>
      </c>
      <c r="H5398" s="33"/>
      <c r="I5398" s="33"/>
      <c r="J5398" s="33"/>
      <c r="K5398" s="33"/>
      <c r="L5398" s="33"/>
      <c r="M5398" s="33"/>
    </row>
    <row r="5399">
      <c r="A5399" s="32" t="s">
        <v>14571</v>
      </c>
      <c r="B5399" s="32" t="s">
        <v>14572</v>
      </c>
      <c r="C5399" s="35">
        <v>49.95999908</v>
      </c>
      <c r="D5399" s="35">
        <v>8.645833015</v>
      </c>
      <c r="E5399" s="32" t="s">
        <v>109</v>
      </c>
      <c r="F5399" s="32" t="s">
        <v>14573</v>
      </c>
      <c r="G5399" s="39" t="s">
        <v>110</v>
      </c>
      <c r="H5399" s="33"/>
      <c r="I5399" s="33"/>
      <c r="J5399" s="33"/>
      <c r="K5399" s="33"/>
      <c r="L5399" s="33"/>
      <c r="M5399" s="33"/>
    </row>
    <row r="5400">
      <c r="A5400" s="32" t="s">
        <v>14574</v>
      </c>
      <c r="B5400" s="32" t="s">
        <v>14575</v>
      </c>
      <c r="C5400" s="35">
        <v>36.545799</v>
      </c>
      <c r="D5400" s="35">
        <v>2.87611</v>
      </c>
      <c r="E5400" s="32" t="s">
        <v>20</v>
      </c>
      <c r="F5400" s="32" t="s">
        <v>14576</v>
      </c>
      <c r="G5400" s="36" t="e">
        <v>#N/A</v>
      </c>
      <c r="H5400" s="33"/>
      <c r="I5400" s="33"/>
      <c r="J5400" s="33"/>
      <c r="K5400" s="33"/>
      <c r="L5400" s="33"/>
      <c r="M5400" s="33"/>
    </row>
    <row r="5401">
      <c r="A5401" s="32" t="s">
        <v>14577</v>
      </c>
      <c r="B5401" s="32" t="s">
        <v>14578</v>
      </c>
      <c r="C5401" s="35">
        <v>52.09080124</v>
      </c>
      <c r="D5401" s="35">
        <v>0.131944001</v>
      </c>
      <c r="E5401" s="32" t="s">
        <v>90</v>
      </c>
      <c r="F5401" s="32" t="s">
        <v>14579</v>
      </c>
      <c r="G5401" s="39" t="s">
        <v>91</v>
      </c>
      <c r="H5401" s="33"/>
      <c r="I5401" s="33"/>
      <c r="J5401" s="33"/>
      <c r="K5401" s="33"/>
      <c r="L5401" s="33"/>
      <c r="M5401" s="33"/>
    </row>
    <row r="5402">
      <c r="A5402" s="32" t="s">
        <v>14580</v>
      </c>
      <c r="B5402" s="32" t="s">
        <v>14581</v>
      </c>
      <c r="C5402" s="35">
        <v>47.624401</v>
      </c>
      <c r="D5402" s="35">
        <v>17.813601</v>
      </c>
      <c r="E5402" s="32" t="s">
        <v>1056</v>
      </c>
      <c r="F5402" s="32" t="s">
        <v>14582</v>
      </c>
      <c r="G5402" s="36" t="e">
        <v>#N/A</v>
      </c>
      <c r="H5402" s="33"/>
      <c r="I5402" s="33"/>
      <c r="J5402" s="33"/>
      <c r="K5402" s="33"/>
      <c r="L5402" s="33"/>
      <c r="M5402" s="33"/>
    </row>
    <row r="5403">
      <c r="A5403" s="32" t="s">
        <v>14583</v>
      </c>
      <c r="B5403" s="32" t="s">
        <v>14584</v>
      </c>
      <c r="C5403" s="35">
        <v>-23.0401001</v>
      </c>
      <c r="D5403" s="35">
        <v>-45.51599884</v>
      </c>
      <c r="E5403" s="32" t="s">
        <v>288</v>
      </c>
      <c r="F5403" s="32" t="s">
        <v>14585</v>
      </c>
      <c r="G5403" s="36" t="e">
        <v>#N/A</v>
      </c>
      <c r="H5403" s="33"/>
      <c r="I5403" s="33"/>
      <c r="J5403" s="33"/>
      <c r="K5403" s="33"/>
      <c r="L5403" s="33"/>
      <c r="M5403" s="33"/>
    </row>
    <row r="5404">
      <c r="A5404" s="32" t="s">
        <v>14586</v>
      </c>
      <c r="B5404" s="32" t="s">
        <v>14587</v>
      </c>
      <c r="C5404" s="35">
        <v>8.7163</v>
      </c>
      <c r="D5404" s="35">
        <v>39.0059</v>
      </c>
      <c r="E5404" s="32" t="s">
        <v>18</v>
      </c>
      <c r="F5404" s="32" t="s">
        <v>14588</v>
      </c>
      <c r="G5404" s="36" t="e">
        <v>#N/A</v>
      </c>
      <c r="H5404" s="33"/>
      <c r="I5404" s="33"/>
      <c r="J5404" s="33"/>
      <c r="K5404" s="33"/>
      <c r="L5404" s="33"/>
      <c r="M5404" s="33"/>
    </row>
    <row r="5405">
      <c r="A5405" s="32" t="s">
        <v>14589</v>
      </c>
      <c r="B5405" s="32" t="s">
        <v>14590</v>
      </c>
      <c r="C5405" s="35">
        <v>50.81719971</v>
      </c>
      <c r="D5405" s="35">
        <v>3.20472002</v>
      </c>
      <c r="E5405" s="32" t="s">
        <v>197</v>
      </c>
      <c r="F5405" s="32" t="s">
        <v>14591</v>
      </c>
      <c r="G5405" s="36" t="e">
        <v>#N/A</v>
      </c>
      <c r="H5405" s="33"/>
      <c r="I5405" s="33"/>
      <c r="J5405" s="33"/>
      <c r="K5405" s="33"/>
      <c r="L5405" s="33"/>
      <c r="M5405" s="33"/>
    </row>
    <row r="5406">
      <c r="A5406" s="32" t="s">
        <v>14592</v>
      </c>
      <c r="B5406" s="32" t="s">
        <v>14593</v>
      </c>
      <c r="C5406" s="35">
        <v>51.18719864</v>
      </c>
      <c r="D5406" s="35">
        <v>-1.033499956</v>
      </c>
      <c r="E5406" s="32" t="s">
        <v>90</v>
      </c>
      <c r="F5406" s="32" t="s">
        <v>14594</v>
      </c>
      <c r="G5406" s="39" t="s">
        <v>91</v>
      </c>
      <c r="H5406" s="33"/>
      <c r="I5406" s="33"/>
      <c r="J5406" s="33"/>
      <c r="K5406" s="33"/>
      <c r="L5406" s="33"/>
      <c r="M5406" s="33"/>
    </row>
    <row r="5407">
      <c r="A5407" s="32" t="s">
        <v>14595</v>
      </c>
      <c r="B5407" s="32" t="s">
        <v>14596</v>
      </c>
      <c r="C5407" s="35">
        <v>44.088001</v>
      </c>
      <c r="D5407" s="35">
        <v>9.98795</v>
      </c>
      <c r="E5407" s="32" t="s">
        <v>103</v>
      </c>
      <c r="F5407" s="32" t="s">
        <v>14597</v>
      </c>
      <c r="G5407" s="39" t="s">
        <v>104</v>
      </c>
      <c r="H5407" s="33"/>
      <c r="I5407" s="33"/>
      <c r="J5407" s="33"/>
      <c r="K5407" s="33"/>
      <c r="L5407" s="33"/>
      <c r="M5407" s="33"/>
    </row>
    <row r="5408">
      <c r="A5408" s="32" t="s">
        <v>14598</v>
      </c>
      <c r="B5408" s="32" t="s">
        <v>14599</v>
      </c>
      <c r="C5408" s="35">
        <v>46.54529953</v>
      </c>
      <c r="D5408" s="35">
        <v>6.616670132</v>
      </c>
      <c r="E5408" s="32" t="s">
        <v>1180</v>
      </c>
      <c r="F5408" s="32" t="s">
        <v>14600</v>
      </c>
      <c r="G5408" s="36" t="e">
        <v>#N/A</v>
      </c>
      <c r="H5408" s="33"/>
      <c r="I5408" s="33"/>
      <c r="J5408" s="33"/>
      <c r="K5408" s="33"/>
      <c r="L5408" s="33"/>
      <c r="M5408" s="33"/>
    </row>
    <row r="5409">
      <c r="A5409" s="32" t="s">
        <v>14601</v>
      </c>
      <c r="B5409" s="32" t="s">
        <v>14602</v>
      </c>
      <c r="C5409" s="35">
        <v>41.5424</v>
      </c>
      <c r="D5409" s="35">
        <v>12.909</v>
      </c>
      <c r="E5409" s="32" t="s">
        <v>103</v>
      </c>
      <c r="F5409" s="32" t="s">
        <v>14603</v>
      </c>
      <c r="G5409" s="39" t="s">
        <v>104</v>
      </c>
      <c r="H5409" s="33"/>
      <c r="I5409" s="33"/>
      <c r="J5409" s="33"/>
      <c r="K5409" s="33"/>
      <c r="L5409" s="33"/>
      <c r="M5409" s="33"/>
    </row>
    <row r="5410">
      <c r="A5410" s="32" t="s">
        <v>14604</v>
      </c>
      <c r="B5410" s="32" t="s">
        <v>14605</v>
      </c>
      <c r="C5410" s="35">
        <v>32.00239944</v>
      </c>
      <c r="D5410" s="35">
        <v>49.270401</v>
      </c>
      <c r="E5410" s="32" t="s">
        <v>1378</v>
      </c>
      <c r="F5410" s="32" t="s">
        <v>14606</v>
      </c>
      <c r="G5410" s="36" t="e">
        <v>#N/A</v>
      </c>
      <c r="H5410" s="33"/>
      <c r="I5410" s="33"/>
      <c r="J5410" s="33"/>
      <c r="K5410" s="33"/>
      <c r="L5410" s="33"/>
      <c r="M5410" s="33"/>
    </row>
    <row r="5411">
      <c r="A5411" s="32" t="s">
        <v>14607</v>
      </c>
      <c r="B5411" s="32" t="s">
        <v>14608</v>
      </c>
      <c r="C5411" s="35">
        <v>46.95750046</v>
      </c>
      <c r="D5411" s="35">
        <v>6.864719868</v>
      </c>
      <c r="E5411" s="32" t="s">
        <v>1180</v>
      </c>
      <c r="F5411" s="32" t="s">
        <v>14609</v>
      </c>
      <c r="G5411" s="36" t="e">
        <v>#N/A</v>
      </c>
      <c r="H5411" s="33"/>
      <c r="I5411" s="33"/>
      <c r="J5411" s="33"/>
      <c r="K5411" s="33"/>
      <c r="L5411" s="33"/>
      <c r="M5411" s="33"/>
    </row>
    <row r="5412">
      <c r="A5412" s="32" t="s">
        <v>14610</v>
      </c>
      <c r="B5412" s="32" t="s">
        <v>14611</v>
      </c>
      <c r="C5412" s="35">
        <v>46.19200134</v>
      </c>
      <c r="D5412" s="35">
        <v>6.268390179</v>
      </c>
      <c r="E5412" s="32" t="s">
        <v>96</v>
      </c>
      <c r="F5412" s="32" t="s">
        <v>14612</v>
      </c>
      <c r="G5412" s="39" t="s">
        <v>97</v>
      </c>
      <c r="H5412" s="33"/>
      <c r="I5412" s="33"/>
      <c r="J5412" s="33"/>
      <c r="K5412" s="33"/>
      <c r="L5412" s="33"/>
      <c r="M5412" s="33"/>
    </row>
    <row r="5413">
      <c r="A5413" s="32" t="s">
        <v>14613</v>
      </c>
      <c r="B5413" s="32" t="s">
        <v>14614</v>
      </c>
      <c r="C5413" s="35">
        <v>-22.74530029</v>
      </c>
      <c r="D5413" s="35">
        <v>-43.46030045</v>
      </c>
      <c r="E5413" s="32" t="s">
        <v>288</v>
      </c>
      <c r="F5413" s="32" t="s">
        <v>14615</v>
      </c>
      <c r="G5413" s="36" t="e">
        <v>#N/A</v>
      </c>
      <c r="H5413" s="33"/>
      <c r="I5413" s="33"/>
      <c r="J5413" s="33"/>
      <c r="K5413" s="33"/>
      <c r="L5413" s="33"/>
      <c r="M5413" s="33"/>
    </row>
    <row r="5414">
      <c r="A5414" s="32" t="s">
        <v>14616</v>
      </c>
      <c r="B5414" s="32" t="s">
        <v>14617</v>
      </c>
      <c r="C5414" s="35">
        <v>46.295101</v>
      </c>
      <c r="D5414" s="35">
        <v>4.79577</v>
      </c>
      <c r="E5414" s="32" t="s">
        <v>96</v>
      </c>
      <c r="F5414" s="32" t="s">
        <v>11667</v>
      </c>
      <c r="G5414" s="39" t="s">
        <v>97</v>
      </c>
      <c r="H5414" s="33"/>
      <c r="I5414" s="33"/>
      <c r="J5414" s="33"/>
      <c r="K5414" s="33"/>
      <c r="L5414" s="33"/>
      <c r="M5414" s="33"/>
    </row>
    <row r="5415">
      <c r="A5415" s="32" t="s">
        <v>14618</v>
      </c>
      <c r="B5415" s="32" t="s">
        <v>14619</v>
      </c>
      <c r="C5415" s="35">
        <v>5.427060127</v>
      </c>
      <c r="D5415" s="35">
        <v>7.206029892</v>
      </c>
      <c r="E5415" s="32" t="s">
        <v>19</v>
      </c>
      <c r="F5415" s="32" t="s">
        <v>14620</v>
      </c>
      <c r="G5415" s="36" t="e">
        <v>#N/A</v>
      </c>
      <c r="H5415" s="33"/>
      <c r="I5415" s="33"/>
      <c r="J5415" s="33"/>
      <c r="K5415" s="33"/>
      <c r="L5415" s="33"/>
      <c r="M5415" s="33"/>
    </row>
    <row r="5416">
      <c r="A5416" s="32" t="s">
        <v>14621</v>
      </c>
      <c r="B5416" s="32" t="s">
        <v>14622</v>
      </c>
      <c r="C5416" s="35">
        <v>45.395802</v>
      </c>
      <c r="D5416" s="35">
        <v>11.8479</v>
      </c>
      <c r="E5416" s="32" t="s">
        <v>103</v>
      </c>
      <c r="F5416" s="32" t="s">
        <v>14623</v>
      </c>
      <c r="G5416" s="39" t="s">
        <v>104</v>
      </c>
      <c r="H5416" s="33"/>
      <c r="I5416" s="33"/>
      <c r="J5416" s="33"/>
      <c r="K5416" s="33"/>
      <c r="L5416" s="33"/>
      <c r="M5416" s="33"/>
    </row>
    <row r="5417">
      <c r="A5417" s="32" t="s">
        <v>14624</v>
      </c>
      <c r="B5417" s="32" t="s">
        <v>14625</v>
      </c>
      <c r="C5417" s="35">
        <v>1.360419989</v>
      </c>
      <c r="D5417" s="35">
        <v>103.9100037</v>
      </c>
      <c r="E5417" s="32" t="s">
        <v>157</v>
      </c>
      <c r="F5417" s="32" t="s">
        <v>14626</v>
      </c>
      <c r="G5417" s="39" t="s">
        <v>158</v>
      </c>
      <c r="H5417" s="33"/>
      <c r="I5417" s="33"/>
      <c r="J5417" s="33"/>
      <c r="K5417" s="33"/>
      <c r="L5417" s="33"/>
      <c r="M5417" s="33"/>
    </row>
    <row r="5418">
      <c r="A5418" s="32" t="s">
        <v>14627</v>
      </c>
      <c r="B5418" s="32" t="s">
        <v>14628</v>
      </c>
      <c r="C5418" s="35">
        <v>-21.98460007</v>
      </c>
      <c r="D5418" s="35">
        <v>-47.33480072</v>
      </c>
      <c r="E5418" s="32" t="s">
        <v>288</v>
      </c>
      <c r="F5418" s="32" t="s">
        <v>14629</v>
      </c>
      <c r="G5418" s="36" t="e">
        <v>#N/A</v>
      </c>
      <c r="H5418" s="33"/>
      <c r="I5418" s="33"/>
      <c r="J5418" s="33"/>
      <c r="K5418" s="33"/>
      <c r="L5418" s="33"/>
      <c r="M5418" s="33"/>
    </row>
    <row r="5419">
      <c r="A5419" s="32" t="s">
        <v>14630</v>
      </c>
      <c r="B5419" s="32" t="s">
        <v>14631</v>
      </c>
      <c r="C5419" s="35">
        <v>44.913101</v>
      </c>
      <c r="D5419" s="35">
        <v>9.723323</v>
      </c>
      <c r="E5419" s="32" t="s">
        <v>103</v>
      </c>
      <c r="F5419" s="32" t="s">
        <v>14632</v>
      </c>
      <c r="G5419" s="39" t="s">
        <v>104</v>
      </c>
      <c r="H5419" s="33"/>
      <c r="I5419" s="33"/>
      <c r="J5419" s="33"/>
      <c r="K5419" s="33"/>
      <c r="L5419" s="33"/>
      <c r="M5419" s="33"/>
    </row>
    <row r="5420">
      <c r="A5420" s="32" t="s">
        <v>14633</v>
      </c>
      <c r="B5420" s="32" t="s">
        <v>14634</v>
      </c>
      <c r="C5420" s="35">
        <v>-26.24250031</v>
      </c>
      <c r="D5420" s="35">
        <v>28.15119934</v>
      </c>
      <c r="E5420" s="32" t="s">
        <v>16</v>
      </c>
      <c r="F5420" s="32" t="s">
        <v>7955</v>
      </c>
      <c r="G5420" s="36" t="e">
        <v>#N/A</v>
      </c>
      <c r="H5420" s="33"/>
      <c r="I5420" s="33"/>
      <c r="J5420" s="33"/>
      <c r="K5420" s="33"/>
      <c r="L5420" s="33"/>
      <c r="M5420" s="33"/>
    </row>
    <row r="5421">
      <c r="A5421" s="32" t="s">
        <v>14635</v>
      </c>
      <c r="B5421" s="32" t="s">
        <v>14636</v>
      </c>
      <c r="C5421" s="35">
        <v>-32.21469879</v>
      </c>
      <c r="D5421" s="35">
        <v>148.2250061</v>
      </c>
      <c r="E5421" s="32" t="s">
        <v>1968</v>
      </c>
      <c r="F5421" s="33"/>
      <c r="G5421" s="36" t="e">
        <v>#N/A</v>
      </c>
      <c r="H5421" s="33"/>
      <c r="I5421" s="33"/>
      <c r="J5421" s="33"/>
      <c r="K5421" s="33"/>
      <c r="L5421" s="33"/>
      <c r="M5421" s="33"/>
    </row>
    <row r="5422">
      <c r="A5422" s="32" t="s">
        <v>14637</v>
      </c>
      <c r="B5422" s="32" t="s">
        <v>14638</v>
      </c>
      <c r="C5422" s="35">
        <v>20.61730003</v>
      </c>
      <c r="D5422" s="35">
        <v>-100.185997</v>
      </c>
      <c r="E5422" s="32" t="s">
        <v>186</v>
      </c>
      <c r="F5422" s="32" t="s">
        <v>14639</v>
      </c>
      <c r="G5422" s="39" t="s">
        <v>187</v>
      </c>
      <c r="H5422" s="33"/>
      <c r="I5422" s="33"/>
      <c r="J5422" s="33"/>
      <c r="K5422" s="33"/>
      <c r="L5422" s="33"/>
      <c r="M5422" s="33"/>
    </row>
    <row r="5423">
      <c r="A5423" s="32" t="s">
        <v>14640</v>
      </c>
      <c r="B5423" s="32" t="s">
        <v>14641</v>
      </c>
      <c r="C5423" s="35">
        <v>-31.73329926</v>
      </c>
      <c r="D5423" s="35">
        <v>147.8029938</v>
      </c>
      <c r="E5423" s="32" t="s">
        <v>1968</v>
      </c>
      <c r="F5423" s="33"/>
      <c r="G5423" s="36" t="e">
        <v>#N/A</v>
      </c>
      <c r="H5423" s="33"/>
      <c r="I5423" s="33"/>
      <c r="J5423" s="33"/>
      <c r="K5423" s="33"/>
      <c r="L5423" s="33"/>
      <c r="M5423" s="33"/>
    </row>
    <row r="5424">
      <c r="A5424" s="32" t="s">
        <v>14642</v>
      </c>
      <c r="B5424" s="32" t="s">
        <v>14643</v>
      </c>
      <c r="C5424" s="35">
        <v>41.52090073</v>
      </c>
      <c r="D5424" s="35">
        <v>2.105079889</v>
      </c>
      <c r="E5424" s="32" t="s">
        <v>115</v>
      </c>
      <c r="F5424" s="32" t="s">
        <v>14644</v>
      </c>
      <c r="G5424" s="39" t="s">
        <v>116</v>
      </c>
      <c r="H5424" s="33"/>
      <c r="I5424" s="33"/>
      <c r="J5424" s="33"/>
      <c r="K5424" s="33"/>
      <c r="L5424" s="33"/>
      <c r="M5424" s="33"/>
    </row>
    <row r="5425">
      <c r="A5425" s="32" t="s">
        <v>14645</v>
      </c>
      <c r="B5425" s="32" t="s">
        <v>14646</v>
      </c>
      <c r="C5425" s="35">
        <v>-21.87540054</v>
      </c>
      <c r="D5425" s="35">
        <v>-47.90370178</v>
      </c>
      <c r="E5425" s="32" t="s">
        <v>288</v>
      </c>
      <c r="F5425" s="32" t="s">
        <v>14647</v>
      </c>
      <c r="G5425" s="36" t="e">
        <v>#N/A</v>
      </c>
      <c r="H5425" s="33"/>
      <c r="I5425" s="33"/>
      <c r="J5425" s="33"/>
      <c r="K5425" s="33"/>
      <c r="L5425" s="33"/>
      <c r="M5425" s="33"/>
    </row>
    <row r="5426">
      <c r="A5426" s="32" t="s">
        <v>14648</v>
      </c>
      <c r="B5426" s="32" t="s">
        <v>14649</v>
      </c>
      <c r="C5426" s="35">
        <v>36.17810059</v>
      </c>
      <c r="D5426" s="35">
        <v>5.32449007</v>
      </c>
      <c r="E5426" s="32" t="s">
        <v>20</v>
      </c>
      <c r="F5426" s="32" t="s">
        <v>14650</v>
      </c>
      <c r="G5426" s="36" t="e">
        <v>#N/A</v>
      </c>
      <c r="H5426" s="33"/>
      <c r="I5426" s="33"/>
      <c r="J5426" s="33"/>
      <c r="K5426" s="33"/>
      <c r="L5426" s="33"/>
      <c r="M5426" s="33"/>
    </row>
    <row r="5427">
      <c r="A5427" s="32" t="s">
        <v>14651</v>
      </c>
      <c r="B5427" s="32" t="s">
        <v>14652</v>
      </c>
      <c r="C5427" s="35">
        <v>22.7560997</v>
      </c>
      <c r="D5427" s="35">
        <v>-81.92089844</v>
      </c>
      <c r="E5427" s="32" t="s">
        <v>1294</v>
      </c>
      <c r="F5427" s="32" t="s">
        <v>14653</v>
      </c>
      <c r="G5427" s="36" t="e">
        <v>#N/A</v>
      </c>
      <c r="H5427" s="33"/>
      <c r="I5427" s="33"/>
      <c r="J5427" s="33"/>
      <c r="K5427" s="33"/>
      <c r="L5427" s="33"/>
      <c r="M5427" s="33"/>
    </row>
    <row r="5428">
      <c r="A5428" s="32" t="s">
        <v>14654</v>
      </c>
      <c r="B5428" s="32" t="s">
        <v>14655</v>
      </c>
      <c r="C5428" s="35">
        <v>40.620399</v>
      </c>
      <c r="D5428" s="35">
        <v>14.9113</v>
      </c>
      <c r="E5428" s="32" t="s">
        <v>103</v>
      </c>
      <c r="F5428" s="32" t="s">
        <v>14656</v>
      </c>
      <c r="G5428" s="39" t="s">
        <v>104</v>
      </c>
      <c r="H5428" s="33"/>
      <c r="I5428" s="33"/>
      <c r="J5428" s="33"/>
      <c r="K5428" s="33"/>
      <c r="L5428" s="33"/>
      <c r="M5428" s="33"/>
    </row>
    <row r="5429">
      <c r="A5429" s="32" t="s">
        <v>14657</v>
      </c>
      <c r="B5429" s="32" t="s">
        <v>14658</v>
      </c>
      <c r="C5429" s="35">
        <v>4.8725</v>
      </c>
      <c r="D5429" s="35">
        <v>8.093</v>
      </c>
      <c r="E5429" s="32" t="s">
        <v>19</v>
      </c>
      <c r="F5429" s="32" t="s">
        <v>14659</v>
      </c>
      <c r="G5429" s="36" t="e">
        <v>#N/A</v>
      </c>
      <c r="H5429" s="33"/>
      <c r="I5429" s="33"/>
      <c r="J5429" s="33"/>
      <c r="K5429" s="33"/>
      <c r="L5429" s="33"/>
      <c r="M5429" s="33"/>
    </row>
    <row r="5430">
      <c r="A5430" s="32" t="s">
        <v>14660</v>
      </c>
      <c r="B5430" s="32" t="s">
        <v>14661</v>
      </c>
      <c r="C5430" s="35">
        <v>12.17169952</v>
      </c>
      <c r="D5430" s="35">
        <v>6.696109772</v>
      </c>
      <c r="E5430" s="32" t="s">
        <v>19</v>
      </c>
      <c r="F5430" s="32" t="s">
        <v>14662</v>
      </c>
      <c r="G5430" s="36" t="e">
        <v>#N/A</v>
      </c>
      <c r="H5430" s="33"/>
      <c r="I5430" s="33"/>
      <c r="J5430" s="33"/>
      <c r="K5430" s="33"/>
      <c r="L5430" s="33"/>
      <c r="M5430" s="33"/>
    </row>
    <row r="5431">
      <c r="A5431" s="32" t="s">
        <v>14663</v>
      </c>
      <c r="B5431" s="32" t="s">
        <v>14664</v>
      </c>
      <c r="C5431" s="35">
        <v>36.51449966</v>
      </c>
      <c r="D5431" s="35">
        <v>139.8710022</v>
      </c>
      <c r="E5431" s="32" t="s">
        <v>170</v>
      </c>
      <c r="F5431" s="33"/>
      <c r="G5431" s="39" t="s">
        <v>171</v>
      </c>
      <c r="H5431" s="33"/>
      <c r="I5431" s="33"/>
      <c r="J5431" s="33"/>
      <c r="K5431" s="33"/>
      <c r="L5431" s="33"/>
      <c r="M5431" s="33"/>
    </row>
    <row r="5432">
      <c r="A5432" s="32" t="s">
        <v>14665</v>
      </c>
      <c r="B5432" s="32" t="s">
        <v>14666</v>
      </c>
      <c r="C5432" s="35">
        <v>60.89640045</v>
      </c>
      <c r="D5432" s="35">
        <v>26.93840027</v>
      </c>
      <c r="E5432" s="32" t="s">
        <v>408</v>
      </c>
      <c r="F5432" s="32" t="s">
        <v>14667</v>
      </c>
      <c r="G5432" s="36" t="e">
        <v>#N/A</v>
      </c>
      <c r="H5432" s="33"/>
      <c r="I5432" s="33"/>
      <c r="J5432" s="33"/>
      <c r="K5432" s="33"/>
      <c r="L5432" s="33"/>
      <c r="M5432" s="33"/>
    </row>
    <row r="5433">
      <c r="A5433" s="32" t="s">
        <v>14668</v>
      </c>
      <c r="B5433" s="32" t="s">
        <v>14669</v>
      </c>
      <c r="C5433" s="35">
        <v>43.5056</v>
      </c>
      <c r="D5433" s="35">
        <v>5.36778</v>
      </c>
      <c r="E5433" s="32" t="s">
        <v>96</v>
      </c>
      <c r="F5433" s="32" t="s">
        <v>14670</v>
      </c>
      <c r="G5433" s="39" t="s">
        <v>97</v>
      </c>
      <c r="H5433" s="33"/>
      <c r="I5433" s="33"/>
      <c r="J5433" s="33"/>
      <c r="K5433" s="33"/>
      <c r="L5433" s="33"/>
      <c r="M5433" s="33"/>
    </row>
    <row r="5434">
      <c r="A5434" s="32" t="s">
        <v>14671</v>
      </c>
      <c r="B5434" s="32" t="s">
        <v>14672</v>
      </c>
      <c r="C5434" s="35">
        <v>51.3891983</v>
      </c>
      <c r="D5434" s="35">
        <v>21.21330071</v>
      </c>
      <c r="E5434" s="32" t="s">
        <v>192</v>
      </c>
      <c r="F5434" s="32" t="s">
        <v>14673</v>
      </c>
      <c r="G5434" s="39" t="s">
        <v>193</v>
      </c>
      <c r="H5434" s="33"/>
      <c r="I5434" s="33"/>
      <c r="J5434" s="33"/>
      <c r="K5434" s="33"/>
      <c r="L5434" s="33"/>
      <c r="M5434" s="33"/>
    </row>
    <row r="5435">
      <c r="A5435" s="32" t="s">
        <v>14674</v>
      </c>
      <c r="B5435" s="32" t="s">
        <v>14675</v>
      </c>
      <c r="C5435" s="35">
        <v>54.57970047</v>
      </c>
      <c r="D5435" s="35">
        <v>18.51720047</v>
      </c>
      <c r="E5435" s="32" t="s">
        <v>192</v>
      </c>
      <c r="F5435" s="32" t="s">
        <v>14676</v>
      </c>
      <c r="G5435" s="39" t="s">
        <v>193</v>
      </c>
      <c r="H5435" s="33"/>
      <c r="I5435" s="33"/>
      <c r="J5435" s="33"/>
      <c r="K5435" s="33"/>
      <c r="L5435" s="33"/>
      <c r="M5435" s="33"/>
    </row>
    <row r="5436">
      <c r="A5436" s="32" t="s">
        <v>14677</v>
      </c>
      <c r="B5436" s="32" t="s">
        <v>14678</v>
      </c>
      <c r="C5436" s="35">
        <v>48.32210159</v>
      </c>
      <c r="D5436" s="35">
        <v>4.016699791</v>
      </c>
      <c r="E5436" s="32" t="s">
        <v>96</v>
      </c>
      <c r="F5436" s="32" t="s">
        <v>14679</v>
      </c>
      <c r="G5436" s="39" t="s">
        <v>97</v>
      </c>
      <c r="H5436" s="33"/>
      <c r="I5436" s="33"/>
      <c r="J5436" s="33"/>
      <c r="K5436" s="33"/>
      <c r="L5436" s="33"/>
      <c r="M5436" s="33"/>
    </row>
    <row r="5437">
      <c r="A5437" s="32" t="s">
        <v>14680</v>
      </c>
      <c r="B5437" s="32" t="s">
        <v>14681</v>
      </c>
      <c r="C5437" s="35">
        <v>-4.340459824</v>
      </c>
      <c r="D5437" s="35">
        <v>152.3800049</v>
      </c>
      <c r="E5437" s="32" t="s">
        <v>5289</v>
      </c>
      <c r="F5437" s="32" t="s">
        <v>14682</v>
      </c>
      <c r="G5437" s="36" t="e">
        <v>#N/A</v>
      </c>
      <c r="H5437" s="33"/>
      <c r="I5437" s="33"/>
      <c r="J5437" s="33"/>
      <c r="K5437" s="33"/>
      <c r="L5437" s="33"/>
      <c r="M5437" s="33"/>
    </row>
    <row r="5438">
      <c r="A5438" s="32" t="s">
        <v>14683</v>
      </c>
      <c r="B5438" s="32" t="s">
        <v>14684</v>
      </c>
      <c r="C5438" s="35">
        <v>42.76060104</v>
      </c>
      <c r="D5438" s="35">
        <v>-87.81520081</v>
      </c>
      <c r="E5438" s="32" t="s">
        <v>180</v>
      </c>
      <c r="F5438" s="32" t="s">
        <v>14685</v>
      </c>
      <c r="G5438" s="39" t="s">
        <v>181</v>
      </c>
      <c r="H5438" s="33"/>
      <c r="I5438" s="33"/>
      <c r="J5438" s="33"/>
      <c r="K5438" s="33"/>
      <c r="L5438" s="33"/>
      <c r="M5438" s="33"/>
    </row>
    <row r="5439">
      <c r="A5439" s="32" t="s">
        <v>14686</v>
      </c>
      <c r="B5439" s="32" t="s">
        <v>14687</v>
      </c>
      <c r="C5439" s="35">
        <v>30.90660095</v>
      </c>
      <c r="D5439" s="35">
        <v>41.13819885</v>
      </c>
      <c r="E5439" s="32" t="s">
        <v>223</v>
      </c>
      <c r="F5439" s="32" t="s">
        <v>14688</v>
      </c>
      <c r="G5439" s="36" t="e">
        <v>#N/A</v>
      </c>
      <c r="H5439" s="33"/>
      <c r="I5439" s="33"/>
      <c r="J5439" s="33"/>
      <c r="K5439" s="33"/>
      <c r="L5439" s="33"/>
      <c r="M5439" s="33"/>
    </row>
    <row r="5440">
      <c r="A5440" s="32" t="s">
        <v>14689</v>
      </c>
      <c r="B5440" s="32" t="s">
        <v>14690</v>
      </c>
      <c r="C5440" s="35">
        <v>29.62639999</v>
      </c>
      <c r="D5440" s="35">
        <v>43.49060059</v>
      </c>
      <c r="E5440" s="32" t="s">
        <v>223</v>
      </c>
      <c r="F5440" s="32" t="s">
        <v>14691</v>
      </c>
      <c r="G5440" s="36" t="e">
        <v>#N/A</v>
      </c>
      <c r="H5440" s="33"/>
      <c r="I5440" s="33"/>
      <c r="J5440" s="33"/>
      <c r="K5440" s="33"/>
      <c r="L5440" s="33"/>
      <c r="M5440" s="33"/>
    </row>
    <row r="5441">
      <c r="A5441" s="32" t="s">
        <v>14692</v>
      </c>
      <c r="B5441" s="32" t="s">
        <v>14693</v>
      </c>
      <c r="C5441" s="35">
        <v>14.92450047</v>
      </c>
      <c r="D5441" s="35">
        <v>-23.49349976</v>
      </c>
      <c r="E5441" s="32" t="s">
        <v>5346</v>
      </c>
      <c r="F5441" s="32" t="s">
        <v>14694</v>
      </c>
      <c r="G5441" s="36" t="e">
        <v>#N/A</v>
      </c>
      <c r="H5441" s="33"/>
      <c r="I5441" s="33"/>
      <c r="J5441" s="33"/>
      <c r="K5441" s="33"/>
      <c r="L5441" s="33"/>
      <c r="M5441" s="33"/>
    </row>
    <row r="5442">
      <c r="A5442" s="32" t="s">
        <v>14695</v>
      </c>
      <c r="B5442" s="32" t="s">
        <v>14696</v>
      </c>
      <c r="C5442" s="35">
        <v>22.30920029</v>
      </c>
      <c r="D5442" s="35">
        <v>70.77950287</v>
      </c>
      <c r="E5442" s="32" t="s">
        <v>217</v>
      </c>
      <c r="F5442" s="32" t="s">
        <v>14697</v>
      </c>
      <c r="G5442" s="39" t="s">
        <v>218</v>
      </c>
      <c r="H5442" s="33"/>
      <c r="I5442" s="33"/>
      <c r="J5442" s="33"/>
      <c r="K5442" s="33"/>
      <c r="L5442" s="33"/>
      <c r="M5442" s="33"/>
    </row>
    <row r="5443">
      <c r="A5443" s="32" t="s">
        <v>48</v>
      </c>
      <c r="B5443" s="32" t="s">
        <v>14698</v>
      </c>
      <c r="C5443" s="35">
        <v>31.60689926</v>
      </c>
      <c r="D5443" s="35">
        <v>-8.036299706</v>
      </c>
      <c r="E5443" s="32" t="s">
        <v>17</v>
      </c>
      <c r="F5443" s="32" t="s">
        <v>49</v>
      </c>
      <c r="G5443" s="36" t="e">
        <v>#N/A</v>
      </c>
      <c r="H5443" s="33"/>
      <c r="I5443" s="33"/>
      <c r="J5443" s="33"/>
      <c r="K5443" s="33"/>
      <c r="L5443" s="33"/>
      <c r="M5443" s="33"/>
    </row>
    <row r="5444">
      <c r="A5444" s="32" t="s">
        <v>14699</v>
      </c>
      <c r="B5444" s="32" t="s">
        <v>14700</v>
      </c>
      <c r="C5444" s="35">
        <v>33.95190048</v>
      </c>
      <c r="D5444" s="35">
        <v>-117.4449997</v>
      </c>
      <c r="E5444" s="32" t="s">
        <v>180</v>
      </c>
      <c r="F5444" s="32" t="s">
        <v>14701</v>
      </c>
      <c r="G5444" s="39" t="s">
        <v>181</v>
      </c>
      <c r="H5444" s="33"/>
      <c r="I5444" s="33"/>
      <c r="J5444" s="33"/>
      <c r="K5444" s="33"/>
      <c r="L5444" s="33"/>
      <c r="M5444" s="33"/>
    </row>
    <row r="5445">
      <c r="A5445" s="32" t="s">
        <v>14702</v>
      </c>
      <c r="B5445" s="32" t="s">
        <v>14703</v>
      </c>
      <c r="C5445" s="35">
        <v>-12.35639954</v>
      </c>
      <c r="D5445" s="35">
        <v>134.897995</v>
      </c>
      <c r="E5445" s="32" t="s">
        <v>1968</v>
      </c>
      <c r="F5445" s="32" t="s">
        <v>14704</v>
      </c>
      <c r="G5445" s="36" t="e">
        <v>#N/A</v>
      </c>
      <c r="H5445" s="33"/>
      <c r="I5445" s="33"/>
      <c r="J5445" s="33"/>
      <c r="K5445" s="33"/>
      <c r="L5445" s="33"/>
      <c r="M5445" s="33"/>
    </row>
    <row r="5446">
      <c r="A5446" s="32" t="s">
        <v>14705</v>
      </c>
      <c r="B5446" s="32" t="s">
        <v>14706</v>
      </c>
      <c r="C5446" s="35">
        <v>-21.13638878</v>
      </c>
      <c r="D5446" s="35">
        <v>-47.77666855</v>
      </c>
      <c r="E5446" s="32" t="s">
        <v>288</v>
      </c>
      <c r="F5446" s="32" t="s">
        <v>14707</v>
      </c>
      <c r="G5446" s="36" t="e">
        <v>#N/A</v>
      </c>
      <c r="H5446" s="33"/>
      <c r="I5446" s="33"/>
      <c r="J5446" s="33"/>
      <c r="K5446" s="33"/>
      <c r="L5446" s="33"/>
      <c r="M5446" s="33"/>
    </row>
    <row r="5447">
      <c r="A5447" s="32" t="s">
        <v>14708</v>
      </c>
      <c r="B5447" s="32" t="s">
        <v>14709</v>
      </c>
      <c r="C5447" s="35">
        <v>44.04529953</v>
      </c>
      <c r="D5447" s="35">
        <v>-103.0569992</v>
      </c>
      <c r="E5447" s="32" t="s">
        <v>180</v>
      </c>
      <c r="F5447" s="32" t="s">
        <v>14710</v>
      </c>
      <c r="G5447" s="39" t="s">
        <v>181</v>
      </c>
      <c r="H5447" s="33"/>
      <c r="I5447" s="33"/>
      <c r="J5447" s="33"/>
      <c r="K5447" s="33"/>
      <c r="L5447" s="33"/>
      <c r="M5447" s="33"/>
    </row>
    <row r="5448">
      <c r="A5448" s="32" t="s">
        <v>14711</v>
      </c>
      <c r="B5448" s="32" t="s">
        <v>14712</v>
      </c>
      <c r="C5448" s="35">
        <v>-21.20269966</v>
      </c>
      <c r="D5448" s="35">
        <v>-159.8059998</v>
      </c>
      <c r="E5448" s="32" t="s">
        <v>3772</v>
      </c>
      <c r="F5448" s="32" t="s">
        <v>14713</v>
      </c>
      <c r="G5448" s="36" t="e">
        <v>#N/A</v>
      </c>
      <c r="H5448" s="33"/>
      <c r="I5448" s="33"/>
      <c r="J5448" s="33"/>
      <c r="K5448" s="33"/>
      <c r="L5448" s="33"/>
      <c r="M5448" s="33"/>
    </row>
    <row r="5449">
      <c r="A5449" s="32" t="s">
        <v>14714</v>
      </c>
      <c r="B5449" s="32" t="s">
        <v>14715</v>
      </c>
      <c r="C5449" s="35">
        <v>37.323333</v>
      </c>
      <c r="D5449" s="35">
        <v>49.617778</v>
      </c>
      <c r="E5449" s="32" t="s">
        <v>1378</v>
      </c>
      <c r="F5449" s="32" t="s">
        <v>14716</v>
      </c>
      <c r="G5449" s="36" t="e">
        <v>#N/A</v>
      </c>
      <c r="H5449" s="33"/>
      <c r="I5449" s="33"/>
      <c r="J5449" s="33"/>
      <c r="K5449" s="33"/>
      <c r="L5449" s="33"/>
      <c r="M5449" s="33"/>
    </row>
    <row r="5450">
      <c r="A5450" s="32" t="s">
        <v>14717</v>
      </c>
      <c r="B5450" s="32" t="s">
        <v>14718</v>
      </c>
      <c r="C5450" s="35">
        <v>62.15859985</v>
      </c>
      <c r="D5450" s="35">
        <v>77.3289032</v>
      </c>
      <c r="E5450" s="32" t="s">
        <v>2040</v>
      </c>
      <c r="F5450" s="32" t="s">
        <v>14719</v>
      </c>
      <c r="G5450" s="36" t="e">
        <v>#N/A</v>
      </c>
      <c r="H5450" s="33"/>
      <c r="I5450" s="33"/>
      <c r="J5450" s="33"/>
      <c r="K5450" s="33"/>
      <c r="L5450" s="33"/>
      <c r="M5450" s="33"/>
    </row>
    <row r="5451">
      <c r="A5451" s="32" t="s">
        <v>14720</v>
      </c>
      <c r="B5451" s="32" t="s">
        <v>14721</v>
      </c>
      <c r="C5451" s="35">
        <v>33.84970093</v>
      </c>
      <c r="D5451" s="35">
        <v>73.79810333</v>
      </c>
      <c r="E5451" s="32" t="s">
        <v>1470</v>
      </c>
      <c r="F5451" s="32" t="s">
        <v>14722</v>
      </c>
      <c r="G5451" s="36" t="e">
        <v>#N/A</v>
      </c>
      <c r="H5451" s="33"/>
      <c r="I5451" s="33"/>
      <c r="J5451" s="33"/>
      <c r="K5451" s="33"/>
      <c r="L5451" s="33"/>
      <c r="M5451" s="33"/>
    </row>
    <row r="5452">
      <c r="A5452" s="32" t="s">
        <v>14723</v>
      </c>
      <c r="B5452" s="32" t="s">
        <v>14724</v>
      </c>
      <c r="C5452" s="35">
        <v>34.05149841</v>
      </c>
      <c r="D5452" s="35">
        <v>-6.751520157</v>
      </c>
      <c r="E5452" s="32" t="s">
        <v>17</v>
      </c>
      <c r="F5452" s="32" t="s">
        <v>14725</v>
      </c>
      <c r="G5452" s="36" t="e">
        <v>#N/A</v>
      </c>
      <c r="H5452" s="33"/>
      <c r="I5452" s="33"/>
      <c r="J5452" s="33"/>
      <c r="K5452" s="33"/>
      <c r="L5452" s="33"/>
      <c r="M5452" s="33"/>
    </row>
    <row r="5453">
      <c r="A5453" s="32" t="s">
        <v>14726</v>
      </c>
      <c r="B5453" s="32" t="s">
        <v>14727</v>
      </c>
      <c r="C5453" s="35">
        <v>-4.406340122</v>
      </c>
      <c r="D5453" s="35">
        <v>-59.60240173</v>
      </c>
      <c r="E5453" s="32" t="s">
        <v>288</v>
      </c>
      <c r="F5453" s="32" t="s">
        <v>14728</v>
      </c>
      <c r="G5453" s="36" t="e">
        <v>#N/A</v>
      </c>
      <c r="H5453" s="33"/>
      <c r="I5453" s="33"/>
      <c r="J5453" s="33"/>
      <c r="K5453" s="33"/>
      <c r="L5453" s="33"/>
      <c r="M5453" s="33"/>
    </row>
    <row r="5454">
      <c r="A5454" s="32" t="s">
        <v>14729</v>
      </c>
      <c r="B5454" s="32" t="s">
        <v>14730</v>
      </c>
      <c r="C5454" s="35">
        <v>32.68090057</v>
      </c>
      <c r="D5454" s="35">
        <v>-96.86820221</v>
      </c>
      <c r="E5454" s="32" t="s">
        <v>180</v>
      </c>
      <c r="F5454" s="32" t="s">
        <v>2153</v>
      </c>
      <c r="G5454" s="39" t="s">
        <v>181</v>
      </c>
      <c r="H5454" s="33"/>
      <c r="I5454" s="33"/>
      <c r="J5454" s="33"/>
      <c r="K5454" s="33"/>
      <c r="L5454" s="33"/>
      <c r="M5454" s="33"/>
    </row>
    <row r="5455">
      <c r="A5455" s="32" t="s">
        <v>14731</v>
      </c>
      <c r="B5455" s="32" t="s">
        <v>14732</v>
      </c>
      <c r="C5455" s="35">
        <v>13.72999954</v>
      </c>
      <c r="D5455" s="35">
        <v>106.9869995</v>
      </c>
      <c r="E5455" s="32" t="s">
        <v>1832</v>
      </c>
      <c r="F5455" s="32" t="s">
        <v>14733</v>
      </c>
      <c r="G5455" s="36" t="e">
        <v>#N/A</v>
      </c>
      <c r="H5455" s="33"/>
      <c r="I5455" s="33"/>
      <c r="J5455" s="33"/>
      <c r="K5455" s="33"/>
      <c r="L5455" s="33"/>
      <c r="M5455" s="33"/>
    </row>
    <row r="5456">
      <c r="A5456" s="32" t="s">
        <v>14734</v>
      </c>
      <c r="B5456" s="32" t="s">
        <v>14735</v>
      </c>
      <c r="C5456" s="35">
        <v>33.57419968</v>
      </c>
      <c r="D5456" s="35">
        <v>-117.1279984</v>
      </c>
      <c r="E5456" s="32" t="s">
        <v>180</v>
      </c>
      <c r="F5456" s="32" t="s">
        <v>14736</v>
      </c>
      <c r="G5456" s="39" t="s">
        <v>181</v>
      </c>
      <c r="H5456" s="33"/>
      <c r="I5456" s="33"/>
      <c r="J5456" s="33"/>
      <c r="K5456" s="33"/>
      <c r="L5456" s="33"/>
      <c r="M5456" s="33"/>
    </row>
    <row r="5457">
      <c r="A5457" s="32" t="s">
        <v>14737</v>
      </c>
      <c r="B5457" s="32" t="s">
        <v>14738</v>
      </c>
      <c r="C5457" s="35">
        <v>48.90083313</v>
      </c>
      <c r="D5457" s="35">
        <v>12.51666737</v>
      </c>
      <c r="E5457" s="32" t="s">
        <v>109</v>
      </c>
      <c r="F5457" s="32" t="s">
        <v>14739</v>
      </c>
      <c r="G5457" s="39" t="s">
        <v>110</v>
      </c>
      <c r="H5457" s="33"/>
      <c r="I5457" s="33"/>
      <c r="J5457" s="33"/>
      <c r="K5457" s="33"/>
      <c r="L5457" s="33"/>
      <c r="M5457" s="33"/>
    </row>
    <row r="5458">
      <c r="A5458" s="32" t="s">
        <v>14740</v>
      </c>
      <c r="B5458" s="32" t="s">
        <v>14741</v>
      </c>
      <c r="C5458" s="35">
        <v>-9.868888855</v>
      </c>
      <c r="D5458" s="35">
        <v>-67.89805603</v>
      </c>
      <c r="E5458" s="32" t="s">
        <v>288</v>
      </c>
      <c r="F5458" s="32" t="s">
        <v>14742</v>
      </c>
      <c r="G5458" s="36" t="e">
        <v>#N/A</v>
      </c>
      <c r="H5458" s="33"/>
      <c r="I5458" s="33"/>
      <c r="J5458" s="33"/>
      <c r="K5458" s="33"/>
      <c r="L5458" s="33"/>
      <c r="M5458" s="33"/>
    </row>
    <row r="5459">
      <c r="A5459" s="32" t="s">
        <v>14743</v>
      </c>
      <c r="B5459" s="32" t="s">
        <v>14744</v>
      </c>
      <c r="C5459" s="35">
        <v>-8.168060303</v>
      </c>
      <c r="D5459" s="35">
        <v>157.6430054</v>
      </c>
      <c r="E5459" s="32" t="s">
        <v>3666</v>
      </c>
      <c r="F5459" s="32" t="s">
        <v>14745</v>
      </c>
      <c r="G5459" s="36" t="e">
        <v>#N/A</v>
      </c>
      <c r="H5459" s="33"/>
      <c r="I5459" s="33"/>
      <c r="J5459" s="33"/>
      <c r="K5459" s="33"/>
      <c r="L5459" s="33"/>
      <c r="M5459" s="33"/>
    </row>
    <row r="5460">
      <c r="A5460" s="32" t="s">
        <v>14746</v>
      </c>
      <c r="B5460" s="32" t="s">
        <v>14747</v>
      </c>
      <c r="C5460" s="35">
        <v>6.824999809</v>
      </c>
      <c r="D5460" s="35">
        <v>29.66900063</v>
      </c>
      <c r="E5460" s="32" t="s">
        <v>844</v>
      </c>
      <c r="F5460" s="32" t="s">
        <v>14748</v>
      </c>
      <c r="G5460" s="36" t="e">
        <v>#N/A</v>
      </c>
      <c r="H5460" s="33"/>
      <c r="I5460" s="33"/>
      <c r="J5460" s="33"/>
      <c r="K5460" s="33"/>
      <c r="L5460" s="33"/>
      <c r="M5460" s="33"/>
    </row>
    <row r="5461">
      <c r="A5461" s="32" t="s">
        <v>14749</v>
      </c>
      <c r="B5461" s="32" t="s">
        <v>14750</v>
      </c>
      <c r="C5461" s="35">
        <v>64.72720337</v>
      </c>
      <c r="D5461" s="35">
        <v>-155.4700012</v>
      </c>
      <c r="E5461" s="32" t="s">
        <v>180</v>
      </c>
      <c r="F5461" s="32" t="s">
        <v>14751</v>
      </c>
      <c r="G5461" s="39" t="s">
        <v>181</v>
      </c>
      <c r="H5461" s="33"/>
      <c r="I5461" s="33"/>
      <c r="J5461" s="33"/>
      <c r="K5461" s="33"/>
      <c r="L5461" s="33"/>
      <c r="M5461" s="33"/>
    </row>
    <row r="5462">
      <c r="A5462" s="32" t="s">
        <v>14752</v>
      </c>
      <c r="B5462" s="32" t="s">
        <v>14753</v>
      </c>
      <c r="C5462" s="35">
        <v>44.14500046</v>
      </c>
      <c r="D5462" s="35">
        <v>-103.1039963</v>
      </c>
      <c r="E5462" s="32" t="s">
        <v>180</v>
      </c>
      <c r="F5462" s="32" t="s">
        <v>14710</v>
      </c>
      <c r="G5462" s="39" t="s">
        <v>181</v>
      </c>
      <c r="H5462" s="33"/>
      <c r="I5462" s="33"/>
      <c r="J5462" s="33"/>
      <c r="K5462" s="33"/>
      <c r="L5462" s="33"/>
      <c r="M5462" s="33"/>
    </row>
    <row r="5463">
      <c r="A5463" s="32" t="s">
        <v>14754</v>
      </c>
      <c r="B5463" s="32" t="s">
        <v>14755</v>
      </c>
      <c r="C5463" s="35">
        <v>-28.74099922</v>
      </c>
      <c r="D5463" s="35">
        <v>32.09209824</v>
      </c>
      <c r="E5463" s="32" t="s">
        <v>16</v>
      </c>
      <c r="F5463" s="32" t="s">
        <v>14756</v>
      </c>
      <c r="G5463" s="36" t="e">
        <v>#N/A</v>
      </c>
      <c r="H5463" s="33"/>
      <c r="I5463" s="33"/>
      <c r="J5463" s="33"/>
      <c r="K5463" s="33"/>
      <c r="L5463" s="33"/>
      <c r="M5463" s="33"/>
    </row>
    <row r="5464">
      <c r="A5464" s="32" t="s">
        <v>14757</v>
      </c>
      <c r="B5464" s="32" t="s">
        <v>14758</v>
      </c>
      <c r="C5464" s="35">
        <v>11.5262</v>
      </c>
      <c r="D5464" s="35">
        <v>-72.926</v>
      </c>
      <c r="E5464" s="32" t="s">
        <v>292</v>
      </c>
      <c r="F5464" s="32" t="s">
        <v>14759</v>
      </c>
      <c r="G5464" s="36" t="e">
        <v>#N/A</v>
      </c>
      <c r="H5464" s="33"/>
      <c r="I5464" s="33"/>
      <c r="J5464" s="33"/>
      <c r="K5464" s="33"/>
      <c r="L5464" s="33"/>
      <c r="M5464" s="33"/>
    </row>
    <row r="5465">
      <c r="A5465" s="32" t="s">
        <v>14760</v>
      </c>
      <c r="B5465" s="32" t="s">
        <v>2327</v>
      </c>
      <c r="C5465" s="35">
        <v>-15.47200012</v>
      </c>
      <c r="D5465" s="35">
        <v>167.8350067</v>
      </c>
      <c r="E5465" s="32" t="s">
        <v>4279</v>
      </c>
      <c r="F5465" s="32" t="s">
        <v>14761</v>
      </c>
      <c r="G5465" s="36" t="e">
        <v>#N/A</v>
      </c>
      <c r="H5465" s="33"/>
      <c r="I5465" s="33"/>
      <c r="J5465" s="33"/>
      <c r="K5465" s="33"/>
      <c r="L5465" s="33"/>
      <c r="M5465" s="33"/>
    </row>
    <row r="5466">
      <c r="A5466" s="32" t="s">
        <v>14762</v>
      </c>
      <c r="B5466" s="32" t="s">
        <v>14763</v>
      </c>
      <c r="C5466" s="35">
        <v>-20.70190048</v>
      </c>
      <c r="D5466" s="35">
        <v>143.1150055</v>
      </c>
      <c r="E5466" s="32" t="s">
        <v>1968</v>
      </c>
      <c r="F5466" s="32" t="s">
        <v>1979</v>
      </c>
      <c r="G5466" s="36" t="e">
        <v>#N/A</v>
      </c>
      <c r="H5466" s="33"/>
      <c r="I5466" s="33"/>
      <c r="J5466" s="33"/>
      <c r="K5466" s="33"/>
      <c r="L5466" s="33"/>
      <c r="M5466" s="33"/>
    </row>
    <row r="5467">
      <c r="A5467" s="32" t="s">
        <v>14764</v>
      </c>
      <c r="B5467" s="32" t="s">
        <v>14765</v>
      </c>
      <c r="C5467" s="35">
        <v>45.88779831</v>
      </c>
      <c r="D5467" s="35">
        <v>-0.983056009</v>
      </c>
      <c r="E5467" s="32" t="s">
        <v>96</v>
      </c>
      <c r="F5467" s="32" t="s">
        <v>14766</v>
      </c>
      <c r="G5467" s="39" t="s">
        <v>97</v>
      </c>
      <c r="H5467" s="33"/>
      <c r="I5467" s="33"/>
      <c r="J5467" s="33"/>
      <c r="K5467" s="33"/>
      <c r="L5467" s="33"/>
      <c r="M5467" s="33"/>
    </row>
    <row r="5468">
      <c r="A5468" s="32" t="s">
        <v>14767</v>
      </c>
      <c r="B5468" s="32" t="s">
        <v>14768</v>
      </c>
      <c r="C5468" s="35">
        <v>51.35189819</v>
      </c>
      <c r="D5468" s="35">
        <v>0.503332973</v>
      </c>
      <c r="E5468" s="32" t="s">
        <v>90</v>
      </c>
      <c r="F5468" s="32" t="s">
        <v>6541</v>
      </c>
      <c r="G5468" s="39" t="s">
        <v>91</v>
      </c>
      <c r="H5468" s="33"/>
      <c r="I5468" s="33"/>
      <c r="J5468" s="33"/>
      <c r="K5468" s="33"/>
      <c r="L5468" s="33"/>
      <c r="M5468" s="33"/>
    </row>
    <row r="5469">
      <c r="A5469" s="32" t="s">
        <v>14769</v>
      </c>
      <c r="B5469" s="32" t="s">
        <v>14770</v>
      </c>
      <c r="C5469" s="35">
        <v>-33.08509827</v>
      </c>
      <c r="D5469" s="35">
        <v>-64.26129913</v>
      </c>
      <c r="E5469" s="32" t="s">
        <v>296</v>
      </c>
      <c r="F5469" s="32" t="s">
        <v>14771</v>
      </c>
      <c r="G5469" s="36" t="e">
        <v>#N/A</v>
      </c>
      <c r="H5469" s="33"/>
      <c r="I5469" s="33"/>
      <c r="J5469" s="33"/>
      <c r="K5469" s="33"/>
      <c r="L5469" s="33"/>
      <c r="M5469" s="33"/>
    </row>
    <row r="5470">
      <c r="A5470" s="32" t="s">
        <v>14772</v>
      </c>
      <c r="B5470" s="32" t="s">
        <v>14773</v>
      </c>
      <c r="C5470" s="35">
        <v>34.8913</v>
      </c>
      <c r="D5470" s="35">
        <v>-79.759598</v>
      </c>
      <c r="E5470" s="32" t="s">
        <v>180</v>
      </c>
      <c r="F5470" s="32" t="s">
        <v>14774</v>
      </c>
      <c r="G5470" s="39" t="s">
        <v>181</v>
      </c>
      <c r="H5470" s="33"/>
      <c r="I5470" s="33"/>
      <c r="J5470" s="33"/>
      <c r="K5470" s="33"/>
      <c r="L5470" s="33"/>
      <c r="M5470" s="33"/>
    </row>
    <row r="5471">
      <c r="A5471" s="32" t="s">
        <v>14775</v>
      </c>
      <c r="B5471" s="32" t="s">
        <v>14776</v>
      </c>
      <c r="C5471" s="35">
        <v>-8.033289909</v>
      </c>
      <c r="D5471" s="35">
        <v>-49.97990036</v>
      </c>
      <c r="E5471" s="32" t="s">
        <v>288</v>
      </c>
      <c r="F5471" s="32" t="s">
        <v>14777</v>
      </c>
      <c r="G5471" s="36" t="e">
        <v>#N/A</v>
      </c>
      <c r="H5471" s="33"/>
      <c r="I5471" s="33"/>
      <c r="J5471" s="33"/>
      <c r="K5471" s="33"/>
      <c r="L5471" s="33"/>
      <c r="M5471" s="33"/>
    </row>
    <row r="5472">
      <c r="A5472" s="32" t="s">
        <v>14778</v>
      </c>
      <c r="B5472" s="32" t="s">
        <v>14779</v>
      </c>
      <c r="C5472" s="35">
        <v>40.50899887</v>
      </c>
      <c r="D5472" s="35">
        <v>-122.2929993</v>
      </c>
      <c r="E5472" s="32" t="s">
        <v>180</v>
      </c>
      <c r="F5472" s="32" t="s">
        <v>14780</v>
      </c>
      <c r="G5472" s="39" t="s">
        <v>181</v>
      </c>
      <c r="H5472" s="33"/>
      <c r="I5472" s="33"/>
      <c r="J5472" s="33"/>
      <c r="K5472" s="33"/>
      <c r="L5472" s="33"/>
      <c r="M5472" s="33"/>
    </row>
    <row r="5473">
      <c r="A5473" s="32" t="s">
        <v>14781</v>
      </c>
      <c r="B5473" s="32" t="s">
        <v>14782</v>
      </c>
      <c r="C5473" s="35">
        <v>40.37850189</v>
      </c>
      <c r="D5473" s="35">
        <v>-75.96520233</v>
      </c>
      <c r="E5473" s="32" t="s">
        <v>180</v>
      </c>
      <c r="F5473" s="32" t="s">
        <v>14783</v>
      </c>
      <c r="G5473" s="39" t="s">
        <v>181</v>
      </c>
      <c r="H5473" s="33"/>
      <c r="I5473" s="33"/>
      <c r="J5473" s="33"/>
      <c r="K5473" s="33"/>
      <c r="L5473" s="33"/>
      <c r="M5473" s="33"/>
    </row>
    <row r="5474">
      <c r="A5474" s="32" t="s">
        <v>14784</v>
      </c>
      <c r="B5474" s="32" t="s">
        <v>14785</v>
      </c>
      <c r="C5474" s="35">
        <v>44.2541008</v>
      </c>
      <c r="D5474" s="35">
        <v>-121.1500015</v>
      </c>
      <c r="E5474" s="32" t="s">
        <v>180</v>
      </c>
      <c r="F5474" s="32" t="s">
        <v>14786</v>
      </c>
      <c r="G5474" s="39" t="s">
        <v>181</v>
      </c>
      <c r="H5474" s="33"/>
      <c r="I5474" s="33"/>
      <c r="J5474" s="33"/>
      <c r="K5474" s="33"/>
      <c r="L5474" s="33"/>
      <c r="M5474" s="33"/>
    </row>
    <row r="5475">
      <c r="A5475" s="32" t="s">
        <v>14787</v>
      </c>
      <c r="B5475" s="32" t="s">
        <v>14788</v>
      </c>
      <c r="C5475" s="35">
        <v>5.76527977</v>
      </c>
      <c r="D5475" s="35">
        <v>103.0070038</v>
      </c>
      <c r="E5475" s="32" t="s">
        <v>284</v>
      </c>
      <c r="F5475" s="32" t="s">
        <v>14789</v>
      </c>
      <c r="G5475" s="36" t="e">
        <v>#N/A</v>
      </c>
      <c r="H5475" s="33"/>
      <c r="I5475" s="33"/>
      <c r="J5475" s="33"/>
      <c r="K5475" s="33"/>
      <c r="L5475" s="33"/>
      <c r="M5475" s="33"/>
    </row>
    <row r="5476">
      <c r="A5476" s="32" t="s">
        <v>14790</v>
      </c>
      <c r="B5476" s="32" t="s">
        <v>14791</v>
      </c>
      <c r="C5476" s="35">
        <v>23.6225</v>
      </c>
      <c r="D5476" s="35">
        <v>87.243</v>
      </c>
      <c r="E5476" s="32" t="s">
        <v>217</v>
      </c>
      <c r="F5476" s="32" t="s">
        <v>14792</v>
      </c>
      <c r="G5476" s="39" t="s">
        <v>218</v>
      </c>
      <c r="H5476" s="33"/>
      <c r="I5476" s="33"/>
      <c r="J5476" s="33"/>
      <c r="K5476" s="33"/>
      <c r="L5476" s="33"/>
      <c r="M5476" s="33"/>
    </row>
    <row r="5477">
      <c r="A5477" s="32" t="s">
        <v>14793</v>
      </c>
      <c r="B5477" s="32" t="s">
        <v>14794</v>
      </c>
      <c r="C5477" s="35">
        <v>47.96110153</v>
      </c>
      <c r="D5477" s="35">
        <v>-97.40119934</v>
      </c>
      <c r="E5477" s="32" t="s">
        <v>180</v>
      </c>
      <c r="F5477" s="32" t="s">
        <v>14795</v>
      </c>
      <c r="G5477" s="39" t="s">
        <v>181</v>
      </c>
      <c r="H5477" s="33"/>
      <c r="I5477" s="33"/>
      <c r="J5477" s="33"/>
      <c r="K5477" s="33"/>
      <c r="L5477" s="33"/>
      <c r="M5477" s="33"/>
    </row>
    <row r="5478">
      <c r="A5478" s="32" t="s">
        <v>14796</v>
      </c>
      <c r="B5478" s="32" t="s">
        <v>14797</v>
      </c>
      <c r="C5478" s="35">
        <v>-37.3905983</v>
      </c>
      <c r="D5478" s="35">
        <v>-68.90419769</v>
      </c>
      <c r="E5478" s="32" t="s">
        <v>296</v>
      </c>
      <c r="F5478" s="32" t="s">
        <v>14798</v>
      </c>
      <c r="G5478" s="36" t="e">
        <v>#N/A</v>
      </c>
      <c r="H5478" s="33"/>
      <c r="I5478" s="33"/>
      <c r="J5478" s="33"/>
      <c r="K5478" s="33"/>
      <c r="L5478" s="33"/>
      <c r="M5478" s="33"/>
    </row>
    <row r="5479">
      <c r="A5479" s="32" t="s">
        <v>14799</v>
      </c>
      <c r="B5479" s="32" t="s">
        <v>14800</v>
      </c>
      <c r="C5479" s="35">
        <v>35.87760162</v>
      </c>
      <c r="D5479" s="35">
        <v>-78.78749847</v>
      </c>
      <c r="E5479" s="32" t="s">
        <v>180</v>
      </c>
      <c r="F5479" s="32" t="s">
        <v>14801</v>
      </c>
      <c r="G5479" s="39" t="s">
        <v>181</v>
      </c>
      <c r="H5479" s="33"/>
      <c r="I5479" s="33"/>
      <c r="J5479" s="33"/>
      <c r="K5479" s="33"/>
      <c r="L5479" s="33"/>
      <c r="M5479" s="33"/>
    </row>
    <row r="5480">
      <c r="A5480" s="32" t="s">
        <v>14802</v>
      </c>
      <c r="B5480" s="32" t="s">
        <v>14803</v>
      </c>
      <c r="C5480" s="35">
        <v>44.40790176</v>
      </c>
      <c r="D5480" s="35">
        <v>2.482670069</v>
      </c>
      <c r="E5480" s="32" t="s">
        <v>96</v>
      </c>
      <c r="F5480" s="32" t="s">
        <v>14804</v>
      </c>
      <c r="G5480" s="39" t="s">
        <v>97</v>
      </c>
      <c r="H5480" s="33"/>
      <c r="I5480" s="33"/>
      <c r="J5480" s="33"/>
      <c r="K5480" s="33"/>
      <c r="L5480" s="33"/>
      <c r="M5480" s="33"/>
    </row>
    <row r="5481">
      <c r="A5481" s="32" t="s">
        <v>14805</v>
      </c>
      <c r="B5481" s="32" t="s">
        <v>14806</v>
      </c>
      <c r="C5481" s="35">
        <v>-18.46590042</v>
      </c>
      <c r="D5481" s="35">
        <v>-136.4400024</v>
      </c>
      <c r="E5481" s="32" t="s">
        <v>1325</v>
      </c>
      <c r="F5481" s="32" t="s">
        <v>14807</v>
      </c>
      <c r="G5481" s="36" t="e">
        <v>#N/A</v>
      </c>
      <c r="H5481" s="33"/>
      <c r="I5481" s="33"/>
      <c r="J5481" s="33"/>
      <c r="K5481" s="33"/>
      <c r="L5481" s="33"/>
      <c r="M5481" s="33"/>
    </row>
    <row r="5482">
      <c r="A5482" s="32" t="s">
        <v>14808</v>
      </c>
      <c r="B5482" s="32" t="s">
        <v>14809</v>
      </c>
      <c r="C5482" s="35">
        <v>-8.126489639</v>
      </c>
      <c r="D5482" s="35">
        <v>-34.92359924</v>
      </c>
      <c r="E5482" s="32" t="s">
        <v>288</v>
      </c>
      <c r="F5482" s="32" t="s">
        <v>14810</v>
      </c>
      <c r="G5482" s="36" t="e">
        <v>#N/A</v>
      </c>
      <c r="H5482" s="33"/>
      <c r="I5482" s="33"/>
      <c r="J5482" s="33"/>
      <c r="K5482" s="33"/>
      <c r="L5482" s="33"/>
      <c r="M5482" s="33"/>
    </row>
    <row r="5483">
      <c r="A5483" s="32" t="s">
        <v>14811</v>
      </c>
      <c r="B5483" s="32" t="s">
        <v>14812</v>
      </c>
      <c r="C5483" s="35">
        <v>38.071201</v>
      </c>
      <c r="D5483" s="35">
        <v>15.6516</v>
      </c>
      <c r="E5483" s="32" t="s">
        <v>103</v>
      </c>
      <c r="F5483" s="32" t="s">
        <v>14813</v>
      </c>
      <c r="G5483" s="39" t="s">
        <v>104</v>
      </c>
      <c r="H5483" s="33"/>
      <c r="I5483" s="33"/>
      <c r="J5483" s="33"/>
      <c r="K5483" s="33"/>
      <c r="L5483" s="33"/>
      <c r="M5483" s="33"/>
    </row>
    <row r="5484">
      <c r="A5484" s="32" t="s">
        <v>14814</v>
      </c>
      <c r="B5484" s="32" t="s">
        <v>14815</v>
      </c>
      <c r="C5484" s="35">
        <v>34.08530045</v>
      </c>
      <c r="D5484" s="35">
        <v>-117.1460037</v>
      </c>
      <c r="E5484" s="32" t="s">
        <v>180</v>
      </c>
      <c r="F5484" s="32" t="s">
        <v>14816</v>
      </c>
      <c r="G5484" s="39" t="s">
        <v>181</v>
      </c>
      <c r="H5484" s="33"/>
      <c r="I5484" s="33"/>
      <c r="J5484" s="33"/>
      <c r="K5484" s="33"/>
      <c r="L5484" s="33"/>
      <c r="M5484" s="33"/>
    </row>
    <row r="5485">
      <c r="A5485" s="32" t="s">
        <v>14817</v>
      </c>
      <c r="B5485" s="32" t="s">
        <v>14818</v>
      </c>
      <c r="C5485" s="35">
        <v>-43.2105</v>
      </c>
      <c r="D5485" s="35">
        <v>-65.2703</v>
      </c>
      <c r="E5485" s="32" t="s">
        <v>296</v>
      </c>
      <c r="F5485" s="32" t="s">
        <v>14819</v>
      </c>
      <c r="G5485" s="36" t="e">
        <v>#N/A</v>
      </c>
      <c r="H5485" s="33"/>
      <c r="I5485" s="33"/>
      <c r="J5485" s="33"/>
      <c r="K5485" s="33"/>
      <c r="L5485" s="33"/>
      <c r="M5485" s="33"/>
    </row>
    <row r="5486">
      <c r="A5486" s="32" t="s">
        <v>14820</v>
      </c>
      <c r="B5486" s="32" t="s">
        <v>14821</v>
      </c>
      <c r="C5486" s="35">
        <v>51.79579926</v>
      </c>
      <c r="D5486" s="35">
        <v>55.45669937</v>
      </c>
      <c r="E5486" s="32" t="s">
        <v>2040</v>
      </c>
      <c r="F5486" s="32" t="s">
        <v>14822</v>
      </c>
      <c r="G5486" s="36" t="e">
        <v>#N/A</v>
      </c>
      <c r="H5486" s="33"/>
      <c r="I5486" s="33"/>
      <c r="J5486" s="33"/>
      <c r="K5486" s="33"/>
      <c r="L5486" s="33"/>
      <c r="M5486" s="33"/>
    </row>
    <row r="5487">
      <c r="A5487" s="32" t="s">
        <v>14823</v>
      </c>
      <c r="B5487" s="32" t="s">
        <v>14824</v>
      </c>
      <c r="C5487" s="35">
        <v>13.41069984</v>
      </c>
      <c r="D5487" s="35">
        <v>103.8130035</v>
      </c>
      <c r="E5487" s="32" t="s">
        <v>1832</v>
      </c>
      <c r="F5487" s="32" t="s">
        <v>14825</v>
      </c>
      <c r="G5487" s="36" t="e">
        <v>#N/A</v>
      </c>
      <c r="H5487" s="33"/>
      <c r="I5487" s="33"/>
      <c r="J5487" s="33"/>
      <c r="K5487" s="33"/>
      <c r="L5487" s="33"/>
      <c r="M5487" s="33"/>
    </row>
    <row r="5488">
      <c r="A5488" s="32" t="s">
        <v>14826</v>
      </c>
      <c r="B5488" s="32" t="s">
        <v>14827</v>
      </c>
      <c r="C5488" s="35">
        <v>-27.45</v>
      </c>
      <c r="D5488" s="35">
        <v>-59.0561</v>
      </c>
      <c r="E5488" s="32" t="s">
        <v>296</v>
      </c>
      <c r="F5488" s="32" t="s">
        <v>14828</v>
      </c>
      <c r="G5488" s="36" t="e">
        <v>#N/A</v>
      </c>
      <c r="H5488" s="33"/>
      <c r="I5488" s="33"/>
      <c r="J5488" s="33"/>
      <c r="K5488" s="33"/>
      <c r="L5488" s="33"/>
      <c r="M5488" s="33"/>
    </row>
    <row r="5489">
      <c r="A5489" s="32" t="s">
        <v>14829</v>
      </c>
      <c r="B5489" s="32" t="s">
        <v>14830</v>
      </c>
      <c r="C5489" s="35">
        <v>67.52780151</v>
      </c>
      <c r="D5489" s="35">
        <v>12.10330009</v>
      </c>
      <c r="E5489" s="32" t="s">
        <v>343</v>
      </c>
      <c r="F5489" s="32" t="s">
        <v>14831</v>
      </c>
      <c r="G5489" s="36" t="e">
        <v>#N/A</v>
      </c>
      <c r="H5489" s="33"/>
      <c r="I5489" s="33"/>
      <c r="J5489" s="33"/>
      <c r="K5489" s="33"/>
      <c r="L5489" s="33"/>
      <c r="M5489" s="33"/>
    </row>
    <row r="5490">
      <c r="A5490" s="32" t="s">
        <v>14832</v>
      </c>
      <c r="B5490" s="32" t="s">
        <v>14833</v>
      </c>
      <c r="C5490" s="35">
        <v>41.1473999</v>
      </c>
      <c r="D5490" s="35">
        <v>1.167170048</v>
      </c>
      <c r="E5490" s="32" t="s">
        <v>115</v>
      </c>
      <c r="F5490" s="32" t="s">
        <v>14834</v>
      </c>
      <c r="G5490" s="39" t="s">
        <v>116</v>
      </c>
      <c r="H5490" s="33"/>
      <c r="I5490" s="33"/>
      <c r="J5490" s="33"/>
      <c r="K5490" s="33"/>
      <c r="L5490" s="33"/>
      <c r="M5490" s="33"/>
    </row>
    <row r="5491">
      <c r="A5491" s="32" t="s">
        <v>14835</v>
      </c>
      <c r="B5491" s="32" t="s">
        <v>14836</v>
      </c>
      <c r="C5491" s="35">
        <v>26.00889969</v>
      </c>
      <c r="D5491" s="35">
        <v>-98.22850037</v>
      </c>
      <c r="E5491" s="32" t="s">
        <v>186</v>
      </c>
      <c r="F5491" s="32" t="s">
        <v>14837</v>
      </c>
      <c r="G5491" s="39" t="s">
        <v>187</v>
      </c>
      <c r="H5491" s="33"/>
      <c r="I5491" s="33"/>
      <c r="J5491" s="33"/>
      <c r="K5491" s="33"/>
      <c r="L5491" s="33"/>
      <c r="M5491" s="33"/>
    </row>
    <row r="5492">
      <c r="A5492" s="32" t="s">
        <v>14838</v>
      </c>
      <c r="B5492" s="32" t="s">
        <v>14839</v>
      </c>
      <c r="C5492" s="35">
        <v>-14.30440044</v>
      </c>
      <c r="D5492" s="35">
        <v>-67.35340118</v>
      </c>
      <c r="E5492" s="32" t="s">
        <v>323</v>
      </c>
      <c r="F5492" s="32" t="s">
        <v>14840</v>
      </c>
      <c r="G5492" s="36" t="e">
        <v>#N/A</v>
      </c>
      <c r="H5492" s="33"/>
      <c r="I5492" s="33"/>
      <c r="J5492" s="33"/>
      <c r="K5492" s="33"/>
      <c r="L5492" s="33"/>
      <c r="M5492" s="33"/>
    </row>
    <row r="5493">
      <c r="A5493" s="32" t="s">
        <v>14841</v>
      </c>
      <c r="B5493" s="32" t="s">
        <v>14842</v>
      </c>
      <c r="C5493" s="35">
        <v>42.19540024</v>
      </c>
      <c r="D5493" s="35">
        <v>-89.09719849</v>
      </c>
      <c r="E5493" s="32" t="s">
        <v>180</v>
      </c>
      <c r="F5493" s="32" t="s">
        <v>14843</v>
      </c>
      <c r="G5493" s="39" t="s">
        <v>181</v>
      </c>
      <c r="H5493" s="33"/>
      <c r="I5493" s="33"/>
      <c r="J5493" s="33"/>
      <c r="K5493" s="33"/>
      <c r="L5493" s="33"/>
      <c r="M5493" s="33"/>
    </row>
    <row r="5494">
      <c r="A5494" s="32" t="s">
        <v>14844</v>
      </c>
      <c r="B5494" s="32" t="s">
        <v>14845</v>
      </c>
      <c r="C5494" s="35">
        <v>-16.7229</v>
      </c>
      <c r="D5494" s="35">
        <v>-151.466003</v>
      </c>
      <c r="E5494" s="32" t="s">
        <v>1325</v>
      </c>
      <c r="F5494" s="32" t="s">
        <v>14846</v>
      </c>
      <c r="G5494" s="36" t="e">
        <v>#N/A</v>
      </c>
      <c r="H5494" s="33"/>
      <c r="I5494" s="33"/>
      <c r="J5494" s="33"/>
      <c r="K5494" s="33"/>
      <c r="L5494" s="33"/>
      <c r="M5494" s="33"/>
    </row>
    <row r="5495">
      <c r="A5495" s="32" t="s">
        <v>14847</v>
      </c>
      <c r="B5495" s="32" t="s">
        <v>14848</v>
      </c>
      <c r="C5495" s="35">
        <v>13.88969994</v>
      </c>
      <c r="D5495" s="35">
        <v>-84.4088974</v>
      </c>
      <c r="E5495" s="32" t="s">
        <v>1260</v>
      </c>
      <c r="F5495" s="32" t="s">
        <v>14849</v>
      </c>
      <c r="G5495" s="36" t="e">
        <v>#N/A</v>
      </c>
      <c r="H5495" s="33"/>
      <c r="I5495" s="33"/>
      <c r="J5495" s="33"/>
      <c r="K5495" s="33"/>
      <c r="L5495" s="33"/>
      <c r="M5495" s="33"/>
    </row>
    <row r="5496">
      <c r="A5496" s="32" t="s">
        <v>14850</v>
      </c>
      <c r="B5496" s="32" t="s">
        <v>14851</v>
      </c>
      <c r="C5496" s="35">
        <v>-53.7777</v>
      </c>
      <c r="D5496" s="35">
        <v>-67.7494</v>
      </c>
      <c r="E5496" s="32" t="s">
        <v>296</v>
      </c>
      <c r="F5496" s="32" t="s">
        <v>14852</v>
      </c>
      <c r="G5496" s="36" t="e">
        <v>#N/A</v>
      </c>
      <c r="H5496" s="33"/>
      <c r="I5496" s="33"/>
      <c r="J5496" s="33"/>
      <c r="K5496" s="33"/>
      <c r="L5496" s="33"/>
      <c r="M5496" s="33"/>
    </row>
    <row r="5497">
      <c r="A5497" s="32" t="s">
        <v>14853</v>
      </c>
      <c r="B5497" s="32" t="s">
        <v>14854</v>
      </c>
      <c r="C5497" s="35">
        <v>-14.95429993</v>
      </c>
      <c r="D5497" s="35">
        <v>-147.6609955</v>
      </c>
      <c r="E5497" s="32" t="s">
        <v>1325</v>
      </c>
      <c r="F5497" s="32" t="s">
        <v>14855</v>
      </c>
      <c r="G5497" s="36" t="e">
        <v>#N/A</v>
      </c>
      <c r="H5497" s="33"/>
      <c r="I5497" s="33"/>
      <c r="J5497" s="33"/>
      <c r="K5497" s="33"/>
      <c r="L5497" s="33"/>
      <c r="M5497" s="33"/>
    </row>
    <row r="5498">
      <c r="A5498" s="32" t="s">
        <v>14856</v>
      </c>
      <c r="B5498" s="32" t="s">
        <v>14857</v>
      </c>
      <c r="C5498" s="35">
        <v>51.96670151</v>
      </c>
      <c r="D5498" s="35">
        <v>85.83329773</v>
      </c>
      <c r="E5498" s="32" t="s">
        <v>2040</v>
      </c>
      <c r="F5498" s="32" t="s">
        <v>14858</v>
      </c>
      <c r="G5498" s="36" t="e">
        <v>#N/A</v>
      </c>
      <c r="H5498" s="33"/>
      <c r="I5498" s="33"/>
      <c r="J5498" s="33"/>
      <c r="K5498" s="33"/>
      <c r="L5498" s="33"/>
      <c r="M5498" s="33"/>
    </row>
    <row r="5499">
      <c r="A5499" s="32" t="s">
        <v>14859</v>
      </c>
      <c r="B5499" s="32" t="s">
        <v>14860</v>
      </c>
      <c r="C5499" s="35">
        <v>-51.6089</v>
      </c>
      <c r="D5499" s="35">
        <v>-69.3126</v>
      </c>
      <c r="E5499" s="32" t="s">
        <v>296</v>
      </c>
      <c r="F5499" s="32" t="s">
        <v>14861</v>
      </c>
      <c r="G5499" s="36" t="e">
        <v>#N/A</v>
      </c>
      <c r="H5499" s="33"/>
      <c r="I5499" s="33"/>
      <c r="J5499" s="33"/>
      <c r="K5499" s="33"/>
      <c r="L5499" s="33"/>
      <c r="M5499" s="33"/>
    </row>
    <row r="5500">
      <c r="A5500" s="32" t="s">
        <v>14862</v>
      </c>
      <c r="B5500" s="32" t="s">
        <v>14863</v>
      </c>
      <c r="C5500" s="35">
        <v>16.90730095</v>
      </c>
      <c r="D5500" s="35">
        <v>96.1332016</v>
      </c>
      <c r="E5500" s="32" t="s">
        <v>1918</v>
      </c>
      <c r="F5500" s="32" t="s">
        <v>14864</v>
      </c>
      <c r="G5500" s="36" t="e">
        <v>#N/A</v>
      </c>
      <c r="H5500" s="33"/>
      <c r="I5500" s="33"/>
      <c r="J5500" s="33"/>
      <c r="K5500" s="33"/>
      <c r="L5500" s="33"/>
      <c r="M5500" s="33"/>
    </row>
    <row r="5501">
      <c r="A5501" s="32" t="s">
        <v>14865</v>
      </c>
      <c r="B5501" s="32" t="s">
        <v>14866</v>
      </c>
      <c r="C5501" s="35">
        <v>42.35760117</v>
      </c>
      <c r="D5501" s="35">
        <v>-3.620759964</v>
      </c>
      <c r="E5501" s="32" t="s">
        <v>115</v>
      </c>
      <c r="F5501" s="32" t="s">
        <v>14867</v>
      </c>
      <c r="G5501" s="39" t="s">
        <v>116</v>
      </c>
      <c r="H5501" s="33"/>
      <c r="I5501" s="33"/>
      <c r="J5501" s="33"/>
      <c r="K5501" s="33"/>
      <c r="L5501" s="33"/>
      <c r="M5501" s="33"/>
    </row>
    <row r="5502">
      <c r="A5502" s="32" t="s">
        <v>14868</v>
      </c>
      <c r="B5502" s="32" t="s">
        <v>14869</v>
      </c>
      <c r="C5502" s="35">
        <v>-0.352807999</v>
      </c>
      <c r="D5502" s="35">
        <v>102.3349991</v>
      </c>
      <c r="E5502" s="32" t="s">
        <v>280</v>
      </c>
      <c r="F5502" s="32" t="s">
        <v>14870</v>
      </c>
      <c r="G5502" s="36" t="e">
        <v>#N/A</v>
      </c>
      <c r="H5502" s="33"/>
      <c r="I5502" s="33"/>
      <c r="J5502" s="33"/>
      <c r="K5502" s="33"/>
      <c r="L5502" s="33"/>
      <c r="M5502" s="33"/>
    </row>
    <row r="5503">
      <c r="A5503" s="32" t="s">
        <v>14871</v>
      </c>
      <c r="B5503" s="32" t="s">
        <v>14872</v>
      </c>
      <c r="C5503" s="35">
        <v>-27.4966</v>
      </c>
      <c r="D5503" s="35">
        <v>-64.93595</v>
      </c>
      <c r="E5503" s="32" t="s">
        <v>296</v>
      </c>
      <c r="F5503" s="32" t="s">
        <v>14873</v>
      </c>
      <c r="G5503" s="36" t="e">
        <v>#N/A</v>
      </c>
      <c r="H5503" s="33"/>
      <c r="I5503" s="33"/>
      <c r="J5503" s="33"/>
      <c r="K5503" s="33"/>
      <c r="L5503" s="33"/>
      <c r="M5503" s="33"/>
    </row>
    <row r="5504">
      <c r="A5504" s="32" t="s">
        <v>14874</v>
      </c>
      <c r="B5504" s="32" t="s">
        <v>14875</v>
      </c>
      <c r="C5504" s="35">
        <v>49.310001</v>
      </c>
      <c r="D5504" s="35">
        <v>4.05</v>
      </c>
      <c r="E5504" s="32" t="s">
        <v>96</v>
      </c>
      <c r="F5504" s="32" t="s">
        <v>986</v>
      </c>
      <c r="G5504" s="39" t="s">
        <v>97</v>
      </c>
      <c r="H5504" s="33"/>
      <c r="I5504" s="33"/>
      <c r="J5504" s="33"/>
      <c r="K5504" s="33"/>
      <c r="L5504" s="33"/>
      <c r="M5504" s="33"/>
    </row>
    <row r="5505">
      <c r="A5505" s="32" t="s">
        <v>14876</v>
      </c>
      <c r="B5505" s="32" t="s">
        <v>14877</v>
      </c>
      <c r="C5505" s="35">
        <v>45.63119888</v>
      </c>
      <c r="D5505" s="35">
        <v>-89.46749878</v>
      </c>
      <c r="E5505" s="32" t="s">
        <v>180</v>
      </c>
      <c r="F5505" s="32" t="s">
        <v>14878</v>
      </c>
      <c r="G5505" s="39" t="s">
        <v>181</v>
      </c>
      <c r="H5505" s="33"/>
      <c r="I5505" s="33"/>
      <c r="J5505" s="33"/>
      <c r="K5505" s="33"/>
      <c r="L5505" s="33"/>
      <c r="M5505" s="33"/>
    </row>
    <row r="5506">
      <c r="A5506" s="32" t="s">
        <v>14879</v>
      </c>
      <c r="B5506" s="32" t="s">
        <v>14880</v>
      </c>
      <c r="C5506" s="35">
        <v>36.40539932</v>
      </c>
      <c r="D5506" s="35">
        <v>28.08620071</v>
      </c>
      <c r="E5506" s="32" t="s">
        <v>339</v>
      </c>
      <c r="F5506" s="32" t="s">
        <v>1042</v>
      </c>
      <c r="G5506" s="36" t="e">
        <v>#N/A</v>
      </c>
      <c r="H5506" s="33"/>
      <c r="I5506" s="33"/>
      <c r="J5506" s="33"/>
      <c r="K5506" s="33"/>
      <c r="L5506" s="33"/>
      <c r="M5506" s="33"/>
    </row>
    <row r="5507">
      <c r="A5507" s="32" t="s">
        <v>14881</v>
      </c>
      <c r="B5507" s="32" t="s">
        <v>14882</v>
      </c>
      <c r="C5507" s="35">
        <v>27.3939991</v>
      </c>
      <c r="D5507" s="35">
        <v>86.06140137</v>
      </c>
      <c r="E5507" s="32" t="s">
        <v>1877</v>
      </c>
      <c r="F5507" s="32" t="s">
        <v>14883</v>
      </c>
      <c r="G5507" s="36" t="e">
        <v>#N/A</v>
      </c>
      <c r="H5507" s="33"/>
      <c r="I5507" s="33"/>
      <c r="J5507" s="33"/>
      <c r="K5507" s="33"/>
      <c r="L5507" s="33"/>
      <c r="M5507" s="33"/>
    </row>
    <row r="5508">
      <c r="A5508" s="32" t="s">
        <v>14884</v>
      </c>
      <c r="B5508" s="32" t="s">
        <v>14885</v>
      </c>
      <c r="C5508" s="35">
        <v>37.332901</v>
      </c>
      <c r="D5508" s="35">
        <v>-121.8190002</v>
      </c>
      <c r="E5508" s="32" t="s">
        <v>180</v>
      </c>
      <c r="F5508" s="32" t="s">
        <v>1243</v>
      </c>
      <c r="G5508" s="39" t="s">
        <v>181</v>
      </c>
      <c r="H5508" s="33"/>
      <c r="I5508" s="33"/>
      <c r="J5508" s="33"/>
      <c r="K5508" s="33"/>
      <c r="L5508" s="33"/>
      <c r="M5508" s="33"/>
    </row>
    <row r="5509">
      <c r="A5509" s="32" t="s">
        <v>14886</v>
      </c>
      <c r="B5509" s="32" t="s">
        <v>3800</v>
      </c>
      <c r="C5509" s="35">
        <v>-29.71139908</v>
      </c>
      <c r="D5509" s="35">
        <v>-53.6882019</v>
      </c>
      <c r="E5509" s="32" t="s">
        <v>288</v>
      </c>
      <c r="F5509" s="32" t="s">
        <v>14887</v>
      </c>
      <c r="G5509" s="36" t="e">
        <v>#N/A</v>
      </c>
      <c r="H5509" s="33"/>
      <c r="I5509" s="33"/>
      <c r="J5509" s="33"/>
      <c r="K5509" s="33"/>
      <c r="L5509" s="33"/>
      <c r="M5509" s="33"/>
    </row>
    <row r="5510">
      <c r="A5510" s="32" t="s">
        <v>14888</v>
      </c>
      <c r="B5510" s="32" t="s">
        <v>14889</v>
      </c>
      <c r="C5510" s="35">
        <v>-11.0</v>
      </c>
      <c r="D5510" s="35">
        <v>-66.0</v>
      </c>
      <c r="E5510" s="32" t="s">
        <v>323</v>
      </c>
      <c r="F5510" s="32" t="s">
        <v>14890</v>
      </c>
      <c r="G5510" s="36" t="e">
        <v>#N/A</v>
      </c>
      <c r="H5510" s="33"/>
      <c r="I5510" s="33"/>
      <c r="J5510" s="33"/>
      <c r="K5510" s="33"/>
      <c r="L5510" s="33"/>
      <c r="M5510" s="33"/>
    </row>
    <row r="5511">
      <c r="A5511" s="32" t="s">
        <v>14891</v>
      </c>
      <c r="B5511" s="32" t="s">
        <v>14892</v>
      </c>
      <c r="C5511" s="35">
        <v>37.50519943</v>
      </c>
      <c r="D5511" s="35">
        <v>-77.31970215</v>
      </c>
      <c r="E5511" s="32" t="s">
        <v>180</v>
      </c>
      <c r="F5511" s="32" t="s">
        <v>1979</v>
      </c>
      <c r="G5511" s="39" t="s">
        <v>181</v>
      </c>
      <c r="H5511" s="33"/>
      <c r="I5511" s="33"/>
      <c r="J5511" s="33"/>
      <c r="K5511" s="33"/>
      <c r="L5511" s="33"/>
      <c r="M5511" s="33"/>
    </row>
    <row r="5512">
      <c r="A5512" s="32" t="s">
        <v>14893</v>
      </c>
      <c r="B5512" s="32" t="s">
        <v>14894</v>
      </c>
      <c r="C5512" s="35">
        <v>39.75719833</v>
      </c>
      <c r="D5512" s="35">
        <v>-84.84279633</v>
      </c>
      <c r="E5512" s="32" t="s">
        <v>180</v>
      </c>
      <c r="F5512" s="32" t="s">
        <v>1979</v>
      </c>
      <c r="G5512" s="39" t="s">
        <v>181</v>
      </c>
      <c r="H5512" s="33"/>
      <c r="I5512" s="33"/>
      <c r="J5512" s="33"/>
      <c r="K5512" s="33"/>
      <c r="L5512" s="33"/>
      <c r="M5512" s="33"/>
    </row>
    <row r="5513">
      <c r="A5513" s="32" t="s">
        <v>14895</v>
      </c>
      <c r="B5513" s="32" t="s">
        <v>14896</v>
      </c>
      <c r="C5513" s="35">
        <v>38.7364006</v>
      </c>
      <c r="D5513" s="35">
        <v>-112.098999</v>
      </c>
      <c r="E5513" s="32" t="s">
        <v>180</v>
      </c>
      <c r="F5513" s="32" t="s">
        <v>14897</v>
      </c>
      <c r="G5513" s="39" t="s">
        <v>181</v>
      </c>
      <c r="H5513" s="33"/>
      <c r="I5513" s="33"/>
      <c r="J5513" s="33"/>
      <c r="K5513" s="33"/>
      <c r="L5513" s="33"/>
      <c r="M5513" s="33"/>
    </row>
    <row r="5514">
      <c r="A5514" s="32" t="s">
        <v>14898</v>
      </c>
      <c r="B5514" s="32" t="s">
        <v>14899</v>
      </c>
      <c r="C5514" s="35">
        <v>-6.067860126</v>
      </c>
      <c r="D5514" s="35">
        <v>-77.16000366</v>
      </c>
      <c r="E5514" s="32" t="s">
        <v>307</v>
      </c>
      <c r="F5514" s="32" t="s">
        <v>14900</v>
      </c>
      <c r="G5514" s="36" t="e">
        <v>#N/A</v>
      </c>
      <c r="H5514" s="33"/>
      <c r="I5514" s="33"/>
      <c r="J5514" s="33"/>
      <c r="K5514" s="33"/>
      <c r="L5514" s="33"/>
      <c r="M5514" s="33"/>
    </row>
    <row r="5515">
      <c r="A5515" s="32" t="s">
        <v>14901</v>
      </c>
      <c r="B5515" s="32" t="s">
        <v>14902</v>
      </c>
      <c r="C5515" s="35">
        <v>39.52629852</v>
      </c>
      <c r="D5515" s="35">
        <v>-107.7269974</v>
      </c>
      <c r="E5515" s="32" t="s">
        <v>180</v>
      </c>
      <c r="F5515" s="32" t="s">
        <v>14903</v>
      </c>
      <c r="G5515" s="39" t="s">
        <v>181</v>
      </c>
      <c r="H5515" s="33"/>
      <c r="I5515" s="33"/>
      <c r="J5515" s="33"/>
      <c r="K5515" s="33"/>
      <c r="L5515" s="33"/>
      <c r="M5515" s="33"/>
    </row>
    <row r="5516">
      <c r="A5516" s="32" t="s">
        <v>14904</v>
      </c>
      <c r="B5516" s="32" t="s">
        <v>14905</v>
      </c>
      <c r="C5516" s="35">
        <v>-8.126390457</v>
      </c>
      <c r="D5516" s="35">
        <v>157.1430054</v>
      </c>
      <c r="E5516" s="32" t="s">
        <v>3666</v>
      </c>
      <c r="F5516" s="32" t="s">
        <v>14906</v>
      </c>
      <c r="G5516" s="36" t="e">
        <v>#N/A</v>
      </c>
      <c r="H5516" s="33"/>
      <c r="I5516" s="33"/>
      <c r="J5516" s="33"/>
      <c r="K5516" s="33"/>
      <c r="L5516" s="33"/>
      <c r="M5516" s="33"/>
    </row>
    <row r="5517">
      <c r="A5517" s="32" t="s">
        <v>14907</v>
      </c>
      <c r="B5517" s="32" t="s">
        <v>14908</v>
      </c>
      <c r="C5517" s="35">
        <v>33.98970032</v>
      </c>
      <c r="D5517" s="35">
        <v>-117.4110031</v>
      </c>
      <c r="E5517" s="32" t="s">
        <v>180</v>
      </c>
      <c r="F5517" s="32" t="s">
        <v>14701</v>
      </c>
      <c r="G5517" s="39" t="s">
        <v>181</v>
      </c>
      <c r="H5517" s="33"/>
      <c r="I5517" s="33"/>
      <c r="J5517" s="33"/>
      <c r="K5517" s="33"/>
      <c r="L5517" s="33"/>
      <c r="M5517" s="33"/>
    </row>
    <row r="5518">
      <c r="A5518" s="32" t="s">
        <v>14909</v>
      </c>
      <c r="B5518" s="32" t="s">
        <v>14910</v>
      </c>
      <c r="C5518" s="35">
        <v>45.24200058</v>
      </c>
      <c r="D5518" s="35">
        <v>141.1860046</v>
      </c>
      <c r="E5518" s="32" t="s">
        <v>170</v>
      </c>
      <c r="F5518" s="32" t="s">
        <v>14911</v>
      </c>
      <c r="G5518" s="39" t="s">
        <v>171</v>
      </c>
      <c r="H5518" s="33"/>
      <c r="I5518" s="33"/>
      <c r="J5518" s="33"/>
      <c r="K5518" s="33"/>
      <c r="L5518" s="33"/>
      <c r="M5518" s="33"/>
    </row>
    <row r="5519">
      <c r="A5519" s="32" t="s">
        <v>14912</v>
      </c>
      <c r="B5519" s="32" t="s">
        <v>14913</v>
      </c>
      <c r="C5519" s="35">
        <v>38.48680115</v>
      </c>
      <c r="D5519" s="35">
        <v>-121.1029968</v>
      </c>
      <c r="E5519" s="32" t="s">
        <v>180</v>
      </c>
      <c r="F5519" s="32" t="s">
        <v>14914</v>
      </c>
      <c r="G5519" s="39" t="s">
        <v>181</v>
      </c>
      <c r="H5519" s="33"/>
      <c r="I5519" s="33"/>
      <c r="J5519" s="33"/>
      <c r="K5519" s="33"/>
      <c r="L5519" s="33"/>
      <c r="M5519" s="33"/>
    </row>
    <row r="5520">
      <c r="A5520" s="32" t="s">
        <v>14915</v>
      </c>
      <c r="B5520" s="32" t="s">
        <v>14916</v>
      </c>
      <c r="C5520" s="35">
        <v>33.88069916</v>
      </c>
      <c r="D5520" s="35">
        <v>-117.2590027</v>
      </c>
      <c r="E5520" s="32" t="s">
        <v>180</v>
      </c>
      <c r="F5520" s="32" t="s">
        <v>14701</v>
      </c>
      <c r="G5520" s="39" t="s">
        <v>181</v>
      </c>
      <c r="H5520" s="33"/>
      <c r="I5520" s="33"/>
      <c r="J5520" s="33"/>
      <c r="K5520" s="33"/>
      <c r="L5520" s="33"/>
      <c r="M5520" s="33"/>
    </row>
    <row r="5521">
      <c r="A5521" s="32" t="s">
        <v>14917</v>
      </c>
      <c r="B5521" s="32" t="s">
        <v>14918</v>
      </c>
      <c r="C5521" s="35">
        <v>43.06420136</v>
      </c>
      <c r="D5521" s="35">
        <v>-108.4599991</v>
      </c>
      <c r="E5521" s="32" t="s">
        <v>180</v>
      </c>
      <c r="F5521" s="32" t="s">
        <v>14919</v>
      </c>
      <c r="G5521" s="39" t="s">
        <v>181</v>
      </c>
      <c r="H5521" s="33"/>
      <c r="I5521" s="33"/>
      <c r="J5521" s="33"/>
      <c r="K5521" s="33"/>
      <c r="L5521" s="33"/>
      <c r="M5521" s="33"/>
    </row>
    <row r="5522">
      <c r="A5522" s="32" t="s">
        <v>14920</v>
      </c>
      <c r="B5522" s="32" t="s">
        <v>14921</v>
      </c>
      <c r="C5522" s="35">
        <v>56.92359924</v>
      </c>
      <c r="D5522" s="35">
        <v>23.97109985</v>
      </c>
      <c r="E5522" s="32" t="s">
        <v>3184</v>
      </c>
      <c r="F5522" s="32" t="s">
        <v>14922</v>
      </c>
      <c r="G5522" s="36" t="e">
        <v>#N/A</v>
      </c>
      <c r="H5522" s="33"/>
      <c r="I5522" s="33"/>
      <c r="J5522" s="33"/>
      <c r="K5522" s="33"/>
      <c r="L5522" s="33"/>
      <c r="M5522" s="33"/>
    </row>
    <row r="5523">
      <c r="A5523" s="32" t="s">
        <v>14923</v>
      </c>
      <c r="B5523" s="32" t="s">
        <v>14924</v>
      </c>
      <c r="C5523" s="35">
        <v>14.66259956</v>
      </c>
      <c r="D5523" s="35">
        <v>49.375</v>
      </c>
      <c r="E5523" s="32" t="s">
        <v>2020</v>
      </c>
      <c r="F5523" s="32" t="s">
        <v>14925</v>
      </c>
      <c r="G5523" s="36" t="e">
        <v>#N/A</v>
      </c>
      <c r="H5523" s="33"/>
      <c r="I5523" s="33"/>
      <c r="J5523" s="33"/>
      <c r="K5523" s="33"/>
      <c r="L5523" s="33"/>
      <c r="M5523" s="33"/>
    </row>
    <row r="5524">
      <c r="A5524" s="32" t="s">
        <v>14926</v>
      </c>
      <c r="B5524" s="32" t="s">
        <v>14927</v>
      </c>
      <c r="C5524" s="35">
        <v>17.11039925</v>
      </c>
      <c r="D5524" s="35">
        <v>81.81819916</v>
      </c>
      <c r="E5524" s="32" t="s">
        <v>217</v>
      </c>
      <c r="F5524" s="32" t="s">
        <v>14928</v>
      </c>
      <c r="G5524" s="39" t="s">
        <v>218</v>
      </c>
      <c r="H5524" s="33"/>
      <c r="I5524" s="33"/>
      <c r="J5524" s="33"/>
      <c r="K5524" s="33"/>
      <c r="L5524" s="33"/>
      <c r="M5524" s="33"/>
    </row>
    <row r="5525">
      <c r="A5525" s="32" t="s">
        <v>14929</v>
      </c>
      <c r="B5525" s="32" t="s">
        <v>14930</v>
      </c>
      <c r="C5525" s="35">
        <v>24.43720055</v>
      </c>
      <c r="D5525" s="35">
        <v>88.61650085</v>
      </c>
      <c r="E5525" s="32" t="s">
        <v>1853</v>
      </c>
      <c r="F5525" s="32" t="s">
        <v>14931</v>
      </c>
      <c r="G5525" s="36" t="e">
        <v>#N/A</v>
      </c>
      <c r="H5525" s="33"/>
      <c r="I5525" s="33"/>
      <c r="J5525" s="33"/>
      <c r="K5525" s="33"/>
      <c r="L5525" s="33"/>
      <c r="M5525" s="33"/>
    </row>
    <row r="5526">
      <c r="A5526" s="32" t="s">
        <v>14932</v>
      </c>
      <c r="B5526" s="32" t="s">
        <v>14933</v>
      </c>
      <c r="C5526" s="35">
        <v>45.21689987</v>
      </c>
      <c r="D5526" s="35">
        <v>14.5703001</v>
      </c>
      <c r="E5526" s="32" t="s">
        <v>211</v>
      </c>
      <c r="F5526" s="32" t="s">
        <v>14934</v>
      </c>
      <c r="G5526" s="39" t="s">
        <v>212</v>
      </c>
      <c r="H5526" s="33"/>
      <c r="I5526" s="33"/>
      <c r="J5526" s="33"/>
      <c r="K5526" s="33"/>
      <c r="L5526" s="33"/>
      <c r="M5526" s="33"/>
    </row>
    <row r="5527">
      <c r="A5527" s="32" t="s">
        <v>14935</v>
      </c>
      <c r="B5527" s="32" t="s">
        <v>14936</v>
      </c>
      <c r="C5527" s="35">
        <v>42.46095349</v>
      </c>
      <c r="D5527" s="35">
        <v>-2.322235107</v>
      </c>
      <c r="E5527" s="32" t="s">
        <v>115</v>
      </c>
      <c r="F5527" s="32" t="s">
        <v>14937</v>
      </c>
      <c r="G5527" s="39" t="s">
        <v>116</v>
      </c>
      <c r="H5527" s="33"/>
      <c r="I5527" s="33"/>
      <c r="J5527" s="33"/>
      <c r="K5527" s="33"/>
      <c r="L5527" s="33"/>
      <c r="M5527" s="33"/>
    </row>
    <row r="5528">
      <c r="A5528" s="32" t="s">
        <v>14938</v>
      </c>
      <c r="B5528" s="32" t="s">
        <v>14939</v>
      </c>
      <c r="C5528" s="35">
        <v>30.29770088</v>
      </c>
      <c r="D5528" s="35">
        <v>56.05110168</v>
      </c>
      <c r="E5528" s="32" t="s">
        <v>1378</v>
      </c>
      <c r="F5528" s="32" t="s">
        <v>14940</v>
      </c>
      <c r="G5528" s="36" t="e">
        <v>#N/A</v>
      </c>
      <c r="H5528" s="33"/>
      <c r="I5528" s="33"/>
      <c r="J5528" s="33"/>
      <c r="K5528" s="33"/>
      <c r="L5528" s="33"/>
      <c r="M5528" s="33"/>
    </row>
    <row r="5529">
      <c r="A5529" s="32" t="s">
        <v>14941</v>
      </c>
      <c r="B5529" s="32" t="s">
        <v>14942</v>
      </c>
      <c r="C5529" s="35">
        <v>44.06010056</v>
      </c>
      <c r="D5529" s="35">
        <v>-69.09919739</v>
      </c>
      <c r="E5529" s="32" t="s">
        <v>180</v>
      </c>
      <c r="F5529" s="32" t="s">
        <v>14943</v>
      </c>
      <c r="G5529" s="39" t="s">
        <v>181</v>
      </c>
      <c r="H5529" s="33"/>
      <c r="I5529" s="33"/>
      <c r="J5529" s="33"/>
      <c r="K5529" s="33"/>
      <c r="L5529" s="33"/>
      <c r="M5529" s="33"/>
    </row>
    <row r="5530">
      <c r="A5530" s="32" t="s">
        <v>14944</v>
      </c>
      <c r="B5530" s="32" t="s">
        <v>14945</v>
      </c>
      <c r="C5530" s="35">
        <v>55.58560181</v>
      </c>
      <c r="D5530" s="35">
        <v>12.13140011</v>
      </c>
      <c r="E5530" s="32" t="s">
        <v>533</v>
      </c>
      <c r="F5530" s="32" t="s">
        <v>6179</v>
      </c>
      <c r="G5530" s="36" t="e">
        <v>#N/A</v>
      </c>
      <c r="H5530" s="33"/>
      <c r="I5530" s="33"/>
      <c r="J5530" s="33"/>
      <c r="K5530" s="33"/>
      <c r="L5530" s="33"/>
      <c r="M5530" s="33"/>
    </row>
    <row r="5531">
      <c r="A5531" s="32" t="s">
        <v>14946</v>
      </c>
      <c r="B5531" s="32" t="s">
        <v>14947</v>
      </c>
      <c r="C5531" s="35">
        <v>34.9878006</v>
      </c>
      <c r="D5531" s="35">
        <v>-81.05719757</v>
      </c>
      <c r="E5531" s="32" t="s">
        <v>180</v>
      </c>
      <c r="F5531" s="32" t="s">
        <v>14948</v>
      </c>
      <c r="G5531" s="39" t="s">
        <v>181</v>
      </c>
      <c r="H5531" s="33"/>
      <c r="I5531" s="33"/>
      <c r="J5531" s="33"/>
      <c r="K5531" s="33"/>
      <c r="L5531" s="33"/>
      <c r="M5531" s="33"/>
    </row>
    <row r="5532">
      <c r="A5532" s="32" t="s">
        <v>14949</v>
      </c>
      <c r="B5532" s="32" t="s">
        <v>14950</v>
      </c>
      <c r="C5532" s="35">
        <v>28.08679962</v>
      </c>
      <c r="D5532" s="35">
        <v>-97.04460144</v>
      </c>
      <c r="E5532" s="32" t="s">
        <v>180</v>
      </c>
      <c r="F5532" s="32" t="s">
        <v>14951</v>
      </c>
      <c r="G5532" s="39" t="s">
        <v>181</v>
      </c>
      <c r="H5532" s="33"/>
      <c r="I5532" s="33"/>
      <c r="J5532" s="33"/>
      <c r="K5532" s="33"/>
      <c r="L5532" s="33"/>
      <c r="M5532" s="33"/>
    </row>
    <row r="5533">
      <c r="A5533" s="32" t="s">
        <v>14952</v>
      </c>
      <c r="B5533" s="32" t="s">
        <v>14953</v>
      </c>
      <c r="C5533" s="35">
        <v>35.02159882</v>
      </c>
      <c r="D5533" s="35">
        <v>-94.62129974</v>
      </c>
      <c r="E5533" s="32" t="s">
        <v>180</v>
      </c>
      <c r="F5533" s="32" t="s">
        <v>14954</v>
      </c>
      <c r="G5533" s="39" t="s">
        <v>181</v>
      </c>
      <c r="H5533" s="33"/>
      <c r="I5533" s="33"/>
      <c r="J5533" s="33"/>
      <c r="K5533" s="33"/>
      <c r="L5533" s="33"/>
      <c r="M5533" s="33"/>
    </row>
    <row r="5534">
      <c r="A5534" s="32" t="s">
        <v>14955</v>
      </c>
      <c r="B5534" s="32" t="s">
        <v>14956</v>
      </c>
      <c r="C5534" s="35">
        <v>41.59420013</v>
      </c>
      <c r="D5534" s="35">
        <v>-109.0650024</v>
      </c>
      <c r="E5534" s="32" t="s">
        <v>180</v>
      </c>
      <c r="F5534" s="32" t="s">
        <v>14957</v>
      </c>
      <c r="G5534" s="39" t="s">
        <v>181</v>
      </c>
      <c r="H5534" s="33"/>
      <c r="I5534" s="33"/>
      <c r="J5534" s="33"/>
      <c r="K5534" s="33"/>
      <c r="L5534" s="33"/>
      <c r="M5534" s="33"/>
    </row>
    <row r="5535">
      <c r="A5535" s="32" t="s">
        <v>14958</v>
      </c>
      <c r="B5535" s="32" t="s">
        <v>14959</v>
      </c>
      <c r="C5535" s="35">
        <v>25.6135006</v>
      </c>
      <c r="D5535" s="35">
        <v>55.93880081</v>
      </c>
      <c r="E5535" s="32" t="s">
        <v>139</v>
      </c>
      <c r="F5535" s="32" t="s">
        <v>14960</v>
      </c>
      <c r="G5535" s="39" t="s">
        <v>140</v>
      </c>
      <c r="H5535" s="33"/>
      <c r="I5535" s="33"/>
      <c r="J5535" s="33"/>
      <c r="K5535" s="33"/>
      <c r="L5535" s="33"/>
      <c r="M5535" s="33"/>
    </row>
    <row r="5536">
      <c r="A5536" s="32" t="s">
        <v>14961</v>
      </c>
      <c r="B5536" s="32" t="s">
        <v>14962</v>
      </c>
      <c r="C5536" s="35">
        <v>64.12999725</v>
      </c>
      <c r="D5536" s="35">
        <v>-21.94059944</v>
      </c>
      <c r="E5536" s="32" t="s">
        <v>2037</v>
      </c>
      <c r="F5536" s="32" t="s">
        <v>14963</v>
      </c>
      <c r="G5536" s="36" t="e">
        <v>#N/A</v>
      </c>
      <c r="H5536" s="33"/>
      <c r="I5536" s="33"/>
      <c r="J5536" s="33"/>
      <c r="K5536" s="33"/>
      <c r="L5536" s="33"/>
      <c r="M5536" s="33"/>
    </row>
    <row r="5537">
      <c r="A5537" s="32" t="s">
        <v>14964</v>
      </c>
      <c r="B5537" s="32" t="s">
        <v>14965</v>
      </c>
      <c r="C5537" s="35">
        <v>53.91820145</v>
      </c>
      <c r="D5537" s="35">
        <v>12.27830029</v>
      </c>
      <c r="E5537" s="32" t="s">
        <v>109</v>
      </c>
      <c r="F5537" s="32" t="s">
        <v>14966</v>
      </c>
      <c r="G5537" s="39" t="s">
        <v>110</v>
      </c>
      <c r="H5537" s="33"/>
      <c r="I5537" s="33"/>
      <c r="J5537" s="33"/>
      <c r="K5537" s="33"/>
      <c r="L5537" s="33"/>
      <c r="M5537" s="33"/>
    </row>
    <row r="5538">
      <c r="A5538" s="32" t="s">
        <v>14967</v>
      </c>
      <c r="B5538" s="32" t="s">
        <v>14968</v>
      </c>
      <c r="C5538" s="35">
        <v>40.926</v>
      </c>
      <c r="D5538" s="35">
        <v>107.7428</v>
      </c>
      <c r="E5538" s="32" t="s">
        <v>205</v>
      </c>
      <c r="F5538" s="32" t="s">
        <v>14969</v>
      </c>
      <c r="G5538" s="39" t="s">
        <v>206</v>
      </c>
      <c r="H5538" s="33"/>
      <c r="I5538" s="33"/>
      <c r="J5538" s="33"/>
      <c r="K5538" s="33"/>
      <c r="L5538" s="33"/>
      <c r="M5538" s="33"/>
    </row>
    <row r="5539">
      <c r="A5539" s="32" t="s">
        <v>14970</v>
      </c>
      <c r="B5539" s="32" t="s">
        <v>14971</v>
      </c>
      <c r="C5539" s="35">
        <v>-26.54500008</v>
      </c>
      <c r="D5539" s="35">
        <v>148.7749939</v>
      </c>
      <c r="E5539" s="32" t="s">
        <v>1968</v>
      </c>
      <c r="F5539" s="32" t="s">
        <v>14972</v>
      </c>
      <c r="G5539" s="36" t="e">
        <v>#N/A</v>
      </c>
      <c r="H5539" s="33"/>
      <c r="I5539" s="33"/>
      <c r="J5539" s="33"/>
      <c r="K5539" s="33"/>
      <c r="L5539" s="33"/>
      <c r="M5539" s="33"/>
    </row>
    <row r="5540">
      <c r="A5540" s="32" t="s">
        <v>14973</v>
      </c>
      <c r="B5540" s="32" t="s">
        <v>14974</v>
      </c>
      <c r="C5540" s="35">
        <v>43.23379898</v>
      </c>
      <c r="D5540" s="35">
        <v>-75.40699768</v>
      </c>
      <c r="E5540" s="32" t="s">
        <v>180</v>
      </c>
      <c r="F5540" s="32" t="s">
        <v>1095</v>
      </c>
      <c r="G5540" s="39" t="s">
        <v>181</v>
      </c>
      <c r="H5540" s="33"/>
      <c r="I5540" s="33"/>
      <c r="J5540" s="33"/>
      <c r="K5540" s="33"/>
      <c r="L5540" s="33"/>
      <c r="M5540" s="33"/>
    </row>
    <row r="5541">
      <c r="A5541" s="32" t="s">
        <v>14975</v>
      </c>
      <c r="B5541" s="32" t="s">
        <v>14976</v>
      </c>
      <c r="C5541" s="35">
        <v>25.5571003</v>
      </c>
      <c r="D5541" s="35">
        <v>34.58369827</v>
      </c>
      <c r="E5541" s="32" t="s">
        <v>15</v>
      </c>
      <c r="F5541" s="32" t="s">
        <v>14977</v>
      </c>
      <c r="G5541" s="36" t="e">
        <v>#N/A</v>
      </c>
      <c r="H5541" s="33"/>
      <c r="I5541" s="33"/>
      <c r="J5541" s="33"/>
      <c r="K5541" s="33"/>
      <c r="L5541" s="33"/>
      <c r="M5541" s="33"/>
    </row>
    <row r="5542">
      <c r="A5542" s="32" t="s">
        <v>14978</v>
      </c>
      <c r="B5542" s="32" t="s">
        <v>14979</v>
      </c>
      <c r="C5542" s="35">
        <v>34.3506012</v>
      </c>
      <c r="D5542" s="35">
        <v>-85.15799713</v>
      </c>
      <c r="E5542" s="32" t="s">
        <v>180</v>
      </c>
      <c r="F5542" s="32" t="s">
        <v>1095</v>
      </c>
      <c r="G5542" s="39" t="s">
        <v>181</v>
      </c>
      <c r="H5542" s="33"/>
      <c r="I5542" s="33"/>
      <c r="J5542" s="33"/>
      <c r="K5542" s="33"/>
      <c r="L5542" s="33"/>
      <c r="M5542" s="33"/>
    </row>
    <row r="5543">
      <c r="A5543" s="32" t="s">
        <v>14980</v>
      </c>
      <c r="B5543" s="32" t="s">
        <v>14981</v>
      </c>
      <c r="C5543" s="35">
        <v>44.020302</v>
      </c>
      <c r="D5543" s="35">
        <v>12.6117</v>
      </c>
      <c r="E5543" s="32" t="s">
        <v>103</v>
      </c>
      <c r="F5543" s="32" t="s">
        <v>14982</v>
      </c>
      <c r="G5543" s="39" t="s">
        <v>104</v>
      </c>
      <c r="H5543" s="33"/>
      <c r="I5543" s="33"/>
      <c r="J5543" s="33"/>
      <c r="K5543" s="33"/>
      <c r="L5543" s="33"/>
      <c r="M5543" s="33"/>
    </row>
    <row r="5544">
      <c r="A5544" s="32" t="s">
        <v>14983</v>
      </c>
      <c r="B5544" s="32" t="s">
        <v>14984</v>
      </c>
      <c r="C5544" s="35">
        <v>-34.19639969</v>
      </c>
      <c r="D5544" s="35">
        <v>140.673996</v>
      </c>
      <c r="E5544" s="32" t="s">
        <v>1968</v>
      </c>
      <c r="F5544" s="32" t="s">
        <v>14985</v>
      </c>
      <c r="G5544" s="36" t="e">
        <v>#N/A</v>
      </c>
      <c r="H5544" s="33"/>
      <c r="I5544" s="33"/>
      <c r="J5544" s="33"/>
      <c r="K5544" s="33"/>
      <c r="L5544" s="33"/>
      <c r="M5544" s="33"/>
    </row>
    <row r="5545">
      <c r="A5545" s="32" t="s">
        <v>14986</v>
      </c>
      <c r="B5545" s="32" t="s">
        <v>14987</v>
      </c>
      <c r="C5545" s="35">
        <v>6.821990013</v>
      </c>
      <c r="D5545" s="35">
        <v>79.88619995</v>
      </c>
      <c r="E5545" s="32" t="s">
        <v>1829</v>
      </c>
      <c r="F5545" s="32" t="s">
        <v>6020</v>
      </c>
      <c r="G5545" s="36" t="e">
        <v>#N/A</v>
      </c>
      <c r="H5545" s="33"/>
      <c r="I5545" s="33"/>
      <c r="J5545" s="33"/>
      <c r="K5545" s="33"/>
      <c r="L5545" s="33"/>
      <c r="M5545" s="33"/>
    </row>
    <row r="5546">
      <c r="A5546" s="32" t="s">
        <v>14988</v>
      </c>
      <c r="B5546" s="32" t="s">
        <v>14989</v>
      </c>
      <c r="C5546" s="35">
        <v>24.26469994</v>
      </c>
      <c r="D5546" s="35">
        <v>120.6210022</v>
      </c>
      <c r="E5546" s="32" t="s">
        <v>1497</v>
      </c>
      <c r="F5546" s="32" t="s">
        <v>14990</v>
      </c>
      <c r="G5546" s="36" t="e">
        <v>#N/A</v>
      </c>
      <c r="H5546" s="33"/>
      <c r="I5546" s="33"/>
      <c r="J5546" s="33"/>
      <c r="K5546" s="33"/>
      <c r="L5546" s="33"/>
      <c r="M5546" s="33"/>
    </row>
    <row r="5547">
      <c r="A5547" s="32" t="s">
        <v>14991</v>
      </c>
      <c r="B5547" s="32" t="s">
        <v>14992</v>
      </c>
      <c r="C5547" s="35">
        <v>49.43690109</v>
      </c>
      <c r="D5547" s="35">
        <v>7.600279808</v>
      </c>
      <c r="E5547" s="32" t="s">
        <v>109</v>
      </c>
      <c r="F5547" s="32" t="s">
        <v>14993</v>
      </c>
      <c r="G5547" s="39" t="s">
        <v>110</v>
      </c>
      <c r="H5547" s="33"/>
      <c r="I5547" s="33"/>
      <c r="J5547" s="33"/>
      <c r="K5547" s="33"/>
      <c r="L5547" s="33"/>
      <c r="M5547" s="33"/>
    </row>
    <row r="5548">
      <c r="A5548" s="32" t="s">
        <v>14994</v>
      </c>
      <c r="B5548" s="32" t="s">
        <v>14995</v>
      </c>
      <c r="C5548" s="35">
        <v>-22.63725</v>
      </c>
      <c r="D5548" s="35">
        <v>-152.8059</v>
      </c>
      <c r="E5548" s="32" t="s">
        <v>1325</v>
      </c>
      <c r="F5548" s="32" t="s">
        <v>14996</v>
      </c>
      <c r="G5548" s="36" t="e">
        <v>#N/A</v>
      </c>
      <c r="H5548" s="33"/>
      <c r="I5548" s="33"/>
      <c r="J5548" s="33"/>
      <c r="K5548" s="33"/>
      <c r="L5548" s="33"/>
      <c r="M5548" s="33"/>
    </row>
    <row r="5549">
      <c r="A5549" s="32" t="s">
        <v>14997</v>
      </c>
      <c r="B5549" s="32" t="s">
        <v>14998</v>
      </c>
      <c r="C5549" s="35">
        <v>37.51089859</v>
      </c>
      <c r="D5549" s="35">
        <v>-120.0400009</v>
      </c>
      <c r="E5549" s="32" t="s">
        <v>180</v>
      </c>
      <c r="F5549" s="32" t="s">
        <v>14999</v>
      </c>
      <c r="G5549" s="39" t="s">
        <v>181</v>
      </c>
      <c r="H5549" s="33"/>
      <c r="I5549" s="33"/>
      <c r="J5549" s="33"/>
      <c r="K5549" s="33"/>
      <c r="L5549" s="33"/>
      <c r="M5549" s="33"/>
    </row>
    <row r="5550">
      <c r="A5550" s="32" t="s">
        <v>15000</v>
      </c>
      <c r="B5550" s="32" t="s">
        <v>15001</v>
      </c>
      <c r="C5550" s="35">
        <v>-9.860543583</v>
      </c>
      <c r="D5550" s="35">
        <v>161.9795465</v>
      </c>
      <c r="E5550" s="32" t="s">
        <v>3666</v>
      </c>
      <c r="F5550" s="32" t="s">
        <v>15002</v>
      </c>
      <c r="G5550" s="36" t="e">
        <v>#N/A</v>
      </c>
      <c r="H5550" s="33"/>
      <c r="I5550" s="33"/>
      <c r="J5550" s="33"/>
      <c r="K5550" s="33"/>
      <c r="L5550" s="33"/>
      <c r="M5550" s="33"/>
    </row>
    <row r="5551">
      <c r="A5551" s="32" t="s">
        <v>15003</v>
      </c>
      <c r="B5551" s="32" t="s">
        <v>15004</v>
      </c>
      <c r="C5551" s="35">
        <v>56.26670074</v>
      </c>
      <c r="D5551" s="35">
        <v>15.26500034</v>
      </c>
      <c r="E5551" s="32" t="s">
        <v>347</v>
      </c>
      <c r="F5551" s="32" t="s">
        <v>15005</v>
      </c>
      <c r="G5551" s="36" t="e">
        <v>#N/A</v>
      </c>
      <c r="H5551" s="33"/>
      <c r="I5551" s="33"/>
      <c r="J5551" s="33"/>
      <c r="K5551" s="33"/>
      <c r="L5551" s="33"/>
      <c r="M5551" s="33"/>
    </row>
    <row r="5552">
      <c r="A5552" s="32" t="s">
        <v>15006</v>
      </c>
      <c r="B5552" s="32" t="s">
        <v>15007</v>
      </c>
      <c r="C5552" s="35">
        <v>29.52969933</v>
      </c>
      <c r="D5552" s="35">
        <v>-98.27890015</v>
      </c>
      <c r="E5552" s="32" t="s">
        <v>180</v>
      </c>
      <c r="F5552" s="32" t="s">
        <v>2929</v>
      </c>
      <c r="G5552" s="39" t="s">
        <v>181</v>
      </c>
      <c r="H5552" s="33"/>
      <c r="I5552" s="33"/>
      <c r="J5552" s="33"/>
      <c r="K5552" s="33"/>
      <c r="L5552" s="33"/>
      <c r="M5552" s="33"/>
    </row>
    <row r="5553">
      <c r="A5553" s="32" t="s">
        <v>15008</v>
      </c>
      <c r="B5553" s="32" t="s">
        <v>15009</v>
      </c>
      <c r="C5553" s="35">
        <v>46.05830002</v>
      </c>
      <c r="D5553" s="35">
        <v>4.00138998</v>
      </c>
      <c r="E5553" s="32" t="s">
        <v>96</v>
      </c>
      <c r="F5553" s="32" t="s">
        <v>15010</v>
      </c>
      <c r="G5553" s="39" t="s">
        <v>97</v>
      </c>
      <c r="H5553" s="33"/>
      <c r="I5553" s="33"/>
      <c r="J5553" s="33"/>
      <c r="K5553" s="33"/>
      <c r="L5553" s="33"/>
      <c r="M5553" s="33"/>
    </row>
    <row r="5554">
      <c r="A5554" s="32" t="s">
        <v>15011</v>
      </c>
      <c r="B5554" s="32" t="s">
        <v>15012</v>
      </c>
      <c r="C5554" s="35">
        <v>45.14830017</v>
      </c>
      <c r="D5554" s="35">
        <v>-92.5381012</v>
      </c>
      <c r="E5554" s="32" t="s">
        <v>180</v>
      </c>
      <c r="F5554" s="32" t="s">
        <v>15013</v>
      </c>
      <c r="G5554" s="39" t="s">
        <v>181</v>
      </c>
      <c r="H5554" s="33"/>
      <c r="I5554" s="33"/>
      <c r="J5554" s="33"/>
      <c r="K5554" s="33"/>
      <c r="L5554" s="33"/>
      <c r="M5554" s="33"/>
    </row>
    <row r="5555">
      <c r="A5555" s="32" t="s">
        <v>15014</v>
      </c>
      <c r="B5555" s="32" t="s">
        <v>15015</v>
      </c>
      <c r="C5555" s="35">
        <v>12.16289997</v>
      </c>
      <c r="D5555" s="35">
        <v>-83.063797</v>
      </c>
      <c r="E5555" s="32" t="s">
        <v>1260</v>
      </c>
      <c r="F5555" s="32" t="s">
        <v>15015</v>
      </c>
      <c r="G5555" s="36" t="e">
        <v>#N/A</v>
      </c>
      <c r="H5555" s="33"/>
      <c r="I5555" s="33"/>
      <c r="J5555" s="33"/>
      <c r="K5555" s="33"/>
      <c r="L5555" s="33"/>
      <c r="M5555" s="33"/>
    </row>
    <row r="5556">
      <c r="A5556" s="32" t="s">
        <v>15016</v>
      </c>
      <c r="B5556" s="32" t="s">
        <v>15017</v>
      </c>
      <c r="C5556" s="35">
        <v>27.04400063</v>
      </c>
      <c r="D5556" s="35">
        <v>128.4019928</v>
      </c>
      <c r="E5556" s="32" t="s">
        <v>170</v>
      </c>
      <c r="F5556" s="32" t="s">
        <v>15018</v>
      </c>
      <c r="G5556" s="39" t="s">
        <v>171</v>
      </c>
      <c r="H5556" s="33"/>
      <c r="I5556" s="33"/>
      <c r="J5556" s="33"/>
      <c r="K5556" s="33"/>
      <c r="L5556" s="33"/>
      <c r="M5556" s="33"/>
    </row>
    <row r="5557">
      <c r="A5557" s="32" t="s">
        <v>15019</v>
      </c>
      <c r="B5557" s="32" t="s">
        <v>15020</v>
      </c>
      <c r="C5557" s="35">
        <v>-11.53390026</v>
      </c>
      <c r="D5557" s="35">
        <v>160.0630035</v>
      </c>
      <c r="E5557" s="32" t="s">
        <v>3666</v>
      </c>
      <c r="F5557" s="32" t="s">
        <v>15021</v>
      </c>
      <c r="G5557" s="36" t="e">
        <v>#N/A</v>
      </c>
      <c r="H5557" s="33"/>
      <c r="I5557" s="33"/>
      <c r="J5557" s="33"/>
      <c r="K5557" s="33"/>
      <c r="L5557" s="33"/>
      <c r="M5557" s="33"/>
    </row>
    <row r="5558">
      <c r="A5558" s="32" t="s">
        <v>15022</v>
      </c>
      <c r="B5558" s="32" t="s">
        <v>15023</v>
      </c>
      <c r="C5558" s="35">
        <v>33.03919983</v>
      </c>
      <c r="D5558" s="35">
        <v>-116.9150009</v>
      </c>
      <c r="E5558" s="32" t="s">
        <v>180</v>
      </c>
      <c r="F5558" s="32" t="s">
        <v>15024</v>
      </c>
      <c r="G5558" s="39" t="s">
        <v>181</v>
      </c>
      <c r="H5558" s="33"/>
      <c r="I5558" s="33"/>
      <c r="J5558" s="33"/>
      <c r="K5558" s="33"/>
      <c r="L5558" s="33"/>
      <c r="M5558" s="33"/>
    </row>
    <row r="5559">
      <c r="A5559" s="32" t="s">
        <v>15025</v>
      </c>
      <c r="B5559" s="32" t="s">
        <v>15026</v>
      </c>
      <c r="C5559" s="35">
        <v>55.06330109</v>
      </c>
      <c r="D5559" s="35">
        <v>14.75959969</v>
      </c>
      <c r="E5559" s="32" t="s">
        <v>533</v>
      </c>
      <c r="F5559" s="32" t="s">
        <v>15027</v>
      </c>
      <c r="G5559" s="36" t="e">
        <v>#N/A</v>
      </c>
      <c r="H5559" s="33"/>
      <c r="I5559" s="33"/>
      <c r="J5559" s="33"/>
      <c r="K5559" s="33"/>
      <c r="L5559" s="33"/>
      <c r="M5559" s="33"/>
    </row>
    <row r="5560">
      <c r="A5560" s="32" t="s">
        <v>15028</v>
      </c>
      <c r="B5560" s="32" t="s">
        <v>15029</v>
      </c>
      <c r="C5560" s="35">
        <v>39.49909973</v>
      </c>
      <c r="D5560" s="35">
        <v>-119.7679977</v>
      </c>
      <c r="E5560" s="32" t="s">
        <v>180</v>
      </c>
      <c r="F5560" s="32" t="s">
        <v>15030</v>
      </c>
      <c r="G5560" s="39" t="s">
        <v>181</v>
      </c>
      <c r="H5560" s="33"/>
      <c r="I5560" s="33"/>
      <c r="J5560" s="33"/>
      <c r="K5560" s="33"/>
      <c r="L5560" s="33"/>
      <c r="M5560" s="33"/>
    </row>
    <row r="5561">
      <c r="A5561" s="32" t="s">
        <v>15031</v>
      </c>
      <c r="B5561" s="32" t="s">
        <v>15032</v>
      </c>
      <c r="C5561" s="35">
        <v>48.06949997</v>
      </c>
      <c r="D5561" s="35">
        <v>-1.734789968</v>
      </c>
      <c r="E5561" s="32" t="s">
        <v>96</v>
      </c>
      <c r="F5561" s="32" t="s">
        <v>15033</v>
      </c>
      <c r="G5561" s="39" t="s">
        <v>97</v>
      </c>
      <c r="H5561" s="33"/>
      <c r="I5561" s="33"/>
      <c r="J5561" s="33"/>
      <c r="K5561" s="33"/>
      <c r="L5561" s="33"/>
      <c r="M5561" s="33"/>
    </row>
    <row r="5562">
      <c r="A5562" s="32" t="s">
        <v>15034</v>
      </c>
      <c r="B5562" s="32" t="s">
        <v>15035</v>
      </c>
      <c r="C5562" s="35">
        <v>47.49309921</v>
      </c>
      <c r="D5562" s="35">
        <v>-122.2160034</v>
      </c>
      <c r="E5562" s="32" t="s">
        <v>180</v>
      </c>
      <c r="F5562" s="32" t="s">
        <v>15036</v>
      </c>
      <c r="G5562" s="39" t="s">
        <v>181</v>
      </c>
      <c r="H5562" s="33"/>
      <c r="I5562" s="33"/>
      <c r="J5562" s="33"/>
      <c r="K5562" s="33"/>
      <c r="L5562" s="33"/>
      <c r="M5562" s="33"/>
    </row>
    <row r="5563">
      <c r="A5563" s="32" t="s">
        <v>15037</v>
      </c>
      <c r="B5563" s="32" t="s">
        <v>15038</v>
      </c>
      <c r="C5563" s="35">
        <v>37.32550049</v>
      </c>
      <c r="D5563" s="35">
        <v>-79.97540283</v>
      </c>
      <c r="E5563" s="32" t="s">
        <v>180</v>
      </c>
      <c r="F5563" s="32" t="s">
        <v>15039</v>
      </c>
      <c r="G5563" s="39" t="s">
        <v>181</v>
      </c>
      <c r="H5563" s="33"/>
      <c r="I5563" s="33"/>
      <c r="J5563" s="33"/>
      <c r="K5563" s="33"/>
      <c r="L5563" s="33"/>
      <c r="M5563" s="33"/>
    </row>
    <row r="5564">
      <c r="A5564" s="32" t="s">
        <v>15040</v>
      </c>
      <c r="B5564" s="32" t="s">
        <v>15041</v>
      </c>
      <c r="C5564" s="35">
        <v>6.233789921</v>
      </c>
      <c r="D5564" s="35">
        <v>-10.36229992</v>
      </c>
      <c r="E5564" s="32" t="s">
        <v>6163</v>
      </c>
      <c r="F5564" s="32" t="s">
        <v>12082</v>
      </c>
      <c r="G5564" s="36" t="e">
        <v>#N/A</v>
      </c>
      <c r="H5564" s="33"/>
      <c r="I5564" s="33"/>
      <c r="J5564" s="33"/>
      <c r="K5564" s="33"/>
      <c r="L5564" s="33"/>
      <c r="M5564" s="33"/>
    </row>
    <row r="5565">
      <c r="A5565" s="32" t="s">
        <v>15042</v>
      </c>
      <c r="B5565" s="32" t="s">
        <v>15043</v>
      </c>
      <c r="C5565" s="35">
        <v>43.1189003</v>
      </c>
      <c r="D5565" s="35">
        <v>-77.67240143</v>
      </c>
      <c r="E5565" s="32" t="s">
        <v>180</v>
      </c>
      <c r="F5565" s="32" t="s">
        <v>6541</v>
      </c>
      <c r="G5565" s="39" t="s">
        <v>181</v>
      </c>
      <c r="H5565" s="33"/>
      <c r="I5565" s="33"/>
      <c r="J5565" s="33"/>
      <c r="K5565" s="33"/>
      <c r="L5565" s="33"/>
      <c r="M5565" s="33"/>
    </row>
    <row r="5566">
      <c r="A5566" s="32" t="s">
        <v>15044</v>
      </c>
      <c r="B5566" s="32" t="s">
        <v>15045</v>
      </c>
      <c r="C5566" s="35">
        <v>-33.81219864</v>
      </c>
      <c r="D5566" s="35">
        <v>19.90279961</v>
      </c>
      <c r="E5566" s="32" t="s">
        <v>16</v>
      </c>
      <c r="F5566" s="32" t="s">
        <v>15046</v>
      </c>
      <c r="G5566" s="36" t="e">
        <v>#N/A</v>
      </c>
      <c r="H5566" s="33"/>
      <c r="I5566" s="33"/>
      <c r="J5566" s="33"/>
      <c r="K5566" s="33"/>
      <c r="L5566" s="33"/>
      <c r="M5566" s="33"/>
    </row>
    <row r="5567">
      <c r="A5567" s="32" t="s">
        <v>15047</v>
      </c>
      <c r="B5567" s="32" t="s">
        <v>15048</v>
      </c>
      <c r="C5567" s="35">
        <v>16.11680031</v>
      </c>
      <c r="D5567" s="35">
        <v>103.7740021</v>
      </c>
      <c r="E5567" s="32" t="s">
        <v>175</v>
      </c>
      <c r="F5567" s="32" t="s">
        <v>1911</v>
      </c>
      <c r="G5567" s="39" t="s">
        <v>176</v>
      </c>
      <c r="H5567" s="33"/>
      <c r="I5567" s="33"/>
      <c r="J5567" s="33"/>
      <c r="K5567" s="33"/>
      <c r="L5567" s="33"/>
      <c r="M5567" s="33"/>
    </row>
    <row r="5568">
      <c r="A5568" s="32" t="s">
        <v>15049</v>
      </c>
      <c r="B5568" s="32" t="s">
        <v>15050</v>
      </c>
      <c r="C5568" s="35">
        <v>-23.38190079</v>
      </c>
      <c r="D5568" s="35">
        <v>150.4750061</v>
      </c>
      <c r="E5568" s="32" t="s">
        <v>1968</v>
      </c>
      <c r="F5568" s="32" t="s">
        <v>15051</v>
      </c>
      <c r="G5568" s="36" t="e">
        <v>#N/A</v>
      </c>
      <c r="H5568" s="33"/>
      <c r="I5568" s="33"/>
      <c r="J5568" s="33"/>
      <c r="K5568" s="33"/>
      <c r="L5568" s="33"/>
      <c r="M5568" s="33"/>
    </row>
    <row r="5569">
      <c r="A5569" s="32" t="s">
        <v>15052</v>
      </c>
      <c r="B5569" s="32" t="s">
        <v>15053</v>
      </c>
      <c r="C5569" s="35">
        <v>-16.586</v>
      </c>
      <c r="D5569" s="35">
        <v>-54.7248</v>
      </c>
      <c r="E5569" s="32" t="s">
        <v>288</v>
      </c>
      <c r="F5569" s="32" t="s">
        <v>15054</v>
      </c>
      <c r="G5569" s="36" t="e">
        <v>#N/A</v>
      </c>
      <c r="H5569" s="33"/>
      <c r="I5569" s="33"/>
      <c r="J5569" s="33"/>
      <c r="K5569" s="33"/>
      <c r="L5569" s="33"/>
      <c r="M5569" s="33"/>
    </row>
    <row r="5570">
      <c r="A5570" s="32" t="s">
        <v>15055</v>
      </c>
      <c r="B5570" s="32" t="s">
        <v>15056</v>
      </c>
      <c r="C5570" s="35">
        <v>14.17430019</v>
      </c>
      <c r="D5570" s="35">
        <v>145.2429962</v>
      </c>
      <c r="E5570" s="32" t="s">
        <v>15057</v>
      </c>
      <c r="F5570" s="32" t="s">
        <v>870</v>
      </c>
      <c r="G5570" s="36" t="e">
        <v>#N/A</v>
      </c>
      <c r="H5570" s="33"/>
      <c r="I5570" s="33"/>
      <c r="J5570" s="33"/>
      <c r="K5570" s="33"/>
      <c r="L5570" s="33"/>
      <c r="M5570" s="33"/>
    </row>
    <row r="5571">
      <c r="A5571" s="32" t="s">
        <v>15058</v>
      </c>
      <c r="B5571" s="32" t="s">
        <v>15059</v>
      </c>
      <c r="C5571" s="35">
        <v>7.367650032</v>
      </c>
      <c r="D5571" s="35">
        <v>134.5440063</v>
      </c>
      <c r="E5571" s="32" t="s">
        <v>15060</v>
      </c>
      <c r="F5571" s="32" t="s">
        <v>15061</v>
      </c>
      <c r="G5571" s="36" t="e">
        <v>#N/A</v>
      </c>
      <c r="H5571" s="33"/>
      <c r="I5571" s="33"/>
      <c r="J5571" s="33"/>
      <c r="K5571" s="33"/>
      <c r="L5571" s="33"/>
      <c r="M5571" s="33"/>
    </row>
    <row r="5572">
      <c r="A5572" s="32" t="s">
        <v>15062</v>
      </c>
      <c r="B5572" s="32" t="s">
        <v>15063</v>
      </c>
      <c r="C5572" s="35">
        <v>-32.9036</v>
      </c>
      <c r="D5572" s="35">
        <v>-60.785</v>
      </c>
      <c r="E5572" s="32" t="s">
        <v>296</v>
      </c>
      <c r="F5572" s="32" t="s">
        <v>15064</v>
      </c>
      <c r="G5572" s="36" t="e">
        <v>#N/A</v>
      </c>
      <c r="H5572" s="33"/>
      <c r="I5572" s="33"/>
      <c r="J5572" s="33"/>
      <c r="K5572" s="33"/>
      <c r="L5572" s="33"/>
      <c r="M5572" s="33"/>
    </row>
    <row r="5573">
      <c r="A5573" s="32" t="s">
        <v>15065</v>
      </c>
      <c r="B5573" s="32" t="s">
        <v>15066</v>
      </c>
      <c r="C5573" s="35">
        <v>-38.10919952</v>
      </c>
      <c r="D5573" s="35">
        <v>176.3170013</v>
      </c>
      <c r="E5573" s="32" t="s">
        <v>1328</v>
      </c>
      <c r="F5573" s="32" t="s">
        <v>15067</v>
      </c>
      <c r="G5573" s="36" t="e">
        <v>#N/A</v>
      </c>
      <c r="H5573" s="33"/>
      <c r="I5573" s="33"/>
      <c r="J5573" s="33"/>
      <c r="K5573" s="33"/>
      <c r="L5573" s="33"/>
      <c r="M5573" s="33"/>
    </row>
    <row r="5574">
      <c r="A5574" s="32" t="s">
        <v>15068</v>
      </c>
      <c r="B5574" s="32" t="s">
        <v>15069</v>
      </c>
      <c r="C5574" s="35">
        <v>47.2582016</v>
      </c>
      <c r="D5574" s="35">
        <v>39.81809998</v>
      </c>
      <c r="E5574" s="32" t="s">
        <v>2040</v>
      </c>
      <c r="F5574" s="32" t="s">
        <v>15070</v>
      </c>
      <c r="G5574" s="36" t="e">
        <v>#N/A</v>
      </c>
      <c r="H5574" s="33"/>
      <c r="I5574" s="33"/>
      <c r="J5574" s="33"/>
      <c r="K5574" s="33"/>
      <c r="L5574" s="33"/>
      <c r="M5574" s="33"/>
    </row>
    <row r="5575">
      <c r="A5575" s="32" t="s">
        <v>15071</v>
      </c>
      <c r="B5575" s="32" t="s">
        <v>15072</v>
      </c>
      <c r="C5575" s="35">
        <v>33.30160141</v>
      </c>
      <c r="D5575" s="35">
        <v>-104.5309982</v>
      </c>
      <c r="E5575" s="32" t="s">
        <v>180</v>
      </c>
      <c r="F5575" s="32" t="s">
        <v>15073</v>
      </c>
      <c r="G5575" s="39" t="s">
        <v>181</v>
      </c>
      <c r="H5575" s="33"/>
      <c r="I5575" s="33"/>
      <c r="J5575" s="33"/>
      <c r="K5575" s="33"/>
      <c r="L5575" s="33"/>
      <c r="M5575" s="33"/>
    </row>
    <row r="5576">
      <c r="A5576" s="32" t="s">
        <v>15074</v>
      </c>
      <c r="B5576" s="32" t="s">
        <v>15075</v>
      </c>
      <c r="C5576" s="35">
        <v>-14.734814</v>
      </c>
      <c r="D5576" s="35">
        <v>134.525485</v>
      </c>
      <c r="E5576" s="32" t="s">
        <v>1968</v>
      </c>
      <c r="F5576" s="32" t="s">
        <v>15076</v>
      </c>
      <c r="G5576" s="36" t="e">
        <v>#N/A</v>
      </c>
      <c r="H5576" s="33"/>
      <c r="I5576" s="33"/>
      <c r="J5576" s="33"/>
      <c r="K5576" s="33"/>
      <c r="L5576" s="33"/>
      <c r="M5576" s="33"/>
    </row>
    <row r="5577">
      <c r="A5577" s="32" t="s">
        <v>15077</v>
      </c>
      <c r="B5577" s="32" t="s">
        <v>15078</v>
      </c>
      <c r="C5577" s="35">
        <v>-14.72280025</v>
      </c>
      <c r="D5577" s="35">
        <v>134.746994</v>
      </c>
      <c r="E5577" s="32" t="s">
        <v>1968</v>
      </c>
      <c r="F5577" s="33"/>
      <c r="G5577" s="36" t="e">
        <v>#N/A</v>
      </c>
      <c r="H5577" s="33"/>
      <c r="I5577" s="33"/>
      <c r="J5577" s="33"/>
      <c r="K5577" s="33"/>
      <c r="L5577" s="33"/>
      <c r="M5577" s="33"/>
    </row>
    <row r="5578">
      <c r="A5578" s="32" t="s">
        <v>15079</v>
      </c>
      <c r="B5578" s="32" t="s">
        <v>15080</v>
      </c>
      <c r="C5578" s="35">
        <v>32.98099899</v>
      </c>
      <c r="D5578" s="35">
        <v>35.57189941</v>
      </c>
      <c r="E5578" s="32" t="s">
        <v>243</v>
      </c>
      <c r="F5578" s="32" t="s">
        <v>15081</v>
      </c>
      <c r="G5578" s="36" t="e">
        <v>#N/A</v>
      </c>
      <c r="H5578" s="33"/>
      <c r="I5578" s="33"/>
      <c r="J5578" s="33"/>
      <c r="K5578" s="33"/>
      <c r="L5578" s="33"/>
      <c r="M5578" s="33"/>
    </row>
    <row r="5579">
      <c r="A5579" s="32" t="s">
        <v>15082</v>
      </c>
      <c r="B5579" s="32" t="s">
        <v>15083</v>
      </c>
      <c r="C5579" s="35">
        <v>21.18040085</v>
      </c>
      <c r="D5579" s="35">
        <v>81.73880005</v>
      </c>
      <c r="E5579" s="32" t="s">
        <v>217</v>
      </c>
      <c r="F5579" s="32" t="s">
        <v>15084</v>
      </c>
      <c r="G5579" s="39" t="s">
        <v>218</v>
      </c>
      <c r="H5579" s="33"/>
      <c r="I5579" s="33"/>
      <c r="J5579" s="33"/>
      <c r="K5579" s="33"/>
      <c r="L5579" s="33"/>
      <c r="M5579" s="33"/>
    </row>
    <row r="5580">
      <c r="A5580" s="32" t="s">
        <v>15085</v>
      </c>
      <c r="B5580" s="32" t="s">
        <v>15086</v>
      </c>
      <c r="C5580" s="35">
        <v>35.76720047</v>
      </c>
      <c r="D5580" s="35">
        <v>43.12509918</v>
      </c>
      <c r="E5580" s="32" t="s">
        <v>259</v>
      </c>
      <c r="F5580" s="32" t="s">
        <v>15087</v>
      </c>
      <c r="G5580" s="36" t="e">
        <v>#N/A</v>
      </c>
      <c r="H5580" s="33"/>
      <c r="I5580" s="33"/>
      <c r="J5580" s="33"/>
      <c r="K5580" s="33"/>
      <c r="L5580" s="33"/>
      <c r="M5580" s="33"/>
    </row>
    <row r="5581">
      <c r="A5581" s="32" t="s">
        <v>15088</v>
      </c>
      <c r="B5581" s="32" t="s">
        <v>15089</v>
      </c>
      <c r="C5581" s="35">
        <v>-19.75769997</v>
      </c>
      <c r="D5581" s="35">
        <v>63.36100006</v>
      </c>
      <c r="E5581" s="32" t="s">
        <v>388</v>
      </c>
      <c r="F5581" s="32" t="s">
        <v>15090</v>
      </c>
      <c r="G5581" s="36" t="e">
        <v>#N/A</v>
      </c>
      <c r="H5581" s="33"/>
      <c r="I5581" s="33"/>
      <c r="J5581" s="33"/>
      <c r="K5581" s="33"/>
      <c r="L5581" s="33"/>
      <c r="M5581" s="33"/>
    </row>
    <row r="5582">
      <c r="A5582" s="32" t="s">
        <v>15091</v>
      </c>
      <c r="B5582" s="32" t="s">
        <v>15092</v>
      </c>
      <c r="C5582" s="35">
        <v>22.25670052</v>
      </c>
      <c r="D5582" s="35">
        <v>84.81459808</v>
      </c>
      <c r="E5582" s="32" t="s">
        <v>217</v>
      </c>
      <c r="F5582" s="32" t="s">
        <v>15093</v>
      </c>
      <c r="G5582" s="39" t="s">
        <v>218</v>
      </c>
      <c r="H5582" s="33"/>
      <c r="I5582" s="33"/>
      <c r="J5582" s="33"/>
      <c r="K5582" s="33"/>
      <c r="L5582" s="33"/>
      <c r="M5582" s="33"/>
    </row>
    <row r="5583">
      <c r="A5583" s="32" t="s">
        <v>15094</v>
      </c>
      <c r="B5583" s="32" t="s">
        <v>15095</v>
      </c>
      <c r="C5583" s="35">
        <v>62.57839966</v>
      </c>
      <c r="D5583" s="35">
        <v>11.34230042</v>
      </c>
      <c r="E5583" s="32" t="s">
        <v>343</v>
      </c>
      <c r="F5583" s="32" t="s">
        <v>15096</v>
      </c>
      <c r="G5583" s="36" t="e">
        <v>#N/A</v>
      </c>
      <c r="H5583" s="33"/>
      <c r="I5583" s="33"/>
      <c r="J5583" s="33"/>
      <c r="K5583" s="33"/>
      <c r="L5583" s="33"/>
      <c r="M5583" s="33"/>
    </row>
    <row r="5584">
      <c r="A5584" s="32" t="s">
        <v>15097</v>
      </c>
      <c r="B5584" s="32" t="s">
        <v>15098</v>
      </c>
      <c r="C5584" s="35">
        <v>-36.588299</v>
      </c>
      <c r="D5584" s="35">
        <v>-64.275703</v>
      </c>
      <c r="E5584" s="32" t="s">
        <v>296</v>
      </c>
      <c r="F5584" s="32" t="s">
        <v>7411</v>
      </c>
      <c r="G5584" s="36" t="e">
        <v>#N/A</v>
      </c>
      <c r="H5584" s="33"/>
      <c r="I5584" s="33"/>
      <c r="J5584" s="33"/>
      <c r="K5584" s="33"/>
      <c r="L5584" s="33"/>
      <c r="M5584" s="33"/>
    </row>
    <row r="5585">
      <c r="A5585" s="32" t="s">
        <v>15099</v>
      </c>
      <c r="B5585" s="32" t="s">
        <v>15100</v>
      </c>
      <c r="C5585" s="35">
        <v>24.89507873</v>
      </c>
      <c r="D5585" s="35">
        <v>-76.17688179</v>
      </c>
      <c r="E5585" s="32" t="s">
        <v>319</v>
      </c>
      <c r="F5585" s="32" t="s">
        <v>15101</v>
      </c>
      <c r="G5585" s="36" t="e">
        <v>#N/A</v>
      </c>
      <c r="H5585" s="33"/>
      <c r="I5585" s="33"/>
      <c r="J5585" s="33"/>
      <c r="K5585" s="33"/>
      <c r="L5585" s="33"/>
      <c r="M5585" s="33"/>
    </row>
    <row r="5586">
      <c r="A5586" s="32" t="s">
        <v>15102</v>
      </c>
      <c r="B5586" s="32" t="s">
        <v>15103</v>
      </c>
      <c r="C5586" s="35">
        <v>61.77888489</v>
      </c>
      <c r="D5586" s="35">
        <v>-161.319458</v>
      </c>
      <c r="E5586" s="32" t="s">
        <v>180</v>
      </c>
      <c r="F5586" s="32" t="s">
        <v>15104</v>
      </c>
      <c r="G5586" s="39" t="s">
        <v>181</v>
      </c>
      <c r="H5586" s="33"/>
      <c r="I5586" s="33"/>
      <c r="J5586" s="33"/>
      <c r="K5586" s="33"/>
      <c r="L5586" s="33"/>
      <c r="M5586" s="33"/>
    </row>
    <row r="5587">
      <c r="A5587" s="32" t="s">
        <v>15105</v>
      </c>
      <c r="B5587" s="32" t="s">
        <v>15106</v>
      </c>
      <c r="C5587" s="35">
        <v>38.87210083</v>
      </c>
      <c r="D5587" s="35">
        <v>-98.8117981</v>
      </c>
      <c r="E5587" s="32" t="s">
        <v>180</v>
      </c>
      <c r="F5587" s="32" t="s">
        <v>15107</v>
      </c>
      <c r="G5587" s="39" t="s">
        <v>181</v>
      </c>
      <c r="H5587" s="33"/>
      <c r="I5587" s="33"/>
      <c r="J5587" s="33"/>
      <c r="K5587" s="33"/>
      <c r="L5587" s="33"/>
      <c r="M5587" s="33"/>
    </row>
    <row r="5588">
      <c r="A5588" s="32" t="s">
        <v>15108</v>
      </c>
      <c r="B5588" s="32" t="s">
        <v>15109</v>
      </c>
      <c r="C5588" s="35">
        <v>43.90829849</v>
      </c>
      <c r="D5588" s="35">
        <v>-92.5</v>
      </c>
      <c r="E5588" s="32" t="s">
        <v>180</v>
      </c>
      <c r="F5588" s="32" t="s">
        <v>6541</v>
      </c>
      <c r="G5588" s="39" t="s">
        <v>181</v>
      </c>
      <c r="H5588" s="33"/>
      <c r="I5588" s="33"/>
      <c r="J5588" s="33"/>
      <c r="K5588" s="33"/>
      <c r="L5588" s="33"/>
      <c r="M5588" s="33"/>
    </row>
    <row r="5589">
      <c r="A5589" s="32" t="s">
        <v>15110</v>
      </c>
      <c r="B5589" s="32" t="s">
        <v>15111</v>
      </c>
      <c r="C5589" s="35">
        <v>34.84230042</v>
      </c>
      <c r="D5589" s="35">
        <v>127.6169968</v>
      </c>
      <c r="E5589" s="32" t="s">
        <v>151</v>
      </c>
      <c r="F5589" s="32" t="s">
        <v>15112</v>
      </c>
      <c r="G5589" s="39" t="s">
        <v>152</v>
      </c>
      <c r="H5589" s="33"/>
      <c r="I5589" s="33"/>
      <c r="J5589" s="33"/>
      <c r="K5589" s="33"/>
      <c r="L5589" s="33"/>
      <c r="M5589" s="33"/>
    </row>
    <row r="5590">
      <c r="A5590" s="32" t="s">
        <v>15113</v>
      </c>
      <c r="B5590" s="32" t="s">
        <v>15114</v>
      </c>
      <c r="C5590" s="35">
        <v>26.53619957</v>
      </c>
      <c r="D5590" s="35">
        <v>-81.75520325</v>
      </c>
      <c r="E5590" s="32" t="s">
        <v>180</v>
      </c>
      <c r="F5590" s="32" t="s">
        <v>7691</v>
      </c>
      <c r="G5590" s="39" t="s">
        <v>181</v>
      </c>
      <c r="H5590" s="33"/>
      <c r="I5590" s="33"/>
      <c r="J5590" s="33"/>
      <c r="K5590" s="33"/>
      <c r="L5590" s="33"/>
      <c r="M5590" s="33"/>
    </row>
    <row r="5591">
      <c r="A5591" s="32" t="s">
        <v>15115</v>
      </c>
      <c r="B5591" s="32" t="s">
        <v>15116</v>
      </c>
      <c r="C5591" s="35">
        <v>-12.48250008</v>
      </c>
      <c r="D5591" s="35">
        <v>177.0709991</v>
      </c>
      <c r="E5591" s="32" t="s">
        <v>9136</v>
      </c>
      <c r="F5591" s="32" t="s">
        <v>15117</v>
      </c>
      <c r="G5591" s="36" t="e">
        <v>#N/A</v>
      </c>
      <c r="H5591" s="33"/>
      <c r="I5591" s="33"/>
      <c r="J5591" s="33"/>
      <c r="K5591" s="33"/>
      <c r="L5591" s="33"/>
      <c r="M5591" s="33"/>
    </row>
    <row r="5592">
      <c r="A5592" s="32" t="s">
        <v>15118</v>
      </c>
      <c r="B5592" s="32" t="s">
        <v>15119</v>
      </c>
      <c r="C5592" s="35">
        <v>16.316799</v>
      </c>
      <c r="D5592" s="35">
        <v>-86.523003</v>
      </c>
      <c r="E5592" s="32" t="s">
        <v>1245</v>
      </c>
      <c r="F5592" s="32" t="s">
        <v>15120</v>
      </c>
      <c r="G5592" s="36" t="e">
        <v>#N/A</v>
      </c>
      <c r="H5592" s="33"/>
      <c r="I5592" s="33"/>
      <c r="J5592" s="33"/>
      <c r="K5592" s="33"/>
      <c r="L5592" s="33"/>
      <c r="M5592" s="33"/>
    </row>
    <row r="5593">
      <c r="A5593" s="32" t="s">
        <v>15121</v>
      </c>
      <c r="B5593" s="32" t="s">
        <v>15122</v>
      </c>
      <c r="C5593" s="35">
        <v>17.0135994</v>
      </c>
      <c r="D5593" s="35">
        <v>73.32779694</v>
      </c>
      <c r="E5593" s="32" t="s">
        <v>217</v>
      </c>
      <c r="F5593" s="33"/>
      <c r="G5593" s="39" t="s">
        <v>218</v>
      </c>
      <c r="H5593" s="33"/>
      <c r="I5593" s="33"/>
      <c r="J5593" s="33"/>
      <c r="K5593" s="33"/>
      <c r="L5593" s="33"/>
      <c r="M5593" s="33"/>
    </row>
    <row r="5594">
      <c r="A5594" s="32" t="s">
        <v>15123</v>
      </c>
      <c r="B5594" s="32" t="s">
        <v>15124</v>
      </c>
      <c r="C5594" s="35">
        <v>-8.597009659</v>
      </c>
      <c r="D5594" s="35">
        <v>120.4769974</v>
      </c>
      <c r="E5594" s="32" t="s">
        <v>280</v>
      </c>
      <c r="F5594" s="32" t="s">
        <v>15125</v>
      </c>
      <c r="G5594" s="36" t="e">
        <v>#N/A</v>
      </c>
      <c r="H5594" s="33"/>
      <c r="I5594" s="33"/>
      <c r="J5594" s="33"/>
      <c r="K5594" s="33"/>
      <c r="L5594" s="33"/>
      <c r="M5594" s="33"/>
    </row>
    <row r="5595">
      <c r="A5595" s="32" t="s">
        <v>15126</v>
      </c>
      <c r="B5595" s="32" t="s">
        <v>15127</v>
      </c>
      <c r="C5595" s="35">
        <v>51.956902</v>
      </c>
      <c r="D5595" s="35">
        <v>4.43722</v>
      </c>
      <c r="E5595" s="32" t="s">
        <v>127</v>
      </c>
      <c r="F5595" s="32" t="s">
        <v>15128</v>
      </c>
      <c r="G5595" s="39" t="s">
        <v>128</v>
      </c>
      <c r="H5595" s="33"/>
      <c r="I5595" s="33"/>
      <c r="J5595" s="33"/>
      <c r="K5595" s="33"/>
      <c r="L5595" s="33"/>
      <c r="M5595" s="33"/>
    </row>
    <row r="5596">
      <c r="A5596" s="32" t="s">
        <v>15129</v>
      </c>
      <c r="B5596" s="32" t="s">
        <v>15130</v>
      </c>
      <c r="C5596" s="35">
        <v>-32.00669861</v>
      </c>
      <c r="D5596" s="35">
        <v>115.5400009</v>
      </c>
      <c r="E5596" s="32" t="s">
        <v>1968</v>
      </c>
      <c r="F5596" s="32" t="s">
        <v>15131</v>
      </c>
      <c r="G5596" s="36" t="e">
        <v>#N/A</v>
      </c>
      <c r="H5596" s="33"/>
      <c r="I5596" s="33"/>
      <c r="J5596" s="33"/>
      <c r="K5596" s="33"/>
      <c r="L5596" s="33"/>
      <c r="M5596" s="33"/>
    </row>
    <row r="5597">
      <c r="A5597" s="32" t="s">
        <v>15132</v>
      </c>
      <c r="B5597" s="32" t="s">
        <v>15133</v>
      </c>
      <c r="C5597" s="35">
        <v>51.56499863</v>
      </c>
      <c r="D5597" s="35">
        <v>46.04669952</v>
      </c>
      <c r="E5597" s="32" t="s">
        <v>2040</v>
      </c>
      <c r="F5597" s="32" t="s">
        <v>15134</v>
      </c>
      <c r="G5597" s="36" t="e">
        <v>#N/A</v>
      </c>
      <c r="H5597" s="33"/>
      <c r="I5597" s="33"/>
      <c r="J5597" s="33"/>
      <c r="K5597" s="33"/>
      <c r="L5597" s="33"/>
      <c r="M5597" s="33"/>
    </row>
    <row r="5598">
      <c r="A5598" s="32" t="s">
        <v>15135</v>
      </c>
      <c r="B5598" s="32" t="s">
        <v>15136</v>
      </c>
      <c r="C5598" s="35">
        <v>3.049999952</v>
      </c>
      <c r="D5598" s="35">
        <v>30.91699982</v>
      </c>
      <c r="E5598" s="32" t="s">
        <v>2219</v>
      </c>
      <c r="F5598" s="32" t="s">
        <v>15137</v>
      </c>
      <c r="G5598" s="36" t="e">
        <v>#N/A</v>
      </c>
      <c r="H5598" s="33"/>
      <c r="I5598" s="33"/>
      <c r="J5598" s="33"/>
      <c r="K5598" s="33"/>
      <c r="L5598" s="33"/>
      <c r="M5598" s="33"/>
    </row>
    <row r="5599">
      <c r="A5599" s="32" t="s">
        <v>15138</v>
      </c>
      <c r="B5599" s="32" t="s">
        <v>15139</v>
      </c>
      <c r="C5599" s="35">
        <v>32.25788498</v>
      </c>
      <c r="D5599" s="35">
        <v>120.5016556</v>
      </c>
      <c r="E5599" s="32" t="s">
        <v>205</v>
      </c>
      <c r="F5599" s="32" t="s">
        <v>15140</v>
      </c>
      <c r="G5599" s="39" t="s">
        <v>206</v>
      </c>
      <c r="H5599" s="33"/>
      <c r="I5599" s="33"/>
      <c r="J5599" s="33"/>
      <c r="K5599" s="33"/>
      <c r="L5599" s="33"/>
      <c r="M5599" s="33"/>
    </row>
    <row r="5600">
      <c r="A5600" s="32" t="s">
        <v>15141</v>
      </c>
      <c r="B5600" s="32" t="s">
        <v>15142</v>
      </c>
      <c r="C5600" s="35">
        <v>24.95759964</v>
      </c>
      <c r="D5600" s="35">
        <v>46.69879913</v>
      </c>
      <c r="E5600" s="32" t="s">
        <v>223</v>
      </c>
      <c r="F5600" s="32" t="s">
        <v>15143</v>
      </c>
      <c r="G5600" s="36" t="e">
        <v>#N/A</v>
      </c>
      <c r="H5600" s="33"/>
      <c r="I5600" s="33"/>
      <c r="J5600" s="33"/>
      <c r="K5600" s="33"/>
      <c r="L5600" s="33"/>
      <c r="M5600" s="33"/>
    </row>
    <row r="5601">
      <c r="A5601" s="32" t="s">
        <v>15144</v>
      </c>
      <c r="B5601" s="32" t="s">
        <v>15145</v>
      </c>
      <c r="C5601" s="35">
        <v>28.62700081</v>
      </c>
      <c r="D5601" s="35">
        <v>82.19499969</v>
      </c>
      <c r="E5601" s="32" t="s">
        <v>1877</v>
      </c>
      <c r="F5601" s="32" t="s">
        <v>15146</v>
      </c>
      <c r="G5601" s="36" t="e">
        <v>#N/A</v>
      </c>
      <c r="H5601" s="33"/>
      <c r="I5601" s="33"/>
      <c r="J5601" s="33"/>
      <c r="K5601" s="33"/>
      <c r="L5601" s="33"/>
      <c r="M5601" s="33"/>
    </row>
    <row r="5602">
      <c r="A5602" s="32" t="s">
        <v>15147</v>
      </c>
      <c r="B5602" s="32" t="s">
        <v>15148</v>
      </c>
      <c r="C5602" s="35">
        <v>27.30349922</v>
      </c>
      <c r="D5602" s="35">
        <v>86.55039978</v>
      </c>
      <c r="E5602" s="32" t="s">
        <v>1877</v>
      </c>
      <c r="F5602" s="32" t="s">
        <v>15149</v>
      </c>
      <c r="G5602" s="36" t="e">
        <v>#N/A</v>
      </c>
      <c r="H5602" s="33"/>
      <c r="I5602" s="33"/>
      <c r="J5602" s="33"/>
      <c r="K5602" s="33"/>
      <c r="L5602" s="33"/>
      <c r="M5602" s="33"/>
    </row>
    <row r="5603">
      <c r="A5603" s="32" t="s">
        <v>15150</v>
      </c>
      <c r="B5603" s="32" t="s">
        <v>15151</v>
      </c>
      <c r="C5603" s="35">
        <v>-20.88710022</v>
      </c>
      <c r="D5603" s="35">
        <v>55.51029968</v>
      </c>
      <c r="E5603" s="32" t="s">
        <v>2881</v>
      </c>
      <c r="F5603" s="32" t="s">
        <v>15152</v>
      </c>
      <c r="G5603" s="36" t="e">
        <v>#N/A</v>
      </c>
      <c r="H5603" s="33"/>
      <c r="I5603" s="33"/>
      <c r="J5603" s="33"/>
      <c r="K5603" s="33"/>
      <c r="L5603" s="33"/>
      <c r="M5603" s="33"/>
    </row>
    <row r="5604">
      <c r="A5604" s="32" t="s">
        <v>15153</v>
      </c>
      <c r="B5604" s="32" t="s">
        <v>15154</v>
      </c>
      <c r="C5604" s="35">
        <v>-22.4340992</v>
      </c>
      <c r="D5604" s="35">
        <v>-151.3609924</v>
      </c>
      <c r="E5604" s="32" t="s">
        <v>1325</v>
      </c>
      <c r="F5604" s="32" t="s">
        <v>15155</v>
      </c>
      <c r="G5604" s="36" t="e">
        <v>#N/A</v>
      </c>
      <c r="H5604" s="33"/>
      <c r="I5604" s="33"/>
      <c r="J5604" s="33"/>
      <c r="K5604" s="33"/>
      <c r="L5604" s="33"/>
      <c r="M5604" s="33"/>
    </row>
    <row r="5605">
      <c r="A5605" s="32" t="s">
        <v>15156</v>
      </c>
      <c r="B5605" s="32" t="s">
        <v>15157</v>
      </c>
      <c r="C5605" s="35">
        <v>-9.86166954</v>
      </c>
      <c r="D5605" s="35">
        <v>160.8249969</v>
      </c>
      <c r="E5605" s="32" t="s">
        <v>3666</v>
      </c>
      <c r="F5605" s="32" t="s">
        <v>15158</v>
      </c>
      <c r="G5605" s="36" t="e">
        <v>#N/A</v>
      </c>
      <c r="H5605" s="33"/>
      <c r="I5605" s="33"/>
      <c r="J5605" s="33"/>
      <c r="K5605" s="33"/>
      <c r="L5605" s="33"/>
      <c r="M5605" s="33"/>
    </row>
    <row r="5606">
      <c r="A5606" s="32" t="s">
        <v>15159</v>
      </c>
      <c r="B5606" s="32" t="s">
        <v>15160</v>
      </c>
      <c r="C5606" s="35">
        <v>43.52939987</v>
      </c>
      <c r="D5606" s="35">
        <v>-72.94960022</v>
      </c>
      <c r="E5606" s="32" t="s">
        <v>180</v>
      </c>
      <c r="F5606" s="32" t="s">
        <v>15161</v>
      </c>
      <c r="G5606" s="39" t="s">
        <v>181</v>
      </c>
      <c r="H5606" s="33"/>
      <c r="I5606" s="33"/>
      <c r="J5606" s="33"/>
      <c r="K5606" s="33"/>
      <c r="L5606" s="33"/>
      <c r="M5606" s="33"/>
    </row>
    <row r="5607">
      <c r="A5607" s="32" t="s">
        <v>15162</v>
      </c>
      <c r="B5607" s="32" t="s">
        <v>15163</v>
      </c>
      <c r="C5607" s="35">
        <v>15.99199963</v>
      </c>
      <c r="D5607" s="35">
        <v>-90.44529724</v>
      </c>
      <c r="E5607" s="32" t="s">
        <v>1238</v>
      </c>
      <c r="F5607" s="32" t="s">
        <v>15164</v>
      </c>
      <c r="G5607" s="36" t="e">
        <v>#N/A</v>
      </c>
      <c r="H5607" s="33"/>
      <c r="I5607" s="33"/>
      <c r="J5607" s="33"/>
      <c r="K5607" s="33"/>
      <c r="L5607" s="33"/>
      <c r="M5607" s="33"/>
    </row>
    <row r="5608">
      <c r="A5608" s="32" t="s">
        <v>15165</v>
      </c>
      <c r="B5608" s="32" t="s">
        <v>15166</v>
      </c>
      <c r="C5608" s="35">
        <v>-22.80529976</v>
      </c>
      <c r="D5608" s="35">
        <v>47.8205986</v>
      </c>
      <c r="E5608" s="32" t="s">
        <v>384</v>
      </c>
      <c r="F5608" s="32" t="s">
        <v>15167</v>
      </c>
      <c r="G5608" s="36" t="e">
        <v>#N/A</v>
      </c>
      <c r="H5608" s="33"/>
      <c r="I5608" s="33"/>
      <c r="J5608" s="33"/>
      <c r="K5608" s="33"/>
      <c r="L5608" s="33"/>
      <c r="M5608" s="33"/>
    </row>
    <row r="5609">
      <c r="A5609" s="32" t="s">
        <v>15168</v>
      </c>
      <c r="B5609" s="32" t="s">
        <v>15169</v>
      </c>
      <c r="C5609" s="35">
        <v>-17.83472252</v>
      </c>
      <c r="D5609" s="35">
        <v>-50.95611191</v>
      </c>
      <c r="E5609" s="32" t="s">
        <v>288</v>
      </c>
      <c r="F5609" s="32" t="s">
        <v>15170</v>
      </c>
      <c r="G5609" s="36" t="e">
        <v>#N/A</v>
      </c>
      <c r="H5609" s="33"/>
      <c r="I5609" s="33"/>
      <c r="J5609" s="33"/>
      <c r="K5609" s="33"/>
      <c r="L5609" s="33"/>
      <c r="M5609" s="33"/>
    </row>
    <row r="5610">
      <c r="A5610" s="32" t="s">
        <v>15171</v>
      </c>
      <c r="B5610" s="32" t="s">
        <v>15172</v>
      </c>
      <c r="C5610" s="35">
        <v>6.951868</v>
      </c>
      <c r="D5610" s="35">
        <v>-71.857179</v>
      </c>
      <c r="E5610" s="32" t="s">
        <v>292</v>
      </c>
      <c r="F5610" s="32" t="s">
        <v>15173</v>
      </c>
      <c r="G5610" s="36" t="e">
        <v>#N/A</v>
      </c>
      <c r="H5610" s="33"/>
      <c r="I5610" s="33"/>
      <c r="J5610" s="33"/>
      <c r="K5610" s="33"/>
      <c r="L5610" s="33"/>
      <c r="M5610" s="33"/>
    </row>
    <row r="5611">
      <c r="A5611" s="32" t="s">
        <v>15174</v>
      </c>
      <c r="B5611" s="32" t="s">
        <v>15175</v>
      </c>
      <c r="C5611" s="35">
        <v>64.83830261</v>
      </c>
      <c r="D5611" s="35">
        <v>11.14610004</v>
      </c>
      <c r="E5611" s="32" t="s">
        <v>343</v>
      </c>
      <c r="F5611" s="32" t="s">
        <v>15176</v>
      </c>
      <c r="G5611" s="36" t="e">
        <v>#N/A</v>
      </c>
      <c r="H5611" s="33"/>
      <c r="I5611" s="33"/>
      <c r="J5611" s="33"/>
      <c r="K5611" s="33"/>
      <c r="L5611" s="33"/>
      <c r="M5611" s="33"/>
    </row>
    <row r="5612">
      <c r="A5612" s="32" t="s">
        <v>15177</v>
      </c>
      <c r="B5612" s="32" t="s">
        <v>15178</v>
      </c>
      <c r="C5612" s="35">
        <v>66.56479645</v>
      </c>
      <c r="D5612" s="35">
        <v>25.83040047</v>
      </c>
      <c r="E5612" s="32" t="s">
        <v>408</v>
      </c>
      <c r="F5612" s="32" t="s">
        <v>15179</v>
      </c>
      <c r="G5612" s="36" t="e">
        <v>#N/A</v>
      </c>
      <c r="H5612" s="33"/>
      <c r="I5612" s="33"/>
      <c r="J5612" s="33"/>
      <c r="K5612" s="33"/>
      <c r="L5612" s="33"/>
      <c r="M5612" s="33"/>
    </row>
    <row r="5613">
      <c r="A5613" s="32" t="s">
        <v>15180</v>
      </c>
      <c r="B5613" s="32" t="s">
        <v>15181</v>
      </c>
      <c r="C5613" s="35">
        <v>18.24530029</v>
      </c>
      <c r="D5613" s="35">
        <v>-65.6434021</v>
      </c>
      <c r="E5613" s="32" t="s">
        <v>331</v>
      </c>
      <c r="F5613" s="32" t="s">
        <v>15182</v>
      </c>
      <c r="G5613" s="36" t="e">
        <v>#N/A</v>
      </c>
      <c r="H5613" s="33"/>
      <c r="I5613" s="33"/>
      <c r="J5613" s="33"/>
      <c r="K5613" s="33"/>
      <c r="L5613" s="33"/>
      <c r="M5613" s="33"/>
    </row>
    <row r="5614">
      <c r="A5614" s="32" t="s">
        <v>15183</v>
      </c>
      <c r="B5614" s="32" t="s">
        <v>15184</v>
      </c>
      <c r="C5614" s="35">
        <v>36.03960037</v>
      </c>
      <c r="D5614" s="35">
        <v>-95.98459625</v>
      </c>
      <c r="E5614" s="32" t="s">
        <v>180</v>
      </c>
      <c r="F5614" s="32" t="s">
        <v>15185</v>
      </c>
      <c r="G5614" s="39" t="s">
        <v>181</v>
      </c>
      <c r="H5614" s="33"/>
      <c r="I5614" s="33"/>
      <c r="J5614" s="33"/>
      <c r="K5614" s="33"/>
      <c r="L5614" s="33"/>
      <c r="M5614" s="33"/>
    </row>
    <row r="5615">
      <c r="A5615" s="32" t="s">
        <v>15186</v>
      </c>
      <c r="B5615" s="32" t="s">
        <v>15187</v>
      </c>
      <c r="C5615" s="35">
        <v>-33.79719925</v>
      </c>
      <c r="D5615" s="35">
        <v>120.2080002</v>
      </c>
      <c r="E5615" s="32" t="s">
        <v>1968</v>
      </c>
      <c r="F5615" s="32" t="s">
        <v>15188</v>
      </c>
      <c r="G5615" s="36" t="e">
        <v>#N/A</v>
      </c>
      <c r="H5615" s="33"/>
      <c r="I5615" s="33"/>
      <c r="J5615" s="33"/>
      <c r="K5615" s="33"/>
      <c r="L5615" s="33"/>
      <c r="M5615" s="33"/>
    </row>
    <row r="5616">
      <c r="A5616" s="32" t="s">
        <v>15189</v>
      </c>
      <c r="B5616" s="32" t="s">
        <v>15190</v>
      </c>
      <c r="C5616" s="35">
        <v>-23.8852005</v>
      </c>
      <c r="D5616" s="35">
        <v>-147.6620026</v>
      </c>
      <c r="E5616" s="32" t="s">
        <v>1325</v>
      </c>
      <c r="F5616" s="32" t="s">
        <v>15191</v>
      </c>
      <c r="G5616" s="36" t="e">
        <v>#N/A</v>
      </c>
      <c r="H5616" s="33"/>
      <c r="I5616" s="33"/>
      <c r="J5616" s="33"/>
      <c r="K5616" s="33"/>
      <c r="L5616" s="33"/>
      <c r="M5616" s="33"/>
    </row>
    <row r="5617">
      <c r="A5617" s="32" t="s">
        <v>15192</v>
      </c>
      <c r="B5617" s="32" t="s">
        <v>15193</v>
      </c>
      <c r="C5617" s="35">
        <v>-30.97459984</v>
      </c>
      <c r="D5617" s="35">
        <v>-55.4762001</v>
      </c>
      <c r="E5617" s="32" t="s">
        <v>1779</v>
      </c>
      <c r="F5617" s="32" t="s">
        <v>15194</v>
      </c>
      <c r="G5617" s="36" t="e">
        <v>#N/A</v>
      </c>
      <c r="H5617" s="33"/>
      <c r="I5617" s="33"/>
      <c r="J5617" s="33"/>
      <c r="K5617" s="33"/>
      <c r="L5617" s="33"/>
      <c r="M5617" s="33"/>
    </row>
    <row r="5618">
      <c r="A5618" s="32" t="s">
        <v>15195</v>
      </c>
      <c r="B5618" s="32" t="s">
        <v>15196</v>
      </c>
      <c r="C5618" s="35">
        <v>44.54719925</v>
      </c>
      <c r="D5618" s="35">
        <v>-95.08229828</v>
      </c>
      <c r="E5618" s="32" t="s">
        <v>180</v>
      </c>
      <c r="F5618" s="32" t="s">
        <v>15197</v>
      </c>
      <c r="G5618" s="39" t="s">
        <v>181</v>
      </c>
      <c r="H5618" s="33"/>
      <c r="I5618" s="33"/>
      <c r="J5618" s="33"/>
      <c r="K5618" s="33"/>
      <c r="L5618" s="33"/>
      <c r="M5618" s="33"/>
    </row>
    <row r="5619">
      <c r="A5619" s="32" t="s">
        <v>15198</v>
      </c>
      <c r="B5619" s="32" t="s">
        <v>15199</v>
      </c>
      <c r="C5619" s="35">
        <v>35.85630035</v>
      </c>
      <c r="D5619" s="35">
        <v>-77.89189911</v>
      </c>
      <c r="E5619" s="32" t="s">
        <v>180</v>
      </c>
      <c r="F5619" s="32" t="s">
        <v>15200</v>
      </c>
      <c r="G5619" s="39" t="s">
        <v>181</v>
      </c>
      <c r="H5619" s="33"/>
      <c r="I5619" s="33"/>
      <c r="J5619" s="33"/>
      <c r="K5619" s="33"/>
      <c r="L5619" s="33"/>
      <c r="M5619" s="33"/>
    </row>
    <row r="5620">
      <c r="A5620" s="32" t="s">
        <v>15201</v>
      </c>
      <c r="B5620" s="32" t="s">
        <v>15202</v>
      </c>
      <c r="C5620" s="35">
        <v>41.80559921</v>
      </c>
      <c r="D5620" s="35">
        <v>-107.1999969</v>
      </c>
      <c r="E5620" s="32" t="s">
        <v>180</v>
      </c>
      <c r="F5620" s="32" t="s">
        <v>15203</v>
      </c>
      <c r="G5620" s="39" t="s">
        <v>181</v>
      </c>
      <c r="H5620" s="33"/>
      <c r="I5620" s="33"/>
      <c r="J5620" s="33"/>
      <c r="K5620" s="33"/>
      <c r="L5620" s="33"/>
      <c r="M5620" s="33"/>
    </row>
    <row r="5621">
      <c r="A5621" s="32" t="s">
        <v>15204</v>
      </c>
      <c r="B5621" s="32" t="s">
        <v>15205</v>
      </c>
      <c r="C5621" s="35">
        <v>50.60710144</v>
      </c>
      <c r="D5621" s="35">
        <v>26.14159966</v>
      </c>
      <c r="E5621" s="32" t="s">
        <v>3293</v>
      </c>
      <c r="F5621" s="32" t="s">
        <v>15206</v>
      </c>
      <c r="G5621" s="36" t="e">
        <v>#N/A</v>
      </c>
      <c r="H5621" s="33"/>
      <c r="I5621" s="33"/>
      <c r="J5621" s="33"/>
      <c r="K5621" s="33"/>
      <c r="L5621" s="33"/>
      <c r="M5621" s="33"/>
    </row>
    <row r="5622">
      <c r="A5622" s="32" t="s">
        <v>15207</v>
      </c>
      <c r="B5622" s="32" t="s">
        <v>15208</v>
      </c>
      <c r="C5622" s="35">
        <v>11.59770012</v>
      </c>
      <c r="D5622" s="35">
        <v>122.7519989</v>
      </c>
      <c r="E5622" s="32" t="s">
        <v>270</v>
      </c>
      <c r="F5622" s="32" t="s">
        <v>15209</v>
      </c>
      <c r="G5622" s="36" t="e">
        <v>#N/A</v>
      </c>
      <c r="H5622" s="33"/>
      <c r="I5622" s="33"/>
      <c r="J5622" s="33"/>
      <c r="K5622" s="33"/>
      <c r="L5622" s="33"/>
      <c r="M5622" s="33"/>
    </row>
    <row r="5623">
      <c r="A5623" s="32" t="s">
        <v>15210</v>
      </c>
      <c r="B5623" s="32" t="s">
        <v>15211</v>
      </c>
      <c r="C5623" s="35">
        <v>58.10419846</v>
      </c>
      <c r="D5623" s="35">
        <v>38.9294014</v>
      </c>
      <c r="E5623" s="32" t="s">
        <v>2040</v>
      </c>
      <c r="F5623" s="32" t="s">
        <v>15212</v>
      </c>
      <c r="G5623" s="36" t="e">
        <v>#N/A</v>
      </c>
      <c r="H5623" s="33"/>
      <c r="I5623" s="33"/>
      <c r="J5623" s="33"/>
      <c r="K5623" s="33"/>
      <c r="L5623" s="33"/>
      <c r="M5623" s="33"/>
    </row>
    <row r="5624">
      <c r="A5624" s="32" t="s">
        <v>15213</v>
      </c>
      <c r="B5624" s="32" t="s">
        <v>15214</v>
      </c>
      <c r="C5624" s="35">
        <v>59.378817</v>
      </c>
      <c r="D5624" s="35">
        <v>10.785439</v>
      </c>
      <c r="E5624" s="32" t="s">
        <v>343</v>
      </c>
      <c r="F5624" s="32" t="s">
        <v>15215</v>
      </c>
      <c r="G5624" s="36" t="e">
        <v>#N/A</v>
      </c>
      <c r="H5624" s="33"/>
      <c r="I5624" s="33"/>
      <c r="J5624" s="33"/>
      <c r="K5624" s="33"/>
      <c r="L5624" s="33"/>
      <c r="M5624" s="33"/>
    </row>
    <row r="5625">
      <c r="A5625" s="32" t="s">
        <v>15216</v>
      </c>
      <c r="B5625" s="32" t="s">
        <v>15217</v>
      </c>
      <c r="C5625" s="35">
        <v>28.38389969</v>
      </c>
      <c r="D5625" s="35">
        <v>70.27960205</v>
      </c>
      <c r="E5625" s="32" t="s">
        <v>1470</v>
      </c>
      <c r="F5625" s="32" t="s">
        <v>15218</v>
      </c>
      <c r="G5625" s="36" t="e">
        <v>#N/A</v>
      </c>
      <c r="H5625" s="33"/>
      <c r="I5625" s="33"/>
      <c r="J5625" s="33"/>
      <c r="K5625" s="33"/>
      <c r="L5625" s="33"/>
      <c r="M5625" s="33"/>
    </row>
    <row r="5626">
      <c r="A5626" s="32" t="s">
        <v>15219</v>
      </c>
      <c r="B5626" s="32" t="s">
        <v>15220</v>
      </c>
      <c r="C5626" s="35">
        <v>45.62810135</v>
      </c>
      <c r="D5626" s="35">
        <v>-0.972500026</v>
      </c>
      <c r="E5626" s="32" t="s">
        <v>96</v>
      </c>
      <c r="F5626" s="32" t="s">
        <v>15221</v>
      </c>
      <c r="G5626" s="39" t="s">
        <v>97</v>
      </c>
      <c r="H5626" s="33"/>
      <c r="I5626" s="33"/>
      <c r="J5626" s="33"/>
      <c r="K5626" s="33"/>
      <c r="L5626" s="33"/>
      <c r="M5626" s="33"/>
    </row>
    <row r="5627">
      <c r="A5627" s="32" t="s">
        <v>15222</v>
      </c>
      <c r="B5627" s="32" t="s">
        <v>15223</v>
      </c>
      <c r="C5627" s="35">
        <v>34.01319885</v>
      </c>
      <c r="D5627" s="35">
        <v>-84.59860229</v>
      </c>
      <c r="E5627" s="32" t="s">
        <v>180</v>
      </c>
      <c r="F5627" s="32" t="s">
        <v>4222</v>
      </c>
      <c r="G5627" s="39" t="s">
        <v>181</v>
      </c>
      <c r="H5627" s="33"/>
      <c r="I5627" s="33"/>
      <c r="J5627" s="33"/>
      <c r="K5627" s="33"/>
      <c r="L5627" s="33"/>
      <c r="M5627" s="33"/>
    </row>
    <row r="5628">
      <c r="A5628" s="32" t="s">
        <v>15224</v>
      </c>
      <c r="B5628" s="32" t="s">
        <v>15225</v>
      </c>
      <c r="C5628" s="35">
        <v>-50.0165</v>
      </c>
      <c r="D5628" s="35">
        <v>-68.5792</v>
      </c>
      <c r="E5628" s="32" t="s">
        <v>296</v>
      </c>
      <c r="F5628" s="32" t="s">
        <v>15226</v>
      </c>
      <c r="G5628" s="36" t="e">
        <v>#N/A</v>
      </c>
      <c r="H5628" s="33"/>
      <c r="I5628" s="33"/>
      <c r="J5628" s="33"/>
      <c r="K5628" s="33"/>
      <c r="L5628" s="33"/>
      <c r="M5628" s="33"/>
    </row>
    <row r="5629">
      <c r="A5629" s="32" t="s">
        <v>15227</v>
      </c>
      <c r="B5629" s="32" t="s">
        <v>15228</v>
      </c>
      <c r="C5629" s="35">
        <v>50.11000061</v>
      </c>
      <c r="D5629" s="35">
        <v>22.0189991</v>
      </c>
      <c r="E5629" s="32" t="s">
        <v>192</v>
      </c>
      <c r="F5629" s="32" t="s">
        <v>15229</v>
      </c>
      <c r="G5629" s="39" t="s">
        <v>193</v>
      </c>
      <c r="H5629" s="33"/>
      <c r="I5629" s="33"/>
      <c r="J5629" s="33"/>
      <c r="K5629" s="33"/>
      <c r="L5629" s="33"/>
      <c r="M5629" s="33"/>
    </row>
    <row r="5630">
      <c r="A5630" s="32" t="s">
        <v>15230</v>
      </c>
      <c r="B5630" s="32" t="s">
        <v>15231</v>
      </c>
      <c r="C5630" s="35">
        <v>10.81874</v>
      </c>
      <c r="D5630" s="35">
        <v>119.507697</v>
      </c>
      <c r="E5630" s="32" t="s">
        <v>270</v>
      </c>
      <c r="F5630" s="32" t="s">
        <v>15232</v>
      </c>
      <c r="G5630" s="36" t="e">
        <v>#N/A</v>
      </c>
      <c r="H5630" s="33"/>
      <c r="I5630" s="33"/>
      <c r="J5630" s="33"/>
      <c r="K5630" s="33"/>
      <c r="L5630" s="33"/>
      <c r="M5630" s="33"/>
    </row>
    <row r="5631">
      <c r="A5631" s="32" t="s">
        <v>15233</v>
      </c>
      <c r="B5631" s="32" t="s">
        <v>15234</v>
      </c>
      <c r="C5631" s="35">
        <v>36.90990067</v>
      </c>
      <c r="D5631" s="35">
        <v>50.67959976</v>
      </c>
      <c r="E5631" s="32" t="s">
        <v>1378</v>
      </c>
      <c r="F5631" s="32" t="s">
        <v>15235</v>
      </c>
      <c r="G5631" s="36" t="e">
        <v>#N/A</v>
      </c>
      <c r="H5631" s="33"/>
      <c r="I5631" s="33"/>
      <c r="J5631" s="33"/>
      <c r="K5631" s="33"/>
      <c r="L5631" s="33"/>
      <c r="M5631" s="33"/>
    </row>
    <row r="5632">
      <c r="A5632" s="32" t="s">
        <v>15236</v>
      </c>
      <c r="B5632" s="32" t="s">
        <v>15237</v>
      </c>
      <c r="C5632" s="35">
        <v>31.88944435</v>
      </c>
      <c r="D5632" s="35">
        <v>72.39167023</v>
      </c>
      <c r="E5632" s="32" t="s">
        <v>1470</v>
      </c>
      <c r="F5632" s="32" t="s">
        <v>15238</v>
      </c>
      <c r="G5632" s="36" t="e">
        <v>#N/A</v>
      </c>
      <c r="H5632" s="33"/>
      <c r="I5632" s="33"/>
      <c r="J5632" s="33"/>
      <c r="K5632" s="33"/>
      <c r="L5632" s="33"/>
      <c r="M5632" s="33"/>
    </row>
    <row r="5633">
      <c r="A5633" s="32" t="s">
        <v>15239</v>
      </c>
      <c r="B5633" s="32" t="s">
        <v>15240</v>
      </c>
      <c r="C5633" s="35">
        <v>46.21340179</v>
      </c>
      <c r="D5633" s="35">
        <v>-119.7910004</v>
      </c>
      <c r="E5633" s="32" t="s">
        <v>180</v>
      </c>
      <c r="F5633" s="32" t="s">
        <v>15241</v>
      </c>
      <c r="G5633" s="39" t="s">
        <v>181</v>
      </c>
      <c r="H5633" s="33"/>
      <c r="I5633" s="33"/>
      <c r="J5633" s="33"/>
      <c r="K5633" s="33"/>
      <c r="L5633" s="33"/>
      <c r="M5633" s="33"/>
    </row>
    <row r="5634">
      <c r="A5634" s="32" t="s">
        <v>15242</v>
      </c>
      <c r="B5634" s="32" t="s">
        <v>15243</v>
      </c>
      <c r="C5634" s="35">
        <v>28.42970085</v>
      </c>
      <c r="D5634" s="35">
        <v>-96.44439697</v>
      </c>
      <c r="E5634" s="32" t="s">
        <v>180</v>
      </c>
      <c r="F5634" s="32" t="s">
        <v>15244</v>
      </c>
      <c r="G5634" s="39" t="s">
        <v>181</v>
      </c>
      <c r="H5634" s="33"/>
      <c r="I5634" s="33"/>
      <c r="J5634" s="33"/>
      <c r="K5634" s="33"/>
      <c r="L5634" s="33"/>
      <c r="M5634" s="33"/>
    </row>
    <row r="5635">
      <c r="A5635" s="32" t="s">
        <v>15245</v>
      </c>
      <c r="B5635" s="32" t="s">
        <v>15246</v>
      </c>
      <c r="C5635" s="35">
        <v>41.44490051</v>
      </c>
      <c r="D5635" s="35">
        <v>-106.8239975</v>
      </c>
      <c r="E5635" s="32" t="s">
        <v>180</v>
      </c>
      <c r="F5635" s="32" t="s">
        <v>15247</v>
      </c>
      <c r="G5635" s="39" t="s">
        <v>181</v>
      </c>
      <c r="H5635" s="33"/>
      <c r="I5635" s="33"/>
      <c r="J5635" s="33"/>
      <c r="K5635" s="33"/>
      <c r="L5635" s="33"/>
      <c r="M5635" s="33"/>
    </row>
    <row r="5636">
      <c r="A5636" s="32" t="s">
        <v>15248</v>
      </c>
      <c r="B5636" s="32" t="s">
        <v>15249</v>
      </c>
      <c r="C5636" s="35">
        <v>17.64500046</v>
      </c>
      <c r="D5636" s="35">
        <v>-63.22000122</v>
      </c>
      <c r="E5636" s="32" t="s">
        <v>5070</v>
      </c>
      <c r="F5636" s="32" t="s">
        <v>15250</v>
      </c>
      <c r="G5636" s="36" t="e">
        <v>#N/A</v>
      </c>
      <c r="H5636" s="33"/>
      <c r="I5636" s="33"/>
      <c r="J5636" s="33"/>
      <c r="K5636" s="33"/>
      <c r="L5636" s="33"/>
      <c r="M5636" s="33"/>
    </row>
    <row r="5637">
      <c r="A5637" s="32" t="s">
        <v>15251</v>
      </c>
      <c r="B5637" s="32" t="s">
        <v>15252</v>
      </c>
      <c r="C5637" s="35">
        <v>38.51250076</v>
      </c>
      <c r="D5637" s="35">
        <v>-121.4929962</v>
      </c>
      <c r="E5637" s="32" t="s">
        <v>180</v>
      </c>
      <c r="F5637" s="32" t="s">
        <v>11643</v>
      </c>
      <c r="G5637" s="39" t="s">
        <v>181</v>
      </c>
      <c r="H5637" s="33"/>
      <c r="I5637" s="33"/>
      <c r="J5637" s="33"/>
      <c r="K5637" s="33"/>
      <c r="L5637" s="33"/>
      <c r="M5637" s="33"/>
    </row>
    <row r="5638">
      <c r="A5638" s="32" t="s">
        <v>15253</v>
      </c>
      <c r="B5638" s="32" t="s">
        <v>15254</v>
      </c>
      <c r="C5638" s="35">
        <v>32.85480118</v>
      </c>
      <c r="D5638" s="35">
        <v>-109.6350021</v>
      </c>
      <c r="E5638" s="32" t="s">
        <v>180</v>
      </c>
      <c r="F5638" s="32" t="s">
        <v>15255</v>
      </c>
      <c r="G5638" s="39" t="s">
        <v>181</v>
      </c>
      <c r="H5638" s="33"/>
      <c r="I5638" s="33"/>
      <c r="J5638" s="33"/>
      <c r="K5638" s="33"/>
      <c r="L5638" s="33"/>
      <c r="M5638" s="33"/>
    </row>
    <row r="5639">
      <c r="A5639" s="32" t="s">
        <v>15256</v>
      </c>
      <c r="B5639" s="32" t="s">
        <v>15257</v>
      </c>
      <c r="C5639" s="35">
        <v>35.61709976</v>
      </c>
      <c r="D5639" s="35">
        <v>-106.0889969</v>
      </c>
      <c r="E5639" s="32" t="s">
        <v>180</v>
      </c>
      <c r="F5639" s="32" t="s">
        <v>15258</v>
      </c>
      <c r="G5639" s="39" t="s">
        <v>181</v>
      </c>
      <c r="H5639" s="33"/>
      <c r="I5639" s="33"/>
      <c r="J5639" s="33"/>
      <c r="K5639" s="33"/>
      <c r="L5639" s="33"/>
      <c r="M5639" s="33"/>
    </row>
    <row r="5640">
      <c r="A5640" s="32" t="s">
        <v>15259</v>
      </c>
      <c r="B5640" s="32" t="s">
        <v>15260</v>
      </c>
      <c r="C5640" s="35">
        <v>15.47630024</v>
      </c>
      <c r="D5640" s="35">
        <v>44.21969986</v>
      </c>
      <c r="E5640" s="32" t="s">
        <v>2020</v>
      </c>
      <c r="F5640" s="32" t="s">
        <v>15261</v>
      </c>
      <c r="G5640" s="36" t="e">
        <v>#N/A</v>
      </c>
      <c r="H5640" s="33"/>
      <c r="I5640" s="33"/>
      <c r="J5640" s="33"/>
      <c r="K5640" s="33"/>
      <c r="L5640" s="33"/>
      <c r="M5640" s="33"/>
    </row>
    <row r="5641">
      <c r="A5641" s="32" t="s">
        <v>15262</v>
      </c>
      <c r="B5641" s="32" t="s">
        <v>15263</v>
      </c>
      <c r="C5641" s="35">
        <v>65.73169708</v>
      </c>
      <c r="D5641" s="35">
        <v>-19.57279968</v>
      </c>
      <c r="E5641" s="32" t="s">
        <v>2037</v>
      </c>
      <c r="F5641" s="32" t="s">
        <v>15264</v>
      </c>
      <c r="G5641" s="36" t="e">
        <v>#N/A</v>
      </c>
      <c r="H5641" s="33"/>
      <c r="I5641" s="33"/>
      <c r="J5641" s="33"/>
      <c r="K5641" s="33"/>
      <c r="L5641" s="33"/>
      <c r="M5641" s="33"/>
    </row>
    <row r="5642">
      <c r="A5642" s="32" t="s">
        <v>15265</v>
      </c>
      <c r="B5642" s="32" t="s">
        <v>15266</v>
      </c>
      <c r="C5642" s="35">
        <v>13.4409</v>
      </c>
      <c r="D5642" s="35">
        <v>-89.055702</v>
      </c>
      <c r="E5642" s="32" t="s">
        <v>1286</v>
      </c>
      <c r="F5642" s="32" t="s">
        <v>1287</v>
      </c>
      <c r="G5642" s="36" t="e">
        <v>#N/A</v>
      </c>
      <c r="H5642" s="33"/>
      <c r="I5642" s="33"/>
      <c r="J5642" s="33"/>
      <c r="K5642" s="33"/>
      <c r="L5642" s="33"/>
      <c r="M5642" s="33"/>
    </row>
    <row r="5643">
      <c r="A5643" s="32" t="s">
        <v>15267</v>
      </c>
      <c r="B5643" s="32" t="s">
        <v>15268</v>
      </c>
      <c r="C5643" s="35">
        <v>32.73360062</v>
      </c>
      <c r="D5643" s="35">
        <v>-117.1900024</v>
      </c>
      <c r="E5643" s="32" t="s">
        <v>180</v>
      </c>
      <c r="F5643" s="32" t="s">
        <v>13175</v>
      </c>
      <c r="G5643" s="39" t="s">
        <v>181</v>
      </c>
      <c r="H5643" s="33"/>
      <c r="I5643" s="33"/>
      <c r="J5643" s="33"/>
      <c r="K5643" s="33"/>
      <c r="L5643" s="33"/>
      <c r="M5643" s="33"/>
    </row>
    <row r="5644">
      <c r="A5644" s="32" t="s">
        <v>15269</v>
      </c>
      <c r="B5644" s="32" t="s">
        <v>15270</v>
      </c>
      <c r="C5644" s="35">
        <v>15.45259953</v>
      </c>
      <c r="D5644" s="35">
        <v>-87.92359924</v>
      </c>
      <c r="E5644" s="32" t="s">
        <v>1245</v>
      </c>
      <c r="F5644" s="32" t="s">
        <v>15271</v>
      </c>
      <c r="G5644" s="36" t="e">
        <v>#N/A</v>
      </c>
      <c r="H5644" s="33"/>
      <c r="I5644" s="33"/>
      <c r="J5644" s="33"/>
      <c r="K5644" s="33"/>
      <c r="L5644" s="33"/>
      <c r="M5644" s="33"/>
    </row>
    <row r="5645">
      <c r="A5645" s="32" t="s">
        <v>15272</v>
      </c>
      <c r="B5645" s="32" t="s">
        <v>15273</v>
      </c>
      <c r="C5645" s="35">
        <v>25.05380058</v>
      </c>
      <c r="D5645" s="35">
        <v>-78.0490036</v>
      </c>
      <c r="E5645" s="32" t="s">
        <v>319</v>
      </c>
      <c r="F5645" s="32" t="s">
        <v>15274</v>
      </c>
      <c r="G5645" s="36" t="e">
        <v>#N/A</v>
      </c>
      <c r="H5645" s="33"/>
      <c r="I5645" s="33"/>
      <c r="J5645" s="33"/>
      <c r="K5645" s="33"/>
      <c r="L5645" s="33"/>
      <c r="M5645" s="33"/>
    </row>
    <row r="5646">
      <c r="A5646" s="32" t="s">
        <v>15275</v>
      </c>
      <c r="B5646" s="32" t="s">
        <v>15276</v>
      </c>
      <c r="C5646" s="35">
        <v>29.53370094</v>
      </c>
      <c r="D5646" s="35">
        <v>-98.46980286</v>
      </c>
      <c r="E5646" s="32" t="s">
        <v>180</v>
      </c>
      <c r="F5646" s="32" t="s">
        <v>2929</v>
      </c>
      <c r="G5646" s="39" t="s">
        <v>181</v>
      </c>
      <c r="H5646" s="33"/>
      <c r="I5646" s="33"/>
      <c r="J5646" s="33"/>
      <c r="K5646" s="33"/>
      <c r="L5646" s="33"/>
      <c r="M5646" s="33"/>
    </row>
    <row r="5647">
      <c r="A5647" s="32" t="s">
        <v>15277</v>
      </c>
      <c r="B5647" s="32" t="s">
        <v>15278</v>
      </c>
      <c r="C5647" s="35">
        <v>32.12760162</v>
      </c>
      <c r="D5647" s="35">
        <v>-81.20210266</v>
      </c>
      <c r="E5647" s="32" t="s">
        <v>180</v>
      </c>
      <c r="F5647" s="32" t="s">
        <v>15279</v>
      </c>
      <c r="G5647" s="39" t="s">
        <v>181</v>
      </c>
      <c r="H5647" s="33"/>
      <c r="I5647" s="33"/>
      <c r="J5647" s="33"/>
      <c r="K5647" s="33"/>
      <c r="L5647" s="33"/>
      <c r="M5647" s="33"/>
    </row>
    <row r="5648">
      <c r="A5648" s="32" t="s">
        <v>15280</v>
      </c>
      <c r="B5648" s="32" t="s">
        <v>15281</v>
      </c>
      <c r="C5648" s="35">
        <v>40.89860153</v>
      </c>
      <c r="D5648" s="35">
        <v>29.30920029</v>
      </c>
      <c r="E5648" s="32" t="s">
        <v>133</v>
      </c>
      <c r="F5648" s="32" t="s">
        <v>1220</v>
      </c>
      <c r="G5648" s="39" t="s">
        <v>134</v>
      </c>
      <c r="H5648" s="33"/>
      <c r="I5648" s="33"/>
      <c r="J5648" s="33"/>
      <c r="K5648" s="33"/>
      <c r="L5648" s="33"/>
      <c r="M5648" s="33"/>
    </row>
    <row r="5649">
      <c r="A5649" s="32" t="s">
        <v>15282</v>
      </c>
      <c r="B5649" s="32" t="s">
        <v>15283</v>
      </c>
      <c r="C5649" s="35">
        <v>43.256302</v>
      </c>
      <c r="D5649" s="35">
        <v>11.255</v>
      </c>
      <c r="E5649" s="32" t="s">
        <v>103</v>
      </c>
      <c r="F5649" s="32" t="s">
        <v>15284</v>
      </c>
      <c r="G5649" s="39" t="s">
        <v>104</v>
      </c>
      <c r="H5649" s="33"/>
      <c r="I5649" s="33"/>
      <c r="J5649" s="33"/>
      <c r="K5649" s="33"/>
      <c r="L5649" s="33"/>
      <c r="M5649" s="33"/>
    </row>
    <row r="5650">
      <c r="A5650" s="32" t="s">
        <v>15285</v>
      </c>
      <c r="B5650" s="32" t="s">
        <v>15286</v>
      </c>
      <c r="C5650" s="35">
        <v>34.42620087</v>
      </c>
      <c r="D5650" s="35">
        <v>-119.8399963</v>
      </c>
      <c r="E5650" s="32" t="s">
        <v>180</v>
      </c>
      <c r="F5650" s="32" t="s">
        <v>1816</v>
      </c>
      <c r="G5650" s="39" t="s">
        <v>181</v>
      </c>
      <c r="H5650" s="33"/>
      <c r="I5650" s="33"/>
      <c r="J5650" s="33"/>
      <c r="K5650" s="33"/>
      <c r="L5650" s="33"/>
      <c r="M5650" s="33"/>
    </row>
    <row r="5651">
      <c r="A5651" s="32" t="s">
        <v>15287</v>
      </c>
      <c r="B5651" s="32" t="s">
        <v>15288</v>
      </c>
      <c r="C5651" s="35">
        <v>34.09540176</v>
      </c>
      <c r="D5651" s="35">
        <v>-117.2350006</v>
      </c>
      <c r="E5651" s="32" t="s">
        <v>180</v>
      </c>
      <c r="F5651" s="32" t="s">
        <v>15289</v>
      </c>
      <c r="G5651" s="39" t="s">
        <v>181</v>
      </c>
      <c r="H5651" s="33"/>
      <c r="I5651" s="33"/>
      <c r="J5651" s="33"/>
      <c r="K5651" s="33"/>
      <c r="L5651" s="33"/>
      <c r="M5651" s="33"/>
    </row>
    <row r="5652">
      <c r="A5652" s="32" t="s">
        <v>15290</v>
      </c>
      <c r="B5652" s="32" t="s">
        <v>15291</v>
      </c>
      <c r="C5652" s="35">
        <v>5.874129772</v>
      </c>
      <c r="D5652" s="35">
        <v>95.33969879</v>
      </c>
      <c r="E5652" s="32" t="s">
        <v>280</v>
      </c>
      <c r="F5652" s="32" t="s">
        <v>15292</v>
      </c>
      <c r="G5652" s="36" t="e">
        <v>#N/A</v>
      </c>
      <c r="H5652" s="33"/>
      <c r="I5652" s="33"/>
      <c r="J5652" s="33"/>
      <c r="K5652" s="33"/>
      <c r="L5652" s="33"/>
      <c r="M5652" s="33"/>
    </row>
    <row r="5653">
      <c r="A5653" s="32" t="s">
        <v>15293</v>
      </c>
      <c r="B5653" s="32" t="s">
        <v>15294</v>
      </c>
      <c r="C5653" s="35">
        <v>17.90439987</v>
      </c>
      <c r="D5653" s="35">
        <v>-62.84360123</v>
      </c>
      <c r="E5653" s="32" t="s">
        <v>96</v>
      </c>
      <c r="F5653" s="32" t="s">
        <v>15295</v>
      </c>
      <c r="G5653" s="39" t="s">
        <v>97</v>
      </c>
      <c r="H5653" s="33"/>
      <c r="I5653" s="33"/>
      <c r="J5653" s="33"/>
      <c r="K5653" s="33"/>
      <c r="L5653" s="33"/>
      <c r="M5653" s="33"/>
    </row>
    <row r="5654">
      <c r="A5654" s="32" t="s">
        <v>15296</v>
      </c>
      <c r="B5654" s="32" t="s">
        <v>15297</v>
      </c>
      <c r="C5654" s="35">
        <v>48.5378</v>
      </c>
      <c r="D5654" s="35">
        <v>-2.85444</v>
      </c>
      <c r="E5654" s="32" t="s">
        <v>96</v>
      </c>
      <c r="F5654" s="32" t="s">
        <v>15298</v>
      </c>
      <c r="G5654" s="39" t="s">
        <v>97</v>
      </c>
      <c r="H5654" s="33"/>
      <c r="I5654" s="33"/>
      <c r="J5654" s="33"/>
      <c r="K5654" s="33"/>
      <c r="L5654" s="33"/>
      <c r="M5654" s="33"/>
    </row>
    <row r="5655">
      <c r="A5655" s="32" t="s">
        <v>15299</v>
      </c>
      <c r="B5655" s="32" t="s">
        <v>15300</v>
      </c>
      <c r="C5655" s="35">
        <v>43.76959991</v>
      </c>
      <c r="D5655" s="35">
        <v>-87.85140228</v>
      </c>
      <c r="E5655" s="32" t="s">
        <v>180</v>
      </c>
      <c r="F5655" s="32" t="s">
        <v>15301</v>
      </c>
      <c r="G5655" s="39" t="s">
        <v>181</v>
      </c>
      <c r="H5655" s="33"/>
      <c r="I5655" s="33"/>
      <c r="J5655" s="33"/>
      <c r="K5655" s="33"/>
      <c r="L5655" s="33"/>
      <c r="M5655" s="33"/>
    </row>
    <row r="5656">
      <c r="A5656" s="32" t="s">
        <v>15302</v>
      </c>
      <c r="B5656" s="32" t="s">
        <v>15303</v>
      </c>
      <c r="C5656" s="35">
        <v>41.70869827</v>
      </c>
      <c r="D5656" s="35">
        <v>-86.31729889</v>
      </c>
      <c r="E5656" s="32" t="s">
        <v>180</v>
      </c>
      <c r="F5656" s="32" t="s">
        <v>15304</v>
      </c>
      <c r="G5656" s="39" t="s">
        <v>181</v>
      </c>
      <c r="H5656" s="33"/>
      <c r="I5656" s="33"/>
      <c r="J5656" s="33"/>
      <c r="K5656" s="33"/>
      <c r="L5656" s="33"/>
      <c r="M5656" s="33"/>
    </row>
    <row r="5657">
      <c r="A5657" s="32" t="s">
        <v>15305</v>
      </c>
      <c r="B5657" s="32" t="s">
        <v>15306</v>
      </c>
      <c r="C5657" s="35">
        <v>32.60910034</v>
      </c>
      <c r="D5657" s="35">
        <v>-82.36990356</v>
      </c>
      <c r="E5657" s="32" t="s">
        <v>180</v>
      </c>
      <c r="F5657" s="32" t="s">
        <v>1816</v>
      </c>
      <c r="G5657" s="39" t="s">
        <v>181</v>
      </c>
      <c r="H5657" s="33"/>
      <c r="I5657" s="33"/>
      <c r="J5657" s="33"/>
      <c r="K5657" s="33"/>
      <c r="L5657" s="33"/>
      <c r="M5657" s="33"/>
    </row>
    <row r="5658">
      <c r="A5658" s="32" t="s">
        <v>15307</v>
      </c>
      <c r="B5658" s="32" t="s">
        <v>15308</v>
      </c>
      <c r="C5658" s="35">
        <v>35.23680115</v>
      </c>
      <c r="D5658" s="35">
        <v>-120.6419983</v>
      </c>
      <c r="E5658" s="32" t="s">
        <v>180</v>
      </c>
      <c r="F5658" s="32" t="s">
        <v>15309</v>
      </c>
      <c r="G5658" s="39" t="s">
        <v>181</v>
      </c>
      <c r="H5658" s="33"/>
      <c r="I5658" s="33"/>
      <c r="J5658" s="33"/>
      <c r="K5658" s="33"/>
      <c r="L5658" s="33"/>
      <c r="M5658" s="33"/>
    </row>
    <row r="5659">
      <c r="A5659" s="32" t="s">
        <v>15310</v>
      </c>
      <c r="B5659" s="32" t="s">
        <v>15311</v>
      </c>
      <c r="C5659" s="35">
        <v>-9.378330231</v>
      </c>
      <c r="D5659" s="35">
        <v>142.625</v>
      </c>
      <c r="E5659" s="32" t="s">
        <v>1968</v>
      </c>
      <c r="F5659" s="32" t="s">
        <v>15312</v>
      </c>
      <c r="G5659" s="36" t="e">
        <v>#N/A</v>
      </c>
      <c r="H5659" s="33"/>
      <c r="I5659" s="33"/>
      <c r="J5659" s="33"/>
      <c r="K5659" s="33"/>
      <c r="L5659" s="33"/>
      <c r="M5659" s="33"/>
    </row>
    <row r="5660">
      <c r="A5660" s="32" t="s">
        <v>15313</v>
      </c>
      <c r="B5660" s="32" t="s">
        <v>15314</v>
      </c>
      <c r="C5660" s="35">
        <v>40.5163002</v>
      </c>
      <c r="D5660" s="35">
        <v>-106.8659973</v>
      </c>
      <c r="E5660" s="32" t="s">
        <v>180</v>
      </c>
      <c r="F5660" s="32" t="s">
        <v>15315</v>
      </c>
      <c r="G5660" s="39" t="s">
        <v>181</v>
      </c>
      <c r="H5660" s="33"/>
      <c r="I5660" s="33"/>
      <c r="J5660" s="33"/>
      <c r="K5660" s="33"/>
      <c r="L5660" s="33"/>
      <c r="M5660" s="33"/>
    </row>
    <row r="5661">
      <c r="A5661" s="32" t="s">
        <v>15316</v>
      </c>
      <c r="B5661" s="32" t="s">
        <v>15317</v>
      </c>
      <c r="C5661" s="35">
        <v>-29.68930054</v>
      </c>
      <c r="D5661" s="35">
        <v>17.93959999</v>
      </c>
      <c r="E5661" s="32" t="s">
        <v>16</v>
      </c>
      <c r="F5661" s="32" t="s">
        <v>15318</v>
      </c>
      <c r="G5661" s="36" t="e">
        <v>#N/A</v>
      </c>
      <c r="H5661" s="33"/>
      <c r="I5661" s="33"/>
      <c r="J5661" s="33"/>
      <c r="K5661" s="33"/>
      <c r="L5661" s="33"/>
      <c r="M5661" s="33"/>
    </row>
    <row r="5662">
      <c r="A5662" s="32" t="s">
        <v>15319</v>
      </c>
      <c r="B5662" s="32" t="s">
        <v>15320</v>
      </c>
      <c r="C5662" s="35">
        <v>2.261600018</v>
      </c>
      <c r="D5662" s="35">
        <v>111.9850006</v>
      </c>
      <c r="E5662" s="32" t="s">
        <v>284</v>
      </c>
      <c r="F5662" s="32" t="s">
        <v>15321</v>
      </c>
      <c r="G5662" s="36" t="e">
        <v>#N/A</v>
      </c>
      <c r="H5662" s="33"/>
      <c r="I5662" s="33"/>
      <c r="J5662" s="33"/>
      <c r="K5662" s="33"/>
      <c r="L5662" s="33"/>
      <c r="M5662" s="33"/>
    </row>
    <row r="5663">
      <c r="A5663" s="32" t="s">
        <v>15322</v>
      </c>
      <c r="B5663" s="32" t="s">
        <v>15323</v>
      </c>
      <c r="C5663" s="35">
        <v>38.34049988</v>
      </c>
      <c r="D5663" s="35">
        <v>-75.51029968</v>
      </c>
      <c r="E5663" s="32" t="s">
        <v>180</v>
      </c>
      <c r="F5663" s="32" t="s">
        <v>15324</v>
      </c>
      <c r="G5663" s="39" t="s">
        <v>181</v>
      </c>
      <c r="H5663" s="33"/>
      <c r="I5663" s="33"/>
      <c r="J5663" s="33"/>
      <c r="K5663" s="33"/>
      <c r="L5663" s="33"/>
      <c r="M5663" s="33"/>
    </row>
    <row r="5664">
      <c r="A5664" s="32" t="s">
        <v>15325</v>
      </c>
      <c r="B5664" s="32" t="s">
        <v>15326</v>
      </c>
      <c r="C5664" s="35">
        <v>45.78559875</v>
      </c>
      <c r="D5664" s="35">
        <v>24.09129906</v>
      </c>
      <c r="E5664" s="32" t="s">
        <v>2874</v>
      </c>
      <c r="F5664" s="32" t="s">
        <v>15327</v>
      </c>
      <c r="G5664" s="36" t="e">
        <v>#N/A</v>
      </c>
      <c r="H5664" s="33"/>
      <c r="I5664" s="33"/>
      <c r="J5664" s="33"/>
      <c r="K5664" s="33"/>
      <c r="L5664" s="33"/>
      <c r="M5664" s="33"/>
    </row>
    <row r="5665">
      <c r="A5665" s="32" t="s">
        <v>15328</v>
      </c>
      <c r="B5665" s="32" t="s">
        <v>15329</v>
      </c>
      <c r="C5665" s="35">
        <v>70.19470215</v>
      </c>
      <c r="D5665" s="35">
        <v>-148.4649963</v>
      </c>
      <c r="E5665" s="32" t="s">
        <v>180</v>
      </c>
      <c r="F5665" s="32" t="s">
        <v>15330</v>
      </c>
      <c r="G5665" s="39" t="s">
        <v>181</v>
      </c>
      <c r="H5665" s="33"/>
      <c r="I5665" s="33"/>
      <c r="J5665" s="33"/>
      <c r="K5665" s="33"/>
      <c r="L5665" s="33"/>
      <c r="M5665" s="33"/>
    </row>
    <row r="5666">
      <c r="A5666" s="32" t="s">
        <v>15331</v>
      </c>
      <c r="B5666" s="32" t="s">
        <v>15332</v>
      </c>
      <c r="C5666" s="35">
        <v>33.17179871</v>
      </c>
      <c r="D5666" s="35">
        <v>-86.30549622</v>
      </c>
      <c r="E5666" s="32" t="s">
        <v>180</v>
      </c>
      <c r="F5666" s="32" t="s">
        <v>15333</v>
      </c>
      <c r="G5666" s="39" t="s">
        <v>181</v>
      </c>
      <c r="H5666" s="33"/>
      <c r="I5666" s="33"/>
      <c r="J5666" s="33"/>
      <c r="K5666" s="33"/>
      <c r="L5666" s="33"/>
      <c r="M5666" s="33"/>
    </row>
    <row r="5667">
      <c r="A5667" s="32" t="s">
        <v>15334</v>
      </c>
      <c r="B5667" s="32" t="s">
        <v>15335</v>
      </c>
      <c r="C5667" s="35">
        <v>40.84930038</v>
      </c>
      <c r="D5667" s="35">
        <v>-77.84870148</v>
      </c>
      <c r="E5667" s="32" t="s">
        <v>180</v>
      </c>
      <c r="F5667" s="32" t="s">
        <v>15336</v>
      </c>
      <c r="G5667" s="39" t="s">
        <v>181</v>
      </c>
      <c r="H5667" s="33"/>
      <c r="I5667" s="33"/>
      <c r="J5667" s="33"/>
      <c r="K5667" s="33"/>
      <c r="L5667" s="33"/>
      <c r="M5667" s="33"/>
    </row>
    <row r="5668">
      <c r="A5668" s="32" t="s">
        <v>15337</v>
      </c>
      <c r="B5668" s="32" t="s">
        <v>15338</v>
      </c>
      <c r="C5668" s="35">
        <v>42.85250092</v>
      </c>
      <c r="D5668" s="35">
        <v>-73.92890167</v>
      </c>
      <c r="E5668" s="32" t="s">
        <v>180</v>
      </c>
      <c r="F5668" s="32" t="s">
        <v>15339</v>
      </c>
      <c r="G5668" s="39" t="s">
        <v>181</v>
      </c>
      <c r="H5668" s="33"/>
      <c r="I5668" s="33"/>
      <c r="J5668" s="33"/>
      <c r="K5668" s="33"/>
      <c r="L5668" s="33"/>
      <c r="M5668" s="33"/>
    </row>
    <row r="5669">
      <c r="A5669" s="32" t="s">
        <v>15340</v>
      </c>
      <c r="B5669" s="32" t="s">
        <v>15341</v>
      </c>
      <c r="C5669" s="35">
        <v>37.89419937</v>
      </c>
      <c r="D5669" s="35">
        <v>-121.237999</v>
      </c>
      <c r="E5669" s="32" t="s">
        <v>180</v>
      </c>
      <c r="F5669" s="32" t="s">
        <v>15342</v>
      </c>
      <c r="G5669" s="39" t="s">
        <v>181</v>
      </c>
      <c r="H5669" s="33"/>
      <c r="I5669" s="33"/>
      <c r="J5669" s="33"/>
      <c r="K5669" s="33"/>
      <c r="L5669" s="33"/>
      <c r="M5669" s="33"/>
    </row>
    <row r="5670">
      <c r="A5670" s="32" t="s">
        <v>15343</v>
      </c>
      <c r="B5670" s="32" t="s">
        <v>15344</v>
      </c>
      <c r="C5670" s="35">
        <v>-33.39300156</v>
      </c>
      <c r="D5670" s="35">
        <v>-70.78579712</v>
      </c>
      <c r="E5670" s="32" t="s">
        <v>300</v>
      </c>
      <c r="F5670" s="32" t="s">
        <v>1265</v>
      </c>
      <c r="G5670" s="36" t="e">
        <v>#N/A</v>
      </c>
      <c r="H5670" s="33"/>
      <c r="I5670" s="33"/>
      <c r="J5670" s="33"/>
      <c r="K5670" s="33"/>
      <c r="L5670" s="33"/>
      <c r="M5670" s="33"/>
    </row>
    <row r="5671">
      <c r="A5671" s="32" t="s">
        <v>15345</v>
      </c>
      <c r="B5671" s="32" t="s">
        <v>15346</v>
      </c>
      <c r="C5671" s="35">
        <v>61.84529877</v>
      </c>
      <c r="D5671" s="35">
        <v>-165.5709991</v>
      </c>
      <c r="E5671" s="32" t="s">
        <v>180</v>
      </c>
      <c r="F5671" s="32" t="s">
        <v>15347</v>
      </c>
      <c r="G5671" s="39" t="s">
        <v>181</v>
      </c>
      <c r="H5671" s="33"/>
      <c r="I5671" s="33"/>
      <c r="J5671" s="33"/>
      <c r="K5671" s="33"/>
      <c r="L5671" s="33"/>
      <c r="M5671" s="33"/>
    </row>
    <row r="5672">
      <c r="A5672" s="32" t="s">
        <v>15348</v>
      </c>
      <c r="B5672" s="32" t="s">
        <v>15349</v>
      </c>
      <c r="C5672" s="35">
        <v>49.21459961</v>
      </c>
      <c r="D5672" s="35">
        <v>7.109509945</v>
      </c>
      <c r="E5672" s="32" t="s">
        <v>109</v>
      </c>
      <c r="F5672" s="32" t="s">
        <v>15350</v>
      </c>
      <c r="G5672" s="39" t="s">
        <v>110</v>
      </c>
      <c r="H5672" s="33"/>
      <c r="I5672" s="33"/>
      <c r="J5672" s="33"/>
      <c r="K5672" s="33"/>
      <c r="L5672" s="33"/>
      <c r="M5672" s="33"/>
    </row>
    <row r="5673">
      <c r="A5673" s="32" t="s">
        <v>15351</v>
      </c>
      <c r="B5673" s="32" t="s">
        <v>15352</v>
      </c>
      <c r="C5673" s="35">
        <v>43.86009979</v>
      </c>
      <c r="D5673" s="35">
        <v>51.09199905</v>
      </c>
      <c r="E5673" s="32" t="s">
        <v>2817</v>
      </c>
      <c r="F5673" s="32" t="s">
        <v>15353</v>
      </c>
      <c r="G5673" s="36" t="e">
        <v>#N/A</v>
      </c>
      <c r="H5673" s="33"/>
      <c r="I5673" s="33"/>
      <c r="J5673" s="33"/>
      <c r="K5673" s="33"/>
      <c r="L5673" s="33"/>
      <c r="M5673" s="33"/>
    </row>
    <row r="5674">
      <c r="A5674" s="32" t="s">
        <v>15354</v>
      </c>
      <c r="B5674" s="32" t="s">
        <v>15355</v>
      </c>
      <c r="C5674" s="35">
        <v>42.89630127</v>
      </c>
      <c r="D5674" s="35">
        <v>-8.415140152</v>
      </c>
      <c r="E5674" s="32" t="s">
        <v>115</v>
      </c>
      <c r="F5674" s="32" t="s">
        <v>1265</v>
      </c>
      <c r="G5674" s="39" t="s">
        <v>116</v>
      </c>
      <c r="H5674" s="33"/>
      <c r="I5674" s="33"/>
      <c r="J5674" s="33"/>
      <c r="K5674" s="33"/>
      <c r="L5674" s="33"/>
      <c r="M5674" s="33"/>
    </row>
    <row r="5675">
      <c r="A5675" s="32" t="s">
        <v>15356</v>
      </c>
      <c r="B5675" s="32" t="s">
        <v>15357</v>
      </c>
      <c r="C5675" s="35">
        <v>60.43280029</v>
      </c>
      <c r="D5675" s="35">
        <v>-1.296110034</v>
      </c>
      <c r="E5675" s="32" t="s">
        <v>90</v>
      </c>
      <c r="F5675" s="32" t="s">
        <v>15358</v>
      </c>
      <c r="G5675" s="39" t="s">
        <v>91</v>
      </c>
      <c r="H5675" s="33"/>
      <c r="I5675" s="33"/>
      <c r="J5675" s="33"/>
      <c r="K5675" s="33"/>
      <c r="L5675" s="33"/>
      <c r="M5675" s="33"/>
    </row>
    <row r="5676">
      <c r="A5676" s="32" t="s">
        <v>15359</v>
      </c>
      <c r="B5676" s="32" t="s">
        <v>15360</v>
      </c>
      <c r="C5676" s="35">
        <v>12.63070011</v>
      </c>
      <c r="D5676" s="35">
        <v>53.90579987</v>
      </c>
      <c r="E5676" s="32" t="s">
        <v>2020</v>
      </c>
      <c r="F5676" s="32" t="s">
        <v>15361</v>
      </c>
      <c r="G5676" s="36" t="e">
        <v>#N/A</v>
      </c>
      <c r="H5676" s="33"/>
      <c r="I5676" s="33"/>
      <c r="J5676" s="33"/>
      <c r="K5676" s="33"/>
      <c r="L5676" s="33"/>
      <c r="M5676" s="33"/>
    </row>
    <row r="5677">
      <c r="A5677" s="32" t="s">
        <v>15362</v>
      </c>
      <c r="B5677" s="32" t="s">
        <v>15363</v>
      </c>
      <c r="C5677" s="35">
        <v>19.96980095</v>
      </c>
      <c r="D5677" s="35">
        <v>-75.83540344</v>
      </c>
      <c r="E5677" s="32" t="s">
        <v>1294</v>
      </c>
      <c r="F5677" s="32" t="s">
        <v>15364</v>
      </c>
      <c r="G5677" s="36" t="e">
        <v>#N/A</v>
      </c>
      <c r="H5677" s="33"/>
      <c r="I5677" s="33"/>
      <c r="J5677" s="33"/>
      <c r="K5677" s="33"/>
      <c r="L5677" s="33"/>
      <c r="M5677" s="33"/>
    </row>
    <row r="5678">
      <c r="A5678" s="32" t="s">
        <v>15365</v>
      </c>
      <c r="B5678" s="32" t="s">
        <v>15366</v>
      </c>
      <c r="C5678" s="35">
        <v>47.6875</v>
      </c>
      <c r="D5678" s="35">
        <v>26.35409927</v>
      </c>
      <c r="E5678" s="32" t="s">
        <v>2874</v>
      </c>
      <c r="F5678" s="32" t="s">
        <v>15367</v>
      </c>
      <c r="G5678" s="36" t="e">
        <v>#N/A</v>
      </c>
      <c r="H5678" s="33"/>
      <c r="I5678" s="33"/>
      <c r="J5678" s="33"/>
      <c r="K5678" s="33"/>
      <c r="L5678" s="33"/>
      <c r="M5678" s="33"/>
    </row>
    <row r="5679">
      <c r="A5679" s="32" t="s">
        <v>15368</v>
      </c>
      <c r="B5679" s="32" t="s">
        <v>15369</v>
      </c>
      <c r="C5679" s="35">
        <v>61.64699936</v>
      </c>
      <c r="D5679" s="35">
        <v>50.8451004</v>
      </c>
      <c r="E5679" s="32" t="s">
        <v>2040</v>
      </c>
      <c r="F5679" s="32" t="s">
        <v>15370</v>
      </c>
      <c r="G5679" s="36" t="e">
        <v>#N/A</v>
      </c>
      <c r="H5679" s="33"/>
      <c r="I5679" s="33"/>
      <c r="J5679" s="33"/>
      <c r="K5679" s="33"/>
      <c r="L5679" s="33"/>
      <c r="M5679" s="33"/>
    </row>
    <row r="5680">
      <c r="A5680" s="32" t="s">
        <v>15371</v>
      </c>
      <c r="B5680" s="32" t="s">
        <v>15372</v>
      </c>
      <c r="C5680" s="35">
        <v>-0.91020602</v>
      </c>
      <c r="D5680" s="35">
        <v>-89.61740112</v>
      </c>
      <c r="E5680" s="32" t="s">
        <v>311</v>
      </c>
      <c r="F5680" s="32" t="s">
        <v>15373</v>
      </c>
      <c r="G5680" s="36" t="e">
        <v>#N/A</v>
      </c>
      <c r="H5680" s="33"/>
      <c r="I5680" s="33"/>
      <c r="J5680" s="33"/>
      <c r="K5680" s="33"/>
      <c r="L5680" s="33"/>
      <c r="M5680" s="33"/>
    </row>
    <row r="5681">
      <c r="A5681" s="32" t="s">
        <v>15374</v>
      </c>
      <c r="B5681" s="32" t="s">
        <v>15375</v>
      </c>
      <c r="C5681" s="35">
        <v>-10.72029972</v>
      </c>
      <c r="D5681" s="35">
        <v>165.7949982</v>
      </c>
      <c r="E5681" s="32" t="s">
        <v>3666</v>
      </c>
      <c r="F5681" s="32" t="s">
        <v>15376</v>
      </c>
      <c r="G5681" s="36" t="e">
        <v>#N/A</v>
      </c>
      <c r="H5681" s="33"/>
      <c r="I5681" s="33"/>
      <c r="J5681" s="33"/>
      <c r="K5681" s="33"/>
      <c r="L5681" s="33"/>
      <c r="M5681" s="33"/>
    </row>
    <row r="5682">
      <c r="A5682" s="32" t="s">
        <v>15377</v>
      </c>
      <c r="B5682" s="32" t="s">
        <v>15378</v>
      </c>
      <c r="C5682" s="35">
        <v>43.23469925</v>
      </c>
      <c r="D5682" s="35">
        <v>-77.1210022</v>
      </c>
      <c r="E5682" s="32" t="s">
        <v>180</v>
      </c>
      <c r="F5682" s="32" t="s">
        <v>15379</v>
      </c>
      <c r="G5682" s="39" t="s">
        <v>181</v>
      </c>
      <c r="H5682" s="33"/>
      <c r="I5682" s="33"/>
      <c r="J5682" s="33"/>
      <c r="K5682" s="33"/>
      <c r="L5682" s="33"/>
      <c r="M5682" s="33"/>
    </row>
    <row r="5683">
      <c r="A5683" s="32" t="s">
        <v>15380</v>
      </c>
      <c r="B5683" s="32" t="s">
        <v>15381</v>
      </c>
      <c r="C5683" s="35">
        <v>-14.92469978</v>
      </c>
      <c r="D5683" s="35">
        <v>13.57499981</v>
      </c>
      <c r="E5683" s="32" t="s">
        <v>764</v>
      </c>
      <c r="F5683" s="32" t="s">
        <v>15382</v>
      </c>
      <c r="G5683" s="36" t="e">
        <v>#N/A</v>
      </c>
      <c r="H5683" s="33"/>
      <c r="I5683" s="33"/>
      <c r="J5683" s="33"/>
      <c r="K5683" s="33"/>
      <c r="L5683" s="33"/>
      <c r="M5683" s="33"/>
    </row>
    <row r="5684">
      <c r="A5684" s="32" t="s">
        <v>15383</v>
      </c>
      <c r="B5684" s="32" t="s">
        <v>15384</v>
      </c>
      <c r="C5684" s="35">
        <v>-27.76555634</v>
      </c>
      <c r="D5684" s="35">
        <v>-64.30999756</v>
      </c>
      <c r="E5684" s="32" t="s">
        <v>296</v>
      </c>
      <c r="F5684" s="32" t="s">
        <v>15385</v>
      </c>
      <c r="G5684" s="36" t="e">
        <v>#N/A</v>
      </c>
      <c r="H5684" s="33"/>
      <c r="I5684" s="33"/>
      <c r="J5684" s="33"/>
      <c r="K5684" s="33"/>
      <c r="L5684" s="33"/>
      <c r="M5684" s="33"/>
    </row>
    <row r="5685">
      <c r="A5685" s="32" t="s">
        <v>15386</v>
      </c>
      <c r="B5685" s="32" t="s">
        <v>15387</v>
      </c>
      <c r="C5685" s="35">
        <v>38.1744</v>
      </c>
      <c r="D5685" s="35">
        <v>-85.736</v>
      </c>
      <c r="E5685" s="32" t="s">
        <v>180</v>
      </c>
      <c r="F5685" s="32" t="s">
        <v>11202</v>
      </c>
      <c r="G5685" s="39" t="s">
        <v>181</v>
      </c>
      <c r="H5685" s="33"/>
      <c r="I5685" s="33"/>
      <c r="J5685" s="33"/>
      <c r="K5685" s="33"/>
      <c r="L5685" s="33"/>
      <c r="M5685" s="33"/>
    </row>
    <row r="5686">
      <c r="A5686" s="32" t="s">
        <v>15388</v>
      </c>
      <c r="B5686" s="32" t="s">
        <v>15389</v>
      </c>
      <c r="C5686" s="35">
        <v>35.2458992</v>
      </c>
      <c r="D5686" s="35">
        <v>47.00920105</v>
      </c>
      <c r="E5686" s="32" t="s">
        <v>1378</v>
      </c>
      <c r="F5686" s="32" t="s">
        <v>15390</v>
      </c>
      <c r="G5686" s="36" t="e">
        <v>#N/A</v>
      </c>
      <c r="H5686" s="33"/>
      <c r="I5686" s="33"/>
      <c r="J5686" s="33"/>
      <c r="K5686" s="33"/>
      <c r="L5686" s="33"/>
      <c r="M5686" s="33"/>
    </row>
    <row r="5687">
      <c r="A5687" s="32" t="s">
        <v>15391</v>
      </c>
      <c r="B5687" s="32" t="s">
        <v>15392</v>
      </c>
      <c r="C5687" s="35">
        <v>38.13970184</v>
      </c>
      <c r="D5687" s="35">
        <v>140.9170074</v>
      </c>
      <c r="E5687" s="32" t="s">
        <v>170</v>
      </c>
      <c r="F5687" s="32" t="s">
        <v>15393</v>
      </c>
      <c r="G5687" s="39" t="s">
        <v>171</v>
      </c>
      <c r="H5687" s="33"/>
      <c r="I5687" s="33"/>
      <c r="J5687" s="33"/>
      <c r="K5687" s="33"/>
      <c r="L5687" s="33"/>
      <c r="M5687" s="33"/>
    </row>
    <row r="5688">
      <c r="A5688" s="32" t="s">
        <v>15394</v>
      </c>
      <c r="B5688" s="32" t="s">
        <v>15395</v>
      </c>
      <c r="C5688" s="35">
        <v>5.900899887</v>
      </c>
      <c r="D5688" s="35">
        <v>118.0589981</v>
      </c>
      <c r="E5688" s="32" t="s">
        <v>284</v>
      </c>
      <c r="F5688" s="32" t="s">
        <v>15396</v>
      </c>
      <c r="G5688" s="36" t="e">
        <v>#N/A</v>
      </c>
      <c r="H5688" s="33"/>
      <c r="I5688" s="33"/>
      <c r="J5688" s="33"/>
      <c r="K5688" s="33"/>
      <c r="L5688" s="33"/>
      <c r="M5688" s="33"/>
    </row>
    <row r="5689">
      <c r="A5689" s="32" t="s">
        <v>15397</v>
      </c>
      <c r="B5689" s="32" t="s">
        <v>15398</v>
      </c>
      <c r="C5689" s="35">
        <v>62.52809906</v>
      </c>
      <c r="D5689" s="35">
        <v>17.44389915</v>
      </c>
      <c r="E5689" s="32" t="s">
        <v>347</v>
      </c>
      <c r="F5689" s="32" t="s">
        <v>15399</v>
      </c>
      <c r="G5689" s="36" t="e">
        <v>#N/A</v>
      </c>
      <c r="H5689" s="33"/>
      <c r="I5689" s="33"/>
      <c r="J5689" s="33"/>
      <c r="K5689" s="33"/>
      <c r="L5689" s="33"/>
      <c r="M5689" s="33"/>
    </row>
    <row r="5690">
      <c r="A5690" s="32" t="s">
        <v>15400</v>
      </c>
      <c r="B5690" s="32" t="s">
        <v>15401</v>
      </c>
      <c r="C5690" s="35">
        <v>32.57229996</v>
      </c>
      <c r="D5690" s="35">
        <v>-116.9800034</v>
      </c>
      <c r="E5690" s="32" t="s">
        <v>180</v>
      </c>
      <c r="F5690" s="32" t="s">
        <v>13175</v>
      </c>
      <c r="G5690" s="39" t="s">
        <v>181</v>
      </c>
      <c r="H5690" s="33"/>
      <c r="I5690" s="33"/>
      <c r="J5690" s="33"/>
      <c r="K5690" s="33"/>
      <c r="L5690" s="33"/>
      <c r="M5690" s="33"/>
    </row>
    <row r="5691">
      <c r="A5691" s="32" t="s">
        <v>15402</v>
      </c>
      <c r="B5691" s="32" t="s">
        <v>15403</v>
      </c>
      <c r="C5691" s="35">
        <v>61.83000183</v>
      </c>
      <c r="D5691" s="35">
        <v>6.105830193</v>
      </c>
      <c r="E5691" s="32" t="s">
        <v>343</v>
      </c>
      <c r="F5691" s="32" t="s">
        <v>15404</v>
      </c>
      <c r="G5691" s="36" t="e">
        <v>#N/A</v>
      </c>
      <c r="H5691" s="33"/>
      <c r="I5691" s="33"/>
      <c r="J5691" s="33"/>
      <c r="K5691" s="33"/>
      <c r="L5691" s="33"/>
      <c r="M5691" s="33"/>
    </row>
    <row r="5692">
      <c r="A5692" s="32" t="s">
        <v>15405</v>
      </c>
      <c r="B5692" s="32" t="s">
        <v>15406</v>
      </c>
      <c r="C5692" s="35">
        <v>55.31499863</v>
      </c>
      <c r="D5692" s="35">
        <v>-160.522995</v>
      </c>
      <c r="E5692" s="32" t="s">
        <v>180</v>
      </c>
      <c r="F5692" s="32" t="s">
        <v>15407</v>
      </c>
      <c r="G5692" s="39" t="s">
        <v>181</v>
      </c>
      <c r="H5692" s="33"/>
      <c r="I5692" s="33"/>
      <c r="J5692" s="33"/>
      <c r="K5692" s="33"/>
      <c r="L5692" s="33"/>
      <c r="M5692" s="33"/>
    </row>
    <row r="5693">
      <c r="A5693" s="32" t="s">
        <v>15408</v>
      </c>
      <c r="B5693" s="32" t="s">
        <v>15409</v>
      </c>
      <c r="C5693" s="35">
        <v>18.42970085</v>
      </c>
      <c r="D5693" s="35">
        <v>-69.66889954</v>
      </c>
      <c r="E5693" s="32" t="s">
        <v>335</v>
      </c>
      <c r="F5693" s="32" t="s">
        <v>1717</v>
      </c>
      <c r="G5693" s="36" t="e">
        <v>#N/A</v>
      </c>
      <c r="H5693" s="33"/>
      <c r="I5693" s="33"/>
      <c r="J5693" s="33"/>
      <c r="K5693" s="33"/>
      <c r="L5693" s="33"/>
      <c r="M5693" s="33"/>
    </row>
    <row r="5694">
      <c r="A5694" s="32" t="s">
        <v>15410</v>
      </c>
      <c r="B5694" s="32" t="s">
        <v>15411</v>
      </c>
      <c r="C5694" s="35">
        <v>43.42710114</v>
      </c>
      <c r="D5694" s="35">
        <v>-3.820009947</v>
      </c>
      <c r="E5694" s="32" t="s">
        <v>115</v>
      </c>
      <c r="F5694" s="32" t="s">
        <v>15412</v>
      </c>
      <c r="G5694" s="39" t="s">
        <v>116</v>
      </c>
      <c r="H5694" s="33"/>
      <c r="I5694" s="33"/>
      <c r="J5694" s="33"/>
      <c r="K5694" s="33"/>
      <c r="L5694" s="33"/>
      <c r="M5694" s="33"/>
    </row>
    <row r="5695">
      <c r="A5695" s="32" t="s">
        <v>15413</v>
      </c>
      <c r="B5695" s="32" t="s">
        <v>15414</v>
      </c>
      <c r="C5695" s="35">
        <v>38.06019974</v>
      </c>
      <c r="D5695" s="35">
        <v>138.4140015</v>
      </c>
      <c r="E5695" s="32" t="s">
        <v>170</v>
      </c>
      <c r="F5695" s="32" t="s">
        <v>15415</v>
      </c>
      <c r="G5695" s="39" t="s">
        <v>171</v>
      </c>
      <c r="H5695" s="33"/>
      <c r="I5695" s="33"/>
      <c r="J5695" s="33"/>
      <c r="K5695" s="33"/>
      <c r="L5695" s="33"/>
      <c r="M5695" s="33"/>
    </row>
    <row r="5696">
      <c r="A5696" s="32" t="s">
        <v>15416</v>
      </c>
      <c r="B5696" s="32" t="s">
        <v>15417</v>
      </c>
      <c r="C5696" s="35">
        <v>34.81359863</v>
      </c>
      <c r="D5696" s="35">
        <v>72.35279846</v>
      </c>
      <c r="E5696" s="32" t="s">
        <v>1470</v>
      </c>
      <c r="F5696" s="32" t="s">
        <v>15418</v>
      </c>
      <c r="G5696" s="36" t="e">
        <v>#N/A</v>
      </c>
      <c r="H5696" s="33"/>
      <c r="I5696" s="33"/>
      <c r="J5696" s="33"/>
      <c r="K5696" s="33"/>
      <c r="L5696" s="33"/>
      <c r="M5696" s="33"/>
    </row>
    <row r="5697">
      <c r="A5697" s="32" t="s">
        <v>15419</v>
      </c>
      <c r="B5697" s="32" t="s">
        <v>15420</v>
      </c>
      <c r="C5697" s="35">
        <v>-22.91049957</v>
      </c>
      <c r="D5697" s="35">
        <v>-43.1631012</v>
      </c>
      <c r="E5697" s="32" t="s">
        <v>288</v>
      </c>
      <c r="F5697" s="32" t="s">
        <v>1634</v>
      </c>
      <c r="G5697" s="36" t="e">
        <v>#N/A</v>
      </c>
      <c r="H5697" s="33"/>
      <c r="I5697" s="33"/>
      <c r="J5697" s="33"/>
      <c r="K5697" s="33"/>
      <c r="L5697" s="33"/>
      <c r="M5697" s="33"/>
    </row>
    <row r="5698">
      <c r="A5698" s="32" t="s">
        <v>15421</v>
      </c>
      <c r="B5698" s="32" t="s">
        <v>15422</v>
      </c>
      <c r="C5698" s="35">
        <v>32.11470032</v>
      </c>
      <c r="D5698" s="35">
        <v>34.78219986</v>
      </c>
      <c r="E5698" s="32" t="s">
        <v>243</v>
      </c>
      <c r="F5698" s="32" t="s">
        <v>15423</v>
      </c>
      <c r="G5698" s="36" t="e">
        <v>#N/A</v>
      </c>
      <c r="H5698" s="33"/>
      <c r="I5698" s="33"/>
      <c r="J5698" s="33"/>
      <c r="K5698" s="33"/>
      <c r="L5698" s="33"/>
      <c r="M5698" s="33"/>
    </row>
    <row r="5699">
      <c r="A5699" s="32" t="s">
        <v>15424</v>
      </c>
      <c r="B5699" s="32" t="s">
        <v>15425</v>
      </c>
      <c r="C5699" s="35">
        <v>34.84859848</v>
      </c>
      <c r="D5699" s="35">
        <v>-111.788002</v>
      </c>
      <c r="E5699" s="32" t="s">
        <v>180</v>
      </c>
      <c r="F5699" s="32" t="s">
        <v>15426</v>
      </c>
      <c r="G5699" s="39" t="s">
        <v>181</v>
      </c>
      <c r="H5699" s="33"/>
      <c r="I5699" s="33"/>
      <c r="J5699" s="33"/>
      <c r="K5699" s="33"/>
      <c r="L5699" s="33"/>
      <c r="M5699" s="33"/>
    </row>
    <row r="5700">
      <c r="A5700" s="32" t="s">
        <v>15427</v>
      </c>
      <c r="B5700" s="32" t="s">
        <v>15428</v>
      </c>
      <c r="C5700" s="35">
        <v>47.70690155</v>
      </c>
      <c r="D5700" s="35">
        <v>-104.1930008</v>
      </c>
      <c r="E5700" s="32" t="s">
        <v>180</v>
      </c>
      <c r="F5700" s="32" t="s">
        <v>15429</v>
      </c>
      <c r="G5700" s="39" t="s">
        <v>181</v>
      </c>
      <c r="H5700" s="33"/>
      <c r="I5700" s="33"/>
      <c r="J5700" s="33"/>
      <c r="K5700" s="33"/>
      <c r="L5700" s="33"/>
      <c r="M5700" s="33"/>
    </row>
    <row r="5701">
      <c r="A5701" s="32" t="s">
        <v>15430</v>
      </c>
      <c r="B5701" s="32" t="s">
        <v>15431</v>
      </c>
      <c r="C5701" s="35">
        <v>47.44900131</v>
      </c>
      <c r="D5701" s="35">
        <v>-122.3089981</v>
      </c>
      <c r="E5701" s="32" t="s">
        <v>180</v>
      </c>
      <c r="F5701" s="32" t="s">
        <v>4636</v>
      </c>
      <c r="G5701" s="39" t="s">
        <v>181</v>
      </c>
      <c r="H5701" s="33"/>
      <c r="I5701" s="33"/>
      <c r="J5701" s="33"/>
      <c r="K5701" s="33"/>
      <c r="L5701" s="33"/>
      <c r="M5701" s="33"/>
    </row>
    <row r="5702">
      <c r="A5702" s="32" t="s">
        <v>15432</v>
      </c>
      <c r="B5702" s="32" t="s">
        <v>15433</v>
      </c>
      <c r="C5702" s="35">
        <v>26.98699951</v>
      </c>
      <c r="D5702" s="35">
        <v>14.47249985</v>
      </c>
      <c r="E5702" s="32" t="s">
        <v>829</v>
      </c>
      <c r="F5702" s="32" t="s">
        <v>15434</v>
      </c>
      <c r="G5702" s="36" t="e">
        <v>#N/A</v>
      </c>
      <c r="H5702" s="33"/>
      <c r="I5702" s="33"/>
      <c r="J5702" s="33"/>
      <c r="K5702" s="33"/>
      <c r="L5702" s="33"/>
      <c r="M5702" s="33"/>
    </row>
    <row r="5703">
      <c r="A5703" s="32" t="s">
        <v>15435</v>
      </c>
      <c r="B5703" s="32" t="s">
        <v>15436</v>
      </c>
      <c r="C5703" s="35">
        <v>32.82619858</v>
      </c>
      <c r="D5703" s="35">
        <v>-116.9720001</v>
      </c>
      <c r="E5703" s="32" t="s">
        <v>180</v>
      </c>
      <c r="F5703" s="32" t="s">
        <v>15437</v>
      </c>
      <c r="G5703" s="39" t="s">
        <v>181</v>
      </c>
      <c r="H5703" s="33"/>
      <c r="I5703" s="33"/>
      <c r="J5703" s="33"/>
      <c r="K5703" s="33"/>
      <c r="L5703" s="33"/>
      <c r="M5703" s="33"/>
    </row>
    <row r="5704">
      <c r="A5704" s="32" t="s">
        <v>15438</v>
      </c>
      <c r="B5704" s="32" t="s">
        <v>15439</v>
      </c>
      <c r="C5704" s="35">
        <v>27.45639992</v>
      </c>
      <c r="D5704" s="35">
        <v>-81.3423996</v>
      </c>
      <c r="E5704" s="32" t="s">
        <v>180</v>
      </c>
      <c r="F5704" s="32" t="s">
        <v>15440</v>
      </c>
      <c r="G5704" s="39" t="s">
        <v>181</v>
      </c>
      <c r="H5704" s="33"/>
      <c r="I5704" s="33"/>
      <c r="J5704" s="33"/>
      <c r="K5704" s="33"/>
      <c r="L5704" s="33"/>
      <c r="M5704" s="33"/>
    </row>
    <row r="5705">
      <c r="A5705" s="32" t="s">
        <v>15441</v>
      </c>
      <c r="B5705" s="32" t="s">
        <v>15442</v>
      </c>
      <c r="C5705" s="35">
        <v>-3.45</v>
      </c>
      <c r="D5705" s="35">
        <v>140.779</v>
      </c>
      <c r="E5705" s="32" t="s">
        <v>280</v>
      </c>
      <c r="F5705" s="32" t="s">
        <v>15443</v>
      </c>
      <c r="G5705" s="36" t="e">
        <v>#N/A</v>
      </c>
      <c r="H5705" s="33"/>
      <c r="I5705" s="33"/>
      <c r="J5705" s="33"/>
      <c r="K5705" s="33"/>
      <c r="L5705" s="33"/>
      <c r="M5705" s="33"/>
    </row>
    <row r="5706">
      <c r="A5706" s="32" t="s">
        <v>15444</v>
      </c>
      <c r="B5706" s="32" t="s">
        <v>15445</v>
      </c>
      <c r="C5706" s="35">
        <v>67.4805</v>
      </c>
      <c r="D5706" s="35">
        <v>153.7364</v>
      </c>
      <c r="E5706" s="32" t="s">
        <v>2040</v>
      </c>
      <c r="F5706" s="32" t="s">
        <v>15446</v>
      </c>
      <c r="G5706" s="36" t="e">
        <v>#N/A</v>
      </c>
      <c r="H5706" s="33"/>
      <c r="I5706" s="33"/>
      <c r="J5706" s="33"/>
      <c r="K5706" s="33"/>
      <c r="L5706" s="33"/>
      <c r="M5706" s="33"/>
    </row>
    <row r="5707">
      <c r="A5707" s="32" t="s">
        <v>15447</v>
      </c>
      <c r="B5707" s="32" t="s">
        <v>15448</v>
      </c>
      <c r="C5707" s="35">
        <v>32.34389877</v>
      </c>
      <c r="D5707" s="35">
        <v>-86.9878006</v>
      </c>
      <c r="E5707" s="32" t="s">
        <v>180</v>
      </c>
      <c r="F5707" s="32" t="s">
        <v>15449</v>
      </c>
      <c r="G5707" s="39" t="s">
        <v>181</v>
      </c>
      <c r="H5707" s="33"/>
      <c r="I5707" s="33"/>
      <c r="J5707" s="33"/>
      <c r="K5707" s="33"/>
      <c r="L5707" s="33"/>
      <c r="M5707" s="33"/>
    </row>
    <row r="5708">
      <c r="A5708" s="32" t="s">
        <v>15450</v>
      </c>
      <c r="B5708" s="32" t="s">
        <v>15451</v>
      </c>
      <c r="C5708" s="35">
        <v>51.57139969</v>
      </c>
      <c r="D5708" s="35">
        <v>0.695555985</v>
      </c>
      <c r="E5708" s="32" t="s">
        <v>90</v>
      </c>
      <c r="F5708" s="32" t="s">
        <v>15452</v>
      </c>
      <c r="G5708" s="39" t="s">
        <v>91</v>
      </c>
      <c r="H5708" s="33"/>
      <c r="I5708" s="33"/>
      <c r="J5708" s="33"/>
      <c r="K5708" s="33"/>
      <c r="L5708" s="33"/>
      <c r="M5708" s="33"/>
    </row>
    <row r="5709">
      <c r="A5709" s="32" t="s">
        <v>15453</v>
      </c>
      <c r="B5709" s="32" t="s">
        <v>15454</v>
      </c>
      <c r="C5709" s="35">
        <v>-2.458060026</v>
      </c>
      <c r="D5709" s="35">
        <v>34.82249832</v>
      </c>
      <c r="E5709" s="32" t="s">
        <v>2937</v>
      </c>
      <c r="F5709" s="32" t="s">
        <v>15455</v>
      </c>
      <c r="G5709" s="36" t="e">
        <v>#N/A</v>
      </c>
      <c r="H5709" s="33"/>
      <c r="I5709" s="33"/>
      <c r="J5709" s="33"/>
      <c r="K5709" s="33"/>
      <c r="L5709" s="33"/>
      <c r="M5709" s="33"/>
    </row>
    <row r="5710">
      <c r="A5710" s="32" t="s">
        <v>15456</v>
      </c>
      <c r="B5710" s="32" t="s">
        <v>15457</v>
      </c>
      <c r="C5710" s="35">
        <v>15.1796999</v>
      </c>
      <c r="D5710" s="35">
        <v>-12.20730019</v>
      </c>
      <c r="E5710" s="32" t="s">
        <v>817</v>
      </c>
      <c r="F5710" s="32" t="s">
        <v>15458</v>
      </c>
      <c r="G5710" s="36" t="e">
        <v>#N/A</v>
      </c>
      <c r="H5710" s="33"/>
      <c r="I5710" s="33"/>
      <c r="J5710" s="33"/>
      <c r="K5710" s="33"/>
      <c r="L5710" s="33"/>
      <c r="M5710" s="33"/>
    </row>
    <row r="5711">
      <c r="A5711" s="32" t="s">
        <v>15459</v>
      </c>
      <c r="B5711" s="32" t="s">
        <v>15460</v>
      </c>
      <c r="C5711" s="35">
        <v>-4.674339771</v>
      </c>
      <c r="D5711" s="35">
        <v>55.52180099</v>
      </c>
      <c r="E5711" s="32" t="s">
        <v>778</v>
      </c>
      <c r="F5711" s="32" t="s">
        <v>15461</v>
      </c>
      <c r="G5711" s="36" t="e">
        <v>#N/A</v>
      </c>
      <c r="H5711" s="33"/>
      <c r="I5711" s="33"/>
      <c r="J5711" s="33"/>
      <c r="K5711" s="33"/>
      <c r="L5711" s="33"/>
      <c r="M5711" s="33"/>
    </row>
    <row r="5712">
      <c r="A5712" s="32" t="s">
        <v>15462</v>
      </c>
      <c r="B5712" s="32" t="s">
        <v>15463</v>
      </c>
      <c r="C5712" s="35">
        <v>34.7179985</v>
      </c>
      <c r="D5712" s="35">
        <v>10.69099998</v>
      </c>
      <c r="E5712" s="32" t="s">
        <v>22</v>
      </c>
      <c r="F5712" s="32" t="s">
        <v>15464</v>
      </c>
      <c r="G5712" s="36" t="e">
        <v>#N/A</v>
      </c>
      <c r="H5712" s="33"/>
      <c r="I5712" s="33"/>
      <c r="J5712" s="33"/>
      <c r="K5712" s="33"/>
      <c r="L5712" s="33"/>
      <c r="M5712" s="33"/>
    </row>
    <row r="5713">
      <c r="A5713" s="32" t="s">
        <v>15465</v>
      </c>
      <c r="B5713" s="32" t="s">
        <v>15466</v>
      </c>
      <c r="C5713" s="35">
        <v>28.77759933</v>
      </c>
      <c r="D5713" s="35">
        <v>-81.23750305</v>
      </c>
      <c r="E5713" s="32" t="s">
        <v>180</v>
      </c>
      <c r="F5713" s="32" t="s">
        <v>15467</v>
      </c>
      <c r="G5713" s="39" t="s">
        <v>181</v>
      </c>
      <c r="H5713" s="33"/>
      <c r="I5713" s="33"/>
      <c r="J5713" s="33"/>
      <c r="K5713" s="33"/>
      <c r="L5713" s="33"/>
      <c r="M5713" s="33"/>
    </row>
    <row r="5714">
      <c r="A5714" s="32" t="s">
        <v>15468</v>
      </c>
      <c r="B5714" s="32" t="s">
        <v>15469</v>
      </c>
      <c r="C5714" s="35">
        <v>16.25779915</v>
      </c>
      <c r="D5714" s="35">
        <v>-61.26250076</v>
      </c>
      <c r="E5714" s="32" t="s">
        <v>4470</v>
      </c>
      <c r="F5714" s="32" t="s">
        <v>15470</v>
      </c>
      <c r="G5714" s="36" t="e">
        <v>#N/A</v>
      </c>
      <c r="H5714" s="33"/>
      <c r="I5714" s="33"/>
      <c r="J5714" s="33"/>
      <c r="K5714" s="33"/>
      <c r="L5714" s="33"/>
      <c r="M5714" s="33"/>
    </row>
    <row r="5715">
      <c r="A5715" s="32" t="s">
        <v>15471</v>
      </c>
      <c r="B5715" s="32" t="s">
        <v>15472</v>
      </c>
      <c r="C5715" s="35">
        <v>7.883319855</v>
      </c>
      <c r="D5715" s="35">
        <v>-67.44400024</v>
      </c>
      <c r="E5715" s="32" t="s">
        <v>315</v>
      </c>
      <c r="F5715" s="32" t="s">
        <v>15473</v>
      </c>
      <c r="G5715" s="36" t="e">
        <v>#N/A</v>
      </c>
      <c r="H5715" s="33"/>
      <c r="I5715" s="33"/>
      <c r="J5715" s="33"/>
      <c r="K5715" s="33"/>
      <c r="L5715" s="33"/>
      <c r="M5715" s="33"/>
    </row>
    <row r="5716">
      <c r="A5716" s="32" t="s">
        <v>15474</v>
      </c>
      <c r="B5716" s="32" t="s">
        <v>1582</v>
      </c>
      <c r="C5716" s="35">
        <v>16.59560013</v>
      </c>
      <c r="D5716" s="35">
        <v>120.3030014</v>
      </c>
      <c r="E5716" s="32" t="s">
        <v>270</v>
      </c>
      <c r="F5716" s="32" t="s">
        <v>1583</v>
      </c>
      <c r="G5716" s="36" t="e">
        <v>#N/A</v>
      </c>
      <c r="H5716" s="33"/>
      <c r="I5716" s="33"/>
      <c r="J5716" s="33"/>
      <c r="K5716" s="33"/>
      <c r="L5716" s="33"/>
      <c r="M5716" s="33"/>
    </row>
    <row r="5717">
      <c r="A5717" s="32" t="s">
        <v>15475</v>
      </c>
      <c r="B5717" s="32" t="s">
        <v>15476</v>
      </c>
      <c r="C5717" s="35">
        <v>47.68280029</v>
      </c>
      <c r="D5717" s="35">
        <v>-117.322998</v>
      </c>
      <c r="E5717" s="32" t="s">
        <v>180</v>
      </c>
      <c r="F5717" s="32" t="s">
        <v>7998</v>
      </c>
      <c r="G5717" s="39" t="s">
        <v>181</v>
      </c>
      <c r="H5717" s="33"/>
      <c r="I5717" s="33"/>
      <c r="J5717" s="33"/>
      <c r="K5717" s="33"/>
      <c r="L5717" s="33"/>
      <c r="M5717" s="33"/>
    </row>
    <row r="5718">
      <c r="A5718" s="32" t="s">
        <v>15477</v>
      </c>
      <c r="B5718" s="32" t="s">
        <v>15478</v>
      </c>
      <c r="C5718" s="35">
        <v>18.09989929</v>
      </c>
      <c r="D5718" s="35">
        <v>-63.04719925</v>
      </c>
      <c r="E5718" s="32" t="s">
        <v>4470</v>
      </c>
      <c r="F5718" s="32" t="s">
        <v>15479</v>
      </c>
      <c r="G5718" s="36" t="e">
        <v>#N/A</v>
      </c>
      <c r="H5718" s="33"/>
      <c r="I5718" s="33"/>
      <c r="J5718" s="33"/>
      <c r="K5718" s="33"/>
      <c r="L5718" s="33"/>
      <c r="M5718" s="33"/>
    </row>
    <row r="5719">
      <c r="A5719" s="32" t="s">
        <v>15480</v>
      </c>
      <c r="B5719" s="32" t="s">
        <v>15481</v>
      </c>
      <c r="C5719" s="35">
        <v>30.93020058</v>
      </c>
      <c r="D5719" s="35">
        <v>-114.8089981</v>
      </c>
      <c r="E5719" s="32" t="s">
        <v>186</v>
      </c>
      <c r="F5719" s="32" t="s">
        <v>15482</v>
      </c>
      <c r="G5719" s="39" t="s">
        <v>187</v>
      </c>
      <c r="H5719" s="33"/>
      <c r="I5719" s="33"/>
      <c r="J5719" s="33"/>
      <c r="K5719" s="33"/>
      <c r="L5719" s="33"/>
      <c r="M5719" s="33"/>
    </row>
    <row r="5720">
      <c r="A5720" s="32" t="s">
        <v>15483</v>
      </c>
      <c r="B5720" s="32" t="s">
        <v>15484</v>
      </c>
      <c r="C5720" s="35">
        <v>67.0122219</v>
      </c>
      <c r="D5720" s="35">
        <v>-50.71160316</v>
      </c>
      <c r="E5720" s="32" t="s">
        <v>3703</v>
      </c>
      <c r="F5720" s="32" t="s">
        <v>15485</v>
      </c>
      <c r="G5720" s="36" t="e">
        <v>#N/A</v>
      </c>
      <c r="H5720" s="33"/>
      <c r="I5720" s="33"/>
      <c r="J5720" s="33"/>
      <c r="K5720" s="33"/>
      <c r="L5720" s="33"/>
      <c r="M5720" s="33"/>
    </row>
    <row r="5721">
      <c r="A5721" s="32" t="s">
        <v>15486</v>
      </c>
      <c r="B5721" s="32" t="s">
        <v>15487</v>
      </c>
      <c r="C5721" s="35">
        <v>-0.699431002</v>
      </c>
      <c r="D5721" s="35">
        <v>-48.52099991</v>
      </c>
      <c r="E5721" s="32" t="s">
        <v>288</v>
      </c>
      <c r="F5721" s="32" t="s">
        <v>15488</v>
      </c>
      <c r="G5721" s="36" t="e">
        <v>#N/A</v>
      </c>
      <c r="H5721" s="33"/>
      <c r="I5721" s="33"/>
      <c r="J5721" s="33"/>
      <c r="K5721" s="33"/>
      <c r="L5721" s="33"/>
      <c r="M5721" s="33"/>
    </row>
    <row r="5722">
      <c r="A5722" s="32" t="s">
        <v>15489</v>
      </c>
      <c r="B5722" s="32" t="s">
        <v>15490</v>
      </c>
      <c r="C5722" s="35">
        <v>14.88500023</v>
      </c>
      <c r="D5722" s="35">
        <v>-24.47999954</v>
      </c>
      <c r="E5722" s="32" t="s">
        <v>5346</v>
      </c>
      <c r="F5722" s="32" t="s">
        <v>15491</v>
      </c>
      <c r="G5722" s="36" t="e">
        <v>#N/A</v>
      </c>
      <c r="H5722" s="33"/>
      <c r="I5722" s="33"/>
      <c r="J5722" s="33"/>
      <c r="K5722" s="33"/>
      <c r="L5722" s="33"/>
      <c r="M5722" s="33"/>
    </row>
    <row r="5723">
      <c r="A5723" s="32" t="s">
        <v>15492</v>
      </c>
      <c r="B5723" s="32" t="s">
        <v>15493</v>
      </c>
      <c r="C5723" s="35">
        <v>-31.7117</v>
      </c>
      <c r="D5723" s="35">
        <v>-60.8117</v>
      </c>
      <c r="E5723" s="32" t="s">
        <v>296</v>
      </c>
      <c r="F5723" s="32" t="s">
        <v>15258</v>
      </c>
      <c r="G5723" s="36" t="e">
        <v>#N/A</v>
      </c>
      <c r="H5723" s="33"/>
      <c r="I5723" s="33"/>
      <c r="J5723" s="33"/>
      <c r="K5723" s="33"/>
      <c r="L5723" s="33"/>
      <c r="M5723" s="33"/>
    </row>
    <row r="5724">
      <c r="A5724" s="32" t="s">
        <v>15494</v>
      </c>
      <c r="B5724" s="32" t="s">
        <v>15495</v>
      </c>
      <c r="C5724" s="35">
        <v>37.61899948</v>
      </c>
      <c r="D5724" s="35">
        <v>-122.375</v>
      </c>
      <c r="E5724" s="32" t="s">
        <v>180</v>
      </c>
      <c r="F5724" s="32" t="s">
        <v>15496</v>
      </c>
      <c r="G5724" s="39" t="s">
        <v>181</v>
      </c>
      <c r="H5724" s="33"/>
      <c r="I5724" s="33"/>
      <c r="J5724" s="33"/>
      <c r="K5724" s="33"/>
      <c r="L5724" s="33"/>
      <c r="M5724" s="33"/>
    </row>
    <row r="5725">
      <c r="A5725" s="32" t="s">
        <v>15497</v>
      </c>
      <c r="B5725" s="32" t="s">
        <v>15498</v>
      </c>
      <c r="C5725" s="35">
        <v>37.09429932</v>
      </c>
      <c r="D5725" s="35">
        <v>38.847099299999996</v>
      </c>
      <c r="E5725" s="32" t="s">
        <v>133</v>
      </c>
      <c r="F5725" s="32" t="s">
        <v>8211</v>
      </c>
      <c r="G5725" s="39" t="s">
        <v>134</v>
      </c>
      <c r="H5725" s="33"/>
      <c r="I5725" s="33"/>
      <c r="J5725" s="33"/>
      <c r="K5725" s="33"/>
      <c r="L5725" s="33"/>
      <c r="M5725" s="33"/>
    </row>
    <row r="5726">
      <c r="A5726" s="32" t="s">
        <v>15499</v>
      </c>
      <c r="B5726" s="32" t="s">
        <v>15500</v>
      </c>
      <c r="C5726" s="35">
        <v>14.79440022</v>
      </c>
      <c r="D5726" s="35">
        <v>120.2710037</v>
      </c>
      <c r="E5726" s="32" t="s">
        <v>270</v>
      </c>
      <c r="F5726" s="32" t="s">
        <v>15501</v>
      </c>
      <c r="G5726" s="36" t="e">
        <v>#N/A</v>
      </c>
      <c r="H5726" s="33"/>
      <c r="I5726" s="33"/>
      <c r="J5726" s="33"/>
      <c r="K5726" s="33"/>
      <c r="L5726" s="33"/>
      <c r="M5726" s="33"/>
    </row>
    <row r="5727">
      <c r="A5727" s="32" t="s">
        <v>15502</v>
      </c>
      <c r="B5727" s="32" t="s">
        <v>15503</v>
      </c>
      <c r="C5727" s="35">
        <v>64.62480164</v>
      </c>
      <c r="D5727" s="35">
        <v>21.07690048</v>
      </c>
      <c r="E5727" s="32" t="s">
        <v>347</v>
      </c>
      <c r="F5727" s="32" t="s">
        <v>15504</v>
      </c>
      <c r="G5727" s="36" t="e">
        <v>#N/A</v>
      </c>
      <c r="H5727" s="33"/>
      <c r="I5727" s="33"/>
      <c r="J5727" s="33"/>
      <c r="K5727" s="33"/>
      <c r="L5727" s="33"/>
      <c r="M5727" s="33"/>
    </row>
    <row r="5728">
      <c r="A5728" s="32" t="s">
        <v>15505</v>
      </c>
      <c r="B5728" s="32" t="s">
        <v>15506</v>
      </c>
      <c r="C5728" s="35">
        <v>41.92079926</v>
      </c>
      <c r="D5728" s="35">
        <v>-71.49140167</v>
      </c>
      <c r="E5728" s="32" t="s">
        <v>180</v>
      </c>
      <c r="F5728" s="32" t="s">
        <v>15507</v>
      </c>
      <c r="G5728" s="39" t="s">
        <v>181</v>
      </c>
      <c r="H5728" s="33"/>
      <c r="I5728" s="33"/>
      <c r="J5728" s="33"/>
      <c r="K5728" s="33"/>
      <c r="L5728" s="33"/>
      <c r="M5728" s="33"/>
    </row>
    <row r="5729">
      <c r="A5729" s="32" t="s">
        <v>15508</v>
      </c>
      <c r="B5729" s="32" t="s">
        <v>15509</v>
      </c>
      <c r="C5729" s="35">
        <v>61.34370041</v>
      </c>
      <c r="D5729" s="35">
        <v>73.40180206</v>
      </c>
      <c r="E5729" s="32" t="s">
        <v>2040</v>
      </c>
      <c r="F5729" s="32" t="s">
        <v>15510</v>
      </c>
      <c r="G5729" s="36" t="e">
        <v>#N/A</v>
      </c>
      <c r="H5729" s="33"/>
      <c r="I5729" s="33"/>
      <c r="J5729" s="33"/>
      <c r="K5729" s="33"/>
      <c r="L5729" s="33"/>
      <c r="M5729" s="33"/>
    </row>
    <row r="5730">
      <c r="A5730" s="32" t="s">
        <v>15511</v>
      </c>
      <c r="B5730" s="32" t="s">
        <v>15512</v>
      </c>
      <c r="C5730" s="35">
        <v>54.96440125</v>
      </c>
      <c r="D5730" s="35">
        <v>9.791729927</v>
      </c>
      <c r="E5730" s="32" t="s">
        <v>533</v>
      </c>
      <c r="F5730" s="32" t="s">
        <v>15513</v>
      </c>
      <c r="G5730" s="36" t="e">
        <v>#N/A</v>
      </c>
      <c r="H5730" s="33"/>
      <c r="I5730" s="33"/>
      <c r="J5730" s="33"/>
      <c r="K5730" s="33"/>
      <c r="L5730" s="33"/>
      <c r="M5730" s="33"/>
    </row>
    <row r="5731">
      <c r="A5731" s="32" t="s">
        <v>15514</v>
      </c>
      <c r="B5731" s="32" t="s">
        <v>15515</v>
      </c>
      <c r="C5731" s="35">
        <v>37.24570084</v>
      </c>
      <c r="D5731" s="35">
        <v>-93.38860321</v>
      </c>
      <c r="E5731" s="32" t="s">
        <v>180</v>
      </c>
      <c r="F5731" s="32" t="s">
        <v>15516</v>
      </c>
      <c r="G5731" s="39" t="s">
        <v>181</v>
      </c>
      <c r="H5731" s="33"/>
      <c r="I5731" s="33"/>
      <c r="J5731" s="33"/>
      <c r="K5731" s="33"/>
      <c r="L5731" s="33"/>
      <c r="M5731" s="33"/>
    </row>
    <row r="5732">
      <c r="A5732" s="32" t="s">
        <v>15517</v>
      </c>
      <c r="B5732" s="32" t="s">
        <v>15518</v>
      </c>
      <c r="C5732" s="35">
        <v>39.84030151</v>
      </c>
      <c r="D5732" s="35">
        <v>-83.84020233</v>
      </c>
      <c r="E5732" s="32" t="s">
        <v>180</v>
      </c>
      <c r="F5732" s="32" t="s">
        <v>15516</v>
      </c>
      <c r="G5732" s="39" t="s">
        <v>181</v>
      </c>
      <c r="H5732" s="33"/>
      <c r="I5732" s="33"/>
      <c r="J5732" s="33"/>
      <c r="K5732" s="33"/>
      <c r="L5732" s="33"/>
      <c r="M5732" s="33"/>
    </row>
    <row r="5733">
      <c r="A5733" s="32" t="s">
        <v>15519</v>
      </c>
      <c r="B5733" s="32" t="s">
        <v>15520</v>
      </c>
      <c r="C5733" s="35">
        <v>32.04859924</v>
      </c>
      <c r="D5733" s="35">
        <v>72.66500092</v>
      </c>
      <c r="E5733" s="32" t="s">
        <v>1470</v>
      </c>
      <c r="F5733" s="32" t="s">
        <v>15521</v>
      </c>
      <c r="G5733" s="36" t="e">
        <v>#N/A</v>
      </c>
      <c r="H5733" s="33"/>
      <c r="I5733" s="33"/>
      <c r="J5733" s="33"/>
      <c r="K5733" s="33"/>
      <c r="L5733" s="33"/>
      <c r="M5733" s="33"/>
    </row>
    <row r="5734">
      <c r="A5734" s="32" t="s">
        <v>15522</v>
      </c>
      <c r="B5734" s="32" t="s">
        <v>15523</v>
      </c>
      <c r="C5734" s="35">
        <v>10.81879997</v>
      </c>
      <c r="D5734" s="35">
        <v>106.6520004</v>
      </c>
      <c r="E5734" s="32" t="s">
        <v>1913</v>
      </c>
      <c r="F5734" s="32" t="s">
        <v>15524</v>
      </c>
      <c r="G5734" s="36" t="e">
        <v>#N/A</v>
      </c>
      <c r="H5734" s="33"/>
      <c r="I5734" s="33"/>
      <c r="J5734" s="33"/>
      <c r="K5734" s="33"/>
      <c r="L5734" s="33"/>
      <c r="M5734" s="33"/>
    </row>
    <row r="5735">
      <c r="A5735" s="32" t="s">
        <v>15525</v>
      </c>
      <c r="B5735" s="32" t="s">
        <v>15526</v>
      </c>
      <c r="C5735" s="35">
        <v>-28.04969978</v>
      </c>
      <c r="D5735" s="35">
        <v>148.5950012</v>
      </c>
      <c r="E5735" s="32" t="s">
        <v>1968</v>
      </c>
      <c r="F5735" s="32" t="s">
        <v>15527</v>
      </c>
      <c r="G5735" s="36" t="e">
        <v>#N/A</v>
      </c>
      <c r="H5735" s="33"/>
      <c r="I5735" s="33"/>
      <c r="J5735" s="33"/>
      <c r="K5735" s="33"/>
      <c r="L5735" s="33"/>
      <c r="M5735" s="33"/>
    </row>
    <row r="5736">
      <c r="A5736" s="32" t="s">
        <v>15528</v>
      </c>
      <c r="B5736" s="32" t="s">
        <v>15529</v>
      </c>
      <c r="C5736" s="35">
        <v>0.3847</v>
      </c>
      <c r="D5736" s="35">
        <v>117.543</v>
      </c>
      <c r="E5736" s="32" t="s">
        <v>280</v>
      </c>
      <c r="F5736" s="32" t="s">
        <v>15530</v>
      </c>
      <c r="G5736" s="36" t="e">
        <v>#N/A</v>
      </c>
      <c r="H5736" s="33"/>
      <c r="I5736" s="33"/>
      <c r="J5736" s="33"/>
      <c r="K5736" s="33"/>
      <c r="L5736" s="33"/>
      <c r="M5736" s="33"/>
    </row>
    <row r="5737">
      <c r="A5737" s="32" t="s">
        <v>15531</v>
      </c>
      <c r="B5737" s="32" t="s">
        <v>15532</v>
      </c>
      <c r="C5737" s="35">
        <v>29.62229919</v>
      </c>
      <c r="D5737" s="35">
        <v>-95.65650177</v>
      </c>
      <c r="E5737" s="32" t="s">
        <v>180</v>
      </c>
      <c r="F5737" s="32" t="s">
        <v>15533</v>
      </c>
      <c r="G5737" s="39" t="s">
        <v>181</v>
      </c>
      <c r="H5737" s="33"/>
      <c r="I5737" s="33"/>
      <c r="J5737" s="33"/>
      <c r="K5737" s="33"/>
      <c r="L5737" s="33"/>
      <c r="M5737" s="33"/>
    </row>
    <row r="5738">
      <c r="A5738" s="32" t="s">
        <v>15534</v>
      </c>
      <c r="B5738" s="32" t="s">
        <v>15535</v>
      </c>
      <c r="C5738" s="35">
        <v>5.046989918</v>
      </c>
      <c r="D5738" s="35">
        <v>119.7429962</v>
      </c>
      <c r="E5738" s="32" t="s">
        <v>270</v>
      </c>
      <c r="F5738" s="32" t="s">
        <v>15536</v>
      </c>
      <c r="G5738" s="36" t="e">
        <v>#N/A</v>
      </c>
      <c r="H5738" s="33"/>
      <c r="I5738" s="33"/>
      <c r="J5738" s="33"/>
      <c r="K5738" s="33"/>
      <c r="L5738" s="33"/>
      <c r="M5738" s="33"/>
    </row>
    <row r="5739">
      <c r="A5739" s="32" t="s">
        <v>15537</v>
      </c>
      <c r="B5739" s="32" t="s">
        <v>15538</v>
      </c>
      <c r="C5739" s="35">
        <v>37.03638889</v>
      </c>
      <c r="D5739" s="35">
        <v>-113.5103056</v>
      </c>
      <c r="E5739" s="32" t="s">
        <v>180</v>
      </c>
      <c r="F5739" s="32" t="s">
        <v>15539</v>
      </c>
      <c r="G5739" s="39" t="s">
        <v>181</v>
      </c>
      <c r="H5739" s="33"/>
      <c r="I5739" s="33"/>
      <c r="J5739" s="33"/>
      <c r="K5739" s="33"/>
      <c r="L5739" s="33"/>
      <c r="M5739" s="33"/>
    </row>
    <row r="5740">
      <c r="A5740" s="32" t="s">
        <v>15540</v>
      </c>
      <c r="B5740" s="32" t="s">
        <v>15541</v>
      </c>
      <c r="C5740" s="35">
        <v>-41.59170151</v>
      </c>
      <c r="D5740" s="35">
        <v>-65.33940125</v>
      </c>
      <c r="E5740" s="32" t="s">
        <v>296</v>
      </c>
      <c r="F5740" s="32" t="s">
        <v>15542</v>
      </c>
      <c r="G5740" s="36" t="e">
        <v>#N/A</v>
      </c>
      <c r="H5740" s="33"/>
      <c r="I5740" s="33"/>
      <c r="J5740" s="33"/>
      <c r="K5740" s="33"/>
      <c r="L5740" s="33"/>
      <c r="M5740" s="33"/>
    </row>
    <row r="5741">
      <c r="A5741" s="32" t="s">
        <v>15543</v>
      </c>
      <c r="B5741" s="32" t="s">
        <v>15544</v>
      </c>
      <c r="C5741" s="35">
        <v>-10.68299961</v>
      </c>
      <c r="D5741" s="35">
        <v>35.58300018</v>
      </c>
      <c r="E5741" s="32" t="s">
        <v>2937</v>
      </c>
      <c r="F5741" s="32" t="s">
        <v>15545</v>
      </c>
      <c r="G5741" s="36" t="e">
        <v>#N/A</v>
      </c>
      <c r="H5741" s="33"/>
      <c r="I5741" s="33"/>
      <c r="J5741" s="33"/>
      <c r="K5741" s="33"/>
      <c r="L5741" s="33"/>
      <c r="M5741" s="33"/>
    </row>
    <row r="5742">
      <c r="A5742" s="32" t="s">
        <v>15546</v>
      </c>
      <c r="B5742" s="32" t="s">
        <v>15547</v>
      </c>
      <c r="C5742" s="35">
        <v>59.46009827</v>
      </c>
      <c r="D5742" s="35">
        <v>-135.3159943</v>
      </c>
      <c r="E5742" s="32" t="s">
        <v>180</v>
      </c>
      <c r="F5742" s="32" t="s">
        <v>15548</v>
      </c>
      <c r="G5742" s="39" t="s">
        <v>181</v>
      </c>
      <c r="H5742" s="33"/>
      <c r="I5742" s="33"/>
      <c r="J5742" s="33"/>
      <c r="K5742" s="33"/>
      <c r="L5742" s="33"/>
      <c r="M5742" s="33"/>
    </row>
    <row r="5743">
      <c r="A5743" s="32" t="s">
        <v>15549</v>
      </c>
      <c r="B5743" s="32" t="s">
        <v>15550</v>
      </c>
      <c r="C5743" s="35">
        <v>31.19790077</v>
      </c>
      <c r="D5743" s="35">
        <v>121.3359985</v>
      </c>
      <c r="E5743" s="32" t="s">
        <v>205</v>
      </c>
      <c r="F5743" s="32" t="s">
        <v>14457</v>
      </c>
      <c r="G5743" s="39" t="s">
        <v>206</v>
      </c>
      <c r="H5743" s="33"/>
      <c r="I5743" s="33"/>
      <c r="J5743" s="33"/>
      <c r="K5743" s="33"/>
      <c r="L5743" s="33"/>
      <c r="M5743" s="33"/>
    </row>
    <row r="5744">
      <c r="A5744" s="32" t="s">
        <v>15551</v>
      </c>
      <c r="B5744" s="32" t="s">
        <v>15552</v>
      </c>
      <c r="C5744" s="35">
        <v>43.57749939</v>
      </c>
      <c r="D5744" s="35">
        <v>144.9600067</v>
      </c>
      <c r="E5744" s="32" t="s">
        <v>170</v>
      </c>
      <c r="F5744" s="32" t="s">
        <v>15553</v>
      </c>
      <c r="G5744" s="39" t="s">
        <v>171</v>
      </c>
      <c r="H5744" s="33"/>
      <c r="I5744" s="33"/>
      <c r="J5744" s="33"/>
      <c r="K5744" s="33"/>
      <c r="L5744" s="33"/>
      <c r="M5744" s="33"/>
    </row>
    <row r="5745">
      <c r="A5745" s="32" t="s">
        <v>15554</v>
      </c>
      <c r="B5745" s="32" t="s">
        <v>15555</v>
      </c>
      <c r="C5745" s="35">
        <v>38.26380157</v>
      </c>
      <c r="D5745" s="35">
        <v>-78.89640045</v>
      </c>
      <c r="E5745" s="32" t="s">
        <v>180</v>
      </c>
      <c r="F5745" s="32" t="s">
        <v>15556</v>
      </c>
      <c r="G5745" s="39" t="s">
        <v>181</v>
      </c>
      <c r="H5745" s="33"/>
      <c r="I5745" s="33"/>
      <c r="J5745" s="33"/>
      <c r="K5745" s="33"/>
      <c r="L5745" s="33"/>
      <c r="M5745" s="33"/>
    </row>
    <row r="5746">
      <c r="A5746" s="32" t="s">
        <v>15557</v>
      </c>
      <c r="B5746" s="32" t="s">
        <v>15558</v>
      </c>
      <c r="C5746" s="35">
        <v>41.63980103</v>
      </c>
      <c r="D5746" s="35">
        <v>123.4830017</v>
      </c>
      <c r="E5746" s="32" t="s">
        <v>205</v>
      </c>
      <c r="F5746" s="32" t="s">
        <v>3367</v>
      </c>
      <c r="G5746" s="39" t="s">
        <v>206</v>
      </c>
      <c r="H5746" s="33"/>
      <c r="I5746" s="33"/>
      <c r="J5746" s="33"/>
      <c r="K5746" s="33"/>
      <c r="L5746" s="33"/>
      <c r="M5746" s="33"/>
    </row>
    <row r="5747">
      <c r="A5747" s="32" t="s">
        <v>15559</v>
      </c>
      <c r="B5747" s="32" t="s">
        <v>15560</v>
      </c>
      <c r="C5747" s="35">
        <v>66.88809967</v>
      </c>
      <c r="D5747" s="35">
        <v>-157.1620026</v>
      </c>
      <c r="E5747" s="32" t="s">
        <v>180</v>
      </c>
      <c r="F5747" s="32" t="s">
        <v>15561</v>
      </c>
      <c r="G5747" s="39" t="s">
        <v>181</v>
      </c>
      <c r="H5747" s="33"/>
      <c r="I5747" s="33"/>
      <c r="J5747" s="33"/>
      <c r="K5747" s="33"/>
      <c r="L5747" s="33"/>
      <c r="M5747" s="33"/>
    </row>
    <row r="5748">
      <c r="A5748" s="32" t="s">
        <v>15562</v>
      </c>
      <c r="B5748" s="32" t="s">
        <v>15563</v>
      </c>
      <c r="C5748" s="35">
        <v>66.249604</v>
      </c>
      <c r="D5748" s="35">
        <v>-166.089112</v>
      </c>
      <c r="E5748" s="32" t="s">
        <v>180</v>
      </c>
      <c r="F5748" s="32" t="s">
        <v>15564</v>
      </c>
      <c r="G5748" s="39" t="s">
        <v>181</v>
      </c>
      <c r="H5748" s="33"/>
      <c r="I5748" s="33"/>
      <c r="J5748" s="33"/>
      <c r="K5748" s="33"/>
      <c r="L5748" s="33"/>
      <c r="M5748" s="33"/>
    </row>
    <row r="5749">
      <c r="A5749" s="32" t="s">
        <v>15565</v>
      </c>
      <c r="B5749" s="32" t="s">
        <v>15566</v>
      </c>
      <c r="C5749" s="35">
        <v>24.82670021</v>
      </c>
      <c r="D5749" s="35">
        <v>125.1449966</v>
      </c>
      <c r="E5749" s="32" t="s">
        <v>170</v>
      </c>
      <c r="F5749" s="32" t="s">
        <v>15567</v>
      </c>
      <c r="G5749" s="39" t="s">
        <v>171</v>
      </c>
      <c r="H5749" s="33"/>
      <c r="I5749" s="33"/>
      <c r="J5749" s="33"/>
      <c r="K5749" s="33"/>
      <c r="L5749" s="33"/>
      <c r="M5749" s="33"/>
    </row>
    <row r="5750">
      <c r="A5750" s="32" t="s">
        <v>15568</v>
      </c>
      <c r="B5750" s="32" t="s">
        <v>15569</v>
      </c>
      <c r="C5750" s="35">
        <v>25.32859993</v>
      </c>
      <c r="D5750" s="35">
        <v>55.51720047</v>
      </c>
      <c r="E5750" s="32" t="s">
        <v>139</v>
      </c>
      <c r="F5750" s="32" t="s">
        <v>15570</v>
      </c>
      <c r="G5750" s="39" t="s">
        <v>140</v>
      </c>
      <c r="H5750" s="33"/>
      <c r="I5750" s="33"/>
      <c r="J5750" s="33"/>
      <c r="K5750" s="33"/>
      <c r="L5750" s="33"/>
      <c r="M5750" s="33"/>
    </row>
    <row r="5751">
      <c r="A5751" s="32" t="s">
        <v>15571</v>
      </c>
      <c r="B5751" s="32" t="s">
        <v>15572</v>
      </c>
      <c r="C5751" s="35">
        <v>25.70359993</v>
      </c>
      <c r="D5751" s="35">
        <v>91.97869873</v>
      </c>
      <c r="E5751" s="32" t="s">
        <v>217</v>
      </c>
      <c r="F5751" s="32" t="s">
        <v>15573</v>
      </c>
      <c r="G5751" s="39" t="s">
        <v>218</v>
      </c>
      <c r="H5751" s="33"/>
      <c r="I5751" s="33"/>
      <c r="J5751" s="33"/>
      <c r="K5751" s="33"/>
      <c r="L5751" s="33"/>
      <c r="M5751" s="33"/>
    </row>
    <row r="5752">
      <c r="A5752" s="32" t="s">
        <v>15574</v>
      </c>
      <c r="B5752" s="32" t="s">
        <v>15575</v>
      </c>
      <c r="C5752" s="35">
        <v>33.66220093</v>
      </c>
      <c r="D5752" s="35">
        <v>135.3639984</v>
      </c>
      <c r="E5752" s="32" t="s">
        <v>170</v>
      </c>
      <c r="F5752" s="32" t="s">
        <v>15576</v>
      </c>
      <c r="G5752" s="39" t="s">
        <v>171</v>
      </c>
      <c r="H5752" s="33"/>
      <c r="I5752" s="33"/>
      <c r="J5752" s="33"/>
      <c r="K5752" s="33"/>
      <c r="L5752" s="33"/>
      <c r="M5752" s="33"/>
    </row>
    <row r="5753">
      <c r="A5753" s="32" t="s">
        <v>15577</v>
      </c>
      <c r="B5753" s="32" t="s">
        <v>15578</v>
      </c>
      <c r="C5753" s="35">
        <v>47.23360062</v>
      </c>
      <c r="D5753" s="35">
        <v>-123.1480026</v>
      </c>
      <c r="E5753" s="32" t="s">
        <v>180</v>
      </c>
      <c r="F5753" s="32" t="s">
        <v>15579</v>
      </c>
      <c r="G5753" s="39" t="s">
        <v>181</v>
      </c>
      <c r="H5753" s="33"/>
      <c r="I5753" s="33"/>
      <c r="J5753" s="33"/>
      <c r="K5753" s="33"/>
      <c r="L5753" s="33"/>
      <c r="M5753" s="33"/>
    </row>
    <row r="5754">
      <c r="A5754" s="32" t="s">
        <v>15580</v>
      </c>
      <c r="B5754" s="32" t="s">
        <v>15581</v>
      </c>
      <c r="C5754" s="35">
        <v>38.14260101</v>
      </c>
      <c r="D5754" s="35">
        <v>128.598999</v>
      </c>
      <c r="E5754" s="32" t="s">
        <v>151</v>
      </c>
      <c r="F5754" s="32" t="s">
        <v>15582</v>
      </c>
      <c r="G5754" s="39" t="s">
        <v>152</v>
      </c>
      <c r="H5754" s="33"/>
      <c r="I5754" s="33"/>
      <c r="J5754" s="33"/>
      <c r="K5754" s="33"/>
      <c r="L5754" s="33"/>
      <c r="M5754" s="33"/>
    </row>
    <row r="5755">
      <c r="A5755" s="32" t="s">
        <v>15583</v>
      </c>
      <c r="B5755" s="32" t="s">
        <v>15584</v>
      </c>
      <c r="C5755" s="35">
        <v>39.968102</v>
      </c>
      <c r="D5755" s="35">
        <v>119.731003</v>
      </c>
      <c r="E5755" s="32" t="s">
        <v>205</v>
      </c>
      <c r="F5755" s="32" t="s">
        <v>15585</v>
      </c>
      <c r="G5755" s="39" t="s">
        <v>206</v>
      </c>
      <c r="H5755" s="33"/>
      <c r="I5755" s="33"/>
      <c r="J5755" s="33"/>
      <c r="K5755" s="33"/>
      <c r="L5755" s="33"/>
      <c r="M5755" s="33"/>
    </row>
    <row r="5756">
      <c r="A5756" s="32" t="s">
        <v>15586</v>
      </c>
      <c r="B5756" s="32" t="s">
        <v>15587</v>
      </c>
      <c r="C5756" s="35">
        <v>44.76919937</v>
      </c>
      <c r="D5756" s="35">
        <v>-106.9800034</v>
      </c>
      <c r="E5756" s="32" t="s">
        <v>180</v>
      </c>
      <c r="F5756" s="32" t="s">
        <v>15588</v>
      </c>
      <c r="G5756" s="39" t="s">
        <v>181</v>
      </c>
      <c r="H5756" s="33"/>
      <c r="I5756" s="33"/>
      <c r="J5756" s="33"/>
      <c r="K5756" s="33"/>
      <c r="L5756" s="33"/>
      <c r="M5756" s="33"/>
    </row>
    <row r="5757">
      <c r="A5757" s="32" t="s">
        <v>15589</v>
      </c>
      <c r="B5757" s="32" t="s">
        <v>15590</v>
      </c>
      <c r="C5757" s="35">
        <v>-36.42890167</v>
      </c>
      <c r="D5757" s="35">
        <v>145.3930054</v>
      </c>
      <c r="E5757" s="32" t="s">
        <v>1968</v>
      </c>
      <c r="F5757" s="32" t="s">
        <v>15591</v>
      </c>
      <c r="G5757" s="36" t="e">
        <v>#N/A</v>
      </c>
      <c r="H5757" s="33"/>
      <c r="I5757" s="33"/>
      <c r="J5757" s="33"/>
      <c r="K5757" s="33"/>
      <c r="L5757" s="33"/>
      <c r="M5757" s="33"/>
    </row>
    <row r="5758">
      <c r="A5758" s="32" t="s">
        <v>15592</v>
      </c>
      <c r="B5758" s="32" t="s">
        <v>15593</v>
      </c>
      <c r="C5758" s="35">
        <v>32.44660187</v>
      </c>
      <c r="D5758" s="35">
        <v>-93.82559967</v>
      </c>
      <c r="E5758" s="32" t="s">
        <v>180</v>
      </c>
      <c r="F5758" s="32" t="s">
        <v>2906</v>
      </c>
      <c r="G5758" s="39" t="s">
        <v>181</v>
      </c>
      <c r="H5758" s="33"/>
      <c r="I5758" s="33"/>
      <c r="J5758" s="33"/>
      <c r="K5758" s="33"/>
      <c r="L5758" s="33"/>
      <c r="M5758" s="33"/>
    </row>
    <row r="5759">
      <c r="A5759" s="32" t="s">
        <v>15594</v>
      </c>
      <c r="B5759" s="32" t="s">
        <v>15595</v>
      </c>
      <c r="C5759" s="35">
        <v>17.46689987</v>
      </c>
      <c r="D5759" s="35">
        <v>47.12139893</v>
      </c>
      <c r="E5759" s="32" t="s">
        <v>223</v>
      </c>
      <c r="F5759" s="32" t="s">
        <v>15596</v>
      </c>
      <c r="G5759" s="36" t="e">
        <v>#N/A</v>
      </c>
      <c r="H5759" s="33"/>
      <c r="I5759" s="33"/>
      <c r="J5759" s="33"/>
      <c r="K5759" s="33"/>
      <c r="L5759" s="33"/>
      <c r="M5759" s="33"/>
    </row>
    <row r="5760">
      <c r="A5760" s="32" t="s">
        <v>15597</v>
      </c>
      <c r="B5760" s="32" t="s">
        <v>15598</v>
      </c>
      <c r="C5760" s="35">
        <v>62.692298890000004</v>
      </c>
      <c r="D5760" s="35">
        <v>-159.5690002</v>
      </c>
      <c r="E5760" s="32" t="s">
        <v>180</v>
      </c>
      <c r="F5760" s="32" t="s">
        <v>15599</v>
      </c>
      <c r="G5760" s="39" t="s">
        <v>181</v>
      </c>
      <c r="H5760" s="33"/>
      <c r="I5760" s="33"/>
      <c r="J5760" s="33"/>
      <c r="K5760" s="33"/>
      <c r="L5760" s="33"/>
      <c r="M5760" s="33"/>
    </row>
    <row r="5761">
      <c r="A5761" s="32" t="s">
        <v>15600</v>
      </c>
      <c r="B5761" s="32" t="s">
        <v>15601</v>
      </c>
      <c r="C5761" s="35">
        <v>-3.6093</v>
      </c>
      <c r="D5761" s="35">
        <v>33.5035</v>
      </c>
      <c r="E5761" s="32" t="s">
        <v>2937</v>
      </c>
      <c r="F5761" s="32" t="s">
        <v>15602</v>
      </c>
      <c r="G5761" s="36" t="e">
        <v>#N/A</v>
      </c>
      <c r="H5761" s="33"/>
      <c r="I5761" s="33"/>
      <c r="J5761" s="33"/>
      <c r="K5761" s="33"/>
      <c r="L5761" s="33"/>
      <c r="M5761" s="33"/>
    </row>
    <row r="5762">
      <c r="A5762" s="32" t="s">
        <v>15603</v>
      </c>
      <c r="B5762" s="32" t="s">
        <v>15604</v>
      </c>
      <c r="C5762" s="35">
        <v>34.376701</v>
      </c>
      <c r="D5762" s="35">
        <v>109.120003</v>
      </c>
      <c r="E5762" s="32" t="s">
        <v>205</v>
      </c>
      <c r="F5762" s="32" t="s">
        <v>15605</v>
      </c>
      <c r="G5762" s="39" t="s">
        <v>206</v>
      </c>
      <c r="H5762" s="33"/>
      <c r="I5762" s="33"/>
      <c r="J5762" s="33"/>
      <c r="K5762" s="33"/>
      <c r="L5762" s="33"/>
      <c r="M5762" s="33"/>
    </row>
    <row r="5763">
      <c r="A5763" s="32" t="s">
        <v>15606</v>
      </c>
      <c r="B5763" s="32" t="s">
        <v>15607</v>
      </c>
      <c r="C5763" s="35">
        <v>42.01580048</v>
      </c>
      <c r="D5763" s="35">
        <v>35.06639862</v>
      </c>
      <c r="E5763" s="32" t="s">
        <v>133</v>
      </c>
      <c r="F5763" s="32" t="s">
        <v>13460</v>
      </c>
      <c r="G5763" s="39" t="s">
        <v>134</v>
      </c>
      <c r="H5763" s="33"/>
      <c r="I5763" s="33"/>
      <c r="J5763" s="33"/>
      <c r="K5763" s="33"/>
      <c r="L5763" s="33"/>
      <c r="M5763" s="33"/>
    </row>
    <row r="5764">
      <c r="A5764" s="32" t="s">
        <v>15608</v>
      </c>
      <c r="B5764" s="32" t="s">
        <v>15609</v>
      </c>
      <c r="C5764" s="35">
        <v>16.74139977</v>
      </c>
      <c r="D5764" s="35">
        <v>-22.94939995</v>
      </c>
      <c r="E5764" s="32" t="s">
        <v>5346</v>
      </c>
      <c r="F5764" s="32" t="s">
        <v>15610</v>
      </c>
      <c r="G5764" s="36" t="e">
        <v>#N/A</v>
      </c>
      <c r="H5764" s="33"/>
      <c r="I5764" s="33"/>
      <c r="J5764" s="33"/>
      <c r="K5764" s="33"/>
      <c r="L5764" s="33"/>
      <c r="M5764" s="33"/>
    </row>
    <row r="5765">
      <c r="A5765" s="32" t="s">
        <v>15611</v>
      </c>
      <c r="B5765" s="32" t="s">
        <v>15612</v>
      </c>
      <c r="C5765" s="35">
        <v>27.15950012</v>
      </c>
      <c r="D5765" s="35">
        <v>84.98010254</v>
      </c>
      <c r="E5765" s="32" t="s">
        <v>1877</v>
      </c>
      <c r="F5765" s="32" t="s">
        <v>15613</v>
      </c>
      <c r="G5765" s="36" t="e">
        <v>#N/A</v>
      </c>
      <c r="H5765" s="33"/>
      <c r="I5765" s="33"/>
      <c r="J5765" s="33"/>
      <c r="K5765" s="33"/>
      <c r="L5765" s="33"/>
      <c r="M5765" s="33"/>
    </row>
    <row r="5766">
      <c r="A5766" s="32" t="s">
        <v>15614</v>
      </c>
      <c r="B5766" s="32" t="s">
        <v>15615</v>
      </c>
      <c r="C5766" s="35">
        <v>18.45680046</v>
      </c>
      <c r="D5766" s="35">
        <v>-66.09809875</v>
      </c>
      <c r="E5766" s="32" t="s">
        <v>331</v>
      </c>
      <c r="F5766" s="32" t="s">
        <v>15616</v>
      </c>
      <c r="G5766" s="36" t="e">
        <v>#N/A</v>
      </c>
      <c r="H5766" s="33"/>
      <c r="I5766" s="33"/>
      <c r="J5766" s="33"/>
      <c r="K5766" s="33"/>
      <c r="L5766" s="33"/>
      <c r="M5766" s="33"/>
    </row>
    <row r="5767">
      <c r="A5767" s="32" t="s">
        <v>15617</v>
      </c>
      <c r="B5767" s="32" t="s">
        <v>15618</v>
      </c>
      <c r="C5767" s="35">
        <v>66.133301</v>
      </c>
      <c r="D5767" s="35">
        <v>-18.9167</v>
      </c>
      <c r="E5767" s="32" t="s">
        <v>2037</v>
      </c>
      <c r="F5767" s="32" t="s">
        <v>15619</v>
      </c>
      <c r="G5767" s="36" t="e">
        <v>#N/A</v>
      </c>
      <c r="H5767" s="33"/>
      <c r="I5767" s="33"/>
      <c r="J5767" s="33"/>
      <c r="K5767" s="33"/>
      <c r="L5767" s="33"/>
      <c r="M5767" s="33"/>
    </row>
    <row r="5768">
      <c r="A5768" s="32" t="s">
        <v>15620</v>
      </c>
      <c r="B5768" s="32" t="s">
        <v>15621</v>
      </c>
      <c r="C5768" s="35">
        <v>36.89889908</v>
      </c>
      <c r="D5768" s="35">
        <v>-89.5617981</v>
      </c>
      <c r="E5768" s="32" t="s">
        <v>180</v>
      </c>
      <c r="F5768" s="32" t="s">
        <v>15622</v>
      </c>
      <c r="G5768" s="39" t="s">
        <v>181</v>
      </c>
      <c r="H5768" s="33"/>
      <c r="I5768" s="33"/>
      <c r="J5768" s="33"/>
      <c r="K5768" s="33"/>
      <c r="L5768" s="33"/>
      <c r="M5768" s="33"/>
    </row>
    <row r="5769">
      <c r="A5769" s="32" t="s">
        <v>15623</v>
      </c>
      <c r="B5769" s="32" t="s">
        <v>15624</v>
      </c>
      <c r="C5769" s="35">
        <v>1.35019</v>
      </c>
      <c r="D5769" s="35">
        <v>103.994003</v>
      </c>
      <c r="E5769" s="32" t="s">
        <v>157</v>
      </c>
      <c r="F5769" s="32" t="s">
        <v>157</v>
      </c>
      <c r="G5769" s="39" t="s">
        <v>158</v>
      </c>
      <c r="H5769" s="33"/>
      <c r="I5769" s="33"/>
      <c r="J5769" s="33"/>
      <c r="K5769" s="33"/>
      <c r="L5769" s="33"/>
      <c r="M5769" s="33"/>
    </row>
    <row r="5770">
      <c r="A5770" s="32" t="s">
        <v>15625</v>
      </c>
      <c r="B5770" s="32" t="s">
        <v>15626</v>
      </c>
      <c r="C5770" s="35">
        <v>-40.83499908</v>
      </c>
      <c r="D5770" s="35">
        <v>145.0839996</v>
      </c>
      <c r="E5770" s="32" t="s">
        <v>1968</v>
      </c>
      <c r="F5770" s="33"/>
      <c r="G5770" s="36" t="e">
        <v>#N/A</v>
      </c>
      <c r="H5770" s="33"/>
      <c r="I5770" s="33"/>
      <c r="J5770" s="33"/>
      <c r="K5770" s="33"/>
      <c r="L5770" s="33"/>
      <c r="M5770" s="33"/>
    </row>
    <row r="5771">
      <c r="A5771" s="32" t="s">
        <v>15627</v>
      </c>
      <c r="B5771" s="32" t="s">
        <v>15628</v>
      </c>
      <c r="C5771" s="35">
        <v>45.05220032</v>
      </c>
      <c r="D5771" s="35">
        <v>33.97510147</v>
      </c>
      <c r="E5771" s="32" t="s">
        <v>3293</v>
      </c>
      <c r="F5771" s="32" t="s">
        <v>15629</v>
      </c>
      <c r="G5771" s="36" t="e">
        <v>#N/A</v>
      </c>
      <c r="H5771" s="33"/>
      <c r="I5771" s="33"/>
      <c r="J5771" s="33"/>
      <c r="K5771" s="33"/>
      <c r="L5771" s="33"/>
      <c r="M5771" s="33"/>
    </row>
    <row r="5772">
      <c r="A5772" s="32" t="s">
        <v>15630</v>
      </c>
      <c r="B5772" s="32" t="s">
        <v>15631</v>
      </c>
      <c r="C5772" s="35">
        <v>-0.479189008</v>
      </c>
      <c r="D5772" s="35">
        <v>104.5790024</v>
      </c>
      <c r="E5772" s="32" t="s">
        <v>280</v>
      </c>
      <c r="F5772" s="32" t="s">
        <v>15632</v>
      </c>
      <c r="G5772" s="36" t="e">
        <v>#N/A</v>
      </c>
      <c r="H5772" s="33"/>
      <c r="I5772" s="33"/>
      <c r="J5772" s="33"/>
      <c r="K5772" s="33"/>
      <c r="L5772" s="33"/>
      <c r="M5772" s="33"/>
    </row>
    <row r="5773">
      <c r="A5773" s="32" t="s">
        <v>15633</v>
      </c>
      <c r="B5773" s="32" t="s">
        <v>15634</v>
      </c>
      <c r="C5773" s="35">
        <v>46.21960068</v>
      </c>
      <c r="D5773" s="35">
        <v>7.326759815</v>
      </c>
      <c r="E5773" s="32" t="s">
        <v>1180</v>
      </c>
      <c r="F5773" s="32" t="s">
        <v>15635</v>
      </c>
      <c r="G5773" s="36" t="e">
        <v>#N/A</v>
      </c>
      <c r="H5773" s="33"/>
      <c r="I5773" s="33"/>
      <c r="J5773" s="33"/>
      <c r="K5773" s="33"/>
      <c r="L5773" s="33"/>
      <c r="M5773" s="33"/>
    </row>
    <row r="5774">
      <c r="A5774" s="32" t="s">
        <v>15636</v>
      </c>
      <c r="B5774" s="32" t="s">
        <v>15637</v>
      </c>
      <c r="C5774" s="35">
        <v>-27.64859962</v>
      </c>
      <c r="D5774" s="35">
        <v>22.9993</v>
      </c>
      <c r="E5774" s="32" t="s">
        <v>16</v>
      </c>
      <c r="F5774" s="32" t="s">
        <v>15638</v>
      </c>
      <c r="G5774" s="36" t="e">
        <v>#N/A</v>
      </c>
      <c r="H5774" s="33"/>
      <c r="I5774" s="33"/>
      <c r="J5774" s="33"/>
      <c r="K5774" s="33"/>
      <c r="L5774" s="33"/>
      <c r="M5774" s="33"/>
    </row>
    <row r="5775">
      <c r="A5775" s="32" t="s">
        <v>15639</v>
      </c>
      <c r="B5775" s="32" t="s">
        <v>15640</v>
      </c>
      <c r="C5775" s="35">
        <v>57.04710007</v>
      </c>
      <c r="D5775" s="35">
        <v>-135.3619995</v>
      </c>
      <c r="E5775" s="32" t="s">
        <v>180</v>
      </c>
      <c r="F5775" s="32" t="s">
        <v>15641</v>
      </c>
      <c r="G5775" s="39" t="s">
        <v>181</v>
      </c>
      <c r="H5775" s="33"/>
      <c r="I5775" s="33"/>
      <c r="J5775" s="33"/>
      <c r="K5775" s="33"/>
      <c r="L5775" s="33"/>
      <c r="M5775" s="33"/>
    </row>
    <row r="5776">
      <c r="A5776" s="32" t="s">
        <v>15642</v>
      </c>
      <c r="B5776" s="32" t="s">
        <v>15643</v>
      </c>
      <c r="C5776" s="35">
        <v>13.72722244</v>
      </c>
      <c r="D5776" s="35">
        <v>-84.77777863</v>
      </c>
      <c r="E5776" s="32" t="s">
        <v>1260</v>
      </c>
      <c r="F5776" s="32" t="s">
        <v>15643</v>
      </c>
      <c r="G5776" s="36" t="e">
        <v>#N/A</v>
      </c>
      <c r="H5776" s="33"/>
      <c r="I5776" s="33"/>
      <c r="J5776" s="33"/>
      <c r="K5776" s="33"/>
      <c r="L5776" s="33"/>
      <c r="M5776" s="33"/>
    </row>
    <row r="5777">
      <c r="A5777" s="32" t="s">
        <v>15644</v>
      </c>
      <c r="B5777" s="32" t="s">
        <v>15645</v>
      </c>
      <c r="C5777" s="35">
        <v>37.36259842</v>
      </c>
      <c r="D5777" s="35">
        <v>-121.9290009</v>
      </c>
      <c r="E5777" s="32" t="s">
        <v>180</v>
      </c>
      <c r="F5777" s="32" t="s">
        <v>1243</v>
      </c>
      <c r="G5777" s="39" t="s">
        <v>181</v>
      </c>
      <c r="H5777" s="33"/>
      <c r="I5777" s="33"/>
      <c r="J5777" s="33"/>
      <c r="K5777" s="33"/>
      <c r="L5777" s="33"/>
      <c r="M5777" s="33"/>
    </row>
    <row r="5778">
      <c r="A5778" s="32" t="s">
        <v>15646</v>
      </c>
      <c r="B5778" s="32" t="s">
        <v>15647</v>
      </c>
      <c r="C5778" s="35">
        <v>23.15180016</v>
      </c>
      <c r="D5778" s="35">
        <v>-109.7210007</v>
      </c>
      <c r="E5778" s="32" t="s">
        <v>186</v>
      </c>
      <c r="F5778" s="32" t="s">
        <v>15648</v>
      </c>
      <c r="G5778" s="39" t="s">
        <v>187</v>
      </c>
      <c r="H5778" s="33"/>
      <c r="I5778" s="33"/>
      <c r="J5778" s="33"/>
      <c r="K5778" s="33"/>
      <c r="L5778" s="33"/>
      <c r="M5778" s="33"/>
    </row>
    <row r="5779">
      <c r="A5779" s="32" t="s">
        <v>15649</v>
      </c>
      <c r="B5779" s="32" t="s">
        <v>15650</v>
      </c>
      <c r="C5779" s="35">
        <v>2.57969</v>
      </c>
      <c r="D5779" s="35">
        <v>-72.6394</v>
      </c>
      <c r="E5779" s="32" t="s">
        <v>292</v>
      </c>
      <c r="F5779" s="32" t="s">
        <v>15651</v>
      </c>
      <c r="G5779" s="36" t="e">
        <v>#N/A</v>
      </c>
      <c r="H5779" s="33"/>
      <c r="I5779" s="33"/>
      <c r="J5779" s="33"/>
      <c r="K5779" s="33"/>
      <c r="L5779" s="33"/>
      <c r="M5779" s="33"/>
    </row>
    <row r="5780">
      <c r="A5780" s="32" t="s">
        <v>15652</v>
      </c>
      <c r="B5780" s="32" t="s">
        <v>15653</v>
      </c>
      <c r="C5780" s="35">
        <v>12.36149979</v>
      </c>
      <c r="D5780" s="35">
        <v>121.0469971</v>
      </c>
      <c r="E5780" s="32" t="s">
        <v>270</v>
      </c>
      <c r="F5780" s="32" t="s">
        <v>1243</v>
      </c>
      <c r="G5780" s="36" t="e">
        <v>#N/A</v>
      </c>
      <c r="H5780" s="33"/>
      <c r="I5780" s="33"/>
      <c r="J5780" s="33"/>
      <c r="K5780" s="33"/>
      <c r="L5780" s="33"/>
      <c r="M5780" s="33"/>
    </row>
    <row r="5781">
      <c r="A5781" s="32" t="s">
        <v>15654</v>
      </c>
      <c r="B5781" s="32" t="s">
        <v>15655</v>
      </c>
      <c r="C5781" s="35">
        <v>43.82460022</v>
      </c>
      <c r="D5781" s="35">
        <v>18.3314991</v>
      </c>
      <c r="E5781" s="32" t="s">
        <v>2150</v>
      </c>
      <c r="F5781" s="32" t="s">
        <v>15656</v>
      </c>
      <c r="G5781" s="36" t="e">
        <v>#N/A</v>
      </c>
      <c r="H5781" s="33"/>
      <c r="I5781" s="33"/>
      <c r="J5781" s="33"/>
      <c r="K5781" s="33"/>
      <c r="L5781" s="33"/>
      <c r="M5781" s="33"/>
    </row>
    <row r="5782">
      <c r="A5782" s="32" t="s">
        <v>15657</v>
      </c>
      <c r="B5782" s="32" t="s">
        <v>15658</v>
      </c>
      <c r="C5782" s="35">
        <v>-23.22920036</v>
      </c>
      <c r="D5782" s="35">
        <v>-45.86149979</v>
      </c>
      <c r="E5782" s="32" t="s">
        <v>288</v>
      </c>
      <c r="F5782" s="32" t="s">
        <v>15659</v>
      </c>
      <c r="G5782" s="36" t="e">
        <v>#N/A</v>
      </c>
      <c r="H5782" s="33"/>
      <c r="I5782" s="33"/>
      <c r="J5782" s="33"/>
      <c r="K5782" s="33"/>
      <c r="L5782" s="33"/>
      <c r="M5782" s="33"/>
    </row>
    <row r="5783">
      <c r="A5783" s="32" t="s">
        <v>15660</v>
      </c>
      <c r="B5783" s="32" t="s">
        <v>15661</v>
      </c>
      <c r="C5783" s="35">
        <v>-0.14835</v>
      </c>
      <c r="D5783" s="35">
        <v>-66.9855</v>
      </c>
      <c r="E5783" s="32" t="s">
        <v>288</v>
      </c>
      <c r="F5783" s="32" t="s">
        <v>15662</v>
      </c>
      <c r="G5783" s="36" t="e">
        <v>#N/A</v>
      </c>
      <c r="H5783" s="33"/>
      <c r="I5783" s="33"/>
      <c r="J5783" s="33"/>
      <c r="K5783" s="33"/>
      <c r="L5783" s="33"/>
      <c r="M5783" s="33"/>
    </row>
    <row r="5784">
      <c r="A5784" s="32" t="s">
        <v>15663</v>
      </c>
      <c r="B5784" s="32" t="s">
        <v>15664</v>
      </c>
      <c r="C5784" s="35">
        <v>9.993860245</v>
      </c>
      <c r="D5784" s="35">
        <v>-84.20880127</v>
      </c>
      <c r="E5784" s="32" t="s">
        <v>1267</v>
      </c>
      <c r="F5784" s="32" t="s">
        <v>1243</v>
      </c>
      <c r="G5784" s="36" t="e">
        <v>#N/A</v>
      </c>
      <c r="H5784" s="33"/>
      <c r="I5784" s="33"/>
      <c r="J5784" s="33"/>
      <c r="K5784" s="33"/>
      <c r="L5784" s="33"/>
      <c r="M5784" s="33"/>
    </row>
    <row r="5785">
      <c r="A5785" s="32" t="s">
        <v>15665</v>
      </c>
      <c r="B5785" s="32" t="s">
        <v>15666</v>
      </c>
      <c r="C5785" s="35">
        <v>-20.8166008</v>
      </c>
      <c r="D5785" s="35">
        <v>-49.40650177</v>
      </c>
      <c r="E5785" s="32" t="s">
        <v>288</v>
      </c>
      <c r="F5785" s="32" t="s">
        <v>15667</v>
      </c>
      <c r="G5785" s="36" t="e">
        <v>#N/A</v>
      </c>
      <c r="H5785" s="33"/>
      <c r="I5785" s="33"/>
      <c r="J5785" s="33"/>
      <c r="K5785" s="33"/>
      <c r="L5785" s="33"/>
      <c r="M5785" s="33"/>
    </row>
    <row r="5786">
      <c r="A5786" s="32" t="s">
        <v>15668</v>
      </c>
      <c r="B5786" s="32" t="s">
        <v>15669</v>
      </c>
      <c r="C5786" s="35">
        <v>31.357700350000002</v>
      </c>
      <c r="D5786" s="35">
        <v>-100.4960022</v>
      </c>
      <c r="E5786" s="32" t="s">
        <v>180</v>
      </c>
      <c r="F5786" s="32" t="s">
        <v>15670</v>
      </c>
      <c r="G5786" s="39" t="s">
        <v>181</v>
      </c>
      <c r="H5786" s="33"/>
      <c r="I5786" s="33"/>
      <c r="J5786" s="33"/>
      <c r="K5786" s="33"/>
      <c r="L5786" s="33"/>
      <c r="M5786" s="33"/>
    </row>
    <row r="5787">
      <c r="A5787" s="32" t="s">
        <v>15671</v>
      </c>
      <c r="B5787" s="32" t="s">
        <v>15672</v>
      </c>
      <c r="C5787" s="35">
        <v>18.43939972</v>
      </c>
      <c r="D5787" s="35">
        <v>-66.00180054</v>
      </c>
      <c r="E5787" s="32" t="s">
        <v>331</v>
      </c>
      <c r="F5787" s="32" t="s">
        <v>15616</v>
      </c>
      <c r="G5787" s="36" t="e">
        <v>#N/A</v>
      </c>
      <c r="H5787" s="33"/>
      <c r="I5787" s="33"/>
      <c r="J5787" s="33"/>
      <c r="K5787" s="33"/>
      <c r="L5787" s="33"/>
      <c r="M5787" s="33"/>
    </row>
    <row r="5788">
      <c r="A5788" s="32" t="s">
        <v>15673</v>
      </c>
      <c r="B5788" s="32" t="s">
        <v>15674</v>
      </c>
      <c r="C5788" s="35">
        <v>38.28070068</v>
      </c>
      <c r="D5788" s="35">
        <v>114.6969986</v>
      </c>
      <c r="E5788" s="32" t="s">
        <v>205</v>
      </c>
      <c r="F5788" s="32" t="s">
        <v>15675</v>
      </c>
      <c r="G5788" s="39" t="s">
        <v>206</v>
      </c>
      <c r="H5788" s="33"/>
      <c r="I5788" s="33"/>
      <c r="J5788" s="33"/>
      <c r="K5788" s="33"/>
      <c r="L5788" s="33"/>
      <c r="M5788" s="33"/>
    </row>
    <row r="5789">
      <c r="A5789" s="32" t="s">
        <v>15676</v>
      </c>
      <c r="B5789" s="32" t="s">
        <v>15677</v>
      </c>
      <c r="C5789" s="35">
        <v>62.69210052</v>
      </c>
      <c r="D5789" s="35">
        <v>22.83230019</v>
      </c>
      <c r="E5789" s="32" t="s">
        <v>408</v>
      </c>
      <c r="F5789" s="32" t="s">
        <v>15678</v>
      </c>
      <c r="G5789" s="36" t="e">
        <v>#N/A</v>
      </c>
      <c r="H5789" s="33"/>
      <c r="I5789" s="33"/>
      <c r="J5789" s="33"/>
      <c r="K5789" s="33"/>
      <c r="L5789" s="33"/>
      <c r="M5789" s="33"/>
    </row>
    <row r="5790">
      <c r="A5790" s="32" t="s">
        <v>15679</v>
      </c>
      <c r="B5790" s="32" t="s">
        <v>15680</v>
      </c>
      <c r="C5790" s="35">
        <v>38.66550064</v>
      </c>
      <c r="D5790" s="35">
        <v>-28.17580032</v>
      </c>
      <c r="E5790" s="32" t="s">
        <v>121</v>
      </c>
      <c r="F5790" s="32" t="s">
        <v>15681</v>
      </c>
      <c r="G5790" s="39" t="s">
        <v>122</v>
      </c>
      <c r="H5790" s="33"/>
      <c r="I5790" s="33"/>
      <c r="J5790" s="33"/>
      <c r="K5790" s="33"/>
      <c r="L5790" s="33"/>
      <c r="M5790" s="33"/>
    </row>
    <row r="5791">
      <c r="A5791" s="32" t="s">
        <v>15682</v>
      </c>
      <c r="B5791" s="32" t="s">
        <v>15683</v>
      </c>
      <c r="C5791" s="35">
        <v>47.61510086</v>
      </c>
      <c r="D5791" s="35">
        <v>-117.6559982</v>
      </c>
      <c r="E5791" s="32" t="s">
        <v>180</v>
      </c>
      <c r="F5791" s="32" t="s">
        <v>7998</v>
      </c>
      <c r="G5791" s="39" t="s">
        <v>181</v>
      </c>
      <c r="H5791" s="33"/>
      <c r="I5791" s="33"/>
      <c r="J5791" s="33"/>
      <c r="K5791" s="33"/>
      <c r="L5791" s="33"/>
      <c r="M5791" s="33"/>
    </row>
    <row r="5792">
      <c r="A5792" s="32" t="s">
        <v>15684</v>
      </c>
      <c r="B5792" s="32" t="s">
        <v>15685</v>
      </c>
      <c r="C5792" s="35">
        <v>17.31119919</v>
      </c>
      <c r="D5792" s="35">
        <v>-62.71870041</v>
      </c>
      <c r="E5792" s="32" t="s">
        <v>12778</v>
      </c>
      <c r="F5792" s="32" t="s">
        <v>4471</v>
      </c>
      <c r="G5792" s="36" t="e">
        <v>#N/A</v>
      </c>
      <c r="H5792" s="33"/>
      <c r="I5792" s="33"/>
      <c r="J5792" s="33"/>
      <c r="K5792" s="33"/>
      <c r="L5792" s="33"/>
      <c r="M5792" s="33"/>
    </row>
    <row r="5793">
      <c r="A5793" s="32" t="s">
        <v>15686</v>
      </c>
      <c r="B5793" s="32" t="s">
        <v>15687</v>
      </c>
      <c r="C5793" s="35">
        <v>39.70050049</v>
      </c>
      <c r="D5793" s="35">
        <v>66.9838028</v>
      </c>
      <c r="E5793" s="32" t="s">
        <v>3332</v>
      </c>
      <c r="F5793" s="32" t="s">
        <v>15688</v>
      </c>
      <c r="G5793" s="36" t="e">
        <v>#N/A</v>
      </c>
      <c r="H5793" s="33"/>
      <c r="I5793" s="33"/>
      <c r="J5793" s="33"/>
      <c r="K5793" s="33"/>
      <c r="L5793" s="33"/>
      <c r="M5793" s="33"/>
    </row>
    <row r="5794">
      <c r="A5794" s="32" t="s">
        <v>15689</v>
      </c>
      <c r="B5794" s="32" t="s">
        <v>15690</v>
      </c>
      <c r="C5794" s="35">
        <v>59.18500137</v>
      </c>
      <c r="D5794" s="35">
        <v>9.566940308</v>
      </c>
      <c r="E5794" s="32" t="s">
        <v>343</v>
      </c>
      <c r="F5794" s="32" t="s">
        <v>15691</v>
      </c>
      <c r="G5794" s="36" t="e">
        <v>#N/A</v>
      </c>
      <c r="H5794" s="33"/>
      <c r="I5794" s="33"/>
      <c r="J5794" s="33"/>
      <c r="K5794" s="33"/>
      <c r="L5794" s="33"/>
      <c r="M5794" s="33"/>
    </row>
    <row r="5795">
      <c r="A5795" s="32" t="s">
        <v>15692</v>
      </c>
      <c r="B5795" s="32" t="s">
        <v>15693</v>
      </c>
      <c r="C5795" s="35">
        <v>29.38419914</v>
      </c>
      <c r="D5795" s="35">
        <v>-98.58110046</v>
      </c>
      <c r="E5795" s="32" t="s">
        <v>180</v>
      </c>
      <c r="F5795" s="32" t="s">
        <v>2929</v>
      </c>
      <c r="G5795" s="39" t="s">
        <v>181</v>
      </c>
      <c r="H5795" s="33"/>
      <c r="I5795" s="33"/>
      <c r="J5795" s="33"/>
      <c r="K5795" s="33"/>
      <c r="L5795" s="33"/>
      <c r="M5795" s="33"/>
    </row>
    <row r="5796">
      <c r="A5796" s="32" t="s">
        <v>15694</v>
      </c>
      <c r="B5796" s="32" t="s">
        <v>15695</v>
      </c>
      <c r="C5796" s="35">
        <v>40.5196991</v>
      </c>
      <c r="D5796" s="35">
        <v>22.97089958</v>
      </c>
      <c r="E5796" s="32" t="s">
        <v>339</v>
      </c>
      <c r="F5796" s="32" t="s">
        <v>15696</v>
      </c>
      <c r="G5796" s="36" t="e">
        <v>#N/A</v>
      </c>
      <c r="H5796" s="33"/>
      <c r="I5796" s="33"/>
      <c r="J5796" s="33"/>
      <c r="K5796" s="33"/>
      <c r="L5796" s="33"/>
      <c r="M5796" s="33"/>
    </row>
    <row r="5797">
      <c r="A5797" s="32" t="s">
        <v>15697</v>
      </c>
      <c r="B5797" s="32" t="s">
        <v>15698</v>
      </c>
      <c r="C5797" s="35">
        <v>28.58600044</v>
      </c>
      <c r="D5797" s="35">
        <v>81.63600159</v>
      </c>
      <c r="E5797" s="32" t="s">
        <v>1877</v>
      </c>
      <c r="F5797" s="32" t="s">
        <v>15699</v>
      </c>
      <c r="G5797" s="36" t="e">
        <v>#N/A</v>
      </c>
      <c r="H5797" s="33"/>
      <c r="I5797" s="33"/>
      <c r="J5797" s="33"/>
      <c r="K5797" s="33"/>
      <c r="L5797" s="33"/>
      <c r="M5797" s="33"/>
    </row>
    <row r="5798">
      <c r="A5798" s="32" t="s">
        <v>15700</v>
      </c>
      <c r="B5798" s="32" t="s">
        <v>15701</v>
      </c>
      <c r="C5798" s="35">
        <v>64.37110138</v>
      </c>
      <c r="D5798" s="35">
        <v>-161.223999</v>
      </c>
      <c r="E5798" s="32" t="s">
        <v>180</v>
      </c>
      <c r="F5798" s="32" t="s">
        <v>15702</v>
      </c>
      <c r="G5798" s="39" t="s">
        <v>181</v>
      </c>
      <c r="H5798" s="33"/>
      <c r="I5798" s="33"/>
      <c r="J5798" s="33"/>
      <c r="K5798" s="33"/>
      <c r="L5798" s="33"/>
      <c r="M5798" s="33"/>
    </row>
    <row r="5799">
      <c r="A5799" s="32" t="s">
        <v>15703</v>
      </c>
      <c r="B5799" s="32" t="s">
        <v>15704</v>
      </c>
      <c r="C5799" s="35">
        <v>68.5788269</v>
      </c>
      <c r="D5799" s="35">
        <v>15.03341675</v>
      </c>
      <c r="E5799" s="32" t="s">
        <v>343</v>
      </c>
      <c r="F5799" s="32" t="s">
        <v>15705</v>
      </c>
      <c r="G5799" s="36" t="e">
        <v>#N/A</v>
      </c>
      <c r="H5799" s="33"/>
      <c r="I5799" s="33"/>
      <c r="J5799" s="33"/>
      <c r="K5799" s="33"/>
      <c r="L5799" s="33"/>
      <c r="M5799" s="33"/>
    </row>
    <row r="5800">
      <c r="A5800" s="32" t="s">
        <v>15706</v>
      </c>
      <c r="B5800" s="32" t="s">
        <v>15707</v>
      </c>
      <c r="C5800" s="35">
        <v>12.91629982</v>
      </c>
      <c r="D5800" s="35">
        <v>5.207190037</v>
      </c>
      <c r="E5800" s="32" t="s">
        <v>19</v>
      </c>
      <c r="F5800" s="32" t="s">
        <v>15708</v>
      </c>
      <c r="G5800" s="36" t="e">
        <v>#N/A</v>
      </c>
      <c r="H5800" s="33"/>
      <c r="I5800" s="33"/>
      <c r="J5800" s="33"/>
      <c r="K5800" s="33"/>
      <c r="L5800" s="33"/>
      <c r="M5800" s="33"/>
    </row>
    <row r="5801">
      <c r="A5801" s="32" t="s">
        <v>15709</v>
      </c>
      <c r="B5801" s="32" t="s">
        <v>15710</v>
      </c>
      <c r="C5801" s="35">
        <v>41.961601</v>
      </c>
      <c r="D5801" s="35">
        <v>21.621401</v>
      </c>
      <c r="E5801" s="32" t="s">
        <v>13300</v>
      </c>
      <c r="F5801" s="32" t="s">
        <v>15711</v>
      </c>
      <c r="G5801" s="36" t="e">
        <v>#N/A</v>
      </c>
      <c r="H5801" s="33"/>
      <c r="I5801" s="33"/>
      <c r="J5801" s="33"/>
      <c r="K5801" s="33"/>
      <c r="L5801" s="33"/>
      <c r="M5801" s="33"/>
    </row>
    <row r="5802">
      <c r="A5802" s="32" t="s">
        <v>15712</v>
      </c>
      <c r="B5802" s="32" t="s">
        <v>15713</v>
      </c>
      <c r="C5802" s="35">
        <v>55.221048</v>
      </c>
      <c r="D5802" s="35">
        <v>9.26702</v>
      </c>
      <c r="E5802" s="32" t="s">
        <v>533</v>
      </c>
      <c r="F5802" s="32" t="s">
        <v>15714</v>
      </c>
      <c r="G5802" s="36" t="e">
        <v>#N/A</v>
      </c>
      <c r="H5802" s="33"/>
      <c r="I5802" s="33"/>
      <c r="J5802" s="33"/>
      <c r="K5802" s="33"/>
      <c r="L5802" s="33"/>
      <c r="M5802" s="33"/>
    </row>
    <row r="5803">
      <c r="A5803" s="32" t="s">
        <v>15715</v>
      </c>
      <c r="B5803" s="32" t="s">
        <v>15716</v>
      </c>
      <c r="C5803" s="35">
        <v>32.53555679</v>
      </c>
      <c r="D5803" s="35">
        <v>74.3638916</v>
      </c>
      <c r="E5803" s="32" t="s">
        <v>1470</v>
      </c>
      <c r="F5803" s="32" t="s">
        <v>15717</v>
      </c>
      <c r="G5803" s="36" t="e">
        <v>#N/A</v>
      </c>
      <c r="H5803" s="33"/>
      <c r="I5803" s="33"/>
      <c r="J5803" s="33"/>
      <c r="K5803" s="33"/>
      <c r="L5803" s="33"/>
      <c r="M5803" s="33"/>
    </row>
    <row r="5804">
      <c r="A5804" s="32" t="s">
        <v>15718</v>
      </c>
      <c r="B5804" s="32" t="s">
        <v>15719</v>
      </c>
      <c r="C5804" s="35">
        <v>38.96760178</v>
      </c>
      <c r="D5804" s="35">
        <v>24.48719978</v>
      </c>
      <c r="E5804" s="32" t="s">
        <v>339</v>
      </c>
      <c r="F5804" s="32" t="s">
        <v>15720</v>
      </c>
      <c r="G5804" s="36" t="e">
        <v>#N/A</v>
      </c>
      <c r="H5804" s="33"/>
      <c r="I5804" s="33"/>
      <c r="J5804" s="33"/>
      <c r="K5804" s="33"/>
      <c r="L5804" s="33"/>
      <c r="M5804" s="33"/>
    </row>
    <row r="5805">
      <c r="A5805" s="32" t="s">
        <v>15721</v>
      </c>
      <c r="B5805" s="32" t="s">
        <v>15722</v>
      </c>
      <c r="C5805" s="35">
        <v>28.68530083</v>
      </c>
      <c r="D5805" s="35">
        <v>34.0625</v>
      </c>
      <c r="E5805" s="32" t="s">
        <v>15</v>
      </c>
      <c r="F5805" s="32" t="s">
        <v>15723</v>
      </c>
      <c r="G5805" s="36" t="e">
        <v>#N/A</v>
      </c>
      <c r="H5805" s="33"/>
      <c r="I5805" s="33"/>
      <c r="J5805" s="33"/>
      <c r="K5805" s="33"/>
      <c r="L5805" s="33"/>
      <c r="M5805" s="33"/>
    </row>
    <row r="5806">
      <c r="A5806" s="32" t="s">
        <v>15724</v>
      </c>
      <c r="B5806" s="32" t="s">
        <v>15725</v>
      </c>
      <c r="C5806" s="35">
        <v>54.1251297</v>
      </c>
      <c r="D5806" s="35">
        <v>45.21225739</v>
      </c>
      <c r="E5806" s="32" t="s">
        <v>2040</v>
      </c>
      <c r="F5806" s="32" t="s">
        <v>15726</v>
      </c>
      <c r="G5806" s="36" t="e">
        <v>#N/A</v>
      </c>
      <c r="H5806" s="33"/>
      <c r="I5806" s="33"/>
      <c r="J5806" s="33"/>
      <c r="K5806" s="33"/>
      <c r="L5806" s="33"/>
      <c r="M5806" s="33"/>
    </row>
    <row r="5807">
      <c r="A5807" s="32" t="s">
        <v>15727</v>
      </c>
      <c r="B5807" s="32" t="s">
        <v>15728</v>
      </c>
      <c r="C5807" s="35">
        <v>41.4333992</v>
      </c>
      <c r="D5807" s="35">
        <v>-82.65229797</v>
      </c>
      <c r="E5807" s="32" t="s">
        <v>180</v>
      </c>
      <c r="F5807" s="32" t="s">
        <v>15729</v>
      </c>
      <c r="G5807" s="39" t="s">
        <v>181</v>
      </c>
      <c r="H5807" s="33"/>
      <c r="I5807" s="33"/>
      <c r="J5807" s="33"/>
      <c r="K5807" s="33"/>
      <c r="L5807" s="33"/>
      <c r="M5807" s="33"/>
    </row>
    <row r="5808">
      <c r="A5808" s="32" t="s">
        <v>15730</v>
      </c>
      <c r="B5808" s="32" t="s">
        <v>15731</v>
      </c>
      <c r="C5808" s="35">
        <v>27.72200012</v>
      </c>
      <c r="D5808" s="35">
        <v>68.79170227</v>
      </c>
      <c r="E5808" s="32" t="s">
        <v>1470</v>
      </c>
      <c r="F5808" s="32" t="s">
        <v>15732</v>
      </c>
      <c r="G5808" s="36" t="e">
        <v>#N/A</v>
      </c>
      <c r="H5808" s="33"/>
      <c r="I5808" s="33"/>
      <c r="J5808" s="33"/>
      <c r="K5808" s="33"/>
      <c r="L5808" s="33"/>
      <c r="M5808" s="33"/>
    </row>
    <row r="5809">
      <c r="A5809" s="32" t="s">
        <v>15733</v>
      </c>
      <c r="B5809" s="32" t="s">
        <v>15734</v>
      </c>
      <c r="C5809" s="35">
        <v>-24.8560009</v>
      </c>
      <c r="D5809" s="35">
        <v>-65.48619843</v>
      </c>
      <c r="E5809" s="32" t="s">
        <v>296</v>
      </c>
      <c r="F5809" s="32" t="s">
        <v>15735</v>
      </c>
      <c r="G5809" s="36" t="e">
        <v>#N/A</v>
      </c>
      <c r="H5809" s="33"/>
      <c r="I5809" s="33"/>
      <c r="J5809" s="33"/>
      <c r="K5809" s="33"/>
      <c r="L5809" s="33"/>
      <c r="M5809" s="33"/>
    </row>
    <row r="5810">
      <c r="A5810" s="32" t="s">
        <v>15736</v>
      </c>
      <c r="B5810" s="32" t="s">
        <v>15737</v>
      </c>
      <c r="C5810" s="35">
        <v>40.78839874</v>
      </c>
      <c r="D5810" s="35">
        <v>-111.9779968</v>
      </c>
      <c r="E5810" s="32" t="s">
        <v>180</v>
      </c>
      <c r="F5810" s="32" t="s">
        <v>2791</v>
      </c>
      <c r="G5810" s="39" t="s">
        <v>181</v>
      </c>
      <c r="H5810" s="33"/>
      <c r="I5810" s="33"/>
      <c r="J5810" s="33"/>
      <c r="K5810" s="33"/>
      <c r="L5810" s="33"/>
      <c r="M5810" s="33"/>
    </row>
    <row r="5811">
      <c r="A5811" s="32" t="s">
        <v>15738</v>
      </c>
      <c r="B5811" s="32" t="s">
        <v>15739</v>
      </c>
      <c r="C5811" s="35">
        <v>48.63779831</v>
      </c>
      <c r="D5811" s="35">
        <v>19.13409996</v>
      </c>
      <c r="E5811" s="32" t="s">
        <v>1229</v>
      </c>
      <c r="F5811" s="32" t="s">
        <v>15740</v>
      </c>
      <c r="G5811" s="36" t="e">
        <v>#N/A</v>
      </c>
      <c r="H5811" s="33"/>
      <c r="I5811" s="33"/>
      <c r="J5811" s="33"/>
      <c r="K5811" s="33"/>
      <c r="L5811" s="33"/>
      <c r="M5811" s="33"/>
    </row>
    <row r="5812">
      <c r="A5812" s="32" t="s">
        <v>15741</v>
      </c>
      <c r="B5812" s="32" t="s">
        <v>15742</v>
      </c>
      <c r="C5812" s="35">
        <v>44.90950012</v>
      </c>
      <c r="D5812" s="35">
        <v>-123.0029984</v>
      </c>
      <c r="E5812" s="32" t="s">
        <v>180</v>
      </c>
      <c r="F5812" s="32" t="s">
        <v>1884</v>
      </c>
      <c r="G5812" s="39" t="s">
        <v>181</v>
      </c>
      <c r="H5812" s="33"/>
      <c r="I5812" s="33"/>
      <c r="J5812" s="33"/>
      <c r="K5812" s="33"/>
      <c r="L5812" s="33"/>
      <c r="M5812" s="33"/>
    </row>
    <row r="5813">
      <c r="A5813" s="32" t="s">
        <v>15743</v>
      </c>
      <c r="B5813" s="32" t="s">
        <v>15744</v>
      </c>
      <c r="C5813" s="35">
        <v>20.4647007</v>
      </c>
      <c r="D5813" s="35">
        <v>45.61959839</v>
      </c>
      <c r="E5813" s="32" t="s">
        <v>223</v>
      </c>
      <c r="F5813" s="32" t="s">
        <v>15745</v>
      </c>
      <c r="G5813" s="36" t="e">
        <v>#N/A</v>
      </c>
      <c r="H5813" s="33"/>
      <c r="I5813" s="33"/>
      <c r="J5813" s="33"/>
      <c r="K5813" s="33"/>
      <c r="L5813" s="33"/>
      <c r="M5813" s="33"/>
    </row>
    <row r="5814">
      <c r="A5814" s="32" t="s">
        <v>15746</v>
      </c>
      <c r="B5814" s="32" t="s">
        <v>15747</v>
      </c>
      <c r="C5814" s="35">
        <v>-13.85169983</v>
      </c>
      <c r="D5814" s="35">
        <v>167.5370026</v>
      </c>
      <c r="E5814" s="32" t="s">
        <v>4279</v>
      </c>
      <c r="F5814" s="32" t="s">
        <v>15748</v>
      </c>
      <c r="G5814" s="36" t="e">
        <v>#N/A</v>
      </c>
      <c r="H5814" s="33"/>
      <c r="I5814" s="33"/>
      <c r="J5814" s="33"/>
      <c r="K5814" s="33"/>
      <c r="L5814" s="33"/>
      <c r="M5814" s="33"/>
    </row>
    <row r="5815">
      <c r="A5815" s="32" t="s">
        <v>15749</v>
      </c>
      <c r="B5815" s="32" t="s">
        <v>15750</v>
      </c>
      <c r="C5815" s="35">
        <v>33.79000092</v>
      </c>
      <c r="D5815" s="35">
        <v>-118.052002</v>
      </c>
      <c r="E5815" s="32" t="s">
        <v>759</v>
      </c>
      <c r="F5815" s="32" t="s">
        <v>15751</v>
      </c>
      <c r="G5815" s="36" t="e">
        <v>#N/A</v>
      </c>
      <c r="H5815" s="33"/>
      <c r="I5815" s="33"/>
      <c r="J5815" s="33"/>
      <c r="K5815" s="33"/>
      <c r="L5815" s="33"/>
      <c r="M5815" s="33"/>
    </row>
    <row r="5816">
      <c r="A5816" s="32" t="s">
        <v>15752</v>
      </c>
      <c r="B5816" s="32" t="s">
        <v>15753</v>
      </c>
      <c r="C5816" s="35">
        <v>44.38529968</v>
      </c>
      <c r="D5816" s="35">
        <v>-74.20619965</v>
      </c>
      <c r="E5816" s="32" t="s">
        <v>180</v>
      </c>
      <c r="F5816" s="32" t="s">
        <v>15754</v>
      </c>
      <c r="G5816" s="39" t="s">
        <v>181</v>
      </c>
      <c r="H5816" s="33"/>
      <c r="I5816" s="33"/>
      <c r="J5816" s="33"/>
      <c r="K5816" s="33"/>
      <c r="L5816" s="33"/>
      <c r="M5816" s="33"/>
    </row>
    <row r="5817">
      <c r="A5817" s="32" t="s">
        <v>15755</v>
      </c>
      <c r="B5817" s="32" t="s">
        <v>15756</v>
      </c>
      <c r="C5817" s="35">
        <v>17.0387001</v>
      </c>
      <c r="D5817" s="35">
        <v>54.09130096</v>
      </c>
      <c r="E5817" s="32" t="s">
        <v>238</v>
      </c>
      <c r="F5817" s="32" t="s">
        <v>15757</v>
      </c>
      <c r="G5817" s="36" t="e">
        <v>#N/A</v>
      </c>
      <c r="H5817" s="33"/>
      <c r="I5817" s="33"/>
      <c r="J5817" s="33"/>
      <c r="K5817" s="33"/>
      <c r="L5817" s="33"/>
      <c r="M5817" s="33"/>
    </row>
    <row r="5818">
      <c r="A5818" s="32" t="s">
        <v>15758</v>
      </c>
      <c r="B5818" s="32" t="s">
        <v>15759</v>
      </c>
      <c r="C5818" s="35">
        <v>40.95209885</v>
      </c>
      <c r="D5818" s="35">
        <v>-5.501989841</v>
      </c>
      <c r="E5818" s="32" t="s">
        <v>115</v>
      </c>
      <c r="F5818" s="32" t="s">
        <v>15760</v>
      </c>
      <c r="G5818" s="39" t="s">
        <v>116</v>
      </c>
      <c r="H5818" s="33"/>
      <c r="I5818" s="33"/>
      <c r="J5818" s="33"/>
      <c r="K5818" s="33"/>
      <c r="L5818" s="33"/>
      <c r="M5818" s="33"/>
    </row>
    <row r="5819">
      <c r="A5819" s="32" t="s">
        <v>15761</v>
      </c>
      <c r="B5819" s="32" t="s">
        <v>15762</v>
      </c>
      <c r="C5819" s="35">
        <v>38.79100037</v>
      </c>
      <c r="D5819" s="35">
        <v>-97.65219879</v>
      </c>
      <c r="E5819" s="32" t="s">
        <v>180</v>
      </c>
      <c r="F5819" s="32" t="s">
        <v>15763</v>
      </c>
      <c r="G5819" s="39" t="s">
        <v>181</v>
      </c>
      <c r="H5819" s="33"/>
      <c r="I5819" s="33"/>
      <c r="J5819" s="33"/>
      <c r="K5819" s="33"/>
      <c r="L5819" s="33"/>
      <c r="M5819" s="33"/>
    </row>
    <row r="5820">
      <c r="A5820" s="32" t="s">
        <v>15764</v>
      </c>
      <c r="B5820" s="32" t="s">
        <v>15765</v>
      </c>
      <c r="C5820" s="35">
        <v>22.25429916</v>
      </c>
      <c r="D5820" s="35">
        <v>-100.9309998</v>
      </c>
      <c r="E5820" s="32" t="s">
        <v>186</v>
      </c>
      <c r="F5820" s="32" t="s">
        <v>15766</v>
      </c>
      <c r="G5820" s="39" t="s">
        <v>187</v>
      </c>
      <c r="H5820" s="33"/>
      <c r="I5820" s="33"/>
      <c r="J5820" s="33"/>
      <c r="K5820" s="33"/>
      <c r="L5820" s="33"/>
      <c r="M5820" s="33"/>
    </row>
    <row r="5821">
      <c r="A5821" s="32" t="s">
        <v>15767</v>
      </c>
      <c r="B5821" s="32" t="s">
        <v>15768</v>
      </c>
      <c r="C5821" s="35">
        <v>61.70050049</v>
      </c>
      <c r="D5821" s="35">
        <v>-157.1660004</v>
      </c>
      <c r="E5821" s="32" t="s">
        <v>180</v>
      </c>
      <c r="F5821" s="32" t="s">
        <v>15769</v>
      </c>
      <c r="G5821" s="39" t="s">
        <v>181</v>
      </c>
      <c r="H5821" s="33"/>
      <c r="I5821" s="33"/>
      <c r="J5821" s="33"/>
      <c r="K5821" s="33"/>
      <c r="L5821" s="33"/>
      <c r="M5821" s="33"/>
    </row>
    <row r="5822">
      <c r="A5822" s="32" t="s">
        <v>15770</v>
      </c>
      <c r="B5822" s="32" t="s">
        <v>15771</v>
      </c>
      <c r="C5822" s="35">
        <v>14.0202</v>
      </c>
      <c r="D5822" s="35">
        <v>-60.992901</v>
      </c>
      <c r="E5822" s="32" t="s">
        <v>15772</v>
      </c>
      <c r="F5822" s="32" t="s">
        <v>15773</v>
      </c>
      <c r="G5822" s="36" t="e">
        <v>#N/A</v>
      </c>
      <c r="H5822" s="33"/>
      <c r="I5822" s="33"/>
      <c r="J5822" s="33"/>
      <c r="K5822" s="33"/>
      <c r="L5822" s="33"/>
      <c r="M5822" s="33"/>
    </row>
    <row r="5823">
      <c r="A5823" s="32" t="s">
        <v>15774</v>
      </c>
      <c r="B5823" s="32" t="s">
        <v>15775</v>
      </c>
      <c r="C5823" s="35">
        <v>31.0818</v>
      </c>
      <c r="D5823" s="35">
        <v>77.068001</v>
      </c>
      <c r="E5823" s="32" t="s">
        <v>217</v>
      </c>
      <c r="F5823" s="32" t="s">
        <v>15776</v>
      </c>
      <c r="G5823" s="39" t="s">
        <v>218</v>
      </c>
      <c r="H5823" s="33"/>
      <c r="I5823" s="33"/>
      <c r="J5823" s="33"/>
      <c r="K5823" s="33"/>
      <c r="L5823" s="33"/>
      <c r="M5823" s="33"/>
    </row>
    <row r="5824">
      <c r="A5824" s="32" t="s">
        <v>15777</v>
      </c>
      <c r="B5824" s="32" t="s">
        <v>15778</v>
      </c>
      <c r="C5824" s="35">
        <v>25.54949951</v>
      </c>
      <c r="D5824" s="35">
        <v>-100.9290009</v>
      </c>
      <c r="E5824" s="32" t="s">
        <v>186</v>
      </c>
      <c r="F5824" s="32" t="s">
        <v>15779</v>
      </c>
      <c r="G5824" s="39" t="s">
        <v>187</v>
      </c>
      <c r="H5824" s="33"/>
      <c r="I5824" s="33"/>
      <c r="J5824" s="33"/>
      <c r="K5824" s="33"/>
      <c r="L5824" s="33"/>
      <c r="M5824" s="33"/>
    </row>
    <row r="5825">
      <c r="A5825" s="32" t="s">
        <v>15780</v>
      </c>
      <c r="B5825" s="32" t="s">
        <v>15781</v>
      </c>
      <c r="C5825" s="35">
        <v>21.33300018</v>
      </c>
      <c r="D5825" s="35">
        <v>-71.19999695</v>
      </c>
      <c r="E5825" s="32" t="s">
        <v>7978</v>
      </c>
      <c r="F5825" s="32" t="s">
        <v>15782</v>
      </c>
      <c r="G5825" s="36" t="e">
        <v>#N/A</v>
      </c>
      <c r="H5825" s="33"/>
      <c r="I5825" s="33"/>
      <c r="J5825" s="33"/>
      <c r="K5825" s="33"/>
      <c r="L5825" s="33"/>
      <c r="M5825" s="33"/>
    </row>
    <row r="5826">
      <c r="A5826" s="32" t="s">
        <v>15783</v>
      </c>
      <c r="B5826" s="32" t="s">
        <v>15784</v>
      </c>
      <c r="C5826" s="35">
        <v>66.59079742</v>
      </c>
      <c r="D5826" s="35">
        <v>66.61100006</v>
      </c>
      <c r="E5826" s="32" t="s">
        <v>2040</v>
      </c>
      <c r="F5826" s="32" t="s">
        <v>15785</v>
      </c>
      <c r="G5826" s="36" t="e">
        <v>#N/A</v>
      </c>
      <c r="H5826" s="33"/>
      <c r="I5826" s="33"/>
      <c r="J5826" s="33"/>
      <c r="K5826" s="33"/>
      <c r="L5826" s="33"/>
      <c r="M5826" s="33"/>
    </row>
    <row r="5827">
      <c r="A5827" s="32" t="s">
        <v>15786</v>
      </c>
      <c r="B5827" s="32" t="s">
        <v>15787</v>
      </c>
      <c r="C5827" s="35">
        <v>-2.58536005</v>
      </c>
      <c r="D5827" s="35">
        <v>-44.23410034</v>
      </c>
      <c r="E5827" s="32" t="s">
        <v>288</v>
      </c>
      <c r="F5827" s="32" t="s">
        <v>15788</v>
      </c>
      <c r="G5827" s="36" t="e">
        <v>#N/A</v>
      </c>
      <c r="H5827" s="33"/>
      <c r="I5827" s="33"/>
      <c r="J5827" s="33"/>
      <c r="K5827" s="33"/>
      <c r="L5827" s="33"/>
      <c r="M5827" s="33"/>
    </row>
    <row r="5828">
      <c r="A5828" s="32" t="s">
        <v>15789</v>
      </c>
      <c r="B5828" s="32" t="s">
        <v>3800</v>
      </c>
      <c r="C5828" s="35">
        <v>36.97140121</v>
      </c>
      <c r="D5828" s="35">
        <v>-25.17060089</v>
      </c>
      <c r="E5828" s="32" t="s">
        <v>121</v>
      </c>
      <c r="F5828" s="32" t="s">
        <v>15790</v>
      </c>
      <c r="G5828" s="39" t="s">
        <v>122</v>
      </c>
      <c r="H5828" s="33"/>
      <c r="I5828" s="33"/>
      <c r="J5828" s="33"/>
      <c r="K5828" s="33"/>
      <c r="L5828" s="33"/>
      <c r="M5828" s="33"/>
    </row>
    <row r="5829">
      <c r="A5829" s="32" t="s">
        <v>15791</v>
      </c>
      <c r="B5829" s="32" t="s">
        <v>15792</v>
      </c>
      <c r="C5829" s="35">
        <v>41.14339828</v>
      </c>
      <c r="D5829" s="35">
        <v>-85.15280151</v>
      </c>
      <c r="E5829" s="32" t="s">
        <v>180</v>
      </c>
      <c r="F5829" s="32" t="s">
        <v>15793</v>
      </c>
      <c r="G5829" s="39" t="s">
        <v>181</v>
      </c>
      <c r="H5829" s="33"/>
      <c r="I5829" s="33"/>
      <c r="J5829" s="33"/>
      <c r="K5829" s="33"/>
      <c r="L5829" s="33"/>
      <c r="M5829" s="33"/>
    </row>
    <row r="5830">
      <c r="A5830" s="32" t="s">
        <v>15794</v>
      </c>
      <c r="B5830" s="32" t="s">
        <v>15795</v>
      </c>
      <c r="C5830" s="35">
        <v>37.05339813</v>
      </c>
      <c r="D5830" s="35">
        <v>-84.61589813</v>
      </c>
      <c r="E5830" s="32" t="s">
        <v>180</v>
      </c>
      <c r="F5830" s="32" t="s">
        <v>15796</v>
      </c>
      <c r="G5830" s="39" t="s">
        <v>181</v>
      </c>
      <c r="H5830" s="33"/>
      <c r="I5830" s="33"/>
      <c r="J5830" s="33"/>
      <c r="K5830" s="33"/>
      <c r="L5830" s="33"/>
      <c r="M5830" s="33"/>
    </row>
    <row r="5831">
      <c r="A5831" s="32" t="s">
        <v>15797</v>
      </c>
      <c r="B5831" s="32" t="s">
        <v>15798</v>
      </c>
      <c r="C5831" s="35">
        <v>38.69540024</v>
      </c>
      <c r="D5831" s="35">
        <v>-121.5910034</v>
      </c>
      <c r="E5831" s="32" t="s">
        <v>180</v>
      </c>
      <c r="F5831" s="32" t="s">
        <v>11643</v>
      </c>
      <c r="G5831" s="39" t="s">
        <v>181</v>
      </c>
      <c r="H5831" s="33"/>
      <c r="I5831" s="33"/>
      <c r="J5831" s="33"/>
      <c r="K5831" s="33"/>
      <c r="L5831" s="33"/>
      <c r="M5831" s="33"/>
    </row>
    <row r="5832">
      <c r="A5832" s="32" t="s">
        <v>15799</v>
      </c>
      <c r="B5832" s="32" t="s">
        <v>15800</v>
      </c>
      <c r="C5832" s="35">
        <v>37.68999863</v>
      </c>
      <c r="D5832" s="35">
        <v>26.9116993</v>
      </c>
      <c r="E5832" s="32" t="s">
        <v>339</v>
      </c>
      <c r="F5832" s="32" t="s">
        <v>15801</v>
      </c>
      <c r="G5832" s="36" t="e">
        <v>#N/A</v>
      </c>
      <c r="H5832" s="33"/>
      <c r="I5832" s="33"/>
      <c r="J5832" s="33"/>
      <c r="K5832" s="33"/>
      <c r="L5832" s="33"/>
      <c r="M5832" s="33"/>
    </row>
    <row r="5833">
      <c r="A5833" s="32" t="s">
        <v>15802</v>
      </c>
      <c r="B5833" s="32" t="s">
        <v>15803</v>
      </c>
      <c r="C5833" s="35">
        <v>63.49010086</v>
      </c>
      <c r="D5833" s="35">
        <v>-162.1100006</v>
      </c>
      <c r="E5833" s="32" t="s">
        <v>180</v>
      </c>
      <c r="F5833" s="32" t="s">
        <v>15804</v>
      </c>
      <c r="G5833" s="39" t="s">
        <v>181</v>
      </c>
      <c r="H5833" s="33"/>
      <c r="I5833" s="33"/>
      <c r="J5833" s="33"/>
      <c r="K5833" s="33"/>
      <c r="L5833" s="33"/>
      <c r="M5833" s="33"/>
    </row>
    <row r="5834">
      <c r="A5834" s="32" t="s">
        <v>15805</v>
      </c>
      <c r="B5834" s="32" t="s">
        <v>15806</v>
      </c>
      <c r="C5834" s="35">
        <v>23.5823168</v>
      </c>
      <c r="D5834" s="35">
        <v>-75.26862144</v>
      </c>
      <c r="E5834" s="32" t="s">
        <v>319</v>
      </c>
      <c r="F5834" s="32" t="s">
        <v>15807</v>
      </c>
      <c r="G5834" s="36" t="e">
        <v>#N/A</v>
      </c>
      <c r="H5834" s="33"/>
      <c r="I5834" s="33"/>
      <c r="J5834" s="33"/>
      <c r="K5834" s="33"/>
      <c r="L5834" s="33"/>
      <c r="M5834" s="33"/>
    </row>
    <row r="5835">
      <c r="A5835" s="32" t="s">
        <v>15808</v>
      </c>
      <c r="B5835" s="32" t="s">
        <v>15809</v>
      </c>
      <c r="C5835" s="35">
        <v>45.12379837</v>
      </c>
      <c r="D5835" s="35">
        <v>-113.8809967</v>
      </c>
      <c r="E5835" s="32" t="s">
        <v>180</v>
      </c>
      <c r="F5835" s="32" t="s">
        <v>15810</v>
      </c>
      <c r="G5835" s="39" t="s">
        <v>181</v>
      </c>
      <c r="H5835" s="33"/>
      <c r="I5835" s="33"/>
      <c r="J5835" s="33"/>
      <c r="K5835" s="33"/>
      <c r="L5835" s="33"/>
      <c r="M5835" s="33"/>
    </row>
    <row r="5836">
      <c r="A5836" s="32" t="s">
        <v>15811</v>
      </c>
      <c r="B5836" s="32" t="s">
        <v>15812</v>
      </c>
      <c r="C5836" s="35">
        <v>34.01580048</v>
      </c>
      <c r="D5836" s="35">
        <v>-118.4509964</v>
      </c>
      <c r="E5836" s="32" t="s">
        <v>180</v>
      </c>
      <c r="F5836" s="32" t="s">
        <v>15813</v>
      </c>
      <c r="G5836" s="39" t="s">
        <v>181</v>
      </c>
      <c r="H5836" s="33"/>
      <c r="I5836" s="33"/>
      <c r="J5836" s="33"/>
      <c r="K5836" s="33"/>
      <c r="L5836" s="33"/>
      <c r="M5836" s="33"/>
    </row>
    <row r="5837">
      <c r="A5837" s="32" t="s">
        <v>15814</v>
      </c>
      <c r="B5837" s="32" t="s">
        <v>15815</v>
      </c>
      <c r="C5837" s="35">
        <v>-2.499190092</v>
      </c>
      <c r="D5837" s="35">
        <v>112.9749985</v>
      </c>
      <c r="E5837" s="32" t="s">
        <v>280</v>
      </c>
      <c r="F5837" s="32" t="s">
        <v>15816</v>
      </c>
      <c r="G5837" s="36" t="e">
        <v>#N/A</v>
      </c>
      <c r="H5837" s="33"/>
      <c r="I5837" s="33"/>
      <c r="J5837" s="33"/>
      <c r="K5837" s="33"/>
      <c r="L5837" s="33"/>
      <c r="M5837" s="33"/>
    </row>
    <row r="5838">
      <c r="A5838" s="32" t="s">
        <v>15817</v>
      </c>
      <c r="B5838" s="32" t="s">
        <v>5643</v>
      </c>
      <c r="C5838" s="35">
        <v>11.1196</v>
      </c>
      <c r="D5838" s="35">
        <v>-74.2306</v>
      </c>
      <c r="E5838" s="32" t="s">
        <v>292</v>
      </c>
      <c r="F5838" s="32" t="s">
        <v>15818</v>
      </c>
      <c r="G5838" s="36" t="e">
        <v>#N/A</v>
      </c>
      <c r="H5838" s="33"/>
      <c r="I5838" s="33"/>
      <c r="J5838" s="33"/>
      <c r="K5838" s="33"/>
      <c r="L5838" s="33"/>
      <c r="M5838" s="33"/>
    </row>
    <row r="5839">
      <c r="A5839" s="32" t="s">
        <v>15819</v>
      </c>
      <c r="B5839" s="32" t="s">
        <v>15820</v>
      </c>
      <c r="C5839" s="35">
        <v>-17.09390068</v>
      </c>
      <c r="D5839" s="35">
        <v>49.81579971</v>
      </c>
      <c r="E5839" s="32" t="s">
        <v>384</v>
      </c>
      <c r="F5839" s="32" t="s">
        <v>15821</v>
      </c>
      <c r="G5839" s="36" t="e">
        <v>#N/A</v>
      </c>
      <c r="H5839" s="33"/>
      <c r="I5839" s="33"/>
      <c r="J5839" s="33"/>
      <c r="K5839" s="33"/>
      <c r="L5839" s="33"/>
      <c r="M5839" s="33"/>
    </row>
    <row r="5840">
      <c r="A5840" s="32" t="s">
        <v>15822</v>
      </c>
      <c r="B5840" s="32" t="s">
        <v>15823</v>
      </c>
      <c r="C5840" s="35">
        <v>46.53409958</v>
      </c>
      <c r="D5840" s="35">
        <v>9.884110451</v>
      </c>
      <c r="E5840" s="32" t="s">
        <v>1180</v>
      </c>
      <c r="F5840" s="32" t="s">
        <v>15824</v>
      </c>
      <c r="G5840" s="36" t="e">
        <v>#N/A</v>
      </c>
      <c r="H5840" s="33"/>
      <c r="I5840" s="33"/>
      <c r="J5840" s="33"/>
      <c r="K5840" s="33"/>
      <c r="L5840" s="33"/>
      <c r="M5840" s="33"/>
    </row>
    <row r="5841">
      <c r="A5841" s="32" t="s">
        <v>15825</v>
      </c>
      <c r="B5841" s="32" t="s">
        <v>15826</v>
      </c>
      <c r="C5841" s="35">
        <v>26.7318</v>
      </c>
      <c r="D5841" s="35">
        <v>-11.6847</v>
      </c>
      <c r="E5841" s="32" t="s">
        <v>7430</v>
      </c>
      <c r="F5841" s="32" t="s">
        <v>15827</v>
      </c>
      <c r="G5841" s="36" t="e">
        <v>#N/A</v>
      </c>
      <c r="H5841" s="33"/>
      <c r="I5841" s="33"/>
      <c r="J5841" s="33"/>
      <c r="K5841" s="33"/>
      <c r="L5841" s="33"/>
      <c r="M5841" s="33"/>
    </row>
    <row r="5842">
      <c r="A5842" s="32" t="s">
        <v>15828</v>
      </c>
      <c r="B5842" s="32" t="s">
        <v>15829</v>
      </c>
      <c r="C5842" s="35">
        <v>34.89889908</v>
      </c>
      <c r="D5842" s="35">
        <v>-120.4570007</v>
      </c>
      <c r="E5842" s="32" t="s">
        <v>180</v>
      </c>
      <c r="F5842" s="32" t="s">
        <v>14887</v>
      </c>
      <c r="G5842" s="39" t="s">
        <v>181</v>
      </c>
      <c r="H5842" s="33"/>
      <c r="I5842" s="33"/>
      <c r="J5842" s="33"/>
      <c r="K5842" s="33"/>
      <c r="L5842" s="33"/>
      <c r="M5842" s="33"/>
    </row>
    <row r="5843">
      <c r="A5843" s="32" t="s">
        <v>15830</v>
      </c>
      <c r="B5843" s="32" t="s">
        <v>15831</v>
      </c>
      <c r="C5843" s="35">
        <v>4.349999905</v>
      </c>
      <c r="D5843" s="35">
        <v>-54.41666794</v>
      </c>
      <c r="E5843" s="32" t="s">
        <v>2192</v>
      </c>
      <c r="F5843" s="32" t="s">
        <v>15832</v>
      </c>
      <c r="G5843" s="36" t="e">
        <v>#N/A</v>
      </c>
      <c r="H5843" s="33"/>
      <c r="I5843" s="33"/>
      <c r="J5843" s="33"/>
      <c r="K5843" s="33"/>
      <c r="L5843" s="33"/>
      <c r="M5843" s="33"/>
    </row>
    <row r="5844">
      <c r="A5844" s="32" t="s">
        <v>15833</v>
      </c>
      <c r="B5844" s="32" t="s">
        <v>15834</v>
      </c>
      <c r="C5844" s="35">
        <v>33.67570114</v>
      </c>
      <c r="D5844" s="35">
        <v>-117.8679962</v>
      </c>
      <c r="E5844" s="32" t="s">
        <v>180</v>
      </c>
      <c r="F5844" s="32" t="s">
        <v>1750</v>
      </c>
      <c r="G5844" s="39" t="s">
        <v>181</v>
      </c>
      <c r="H5844" s="33"/>
      <c r="I5844" s="33"/>
      <c r="J5844" s="33"/>
      <c r="K5844" s="33"/>
      <c r="L5844" s="33"/>
      <c r="M5844" s="33"/>
    </row>
    <row r="5845">
      <c r="A5845" s="32" t="s">
        <v>15835</v>
      </c>
      <c r="B5845" s="32" t="s">
        <v>15836</v>
      </c>
      <c r="C5845" s="35">
        <v>-11.42280006</v>
      </c>
      <c r="D5845" s="35">
        <v>130.654007</v>
      </c>
      <c r="E5845" s="32" t="s">
        <v>1968</v>
      </c>
      <c r="F5845" s="33"/>
      <c r="G5845" s="36" t="e">
        <v>#N/A</v>
      </c>
      <c r="H5845" s="33"/>
      <c r="I5845" s="33"/>
      <c r="J5845" s="33"/>
      <c r="K5845" s="33"/>
      <c r="L5845" s="33"/>
      <c r="M5845" s="33"/>
    </row>
    <row r="5846">
      <c r="A5846" s="32" t="s">
        <v>15837</v>
      </c>
      <c r="B5846" s="32" t="s">
        <v>15838</v>
      </c>
      <c r="C5846" s="35">
        <v>-2.20499</v>
      </c>
      <c r="D5846" s="35">
        <v>-80.988899</v>
      </c>
      <c r="E5846" s="32" t="s">
        <v>311</v>
      </c>
      <c r="F5846" s="32" t="s">
        <v>15839</v>
      </c>
      <c r="G5846" s="36" t="e">
        <v>#N/A</v>
      </c>
      <c r="H5846" s="33"/>
      <c r="I5846" s="33"/>
      <c r="J5846" s="33"/>
      <c r="K5846" s="33"/>
      <c r="L5846" s="33"/>
      <c r="M5846" s="33"/>
    </row>
    <row r="5847">
      <c r="A5847" s="32" t="s">
        <v>15840</v>
      </c>
      <c r="B5847" s="32" t="s">
        <v>15841</v>
      </c>
      <c r="C5847" s="35">
        <v>16.58839989</v>
      </c>
      <c r="D5847" s="35">
        <v>-24.28470039</v>
      </c>
      <c r="E5847" s="32" t="s">
        <v>5346</v>
      </c>
      <c r="F5847" s="32" t="s">
        <v>15842</v>
      </c>
      <c r="G5847" s="36" t="e">
        <v>#N/A</v>
      </c>
      <c r="H5847" s="33"/>
      <c r="I5847" s="33"/>
      <c r="J5847" s="33"/>
      <c r="K5847" s="33"/>
      <c r="L5847" s="33"/>
      <c r="M5847" s="33"/>
    </row>
    <row r="5848">
      <c r="A5848" s="32" t="s">
        <v>15843</v>
      </c>
      <c r="B5848" s="32" t="s">
        <v>15844</v>
      </c>
      <c r="C5848" s="35">
        <v>22.09530067</v>
      </c>
      <c r="D5848" s="35">
        <v>-84.15200043</v>
      </c>
      <c r="E5848" s="32" t="s">
        <v>1294</v>
      </c>
      <c r="F5848" s="32" t="s">
        <v>15845</v>
      </c>
      <c r="G5848" s="36" t="e">
        <v>#N/A</v>
      </c>
      <c r="H5848" s="33"/>
      <c r="I5848" s="33"/>
      <c r="J5848" s="33"/>
      <c r="K5848" s="33"/>
      <c r="L5848" s="33"/>
      <c r="M5848" s="33"/>
    </row>
    <row r="5849">
      <c r="A5849" s="32" t="s">
        <v>15846</v>
      </c>
      <c r="B5849" s="32" t="s">
        <v>15847</v>
      </c>
      <c r="C5849" s="35">
        <v>52.70199966</v>
      </c>
      <c r="D5849" s="35">
        <v>-8.924819946</v>
      </c>
      <c r="E5849" s="32" t="s">
        <v>199</v>
      </c>
      <c r="F5849" s="32" t="s">
        <v>15848</v>
      </c>
      <c r="G5849" s="39" t="s">
        <v>200</v>
      </c>
      <c r="H5849" s="33"/>
      <c r="I5849" s="33"/>
      <c r="J5849" s="33"/>
      <c r="K5849" s="33"/>
      <c r="L5849" s="33"/>
      <c r="M5849" s="33"/>
    </row>
    <row r="5850">
      <c r="A5850" s="32" t="s">
        <v>15849</v>
      </c>
      <c r="B5850" s="32" t="s">
        <v>15850</v>
      </c>
      <c r="C5850" s="35">
        <v>17.19510078</v>
      </c>
      <c r="D5850" s="35">
        <v>104.1190033</v>
      </c>
      <c r="E5850" s="32" t="s">
        <v>175</v>
      </c>
      <c r="F5850" s="32" t="s">
        <v>15851</v>
      </c>
      <c r="G5850" s="39" t="s">
        <v>176</v>
      </c>
      <c r="H5850" s="33"/>
      <c r="I5850" s="33"/>
      <c r="J5850" s="33"/>
      <c r="K5850" s="33"/>
      <c r="L5850" s="33"/>
      <c r="M5850" s="33"/>
    </row>
    <row r="5851">
      <c r="A5851" s="32" t="s">
        <v>15852</v>
      </c>
      <c r="B5851" s="32" t="s">
        <v>15853</v>
      </c>
      <c r="C5851" s="35">
        <v>57.16730118</v>
      </c>
      <c r="D5851" s="35">
        <v>-170.2200012</v>
      </c>
      <c r="E5851" s="32" t="s">
        <v>180</v>
      </c>
      <c r="F5851" s="32" t="s">
        <v>15854</v>
      </c>
      <c r="G5851" s="39" t="s">
        <v>181</v>
      </c>
      <c r="H5851" s="33"/>
      <c r="I5851" s="33"/>
      <c r="J5851" s="33"/>
      <c r="K5851" s="33"/>
      <c r="L5851" s="33"/>
      <c r="M5851" s="33"/>
    </row>
    <row r="5852">
      <c r="A5852" s="32" t="s">
        <v>15855</v>
      </c>
      <c r="B5852" s="32" t="s">
        <v>15856</v>
      </c>
      <c r="C5852" s="35">
        <v>47.3105556</v>
      </c>
      <c r="D5852" s="35">
        <v>-2.1566667</v>
      </c>
      <c r="E5852" s="32" t="s">
        <v>96</v>
      </c>
      <c r="F5852" s="32" t="s">
        <v>15857</v>
      </c>
      <c r="G5852" s="39" t="s">
        <v>97</v>
      </c>
      <c r="H5852" s="33"/>
      <c r="I5852" s="33"/>
      <c r="J5852" s="33"/>
      <c r="K5852" s="33"/>
      <c r="L5852" s="33"/>
      <c r="M5852" s="33"/>
    </row>
    <row r="5853">
      <c r="A5853" s="32" t="s">
        <v>15858</v>
      </c>
      <c r="B5853" s="32" t="s">
        <v>15859</v>
      </c>
      <c r="C5853" s="35">
        <v>36.66279984</v>
      </c>
      <c r="D5853" s="35">
        <v>-121.6060028</v>
      </c>
      <c r="E5853" s="32" t="s">
        <v>180</v>
      </c>
      <c r="F5853" s="32" t="s">
        <v>15839</v>
      </c>
      <c r="G5853" s="39" t="s">
        <v>181</v>
      </c>
      <c r="H5853" s="33"/>
      <c r="I5853" s="33"/>
      <c r="J5853" s="33"/>
      <c r="K5853" s="33"/>
      <c r="L5853" s="33"/>
      <c r="M5853" s="33"/>
    </row>
    <row r="5854">
      <c r="A5854" s="32" t="s">
        <v>15860</v>
      </c>
      <c r="B5854" s="32" t="s">
        <v>15861</v>
      </c>
      <c r="C5854" s="35">
        <v>22.49220085</v>
      </c>
      <c r="D5854" s="35">
        <v>-79.94360352</v>
      </c>
      <c r="E5854" s="32" t="s">
        <v>1294</v>
      </c>
      <c r="F5854" s="32" t="s">
        <v>1282</v>
      </c>
      <c r="G5854" s="36" t="e">
        <v>#N/A</v>
      </c>
      <c r="H5854" s="33"/>
      <c r="I5854" s="33"/>
      <c r="J5854" s="33"/>
      <c r="K5854" s="33"/>
      <c r="L5854" s="33"/>
      <c r="M5854" s="33"/>
    </row>
    <row r="5855">
      <c r="A5855" s="32" t="s">
        <v>15862</v>
      </c>
      <c r="B5855" s="32" t="s">
        <v>15863</v>
      </c>
      <c r="C5855" s="35">
        <v>4.554999828</v>
      </c>
      <c r="D5855" s="35">
        <v>-61.15000153</v>
      </c>
      <c r="E5855" s="32" t="s">
        <v>315</v>
      </c>
      <c r="F5855" s="32" t="s">
        <v>15864</v>
      </c>
      <c r="G5855" s="36" t="e">
        <v>#N/A</v>
      </c>
      <c r="H5855" s="33"/>
      <c r="I5855" s="33"/>
      <c r="J5855" s="33"/>
      <c r="K5855" s="33"/>
      <c r="L5855" s="33"/>
      <c r="M5855" s="33"/>
    </row>
    <row r="5856">
      <c r="A5856" s="32" t="s">
        <v>15865</v>
      </c>
      <c r="B5856" s="32" t="s">
        <v>15866</v>
      </c>
      <c r="C5856" s="35">
        <v>18.46069908</v>
      </c>
      <c r="D5856" s="35">
        <v>94.30010223</v>
      </c>
      <c r="E5856" s="32" t="s">
        <v>1918</v>
      </c>
      <c r="F5856" s="32" t="s">
        <v>15867</v>
      </c>
      <c r="G5856" s="36" t="e">
        <v>#N/A</v>
      </c>
      <c r="H5856" s="33"/>
      <c r="I5856" s="33"/>
      <c r="J5856" s="33"/>
      <c r="K5856" s="33"/>
      <c r="L5856" s="33"/>
      <c r="M5856" s="33"/>
    </row>
    <row r="5857">
      <c r="A5857" s="32" t="s">
        <v>15868</v>
      </c>
      <c r="B5857" s="32" t="s">
        <v>15869</v>
      </c>
      <c r="C5857" s="35">
        <v>41.10129929</v>
      </c>
      <c r="D5857" s="35">
        <v>-102.9850006</v>
      </c>
      <c r="E5857" s="32" t="s">
        <v>180</v>
      </c>
      <c r="F5857" s="32" t="s">
        <v>15429</v>
      </c>
      <c r="G5857" s="39" t="s">
        <v>181</v>
      </c>
      <c r="H5857" s="33"/>
      <c r="I5857" s="33"/>
      <c r="J5857" s="33"/>
      <c r="K5857" s="33"/>
      <c r="L5857" s="33"/>
      <c r="M5857" s="33"/>
    </row>
    <row r="5858">
      <c r="A5858" s="32" t="s">
        <v>15870</v>
      </c>
      <c r="B5858" s="32" t="s">
        <v>15871</v>
      </c>
      <c r="C5858" s="35">
        <v>30.58569908</v>
      </c>
      <c r="D5858" s="35">
        <v>-100.6490021</v>
      </c>
      <c r="E5858" s="32" t="s">
        <v>180</v>
      </c>
      <c r="F5858" s="32" t="s">
        <v>15872</v>
      </c>
      <c r="G5858" s="39" t="s">
        <v>181</v>
      </c>
      <c r="H5858" s="33"/>
      <c r="I5858" s="33"/>
      <c r="J5858" s="33"/>
      <c r="K5858" s="33"/>
      <c r="L5858" s="33"/>
      <c r="M5858" s="33"/>
    </row>
    <row r="5859">
      <c r="A5859" s="32" t="s">
        <v>15873</v>
      </c>
      <c r="B5859" s="32" t="s">
        <v>15874</v>
      </c>
      <c r="C5859" s="35">
        <v>46.686391</v>
      </c>
      <c r="D5859" s="35">
        <v>17.159084</v>
      </c>
      <c r="E5859" s="32" t="s">
        <v>1056</v>
      </c>
      <c r="F5859" s="32" t="s">
        <v>15875</v>
      </c>
      <c r="G5859" s="36" t="e">
        <v>#N/A</v>
      </c>
      <c r="H5859" s="33"/>
      <c r="I5859" s="33"/>
      <c r="J5859" s="33"/>
      <c r="K5859" s="33"/>
      <c r="L5859" s="33"/>
      <c r="M5859" s="33"/>
    </row>
    <row r="5860">
      <c r="A5860" s="32" t="s">
        <v>15876</v>
      </c>
      <c r="B5860" s="32" t="s">
        <v>15877</v>
      </c>
      <c r="C5860" s="35">
        <v>-7.516089916</v>
      </c>
      <c r="D5860" s="35">
        <v>110.7570038</v>
      </c>
      <c r="E5860" s="32" t="s">
        <v>280</v>
      </c>
      <c r="F5860" s="32" t="s">
        <v>15878</v>
      </c>
      <c r="G5860" s="36" t="e">
        <v>#N/A</v>
      </c>
      <c r="H5860" s="33"/>
      <c r="I5860" s="33"/>
      <c r="J5860" s="33"/>
      <c r="K5860" s="33"/>
      <c r="L5860" s="33"/>
      <c r="M5860" s="33"/>
    </row>
    <row r="5861">
      <c r="A5861" s="32" t="s">
        <v>15879</v>
      </c>
      <c r="B5861" s="32" t="s">
        <v>15880</v>
      </c>
      <c r="C5861" s="35">
        <v>-23.47800064</v>
      </c>
      <c r="D5861" s="35">
        <v>-47.49000168</v>
      </c>
      <c r="E5861" s="32" t="s">
        <v>288</v>
      </c>
      <c r="F5861" s="32" t="s">
        <v>15881</v>
      </c>
      <c r="G5861" s="36" t="e">
        <v>#N/A</v>
      </c>
      <c r="H5861" s="33"/>
      <c r="I5861" s="33"/>
      <c r="J5861" s="33"/>
      <c r="K5861" s="33"/>
      <c r="L5861" s="33"/>
      <c r="M5861" s="33"/>
    </row>
    <row r="5862">
      <c r="A5862" s="32" t="s">
        <v>15882</v>
      </c>
      <c r="B5862" s="32" t="s">
        <v>15883</v>
      </c>
      <c r="C5862" s="35">
        <v>42.69669342</v>
      </c>
      <c r="D5862" s="35">
        <v>23.41143608</v>
      </c>
      <c r="E5862" s="32" t="s">
        <v>849</v>
      </c>
      <c r="F5862" s="32" t="s">
        <v>15884</v>
      </c>
      <c r="G5862" s="36" t="e">
        <v>#N/A</v>
      </c>
      <c r="H5862" s="33"/>
      <c r="I5862" s="33"/>
      <c r="J5862" s="33"/>
      <c r="K5862" s="33"/>
      <c r="L5862" s="33"/>
      <c r="M5862" s="33"/>
    </row>
    <row r="5863">
      <c r="A5863" s="32" t="s">
        <v>15885</v>
      </c>
      <c r="B5863" s="32" t="s">
        <v>15886</v>
      </c>
      <c r="C5863" s="35">
        <v>61.156101</v>
      </c>
      <c r="D5863" s="35">
        <v>7.13778</v>
      </c>
      <c r="E5863" s="32" t="s">
        <v>343</v>
      </c>
      <c r="F5863" s="32" t="s">
        <v>15887</v>
      </c>
      <c r="G5863" s="36" t="e">
        <v>#N/A</v>
      </c>
      <c r="H5863" s="33"/>
      <c r="I5863" s="33"/>
      <c r="J5863" s="33"/>
      <c r="K5863" s="33"/>
      <c r="L5863" s="33"/>
      <c r="M5863" s="33"/>
    </row>
    <row r="5864">
      <c r="A5864" s="32" t="s">
        <v>15888</v>
      </c>
      <c r="B5864" s="32" t="s">
        <v>15889</v>
      </c>
      <c r="C5864" s="35">
        <v>69.78679657</v>
      </c>
      <c r="D5864" s="35">
        <v>20.95940018</v>
      </c>
      <c r="E5864" s="32" t="s">
        <v>343</v>
      </c>
      <c r="F5864" s="32" t="s">
        <v>15890</v>
      </c>
      <c r="G5864" s="36" t="e">
        <v>#N/A</v>
      </c>
      <c r="H5864" s="33"/>
      <c r="I5864" s="33"/>
      <c r="J5864" s="33"/>
      <c r="K5864" s="33"/>
      <c r="L5864" s="33"/>
      <c r="M5864" s="33"/>
    </row>
    <row r="5865">
      <c r="A5865" s="32" t="s">
        <v>15891</v>
      </c>
      <c r="B5865" s="32" t="s">
        <v>15892</v>
      </c>
      <c r="C5865" s="35">
        <v>8.945146561</v>
      </c>
      <c r="D5865" s="35">
        <v>-64.1510849</v>
      </c>
      <c r="E5865" s="32" t="s">
        <v>315</v>
      </c>
      <c r="F5865" s="32" t="s">
        <v>15893</v>
      </c>
      <c r="G5865" s="36" t="e">
        <v>#N/A</v>
      </c>
      <c r="H5865" s="33"/>
      <c r="I5865" s="33"/>
      <c r="J5865" s="33"/>
      <c r="K5865" s="33"/>
      <c r="L5865" s="33"/>
      <c r="M5865" s="33"/>
    </row>
    <row r="5866">
      <c r="A5866" s="32" t="s">
        <v>15894</v>
      </c>
      <c r="B5866" s="32" t="s">
        <v>15895</v>
      </c>
      <c r="C5866" s="35">
        <v>-15.50500011</v>
      </c>
      <c r="D5866" s="35">
        <v>167.2200012</v>
      </c>
      <c r="E5866" s="32" t="s">
        <v>4279</v>
      </c>
      <c r="F5866" s="32" t="s">
        <v>15896</v>
      </c>
      <c r="G5866" s="36" t="e">
        <v>#N/A</v>
      </c>
      <c r="H5866" s="33"/>
      <c r="I5866" s="33"/>
      <c r="J5866" s="33"/>
      <c r="K5866" s="33"/>
      <c r="L5866" s="33"/>
      <c r="M5866" s="33"/>
    </row>
    <row r="5867">
      <c r="A5867" s="32" t="s">
        <v>15897</v>
      </c>
      <c r="B5867" s="32" t="s">
        <v>15898</v>
      </c>
      <c r="C5867" s="35">
        <v>61.26150131</v>
      </c>
      <c r="D5867" s="35">
        <v>17.09910011</v>
      </c>
      <c r="E5867" s="32" t="s">
        <v>347</v>
      </c>
      <c r="F5867" s="32" t="s">
        <v>15899</v>
      </c>
      <c r="G5867" s="36" t="e">
        <v>#N/A</v>
      </c>
      <c r="H5867" s="33"/>
      <c r="I5867" s="33"/>
      <c r="J5867" s="33"/>
      <c r="K5867" s="33"/>
      <c r="L5867" s="33"/>
      <c r="M5867" s="33"/>
    </row>
    <row r="5868">
      <c r="A5868" s="32" t="s">
        <v>15900</v>
      </c>
      <c r="B5868" s="32" t="s">
        <v>15901</v>
      </c>
      <c r="C5868" s="35">
        <v>35.23740005</v>
      </c>
      <c r="D5868" s="35">
        <v>-79.3911972</v>
      </c>
      <c r="E5868" s="32" t="s">
        <v>180</v>
      </c>
      <c r="F5868" s="32" t="s">
        <v>15902</v>
      </c>
      <c r="G5868" s="39" t="s">
        <v>181</v>
      </c>
      <c r="H5868" s="33"/>
      <c r="I5868" s="33"/>
      <c r="J5868" s="33"/>
      <c r="K5868" s="33"/>
      <c r="L5868" s="33"/>
      <c r="M5868" s="33"/>
    </row>
    <row r="5869">
      <c r="A5869" s="32" t="s">
        <v>15903</v>
      </c>
      <c r="B5869" s="32" t="s">
        <v>15904</v>
      </c>
      <c r="C5869" s="35">
        <v>-0.894</v>
      </c>
      <c r="D5869" s="35">
        <v>131.287</v>
      </c>
      <c r="E5869" s="32" t="s">
        <v>280</v>
      </c>
      <c r="F5869" s="32" t="s">
        <v>15905</v>
      </c>
      <c r="G5869" s="36" t="e">
        <v>#N/A</v>
      </c>
      <c r="H5869" s="33"/>
      <c r="I5869" s="33"/>
      <c r="J5869" s="33"/>
      <c r="K5869" s="33"/>
      <c r="L5869" s="33"/>
      <c r="M5869" s="33"/>
    </row>
    <row r="5870">
      <c r="A5870" s="32" t="s">
        <v>15906</v>
      </c>
      <c r="B5870" s="32" t="s">
        <v>15907</v>
      </c>
      <c r="C5870" s="35">
        <v>67.39499664</v>
      </c>
      <c r="D5870" s="35">
        <v>26.61910057</v>
      </c>
      <c r="E5870" s="32" t="s">
        <v>408</v>
      </c>
      <c r="F5870" s="32" t="s">
        <v>15908</v>
      </c>
      <c r="G5870" s="36" t="e">
        <v>#N/A</v>
      </c>
      <c r="H5870" s="33"/>
      <c r="I5870" s="33"/>
      <c r="J5870" s="33"/>
      <c r="K5870" s="33"/>
      <c r="L5870" s="33"/>
      <c r="M5870" s="33"/>
    </row>
    <row r="5871">
      <c r="A5871" s="32" t="s">
        <v>15909</v>
      </c>
      <c r="B5871" s="32" t="s">
        <v>15910</v>
      </c>
      <c r="C5871" s="35">
        <v>50.95029831</v>
      </c>
      <c r="D5871" s="35">
        <v>-1.35679996</v>
      </c>
      <c r="E5871" s="32" t="s">
        <v>90</v>
      </c>
      <c r="F5871" s="32" t="s">
        <v>15911</v>
      </c>
      <c r="G5871" s="39" t="s">
        <v>91</v>
      </c>
      <c r="H5871" s="33"/>
      <c r="I5871" s="33"/>
      <c r="J5871" s="33"/>
      <c r="K5871" s="33"/>
      <c r="L5871" s="33"/>
      <c r="M5871" s="33"/>
    </row>
    <row r="5872">
      <c r="A5872" s="32" t="s">
        <v>15912</v>
      </c>
      <c r="B5872" s="32" t="s">
        <v>15913</v>
      </c>
      <c r="C5872" s="35">
        <v>34.26549912</v>
      </c>
      <c r="D5872" s="35">
        <v>-110.0059967</v>
      </c>
      <c r="E5872" s="32" t="s">
        <v>180</v>
      </c>
      <c r="F5872" s="32" t="s">
        <v>15914</v>
      </c>
      <c r="G5872" s="39" t="s">
        <v>181</v>
      </c>
      <c r="H5872" s="33"/>
      <c r="I5872" s="33"/>
      <c r="J5872" s="33"/>
      <c r="K5872" s="33"/>
      <c r="L5872" s="33"/>
      <c r="M5872" s="33"/>
    </row>
    <row r="5873">
      <c r="A5873" s="32" t="s">
        <v>15915</v>
      </c>
      <c r="B5873" s="32" t="s">
        <v>15916</v>
      </c>
      <c r="C5873" s="35">
        <v>59.15530014</v>
      </c>
      <c r="D5873" s="35">
        <v>-2.641390085</v>
      </c>
      <c r="E5873" s="32" t="s">
        <v>90</v>
      </c>
      <c r="F5873" s="32" t="s">
        <v>15917</v>
      </c>
      <c r="G5873" s="39" t="s">
        <v>91</v>
      </c>
      <c r="H5873" s="33"/>
      <c r="I5873" s="33"/>
      <c r="J5873" s="33"/>
      <c r="K5873" s="33"/>
      <c r="L5873" s="33"/>
      <c r="M5873" s="33"/>
    </row>
    <row r="5874">
      <c r="A5874" s="32" t="s">
        <v>15918</v>
      </c>
      <c r="B5874" s="32" t="s">
        <v>15919</v>
      </c>
      <c r="C5874" s="35">
        <v>41.92440033</v>
      </c>
      <c r="D5874" s="35">
        <v>9.406000137</v>
      </c>
      <c r="E5874" s="32" t="s">
        <v>96</v>
      </c>
      <c r="F5874" s="32" t="s">
        <v>15920</v>
      </c>
      <c r="G5874" s="39" t="s">
        <v>97</v>
      </c>
      <c r="H5874" s="33"/>
      <c r="I5874" s="33"/>
      <c r="J5874" s="33"/>
      <c r="K5874" s="33"/>
      <c r="L5874" s="33"/>
      <c r="M5874" s="33"/>
    </row>
    <row r="5875">
      <c r="A5875" s="32" t="s">
        <v>15921</v>
      </c>
      <c r="B5875" s="32" t="s">
        <v>15922</v>
      </c>
      <c r="C5875" s="35">
        <v>18.33860016</v>
      </c>
      <c r="D5875" s="35">
        <v>-64.94069672</v>
      </c>
      <c r="E5875" s="32" t="s">
        <v>15923</v>
      </c>
      <c r="F5875" s="32" t="s">
        <v>15924</v>
      </c>
      <c r="G5875" s="36" t="e">
        <v>#N/A</v>
      </c>
      <c r="H5875" s="33"/>
      <c r="I5875" s="33"/>
      <c r="J5875" s="33"/>
      <c r="K5875" s="33"/>
      <c r="L5875" s="33"/>
      <c r="M5875" s="33"/>
    </row>
    <row r="5876">
      <c r="A5876" s="32" t="s">
        <v>15925</v>
      </c>
      <c r="B5876" s="32" t="s">
        <v>15926</v>
      </c>
      <c r="C5876" s="35">
        <v>28.62649918</v>
      </c>
      <c r="D5876" s="35">
        <v>-17.75559998</v>
      </c>
      <c r="E5876" s="32" t="s">
        <v>115</v>
      </c>
      <c r="F5876" s="32" t="s">
        <v>15927</v>
      </c>
      <c r="G5876" s="39" t="s">
        <v>116</v>
      </c>
      <c r="H5876" s="33"/>
      <c r="I5876" s="33"/>
      <c r="J5876" s="33"/>
      <c r="K5876" s="33"/>
      <c r="L5876" s="33"/>
      <c r="M5876" s="33"/>
    </row>
    <row r="5877">
      <c r="A5877" s="32" t="s">
        <v>15928</v>
      </c>
      <c r="B5877" s="32" t="s">
        <v>15929</v>
      </c>
      <c r="C5877" s="35">
        <v>25.75919914</v>
      </c>
      <c r="D5877" s="35">
        <v>88.9088974</v>
      </c>
      <c r="E5877" s="32" t="s">
        <v>1853</v>
      </c>
      <c r="F5877" s="32" t="s">
        <v>15930</v>
      </c>
      <c r="G5877" s="36" t="e">
        <v>#N/A</v>
      </c>
      <c r="H5877" s="33"/>
      <c r="I5877" s="33"/>
      <c r="J5877" s="33"/>
      <c r="K5877" s="33"/>
      <c r="L5877" s="33"/>
      <c r="M5877" s="33"/>
    </row>
    <row r="5878">
      <c r="A5878" s="32" t="s">
        <v>15931</v>
      </c>
      <c r="B5878" s="32" t="s">
        <v>15932</v>
      </c>
      <c r="C5878" s="35">
        <v>44.4803009</v>
      </c>
      <c r="D5878" s="35">
        <v>-103.7829971</v>
      </c>
      <c r="E5878" s="32" t="s">
        <v>180</v>
      </c>
      <c r="F5878" s="32" t="s">
        <v>15933</v>
      </c>
      <c r="G5878" s="39" t="s">
        <v>181</v>
      </c>
      <c r="H5878" s="33"/>
      <c r="I5878" s="33"/>
      <c r="J5878" s="33"/>
      <c r="K5878" s="33"/>
      <c r="L5878" s="33"/>
      <c r="M5878" s="33"/>
    </row>
    <row r="5879">
      <c r="A5879" s="32" t="s">
        <v>15934</v>
      </c>
      <c r="B5879" s="32" t="s">
        <v>15935</v>
      </c>
      <c r="C5879" s="35">
        <v>27.76510048</v>
      </c>
      <c r="D5879" s="35">
        <v>-82.6269989</v>
      </c>
      <c r="E5879" s="32" t="s">
        <v>180</v>
      </c>
      <c r="F5879" s="32" t="s">
        <v>3304</v>
      </c>
      <c r="G5879" s="39" t="s">
        <v>181</v>
      </c>
      <c r="H5879" s="33"/>
      <c r="I5879" s="33"/>
      <c r="J5879" s="33"/>
      <c r="K5879" s="33"/>
      <c r="L5879" s="33"/>
      <c r="M5879" s="33"/>
    </row>
    <row r="5880">
      <c r="A5880" s="32" t="s">
        <v>15936</v>
      </c>
      <c r="B5880" s="32" t="s">
        <v>15937</v>
      </c>
      <c r="C5880" s="35">
        <v>39.84410095</v>
      </c>
      <c r="D5880" s="35">
        <v>-89.67790221999999</v>
      </c>
      <c r="E5880" s="32" t="s">
        <v>180</v>
      </c>
      <c r="F5880" s="32" t="s">
        <v>15516</v>
      </c>
      <c r="G5880" s="39" t="s">
        <v>181</v>
      </c>
      <c r="H5880" s="33"/>
      <c r="I5880" s="33"/>
      <c r="J5880" s="33"/>
      <c r="K5880" s="33"/>
      <c r="L5880" s="33"/>
      <c r="M5880" s="33"/>
    </row>
    <row r="5881">
      <c r="A5881" s="32" t="s">
        <v>15938</v>
      </c>
      <c r="B5881" s="32" t="s">
        <v>15939</v>
      </c>
      <c r="C5881" s="35">
        <v>42.79449844</v>
      </c>
      <c r="D5881" s="35">
        <v>141.6660004</v>
      </c>
      <c r="E5881" s="32" t="s">
        <v>170</v>
      </c>
      <c r="F5881" s="32" t="s">
        <v>15940</v>
      </c>
      <c r="G5881" s="39" t="s">
        <v>171</v>
      </c>
      <c r="H5881" s="33"/>
      <c r="I5881" s="33"/>
      <c r="J5881" s="33"/>
      <c r="K5881" s="33"/>
      <c r="L5881" s="33"/>
      <c r="M5881" s="33"/>
    </row>
    <row r="5882">
      <c r="A5882" s="32" t="s">
        <v>15941</v>
      </c>
      <c r="B5882" s="32" t="s">
        <v>15942</v>
      </c>
      <c r="C5882" s="35">
        <v>49.97269821</v>
      </c>
      <c r="D5882" s="35">
        <v>6.6925001139999996</v>
      </c>
      <c r="E5882" s="32" t="s">
        <v>109</v>
      </c>
      <c r="F5882" s="32" t="s">
        <v>15943</v>
      </c>
      <c r="G5882" s="39" t="s">
        <v>110</v>
      </c>
      <c r="H5882" s="33"/>
      <c r="I5882" s="33"/>
      <c r="J5882" s="33"/>
      <c r="K5882" s="33"/>
      <c r="L5882" s="33"/>
      <c r="M5882" s="33"/>
    </row>
    <row r="5883">
      <c r="A5883" s="32" t="s">
        <v>15944</v>
      </c>
      <c r="B5883" s="32" t="s">
        <v>15945</v>
      </c>
      <c r="C5883" s="35">
        <v>15.11900043</v>
      </c>
      <c r="D5883" s="35">
        <v>145.7290039</v>
      </c>
      <c r="E5883" s="32" t="s">
        <v>15057</v>
      </c>
      <c r="F5883" s="32" t="s">
        <v>15946</v>
      </c>
      <c r="G5883" s="36" t="e">
        <v>#N/A</v>
      </c>
      <c r="H5883" s="33"/>
      <c r="I5883" s="33"/>
      <c r="J5883" s="33"/>
      <c r="K5883" s="33"/>
      <c r="L5883" s="33"/>
      <c r="M5883" s="33"/>
    </row>
    <row r="5884">
      <c r="A5884" s="32" t="s">
        <v>15947</v>
      </c>
      <c r="B5884" s="32" t="s">
        <v>15948</v>
      </c>
      <c r="C5884" s="35">
        <v>-14.6576004</v>
      </c>
      <c r="D5884" s="35">
        <v>17.71980095</v>
      </c>
      <c r="E5884" s="32" t="s">
        <v>764</v>
      </c>
      <c r="F5884" s="32" t="s">
        <v>15949</v>
      </c>
      <c r="G5884" s="36" t="e">
        <v>#N/A</v>
      </c>
      <c r="H5884" s="33"/>
      <c r="I5884" s="33"/>
      <c r="J5884" s="33"/>
      <c r="K5884" s="33"/>
      <c r="L5884" s="33"/>
      <c r="M5884" s="33"/>
    </row>
    <row r="5885">
      <c r="A5885" s="32" t="s">
        <v>15950</v>
      </c>
      <c r="B5885" s="32" t="s">
        <v>15951</v>
      </c>
      <c r="C5885" s="35">
        <v>33.98880005</v>
      </c>
      <c r="D5885" s="35">
        <v>-98.49189758</v>
      </c>
      <c r="E5885" s="32" t="s">
        <v>180</v>
      </c>
      <c r="F5885" s="32" t="s">
        <v>15952</v>
      </c>
      <c r="G5885" s="39" t="s">
        <v>181</v>
      </c>
      <c r="H5885" s="33"/>
      <c r="I5885" s="33"/>
      <c r="J5885" s="33"/>
      <c r="K5885" s="33"/>
      <c r="L5885" s="33"/>
      <c r="M5885" s="33"/>
    </row>
    <row r="5886">
      <c r="A5886" s="32" t="s">
        <v>15953</v>
      </c>
      <c r="B5886" s="32" t="s">
        <v>15954</v>
      </c>
      <c r="C5886" s="35">
        <v>43.53889847</v>
      </c>
      <c r="D5886" s="35">
        <v>16.29800034</v>
      </c>
      <c r="E5886" s="32" t="s">
        <v>211</v>
      </c>
      <c r="F5886" s="32" t="s">
        <v>15955</v>
      </c>
      <c r="G5886" s="39" t="s">
        <v>212</v>
      </c>
      <c r="H5886" s="33"/>
      <c r="I5886" s="33"/>
      <c r="J5886" s="33"/>
      <c r="K5886" s="33"/>
      <c r="L5886" s="33"/>
      <c r="M5886" s="33"/>
    </row>
    <row r="5887">
      <c r="A5887" s="32" t="s">
        <v>15956</v>
      </c>
      <c r="B5887" s="32" t="s">
        <v>15957</v>
      </c>
      <c r="C5887" s="35">
        <v>43.16550064</v>
      </c>
      <c r="D5887" s="35">
        <v>-95.20279694</v>
      </c>
      <c r="E5887" s="32" t="s">
        <v>180</v>
      </c>
      <c r="F5887" s="32" t="s">
        <v>15958</v>
      </c>
      <c r="G5887" s="39" t="s">
        <v>181</v>
      </c>
      <c r="H5887" s="33"/>
      <c r="I5887" s="33"/>
      <c r="J5887" s="33"/>
      <c r="K5887" s="33"/>
      <c r="L5887" s="33"/>
      <c r="M5887" s="33"/>
    </row>
    <row r="5888">
      <c r="A5888" s="32" t="s">
        <v>15959</v>
      </c>
      <c r="B5888" s="32" t="s">
        <v>5463</v>
      </c>
      <c r="C5888" s="35">
        <v>4.746719837</v>
      </c>
      <c r="D5888" s="35">
        <v>-6.660820007</v>
      </c>
      <c r="E5888" s="32" t="s">
        <v>3494</v>
      </c>
      <c r="F5888" s="32" t="s">
        <v>15960</v>
      </c>
      <c r="G5888" s="36" t="e">
        <v>#N/A</v>
      </c>
      <c r="H5888" s="33"/>
      <c r="I5888" s="33"/>
      <c r="J5888" s="33"/>
      <c r="K5888" s="33"/>
      <c r="L5888" s="33"/>
      <c r="M5888" s="33"/>
    </row>
    <row r="5889">
      <c r="A5889" s="32" t="s">
        <v>15961</v>
      </c>
      <c r="B5889" s="32" t="s">
        <v>15962</v>
      </c>
      <c r="C5889" s="35">
        <v>39.40299988</v>
      </c>
      <c r="D5889" s="35">
        <v>-119.2509995</v>
      </c>
      <c r="E5889" s="32" t="s">
        <v>180</v>
      </c>
      <c r="F5889" s="32" t="s">
        <v>15963</v>
      </c>
      <c r="G5889" s="39" t="s">
        <v>181</v>
      </c>
      <c r="H5889" s="33"/>
      <c r="I5889" s="33"/>
      <c r="J5889" s="33"/>
      <c r="K5889" s="33"/>
      <c r="L5889" s="33"/>
      <c r="M5889" s="33"/>
    </row>
    <row r="5890">
      <c r="A5890" s="32" t="s">
        <v>15964</v>
      </c>
      <c r="B5890" s="32" t="s">
        <v>15965</v>
      </c>
      <c r="C5890" s="35">
        <v>0.063619003</v>
      </c>
      <c r="D5890" s="35">
        <v>111.4729996</v>
      </c>
      <c r="E5890" s="32" t="s">
        <v>280</v>
      </c>
      <c r="F5890" s="32" t="s">
        <v>15966</v>
      </c>
      <c r="G5890" s="36" t="e">
        <v>#N/A</v>
      </c>
      <c r="H5890" s="33"/>
      <c r="I5890" s="33"/>
      <c r="J5890" s="33"/>
      <c r="K5890" s="33"/>
      <c r="L5890" s="33"/>
      <c r="M5890" s="33"/>
    </row>
    <row r="5891">
      <c r="A5891" s="32" t="s">
        <v>15967</v>
      </c>
      <c r="B5891" s="32" t="s">
        <v>15968</v>
      </c>
      <c r="C5891" s="35">
        <v>21.21699905</v>
      </c>
      <c r="D5891" s="35">
        <v>104.0329971</v>
      </c>
      <c r="E5891" s="32" t="s">
        <v>1913</v>
      </c>
      <c r="F5891" s="32" t="s">
        <v>15969</v>
      </c>
      <c r="G5891" s="36" t="e">
        <v>#N/A</v>
      </c>
      <c r="H5891" s="33"/>
      <c r="I5891" s="33"/>
      <c r="J5891" s="33"/>
      <c r="K5891" s="33"/>
      <c r="L5891" s="33"/>
      <c r="M5891" s="33"/>
    </row>
    <row r="5892">
      <c r="A5892" s="32" t="s">
        <v>15970</v>
      </c>
      <c r="B5892" s="32" t="s">
        <v>1789</v>
      </c>
      <c r="C5892" s="35">
        <v>37.51190186</v>
      </c>
      <c r="D5892" s="35">
        <v>-122.25</v>
      </c>
      <c r="E5892" s="32" t="s">
        <v>180</v>
      </c>
      <c r="F5892" s="32" t="s">
        <v>1790</v>
      </c>
      <c r="G5892" s="39" t="s">
        <v>181</v>
      </c>
      <c r="H5892" s="33"/>
      <c r="I5892" s="33"/>
      <c r="J5892" s="33"/>
      <c r="K5892" s="33"/>
      <c r="L5892" s="33"/>
      <c r="M5892" s="33"/>
    </row>
    <row r="5893">
      <c r="A5893" s="32" t="s">
        <v>15971</v>
      </c>
      <c r="B5893" s="32" t="s">
        <v>15972</v>
      </c>
      <c r="C5893" s="35">
        <v>64.96089935</v>
      </c>
      <c r="D5893" s="35">
        <v>17.69659996</v>
      </c>
      <c r="E5893" s="32" t="s">
        <v>347</v>
      </c>
      <c r="F5893" s="32" t="s">
        <v>15973</v>
      </c>
      <c r="G5893" s="36" t="e">
        <v>#N/A</v>
      </c>
      <c r="H5893" s="33"/>
      <c r="I5893" s="33"/>
      <c r="J5893" s="33"/>
      <c r="K5893" s="33"/>
      <c r="L5893" s="33"/>
      <c r="M5893" s="33"/>
    </row>
    <row r="5894">
      <c r="A5894" s="32" t="s">
        <v>15974</v>
      </c>
      <c r="B5894" s="32" t="s">
        <v>15975</v>
      </c>
      <c r="C5894" s="35">
        <v>55.89390182</v>
      </c>
      <c r="D5894" s="35">
        <v>23.39500046</v>
      </c>
      <c r="E5894" s="32" t="s">
        <v>2012</v>
      </c>
      <c r="F5894" s="32" t="s">
        <v>15976</v>
      </c>
      <c r="G5894" s="36" t="e">
        <v>#N/A</v>
      </c>
      <c r="H5894" s="33"/>
      <c r="I5894" s="33"/>
      <c r="J5894" s="33"/>
      <c r="K5894" s="33"/>
      <c r="L5894" s="33"/>
      <c r="M5894" s="33"/>
    </row>
    <row r="5895">
      <c r="A5895" s="32" t="s">
        <v>15977</v>
      </c>
      <c r="B5895" s="32" t="s">
        <v>15978</v>
      </c>
      <c r="C5895" s="35">
        <v>-26.78160095</v>
      </c>
      <c r="D5895" s="35">
        <v>-53.50350189</v>
      </c>
      <c r="E5895" s="32" t="s">
        <v>288</v>
      </c>
      <c r="F5895" s="32" t="s">
        <v>15979</v>
      </c>
      <c r="G5895" s="36" t="e">
        <v>#N/A</v>
      </c>
      <c r="H5895" s="33"/>
      <c r="I5895" s="33"/>
      <c r="J5895" s="33"/>
      <c r="K5895" s="33"/>
      <c r="L5895" s="33"/>
      <c r="M5895" s="33"/>
    </row>
    <row r="5896">
      <c r="A5896" s="32" t="s">
        <v>15980</v>
      </c>
      <c r="B5896" s="32" t="s">
        <v>15098</v>
      </c>
      <c r="C5896" s="35">
        <v>-27.90670013</v>
      </c>
      <c r="D5896" s="35">
        <v>-54.520401</v>
      </c>
      <c r="E5896" s="32" t="s">
        <v>288</v>
      </c>
      <c r="F5896" s="32" t="s">
        <v>7411</v>
      </c>
      <c r="G5896" s="36" t="e">
        <v>#N/A</v>
      </c>
      <c r="H5896" s="33"/>
      <c r="I5896" s="33"/>
      <c r="J5896" s="33"/>
      <c r="K5896" s="33"/>
      <c r="L5896" s="33"/>
      <c r="M5896" s="33"/>
    </row>
    <row r="5897">
      <c r="A5897" s="32" t="s">
        <v>15981</v>
      </c>
      <c r="B5897" s="32" t="s">
        <v>15982</v>
      </c>
      <c r="C5897" s="35">
        <v>-19.00709915</v>
      </c>
      <c r="D5897" s="35">
        <v>-65.28869629</v>
      </c>
      <c r="E5897" s="32" t="s">
        <v>323</v>
      </c>
      <c r="F5897" s="32" t="s">
        <v>15983</v>
      </c>
      <c r="G5897" s="36" t="e">
        <v>#N/A</v>
      </c>
      <c r="H5897" s="33"/>
      <c r="I5897" s="33"/>
      <c r="J5897" s="33"/>
      <c r="K5897" s="33"/>
      <c r="L5897" s="33"/>
      <c r="M5897" s="33"/>
    </row>
    <row r="5898">
      <c r="A5898" s="32" t="s">
        <v>15984</v>
      </c>
      <c r="B5898" s="32" t="s">
        <v>15985</v>
      </c>
      <c r="C5898" s="35">
        <v>-6.97273</v>
      </c>
      <c r="D5898" s="35">
        <v>110.375</v>
      </c>
      <c r="E5898" s="32" t="s">
        <v>280</v>
      </c>
      <c r="F5898" s="32" t="s">
        <v>15986</v>
      </c>
      <c r="G5898" s="36" t="e">
        <v>#N/A</v>
      </c>
      <c r="H5898" s="33"/>
      <c r="I5898" s="33"/>
      <c r="J5898" s="33"/>
      <c r="K5898" s="33"/>
      <c r="L5898" s="33"/>
      <c r="M5898" s="33"/>
    </row>
    <row r="5899">
      <c r="A5899" s="32" t="s">
        <v>15987</v>
      </c>
      <c r="B5899" s="32" t="s">
        <v>15988</v>
      </c>
      <c r="C5899" s="35">
        <v>9.144439697</v>
      </c>
      <c r="D5899" s="35">
        <v>18.37439919</v>
      </c>
      <c r="E5899" s="32" t="s">
        <v>3634</v>
      </c>
      <c r="F5899" s="32" t="s">
        <v>15989</v>
      </c>
      <c r="G5899" s="36" t="e">
        <v>#N/A</v>
      </c>
      <c r="H5899" s="33"/>
      <c r="I5899" s="33"/>
      <c r="J5899" s="33"/>
      <c r="K5899" s="33"/>
      <c r="L5899" s="33"/>
      <c r="M5899" s="33"/>
    </row>
    <row r="5900">
      <c r="A5900" s="32" t="s">
        <v>15990</v>
      </c>
      <c r="B5900" s="32" t="s">
        <v>15991</v>
      </c>
      <c r="C5900" s="35">
        <v>-0.484530985</v>
      </c>
      <c r="D5900" s="35">
        <v>117.1569977</v>
      </c>
      <c r="E5900" s="32" t="s">
        <v>280</v>
      </c>
      <c r="F5900" s="32" t="s">
        <v>15992</v>
      </c>
      <c r="G5900" s="36" t="e">
        <v>#N/A</v>
      </c>
      <c r="H5900" s="33"/>
      <c r="I5900" s="33"/>
      <c r="J5900" s="33"/>
      <c r="K5900" s="33"/>
      <c r="L5900" s="33"/>
      <c r="M5900" s="33"/>
    </row>
    <row r="5901">
      <c r="A5901" s="32" t="s">
        <v>15993</v>
      </c>
      <c r="B5901" s="32" t="s">
        <v>15994</v>
      </c>
      <c r="C5901" s="35">
        <v>-14.85919952</v>
      </c>
      <c r="D5901" s="35">
        <v>-66.73750305</v>
      </c>
      <c r="E5901" s="32" t="s">
        <v>323</v>
      </c>
      <c r="F5901" s="32" t="s">
        <v>15995</v>
      </c>
      <c r="G5901" s="36" t="e">
        <v>#N/A</v>
      </c>
      <c r="H5901" s="33"/>
      <c r="I5901" s="33"/>
      <c r="J5901" s="33"/>
      <c r="K5901" s="33"/>
      <c r="L5901" s="33"/>
      <c r="M5901" s="33"/>
    </row>
    <row r="5902">
      <c r="A5902" s="32" t="s">
        <v>15996</v>
      </c>
      <c r="B5902" s="32" t="s">
        <v>15997</v>
      </c>
      <c r="C5902" s="35">
        <v>-42.15499878</v>
      </c>
      <c r="D5902" s="35">
        <v>145.2920074</v>
      </c>
      <c r="E5902" s="32" t="s">
        <v>1968</v>
      </c>
      <c r="F5902" s="32" t="s">
        <v>15998</v>
      </c>
      <c r="G5902" s="36" t="e">
        <v>#N/A</v>
      </c>
      <c r="H5902" s="33"/>
      <c r="I5902" s="33"/>
      <c r="J5902" s="33"/>
      <c r="K5902" s="33"/>
      <c r="L5902" s="33"/>
      <c r="M5902" s="33"/>
    </row>
    <row r="5903">
      <c r="A5903" s="32" t="s">
        <v>15999</v>
      </c>
      <c r="B5903" s="32" t="s">
        <v>16000</v>
      </c>
      <c r="C5903" s="35">
        <v>59.79190063</v>
      </c>
      <c r="D5903" s="35">
        <v>5.340849876</v>
      </c>
      <c r="E5903" s="32" t="s">
        <v>343</v>
      </c>
      <c r="F5903" s="32" t="s">
        <v>16001</v>
      </c>
      <c r="G5903" s="36" t="e">
        <v>#N/A</v>
      </c>
      <c r="H5903" s="33"/>
      <c r="I5903" s="33"/>
      <c r="J5903" s="33"/>
      <c r="K5903" s="33"/>
      <c r="L5903" s="33"/>
      <c r="M5903" s="33"/>
    </row>
    <row r="5904">
      <c r="A5904" s="32" t="s">
        <v>16002</v>
      </c>
      <c r="B5904" s="32" t="s">
        <v>16003</v>
      </c>
      <c r="C5904" s="35">
        <v>27.39539909</v>
      </c>
      <c r="D5904" s="35">
        <v>-82.55439758</v>
      </c>
      <c r="E5904" s="32" t="s">
        <v>180</v>
      </c>
      <c r="F5904" s="32" t="s">
        <v>16004</v>
      </c>
      <c r="G5904" s="39" t="s">
        <v>181</v>
      </c>
      <c r="H5904" s="33"/>
      <c r="I5904" s="33"/>
      <c r="J5904" s="33"/>
      <c r="K5904" s="33"/>
      <c r="L5904" s="33"/>
      <c r="M5904" s="33"/>
    </row>
    <row r="5905">
      <c r="A5905" s="32" t="s">
        <v>16005</v>
      </c>
      <c r="B5905" s="32" t="s">
        <v>16006</v>
      </c>
      <c r="C5905" s="35">
        <v>33.46279907</v>
      </c>
      <c r="D5905" s="35">
        <v>-105.5350037</v>
      </c>
      <c r="E5905" s="32" t="s">
        <v>180</v>
      </c>
      <c r="F5905" s="32" t="s">
        <v>16007</v>
      </c>
      <c r="G5905" s="39" t="s">
        <v>181</v>
      </c>
      <c r="H5905" s="33"/>
      <c r="I5905" s="33"/>
      <c r="J5905" s="33"/>
      <c r="K5905" s="33"/>
      <c r="L5905" s="33"/>
      <c r="M5905" s="33"/>
    </row>
    <row r="5906">
      <c r="A5906" s="32" t="s">
        <v>16008</v>
      </c>
      <c r="B5906" s="32" t="s">
        <v>16009</v>
      </c>
      <c r="C5906" s="35">
        <v>1.727689981</v>
      </c>
      <c r="D5906" s="35">
        <v>33.62279892</v>
      </c>
      <c r="E5906" s="32" t="s">
        <v>2219</v>
      </c>
      <c r="F5906" s="32" t="s">
        <v>16010</v>
      </c>
      <c r="G5906" s="36" t="e">
        <v>#N/A</v>
      </c>
      <c r="H5906" s="33"/>
      <c r="I5906" s="33"/>
      <c r="J5906" s="33"/>
      <c r="K5906" s="33"/>
      <c r="L5906" s="33"/>
      <c r="M5906" s="33"/>
    </row>
    <row r="5907">
      <c r="A5907" s="32" t="s">
        <v>16011</v>
      </c>
      <c r="B5907" s="32" t="s">
        <v>16012</v>
      </c>
      <c r="C5907" s="35">
        <v>31.06349945</v>
      </c>
      <c r="D5907" s="35">
        <v>16.59499931</v>
      </c>
      <c r="E5907" s="32" t="s">
        <v>829</v>
      </c>
      <c r="F5907" s="32" t="s">
        <v>16013</v>
      </c>
      <c r="G5907" s="36" t="e">
        <v>#N/A</v>
      </c>
      <c r="H5907" s="33"/>
      <c r="I5907" s="33"/>
      <c r="J5907" s="33"/>
      <c r="K5907" s="33"/>
      <c r="L5907" s="33"/>
      <c r="M5907" s="33"/>
    </row>
    <row r="5908">
      <c r="A5908" s="32" t="s">
        <v>16014</v>
      </c>
      <c r="B5908" s="32" t="s">
        <v>16015</v>
      </c>
      <c r="C5908" s="35">
        <v>36.63579941</v>
      </c>
      <c r="D5908" s="35">
        <v>53.1935997</v>
      </c>
      <c r="E5908" s="32" t="s">
        <v>1378</v>
      </c>
      <c r="F5908" s="32" t="s">
        <v>16016</v>
      </c>
      <c r="G5908" s="36" t="e">
        <v>#N/A</v>
      </c>
      <c r="H5908" s="33"/>
      <c r="I5908" s="33"/>
      <c r="J5908" s="33"/>
      <c r="K5908" s="33"/>
      <c r="L5908" s="33"/>
      <c r="M5908" s="33"/>
    </row>
    <row r="5909">
      <c r="A5909" s="32" t="s">
        <v>16017</v>
      </c>
      <c r="B5909" s="32" t="s">
        <v>16018</v>
      </c>
      <c r="C5909" s="35">
        <v>-17.81159973</v>
      </c>
      <c r="D5909" s="35">
        <v>-63.17150116</v>
      </c>
      <c r="E5909" s="32" t="s">
        <v>323</v>
      </c>
      <c r="F5909" s="32" t="s">
        <v>15226</v>
      </c>
      <c r="G5909" s="36" t="e">
        <v>#N/A</v>
      </c>
      <c r="H5909" s="33"/>
      <c r="I5909" s="33"/>
      <c r="J5909" s="33"/>
      <c r="K5909" s="33"/>
      <c r="L5909" s="33"/>
      <c r="M5909" s="33"/>
    </row>
    <row r="5910">
      <c r="A5910" s="32" t="s">
        <v>16019</v>
      </c>
      <c r="B5910" s="32" t="s">
        <v>16020</v>
      </c>
      <c r="C5910" s="35">
        <v>-12.9086113</v>
      </c>
      <c r="D5910" s="35">
        <v>-38.32249832</v>
      </c>
      <c r="E5910" s="32" t="s">
        <v>288</v>
      </c>
      <c r="F5910" s="32" t="s">
        <v>16021</v>
      </c>
      <c r="G5910" s="36" t="e">
        <v>#N/A</v>
      </c>
      <c r="H5910" s="33"/>
      <c r="I5910" s="33"/>
      <c r="J5910" s="33"/>
      <c r="K5910" s="33"/>
      <c r="L5910" s="33"/>
      <c r="M5910" s="33"/>
    </row>
    <row r="5911">
      <c r="A5911" s="32" t="s">
        <v>16022</v>
      </c>
      <c r="B5911" s="32" t="s">
        <v>16023</v>
      </c>
      <c r="C5911" s="35">
        <v>33.97269821</v>
      </c>
      <c r="D5911" s="35">
        <v>-80.47059631</v>
      </c>
      <c r="E5911" s="32" t="s">
        <v>180</v>
      </c>
      <c r="F5911" s="32" t="s">
        <v>16024</v>
      </c>
      <c r="G5911" s="39" t="s">
        <v>181</v>
      </c>
      <c r="H5911" s="33"/>
      <c r="I5911" s="33"/>
      <c r="J5911" s="33"/>
      <c r="K5911" s="33"/>
      <c r="L5911" s="33"/>
      <c r="M5911" s="33"/>
    </row>
    <row r="5912">
      <c r="A5912" s="32" t="s">
        <v>16025</v>
      </c>
      <c r="B5912" s="32" t="s">
        <v>16026</v>
      </c>
      <c r="C5912" s="35">
        <v>17.62800026</v>
      </c>
      <c r="D5912" s="35">
        <v>75.93479919</v>
      </c>
      <c r="E5912" s="32" t="s">
        <v>217</v>
      </c>
      <c r="F5912" s="32" t="s">
        <v>16027</v>
      </c>
      <c r="G5912" s="39" t="s">
        <v>218</v>
      </c>
      <c r="H5912" s="33"/>
      <c r="I5912" s="33"/>
      <c r="J5912" s="33"/>
      <c r="K5912" s="33"/>
      <c r="L5912" s="33"/>
      <c r="M5912" s="33"/>
    </row>
    <row r="5913">
      <c r="A5913" s="32" t="s">
        <v>16028</v>
      </c>
      <c r="B5913" s="32" t="s">
        <v>16029</v>
      </c>
      <c r="C5913" s="35">
        <v>29.33699989</v>
      </c>
      <c r="D5913" s="35">
        <v>-98.47109985</v>
      </c>
      <c r="E5913" s="32" t="s">
        <v>180</v>
      </c>
      <c r="F5913" s="32" t="s">
        <v>16030</v>
      </c>
      <c r="G5913" s="39" t="s">
        <v>181</v>
      </c>
      <c r="H5913" s="33"/>
      <c r="I5913" s="33"/>
      <c r="J5913" s="33"/>
      <c r="K5913" s="33"/>
      <c r="L5913" s="33"/>
      <c r="M5913" s="33"/>
    </row>
    <row r="5914">
      <c r="A5914" s="32" t="s">
        <v>16031</v>
      </c>
      <c r="B5914" s="32" t="s">
        <v>16032</v>
      </c>
      <c r="C5914" s="35">
        <v>3.755270004</v>
      </c>
      <c r="D5914" s="35">
        <v>8.708720207</v>
      </c>
      <c r="E5914" s="32" t="s">
        <v>5222</v>
      </c>
      <c r="F5914" s="32" t="s">
        <v>16033</v>
      </c>
      <c r="G5914" s="36" t="e">
        <v>#N/A</v>
      </c>
      <c r="H5914" s="33"/>
      <c r="I5914" s="33"/>
      <c r="J5914" s="33"/>
      <c r="K5914" s="33"/>
      <c r="L5914" s="33"/>
      <c r="M5914" s="33"/>
    </row>
    <row r="5915">
      <c r="A5915" s="32" t="s">
        <v>16034</v>
      </c>
      <c r="B5915" s="32" t="s">
        <v>16035</v>
      </c>
      <c r="C5915" s="35">
        <v>27.97730064</v>
      </c>
      <c r="D5915" s="35">
        <v>34.39500046</v>
      </c>
      <c r="E5915" s="32" t="s">
        <v>15</v>
      </c>
      <c r="F5915" s="32" t="s">
        <v>16036</v>
      </c>
      <c r="G5915" s="36" t="e">
        <v>#N/A</v>
      </c>
      <c r="H5915" s="33"/>
      <c r="I5915" s="33"/>
      <c r="J5915" s="33"/>
      <c r="K5915" s="33"/>
      <c r="L5915" s="33"/>
      <c r="M5915" s="33"/>
    </row>
    <row r="5916">
      <c r="A5916" s="32" t="s">
        <v>16037</v>
      </c>
      <c r="B5916" s="32" t="s">
        <v>16038</v>
      </c>
      <c r="C5916" s="35">
        <v>31.15180016</v>
      </c>
      <c r="D5916" s="35">
        <v>-81.39129639</v>
      </c>
      <c r="E5916" s="32" t="s">
        <v>180</v>
      </c>
      <c r="F5916" s="32" t="s">
        <v>5139</v>
      </c>
      <c r="G5916" s="39" t="s">
        <v>181</v>
      </c>
      <c r="H5916" s="33"/>
      <c r="I5916" s="33"/>
      <c r="J5916" s="33"/>
      <c r="K5916" s="33"/>
      <c r="L5916" s="33"/>
      <c r="M5916" s="33"/>
    </row>
    <row r="5917">
      <c r="A5917" s="32" t="s">
        <v>16039</v>
      </c>
      <c r="B5917" s="32" t="s">
        <v>16040</v>
      </c>
      <c r="C5917" s="35">
        <v>65.95680237</v>
      </c>
      <c r="D5917" s="35">
        <v>12.46889973</v>
      </c>
      <c r="E5917" s="32" t="s">
        <v>343</v>
      </c>
      <c r="F5917" s="32" t="s">
        <v>16041</v>
      </c>
      <c r="G5917" s="36" t="e">
        <v>#N/A</v>
      </c>
      <c r="H5917" s="33"/>
      <c r="I5917" s="33"/>
      <c r="J5917" s="33"/>
      <c r="K5917" s="33"/>
      <c r="L5917" s="33"/>
      <c r="M5917" s="33"/>
    </row>
    <row r="5918">
      <c r="A5918" s="32" t="s">
        <v>16042</v>
      </c>
      <c r="B5918" s="32" t="s">
        <v>16043</v>
      </c>
      <c r="C5918" s="35">
        <v>37.44580078</v>
      </c>
      <c r="D5918" s="35">
        <v>127.1139984</v>
      </c>
      <c r="E5918" s="32" t="s">
        <v>151</v>
      </c>
      <c r="F5918" s="32" t="s">
        <v>16044</v>
      </c>
      <c r="G5918" s="39" t="s">
        <v>152</v>
      </c>
      <c r="H5918" s="33"/>
      <c r="I5918" s="33"/>
      <c r="J5918" s="33"/>
      <c r="K5918" s="33"/>
      <c r="L5918" s="33"/>
      <c r="M5918" s="33"/>
    </row>
    <row r="5919">
      <c r="A5919" s="32" t="s">
        <v>16045</v>
      </c>
      <c r="B5919" s="32" t="s">
        <v>16046</v>
      </c>
      <c r="C5919" s="35">
        <v>-15.4708004</v>
      </c>
      <c r="D5919" s="35">
        <v>168.1519928</v>
      </c>
      <c r="E5919" s="32" t="s">
        <v>4279</v>
      </c>
      <c r="F5919" s="32" t="s">
        <v>16047</v>
      </c>
      <c r="G5919" s="36" t="e">
        <v>#N/A</v>
      </c>
      <c r="H5919" s="33"/>
      <c r="I5919" s="33"/>
      <c r="J5919" s="33"/>
      <c r="K5919" s="33"/>
      <c r="L5919" s="33"/>
      <c r="M5919" s="33"/>
    </row>
    <row r="5920">
      <c r="A5920" s="32" t="s">
        <v>16048</v>
      </c>
      <c r="B5920" s="32" t="s">
        <v>16049</v>
      </c>
      <c r="C5920" s="35">
        <v>-36.5423</v>
      </c>
      <c r="D5920" s="35">
        <v>-56.7218</v>
      </c>
      <c r="E5920" s="32" t="s">
        <v>296</v>
      </c>
      <c r="F5920" s="32" t="s">
        <v>16050</v>
      </c>
      <c r="G5920" s="36" t="e">
        <v>#N/A</v>
      </c>
      <c r="H5920" s="33"/>
      <c r="I5920" s="33"/>
      <c r="J5920" s="33"/>
      <c r="K5920" s="33"/>
      <c r="L5920" s="33"/>
      <c r="M5920" s="33"/>
    </row>
    <row r="5921">
      <c r="A5921" s="32" t="s">
        <v>16051</v>
      </c>
      <c r="B5921" s="32" t="s">
        <v>16052</v>
      </c>
      <c r="C5921" s="35">
        <v>2.410279989</v>
      </c>
      <c r="D5921" s="35">
        <v>96.32559967</v>
      </c>
      <c r="E5921" s="32" t="s">
        <v>280</v>
      </c>
      <c r="F5921" s="32" t="s">
        <v>16053</v>
      </c>
      <c r="G5921" s="36" t="e">
        <v>#N/A</v>
      </c>
      <c r="H5921" s="33"/>
      <c r="I5921" s="33"/>
      <c r="J5921" s="33"/>
      <c r="K5921" s="33"/>
      <c r="L5921" s="33"/>
      <c r="M5921" s="33"/>
    </row>
    <row r="5922">
      <c r="A5922" s="32" t="s">
        <v>16054</v>
      </c>
      <c r="B5922" s="32" t="s">
        <v>16055</v>
      </c>
      <c r="C5922" s="35">
        <v>-6.269899845</v>
      </c>
      <c r="D5922" s="35">
        <v>14.24699974</v>
      </c>
      <c r="E5922" s="32" t="s">
        <v>764</v>
      </c>
      <c r="F5922" s="32" t="s">
        <v>16056</v>
      </c>
      <c r="G5922" s="36" t="e">
        <v>#N/A</v>
      </c>
      <c r="H5922" s="33"/>
      <c r="I5922" s="33"/>
      <c r="J5922" s="33"/>
      <c r="K5922" s="33"/>
      <c r="L5922" s="33"/>
      <c r="M5922" s="33"/>
    </row>
    <row r="5923">
      <c r="A5923" s="32" t="s">
        <v>16057</v>
      </c>
      <c r="B5923" s="32" t="s">
        <v>16058</v>
      </c>
      <c r="C5923" s="35">
        <v>-23.92805672</v>
      </c>
      <c r="D5923" s="35">
        <v>-46.29972076</v>
      </c>
      <c r="E5923" s="32" t="s">
        <v>288</v>
      </c>
      <c r="F5923" s="32" t="s">
        <v>16059</v>
      </c>
      <c r="G5923" s="36" t="e">
        <v>#N/A</v>
      </c>
      <c r="H5923" s="33"/>
      <c r="I5923" s="33"/>
      <c r="J5923" s="33"/>
      <c r="K5923" s="33"/>
      <c r="L5923" s="33"/>
      <c r="M5923" s="33"/>
    </row>
    <row r="5924">
      <c r="A5924" s="32" t="s">
        <v>16060</v>
      </c>
      <c r="B5924" s="32" t="s">
        <v>16061</v>
      </c>
      <c r="C5924" s="35">
        <v>55.99010086</v>
      </c>
      <c r="D5924" s="35">
        <v>8.353910446</v>
      </c>
      <c r="E5924" s="32" t="s">
        <v>533</v>
      </c>
      <c r="F5924" s="32" t="s">
        <v>16062</v>
      </c>
      <c r="G5924" s="36" t="e">
        <v>#N/A</v>
      </c>
      <c r="H5924" s="33"/>
      <c r="I5924" s="33"/>
      <c r="J5924" s="33"/>
      <c r="K5924" s="33"/>
      <c r="L5924" s="33"/>
      <c r="M5924" s="33"/>
    </row>
    <row r="5925">
      <c r="A5925" s="32" t="s">
        <v>16063</v>
      </c>
      <c r="B5925" s="32" t="s">
        <v>16064</v>
      </c>
      <c r="C5925" s="35">
        <v>8.974550247</v>
      </c>
      <c r="D5925" s="35">
        <v>-71.94325256</v>
      </c>
      <c r="E5925" s="32" t="s">
        <v>315</v>
      </c>
      <c r="F5925" s="32" t="s">
        <v>1816</v>
      </c>
      <c r="G5925" s="36" t="e">
        <v>#N/A</v>
      </c>
      <c r="H5925" s="33"/>
      <c r="I5925" s="33"/>
      <c r="J5925" s="33"/>
      <c r="K5925" s="33"/>
      <c r="L5925" s="33"/>
      <c r="M5925" s="33"/>
    </row>
    <row r="5926">
      <c r="A5926" s="32" t="s">
        <v>16065</v>
      </c>
      <c r="B5926" s="32" t="s">
        <v>16066</v>
      </c>
      <c r="C5926" s="35">
        <v>45.54660034</v>
      </c>
      <c r="D5926" s="35">
        <v>-94.05989838</v>
      </c>
      <c r="E5926" s="32" t="s">
        <v>180</v>
      </c>
      <c r="F5926" s="32" t="s">
        <v>16067</v>
      </c>
      <c r="G5926" s="39" t="s">
        <v>181</v>
      </c>
      <c r="H5926" s="33"/>
      <c r="I5926" s="33"/>
      <c r="J5926" s="33"/>
      <c r="K5926" s="33"/>
      <c r="L5926" s="33"/>
      <c r="M5926" s="33"/>
    </row>
    <row r="5927">
      <c r="A5927" s="32" t="s">
        <v>16068</v>
      </c>
      <c r="B5927" s="32" t="s">
        <v>16069</v>
      </c>
      <c r="C5927" s="35">
        <v>7.565380096</v>
      </c>
      <c r="D5927" s="35">
        <v>-72.03510284</v>
      </c>
      <c r="E5927" s="32" t="s">
        <v>315</v>
      </c>
      <c r="F5927" s="32" t="s">
        <v>1717</v>
      </c>
      <c r="G5927" s="36" t="e">
        <v>#N/A</v>
      </c>
      <c r="H5927" s="33"/>
      <c r="I5927" s="33"/>
      <c r="J5927" s="33"/>
      <c r="K5927" s="33"/>
      <c r="L5927" s="33"/>
      <c r="M5927" s="33"/>
    </row>
    <row r="5928">
      <c r="A5928" s="32" t="s">
        <v>16070</v>
      </c>
      <c r="B5928" s="32" t="s">
        <v>16071</v>
      </c>
      <c r="C5928" s="35">
        <v>44.54520035</v>
      </c>
      <c r="D5928" s="35">
        <v>-89.53029633</v>
      </c>
      <c r="E5928" s="32" t="s">
        <v>180</v>
      </c>
      <c r="F5928" s="32" t="s">
        <v>16072</v>
      </c>
      <c r="G5928" s="39" t="s">
        <v>181</v>
      </c>
      <c r="H5928" s="33"/>
      <c r="I5928" s="33"/>
      <c r="J5928" s="33"/>
      <c r="K5928" s="33"/>
      <c r="L5928" s="33"/>
      <c r="M5928" s="33"/>
    </row>
    <row r="5929">
      <c r="A5929" s="32" t="s">
        <v>16073</v>
      </c>
      <c r="B5929" s="32" t="s">
        <v>15526</v>
      </c>
      <c r="C5929" s="35">
        <v>56.57830048</v>
      </c>
      <c r="D5929" s="35">
        <v>-169.6620026</v>
      </c>
      <c r="E5929" s="32" t="s">
        <v>180</v>
      </c>
      <c r="F5929" s="32" t="s">
        <v>16074</v>
      </c>
      <c r="G5929" s="39" t="s">
        <v>181</v>
      </c>
      <c r="H5929" s="33"/>
      <c r="I5929" s="33"/>
      <c r="J5929" s="33"/>
      <c r="K5929" s="33"/>
      <c r="L5929" s="33"/>
      <c r="M5929" s="33"/>
    </row>
    <row r="5930">
      <c r="A5930" s="32" t="s">
        <v>16075</v>
      </c>
      <c r="B5930" s="32" t="s">
        <v>16076</v>
      </c>
      <c r="C5930" s="35">
        <v>19.40609932</v>
      </c>
      <c r="D5930" s="35">
        <v>-70.60469818</v>
      </c>
      <c r="E5930" s="32" t="s">
        <v>335</v>
      </c>
      <c r="F5930" s="32" t="s">
        <v>1265</v>
      </c>
      <c r="G5930" s="36" t="e">
        <v>#N/A</v>
      </c>
      <c r="H5930" s="33"/>
      <c r="I5930" s="33"/>
      <c r="J5930" s="33"/>
      <c r="K5930" s="33"/>
      <c r="L5930" s="33"/>
      <c r="M5930" s="33"/>
    </row>
    <row r="5931">
      <c r="A5931" s="32" t="s">
        <v>16077</v>
      </c>
      <c r="B5931" s="32" t="s">
        <v>16078</v>
      </c>
      <c r="C5931" s="35">
        <v>39.77190018</v>
      </c>
      <c r="D5931" s="35">
        <v>-94.90969849</v>
      </c>
      <c r="E5931" s="32" t="s">
        <v>180</v>
      </c>
      <c r="F5931" s="32" t="s">
        <v>16079</v>
      </c>
      <c r="G5931" s="39" t="s">
        <v>181</v>
      </c>
      <c r="H5931" s="33"/>
      <c r="I5931" s="33"/>
      <c r="J5931" s="33"/>
      <c r="K5931" s="33"/>
      <c r="L5931" s="33"/>
      <c r="M5931" s="33"/>
    </row>
    <row r="5932">
      <c r="A5932" s="32" t="s">
        <v>16080</v>
      </c>
      <c r="B5932" s="32" t="s">
        <v>16081</v>
      </c>
      <c r="C5932" s="35">
        <v>40.61529922</v>
      </c>
      <c r="D5932" s="35">
        <v>-103.2649994</v>
      </c>
      <c r="E5932" s="32" t="s">
        <v>180</v>
      </c>
      <c r="F5932" s="32" t="s">
        <v>16082</v>
      </c>
      <c r="G5932" s="39" t="s">
        <v>181</v>
      </c>
      <c r="H5932" s="33"/>
      <c r="I5932" s="33"/>
      <c r="J5932" s="33"/>
      <c r="K5932" s="33"/>
      <c r="L5932" s="33"/>
      <c r="M5932" s="33"/>
    </row>
    <row r="5933">
      <c r="A5933" s="32" t="s">
        <v>16083</v>
      </c>
      <c r="B5933" s="32" t="s">
        <v>16084</v>
      </c>
      <c r="C5933" s="35">
        <v>38.74869919</v>
      </c>
      <c r="D5933" s="35">
        <v>-90.37000275</v>
      </c>
      <c r="E5933" s="32" t="s">
        <v>180</v>
      </c>
      <c r="F5933" s="32" t="s">
        <v>16085</v>
      </c>
      <c r="G5933" s="39" t="s">
        <v>181</v>
      </c>
      <c r="H5933" s="33"/>
      <c r="I5933" s="33"/>
      <c r="J5933" s="33"/>
      <c r="K5933" s="33"/>
      <c r="L5933" s="33"/>
      <c r="M5933" s="33"/>
    </row>
    <row r="5934">
      <c r="A5934" s="32" t="s">
        <v>16086</v>
      </c>
      <c r="B5934" s="32" t="s">
        <v>16087</v>
      </c>
      <c r="C5934" s="35">
        <v>-2.424721956</v>
      </c>
      <c r="D5934" s="35">
        <v>-54.78583145</v>
      </c>
      <c r="E5934" s="32" t="s">
        <v>288</v>
      </c>
      <c r="F5934" s="32" t="s">
        <v>16088</v>
      </c>
      <c r="G5934" s="36" t="e">
        <v>#N/A</v>
      </c>
      <c r="H5934" s="33"/>
      <c r="I5934" s="33"/>
      <c r="J5934" s="33"/>
      <c r="K5934" s="33"/>
      <c r="L5934" s="33"/>
      <c r="M5934" s="33"/>
    </row>
    <row r="5935">
      <c r="A5935" s="32" t="s">
        <v>16089</v>
      </c>
      <c r="B5935" s="32" t="s">
        <v>16090</v>
      </c>
      <c r="C5935" s="35">
        <v>51.88499832</v>
      </c>
      <c r="D5935" s="35">
        <v>0.234999999</v>
      </c>
      <c r="E5935" s="32" t="s">
        <v>90</v>
      </c>
      <c r="F5935" s="32" t="s">
        <v>2298</v>
      </c>
      <c r="G5935" s="39" t="s">
        <v>91</v>
      </c>
      <c r="H5935" s="33"/>
      <c r="I5935" s="33"/>
      <c r="J5935" s="33"/>
      <c r="K5935" s="33"/>
      <c r="L5935" s="33"/>
      <c r="M5935" s="33"/>
    </row>
    <row r="5936">
      <c r="A5936" s="32" t="s">
        <v>16091</v>
      </c>
      <c r="B5936" s="32" t="s">
        <v>16092</v>
      </c>
      <c r="C5936" s="35">
        <v>44.93450165</v>
      </c>
      <c r="D5936" s="35">
        <v>-93.05999756</v>
      </c>
      <c r="E5936" s="32" t="s">
        <v>180</v>
      </c>
      <c r="F5936" s="32" t="s">
        <v>16093</v>
      </c>
      <c r="G5936" s="39" t="s">
        <v>181</v>
      </c>
      <c r="H5936" s="33"/>
      <c r="I5936" s="33"/>
      <c r="J5936" s="33"/>
      <c r="K5936" s="33"/>
      <c r="L5936" s="33"/>
      <c r="M5936" s="33"/>
    </row>
    <row r="5937">
      <c r="A5937" s="32" t="s">
        <v>16094</v>
      </c>
      <c r="B5937" s="32" t="s">
        <v>16095</v>
      </c>
      <c r="C5937" s="35">
        <v>48.68989944</v>
      </c>
      <c r="D5937" s="35">
        <v>9.221960068</v>
      </c>
      <c r="E5937" s="32" t="s">
        <v>109</v>
      </c>
      <c r="F5937" s="32" t="s">
        <v>16096</v>
      </c>
      <c r="G5937" s="39" t="s">
        <v>110</v>
      </c>
      <c r="H5937" s="33"/>
      <c r="I5937" s="33"/>
      <c r="J5937" s="33"/>
      <c r="K5937" s="33"/>
      <c r="L5937" s="33"/>
      <c r="M5937" s="33"/>
    </row>
    <row r="5938">
      <c r="A5938" s="32" t="s">
        <v>16097</v>
      </c>
      <c r="B5938" s="32" t="s">
        <v>16098</v>
      </c>
      <c r="C5938" s="35">
        <v>38.50899887</v>
      </c>
      <c r="D5938" s="35">
        <v>-122.8130035</v>
      </c>
      <c r="E5938" s="32" t="s">
        <v>180</v>
      </c>
      <c r="F5938" s="32" t="s">
        <v>7411</v>
      </c>
      <c r="G5938" s="39" t="s">
        <v>181</v>
      </c>
      <c r="H5938" s="33"/>
      <c r="I5938" s="33"/>
      <c r="J5938" s="33"/>
      <c r="K5938" s="33"/>
      <c r="L5938" s="33"/>
      <c r="M5938" s="33"/>
    </row>
    <row r="5939">
      <c r="A5939" s="32" t="s">
        <v>16099</v>
      </c>
      <c r="B5939" s="32" t="s">
        <v>16100</v>
      </c>
      <c r="C5939" s="35">
        <v>18.33729935</v>
      </c>
      <c r="D5939" s="35">
        <v>-64.9733963</v>
      </c>
      <c r="E5939" s="32" t="s">
        <v>15923</v>
      </c>
      <c r="F5939" s="32" t="s">
        <v>16101</v>
      </c>
      <c r="G5939" s="36" t="e">
        <v>#N/A</v>
      </c>
      <c r="H5939" s="33"/>
      <c r="I5939" s="33"/>
      <c r="J5939" s="33"/>
      <c r="K5939" s="33"/>
      <c r="L5939" s="33"/>
      <c r="M5939" s="33"/>
    </row>
    <row r="5940">
      <c r="A5940" s="32" t="s">
        <v>16102</v>
      </c>
      <c r="B5940" s="32" t="s">
        <v>15225</v>
      </c>
      <c r="C5940" s="35">
        <v>-22.93239975</v>
      </c>
      <c r="D5940" s="35">
        <v>-43.71910095</v>
      </c>
      <c r="E5940" s="32" t="s">
        <v>288</v>
      </c>
      <c r="F5940" s="32" t="s">
        <v>1634</v>
      </c>
      <c r="G5940" s="36" t="e">
        <v>#N/A</v>
      </c>
      <c r="H5940" s="33"/>
      <c r="I5940" s="33"/>
      <c r="J5940" s="33"/>
      <c r="K5940" s="33"/>
      <c r="L5940" s="33"/>
      <c r="M5940" s="33"/>
    </row>
    <row r="5941">
      <c r="A5941" s="32" t="s">
        <v>16103</v>
      </c>
      <c r="B5941" s="32" t="s">
        <v>16104</v>
      </c>
      <c r="C5941" s="35">
        <v>21.1140995</v>
      </c>
      <c r="D5941" s="35">
        <v>72.7417984</v>
      </c>
      <c r="E5941" s="32" t="s">
        <v>217</v>
      </c>
      <c r="F5941" s="32" t="s">
        <v>16105</v>
      </c>
      <c r="G5941" s="39" t="s">
        <v>218</v>
      </c>
      <c r="H5941" s="33"/>
      <c r="I5941" s="33"/>
      <c r="J5941" s="33"/>
      <c r="K5941" s="33"/>
      <c r="L5941" s="33"/>
      <c r="M5941" s="33"/>
    </row>
    <row r="5942">
      <c r="A5942" s="32" t="s">
        <v>16106</v>
      </c>
      <c r="B5942" s="32" t="s">
        <v>16107</v>
      </c>
      <c r="C5942" s="35">
        <v>45.10919952</v>
      </c>
      <c r="D5942" s="35">
        <v>42.1128006</v>
      </c>
      <c r="E5942" s="32" t="s">
        <v>2040</v>
      </c>
      <c r="F5942" s="32" t="s">
        <v>16108</v>
      </c>
      <c r="G5942" s="36" t="e">
        <v>#N/A</v>
      </c>
      <c r="H5942" s="33"/>
      <c r="I5942" s="33"/>
      <c r="J5942" s="33"/>
      <c r="K5942" s="33"/>
      <c r="L5942" s="33"/>
      <c r="M5942" s="33"/>
    </row>
    <row r="5943">
      <c r="A5943" s="32" t="s">
        <v>16109</v>
      </c>
      <c r="B5943" s="32" t="s">
        <v>16110</v>
      </c>
      <c r="C5943" s="35">
        <v>17.70190048</v>
      </c>
      <c r="D5943" s="35">
        <v>-64.79859924</v>
      </c>
      <c r="E5943" s="32" t="s">
        <v>15923</v>
      </c>
      <c r="F5943" s="32" t="s">
        <v>16111</v>
      </c>
      <c r="G5943" s="36" t="e">
        <v>#N/A</v>
      </c>
      <c r="H5943" s="33"/>
      <c r="I5943" s="33"/>
      <c r="J5943" s="33"/>
      <c r="K5943" s="33"/>
      <c r="L5943" s="33"/>
      <c r="M5943" s="33"/>
    </row>
    <row r="5944">
      <c r="A5944" s="32" t="s">
        <v>16112</v>
      </c>
      <c r="B5944" s="32" t="s">
        <v>16113</v>
      </c>
      <c r="C5944" s="35">
        <v>-31.43849945</v>
      </c>
      <c r="D5944" s="35">
        <v>-57.98529816</v>
      </c>
      <c r="E5944" s="32" t="s">
        <v>1779</v>
      </c>
      <c r="F5944" s="32" t="s">
        <v>16114</v>
      </c>
      <c r="G5944" s="36" t="e">
        <v>#N/A</v>
      </c>
      <c r="H5944" s="33"/>
      <c r="I5944" s="33"/>
      <c r="J5944" s="33"/>
      <c r="K5944" s="33"/>
      <c r="L5944" s="33"/>
      <c r="M5944" s="33"/>
    </row>
    <row r="5945">
      <c r="A5945" s="32" t="s">
        <v>16115</v>
      </c>
      <c r="B5945" s="32" t="s">
        <v>9623</v>
      </c>
      <c r="C5945" s="35">
        <v>-10.46472168</v>
      </c>
      <c r="D5945" s="35">
        <v>-50.51861191</v>
      </c>
      <c r="E5945" s="32" t="s">
        <v>288</v>
      </c>
      <c r="F5945" s="32" t="s">
        <v>16116</v>
      </c>
      <c r="G5945" s="36" t="e">
        <v>#N/A</v>
      </c>
      <c r="H5945" s="33"/>
      <c r="I5945" s="33"/>
      <c r="J5945" s="33"/>
      <c r="K5945" s="33"/>
      <c r="L5945" s="33"/>
      <c r="M5945" s="33"/>
    </row>
    <row r="5946">
      <c r="A5946" s="32" t="s">
        <v>16117</v>
      </c>
      <c r="B5946" s="32" t="s">
        <v>16118</v>
      </c>
      <c r="C5946" s="35">
        <v>27.18169975</v>
      </c>
      <c r="D5946" s="35">
        <v>-80.22109985</v>
      </c>
      <c r="E5946" s="32" t="s">
        <v>180</v>
      </c>
      <c r="F5946" s="32" t="s">
        <v>16119</v>
      </c>
      <c r="G5946" s="39" t="s">
        <v>181</v>
      </c>
      <c r="H5946" s="33"/>
      <c r="I5946" s="33"/>
      <c r="J5946" s="33"/>
      <c r="K5946" s="33"/>
      <c r="L5946" s="33"/>
      <c r="M5946" s="33"/>
    </row>
    <row r="5947">
      <c r="A5947" s="32" t="s">
        <v>16120</v>
      </c>
      <c r="B5947" s="32" t="s">
        <v>16121</v>
      </c>
      <c r="C5947" s="35">
        <v>-7.379829884</v>
      </c>
      <c r="D5947" s="35">
        <v>112.7870026</v>
      </c>
      <c r="E5947" s="32" t="s">
        <v>280</v>
      </c>
      <c r="F5947" s="32" t="s">
        <v>16122</v>
      </c>
      <c r="G5947" s="36" t="e">
        <v>#N/A</v>
      </c>
      <c r="H5947" s="33"/>
      <c r="I5947" s="33"/>
      <c r="J5947" s="33"/>
      <c r="K5947" s="33"/>
      <c r="L5947" s="33"/>
      <c r="M5947" s="33"/>
    </row>
    <row r="5948">
      <c r="A5948" s="32" t="s">
        <v>16123</v>
      </c>
      <c r="B5948" s="32" t="s">
        <v>16124</v>
      </c>
      <c r="C5948" s="35">
        <v>38.905399</v>
      </c>
      <c r="D5948" s="35">
        <v>16.2423</v>
      </c>
      <c r="E5948" s="32" t="s">
        <v>103</v>
      </c>
      <c r="F5948" s="32" t="s">
        <v>16125</v>
      </c>
      <c r="G5948" s="39" t="s">
        <v>104</v>
      </c>
      <c r="H5948" s="33"/>
      <c r="I5948" s="33"/>
      <c r="J5948" s="33"/>
      <c r="K5948" s="33"/>
      <c r="L5948" s="33"/>
      <c r="M5948" s="33"/>
    </row>
    <row r="5949">
      <c r="A5949" s="32" t="s">
        <v>16126</v>
      </c>
      <c r="B5949" s="32" t="s">
        <v>16127</v>
      </c>
      <c r="C5949" s="35">
        <v>9.755838326</v>
      </c>
      <c r="D5949" s="35">
        <v>125.4809475</v>
      </c>
      <c r="E5949" s="32" t="s">
        <v>270</v>
      </c>
      <c r="F5949" s="32" t="s">
        <v>16128</v>
      </c>
      <c r="G5949" s="36" t="e">
        <v>#N/A</v>
      </c>
      <c r="H5949" s="33"/>
      <c r="I5949" s="33"/>
      <c r="J5949" s="33"/>
      <c r="K5949" s="33"/>
      <c r="L5949" s="33"/>
      <c r="M5949" s="33"/>
    </row>
    <row r="5950">
      <c r="A5950" s="32" t="s">
        <v>16129</v>
      </c>
      <c r="B5950" s="32" t="s">
        <v>16130</v>
      </c>
      <c r="C5950" s="35">
        <v>42.85820007</v>
      </c>
      <c r="D5950" s="35">
        <v>41.12810135</v>
      </c>
      <c r="E5950" s="32" t="s">
        <v>3041</v>
      </c>
      <c r="F5950" s="32" t="s">
        <v>16131</v>
      </c>
      <c r="G5950" s="36" t="e">
        <v>#N/A</v>
      </c>
      <c r="H5950" s="33"/>
      <c r="I5950" s="33"/>
      <c r="J5950" s="33"/>
      <c r="K5950" s="33"/>
      <c r="L5950" s="33"/>
      <c r="M5950" s="33"/>
    </row>
    <row r="5951">
      <c r="A5951" s="32" t="s">
        <v>16132</v>
      </c>
      <c r="B5951" s="32" t="s">
        <v>16133</v>
      </c>
      <c r="C5951" s="35">
        <v>47.70330048</v>
      </c>
      <c r="D5951" s="35">
        <v>22.88570023</v>
      </c>
      <c r="E5951" s="32" t="s">
        <v>2874</v>
      </c>
      <c r="F5951" s="32" t="s">
        <v>16134</v>
      </c>
      <c r="G5951" s="36" t="e">
        <v>#N/A</v>
      </c>
      <c r="H5951" s="33"/>
      <c r="I5951" s="33"/>
      <c r="J5951" s="33"/>
      <c r="K5951" s="33"/>
      <c r="L5951" s="33"/>
      <c r="M5951" s="33"/>
    </row>
    <row r="5952">
      <c r="A5952" s="32" t="s">
        <v>16135</v>
      </c>
      <c r="B5952" s="32" t="s">
        <v>16136</v>
      </c>
      <c r="C5952" s="35">
        <v>28.64509964</v>
      </c>
      <c r="D5952" s="35">
        <v>69.17690277</v>
      </c>
      <c r="E5952" s="32" t="s">
        <v>1470</v>
      </c>
      <c r="F5952" s="32" t="s">
        <v>16137</v>
      </c>
      <c r="G5952" s="36" t="e">
        <v>#N/A</v>
      </c>
      <c r="H5952" s="33"/>
      <c r="I5952" s="33"/>
      <c r="J5952" s="33"/>
      <c r="K5952" s="33"/>
      <c r="L5952" s="33"/>
      <c r="M5952" s="33"/>
    </row>
    <row r="5953">
      <c r="A5953" s="32" t="s">
        <v>16138</v>
      </c>
      <c r="B5953" s="32" t="s">
        <v>16139</v>
      </c>
      <c r="C5953" s="35">
        <v>43.50439835</v>
      </c>
      <c r="D5953" s="35">
        <v>-114.2959976</v>
      </c>
      <c r="E5953" s="32" t="s">
        <v>180</v>
      </c>
      <c r="F5953" s="32" t="s">
        <v>16140</v>
      </c>
      <c r="G5953" s="39" t="s">
        <v>181</v>
      </c>
      <c r="H5953" s="33"/>
      <c r="I5953" s="33"/>
      <c r="J5953" s="33"/>
      <c r="K5953" s="33"/>
      <c r="L5953" s="33"/>
      <c r="M5953" s="33"/>
    </row>
    <row r="5954">
      <c r="A5954" s="32" t="s">
        <v>16141</v>
      </c>
      <c r="B5954" s="32" t="s">
        <v>16142</v>
      </c>
      <c r="C5954" s="35">
        <v>52.70859909</v>
      </c>
      <c r="D5954" s="35">
        <v>-88.54190063</v>
      </c>
      <c r="E5954" s="32" t="s">
        <v>94</v>
      </c>
      <c r="F5954" s="32" t="s">
        <v>16143</v>
      </c>
      <c r="G5954" s="36" t="e">
        <v>#N/A</v>
      </c>
      <c r="H5954" s="33"/>
      <c r="I5954" s="33"/>
      <c r="J5954" s="33"/>
      <c r="K5954" s="33"/>
      <c r="L5954" s="33"/>
      <c r="M5954" s="33"/>
    </row>
    <row r="5955">
      <c r="A5955" s="32" t="s">
        <v>16144</v>
      </c>
      <c r="B5955" s="32" t="s">
        <v>16145</v>
      </c>
      <c r="C5955" s="35">
        <v>38.66210175</v>
      </c>
      <c r="D5955" s="35">
        <v>-90.65200043</v>
      </c>
      <c r="E5955" s="32" t="s">
        <v>180</v>
      </c>
      <c r="F5955" s="32" t="s">
        <v>2151</v>
      </c>
      <c r="G5955" s="39" t="s">
        <v>181</v>
      </c>
      <c r="H5955" s="33"/>
      <c r="I5955" s="33"/>
      <c r="J5955" s="33"/>
      <c r="K5955" s="33"/>
      <c r="L5955" s="33"/>
      <c r="M5955" s="33"/>
    </row>
    <row r="5956">
      <c r="A5956" s="32" t="s">
        <v>16146</v>
      </c>
      <c r="B5956" s="32" t="s">
        <v>16147</v>
      </c>
      <c r="C5956" s="35">
        <v>33.9292984</v>
      </c>
      <c r="D5956" s="35">
        <v>-78.07499695</v>
      </c>
      <c r="E5956" s="32" t="s">
        <v>180</v>
      </c>
      <c r="F5956" s="32" t="s">
        <v>16148</v>
      </c>
      <c r="G5956" s="39" t="s">
        <v>181</v>
      </c>
      <c r="H5956" s="33"/>
      <c r="I5956" s="33"/>
      <c r="J5956" s="33"/>
      <c r="K5956" s="33"/>
      <c r="L5956" s="33"/>
      <c r="M5956" s="33"/>
    </row>
    <row r="5957">
      <c r="A5957" s="32" t="s">
        <v>16149</v>
      </c>
      <c r="B5957" s="32" t="s">
        <v>16150</v>
      </c>
      <c r="C5957" s="35">
        <v>38.26269913</v>
      </c>
      <c r="D5957" s="35">
        <v>-121.927002</v>
      </c>
      <c r="E5957" s="32" t="s">
        <v>180</v>
      </c>
      <c r="F5957" s="32" t="s">
        <v>16151</v>
      </c>
      <c r="G5957" s="39" t="s">
        <v>181</v>
      </c>
      <c r="H5957" s="33"/>
      <c r="I5957" s="33"/>
      <c r="J5957" s="33"/>
      <c r="K5957" s="33"/>
      <c r="L5957" s="33"/>
      <c r="M5957" s="33"/>
    </row>
    <row r="5958">
      <c r="A5958" s="32" t="s">
        <v>16152</v>
      </c>
      <c r="B5958" s="32" t="s">
        <v>16153</v>
      </c>
      <c r="C5958" s="35">
        <v>-18.04330063</v>
      </c>
      <c r="D5958" s="35">
        <v>178.5590057</v>
      </c>
      <c r="E5958" s="32" t="s">
        <v>9136</v>
      </c>
      <c r="F5958" s="32" t="s">
        <v>16154</v>
      </c>
      <c r="G5958" s="36" t="e">
        <v>#N/A</v>
      </c>
      <c r="H5958" s="33"/>
      <c r="I5958" s="33"/>
      <c r="J5958" s="33"/>
      <c r="K5958" s="33"/>
      <c r="L5958" s="33"/>
      <c r="M5958" s="33"/>
    </row>
    <row r="5959">
      <c r="A5959" s="32" t="s">
        <v>16155</v>
      </c>
      <c r="B5959" s="32" t="s">
        <v>16156</v>
      </c>
      <c r="C5959" s="35">
        <v>42.40259933</v>
      </c>
      <c r="D5959" s="35">
        <v>-96.38439941</v>
      </c>
      <c r="E5959" s="32" t="s">
        <v>180</v>
      </c>
      <c r="F5959" s="32" t="s">
        <v>16157</v>
      </c>
      <c r="G5959" s="39" t="s">
        <v>181</v>
      </c>
      <c r="H5959" s="33"/>
      <c r="I5959" s="33"/>
      <c r="J5959" s="33"/>
      <c r="K5959" s="33"/>
      <c r="L5959" s="33"/>
      <c r="M5959" s="33"/>
    </row>
    <row r="5960">
      <c r="A5960" s="32" t="s">
        <v>16158</v>
      </c>
      <c r="B5960" s="32" t="s">
        <v>16159</v>
      </c>
      <c r="C5960" s="35">
        <v>62.18500137</v>
      </c>
      <c r="D5960" s="35">
        <v>117.6350021</v>
      </c>
      <c r="E5960" s="32" t="s">
        <v>2040</v>
      </c>
      <c r="F5960" s="32" t="s">
        <v>16160</v>
      </c>
      <c r="G5960" s="36" t="e">
        <v>#N/A</v>
      </c>
      <c r="H5960" s="33"/>
      <c r="I5960" s="33"/>
      <c r="J5960" s="33"/>
      <c r="K5960" s="33"/>
      <c r="L5960" s="33"/>
      <c r="M5960" s="33"/>
    </row>
    <row r="5961">
      <c r="A5961" s="32" t="s">
        <v>16161</v>
      </c>
      <c r="B5961" s="32" t="s">
        <v>16162</v>
      </c>
      <c r="C5961" s="35">
        <v>34.59059906</v>
      </c>
      <c r="D5961" s="35">
        <v>-92.47940063</v>
      </c>
      <c r="E5961" s="32" t="s">
        <v>180</v>
      </c>
      <c r="F5961" s="32" t="s">
        <v>16163</v>
      </c>
      <c r="G5961" s="39" t="s">
        <v>181</v>
      </c>
      <c r="H5961" s="33"/>
      <c r="I5961" s="33"/>
      <c r="J5961" s="33"/>
      <c r="K5961" s="33"/>
      <c r="L5961" s="33"/>
      <c r="M5961" s="33"/>
    </row>
    <row r="5962">
      <c r="A5962" s="32" t="s">
        <v>16164</v>
      </c>
      <c r="B5962" s="32" t="s">
        <v>16165</v>
      </c>
      <c r="C5962" s="35">
        <v>63.68640137</v>
      </c>
      <c r="D5962" s="35">
        <v>-170.4929962</v>
      </c>
      <c r="E5962" s="32" t="s">
        <v>180</v>
      </c>
      <c r="F5962" s="32" t="s">
        <v>16166</v>
      </c>
      <c r="G5962" s="39" t="s">
        <v>181</v>
      </c>
      <c r="H5962" s="33"/>
      <c r="I5962" s="33"/>
      <c r="J5962" s="33"/>
      <c r="K5962" s="33"/>
      <c r="L5962" s="33"/>
      <c r="M5962" s="33"/>
    </row>
    <row r="5963">
      <c r="A5963" s="32" t="s">
        <v>16167</v>
      </c>
      <c r="B5963" s="32" t="s">
        <v>16168</v>
      </c>
      <c r="C5963" s="35">
        <v>-14.27859974</v>
      </c>
      <c r="D5963" s="35">
        <v>50.17470169</v>
      </c>
      <c r="E5963" s="32" t="s">
        <v>384</v>
      </c>
      <c r="F5963" s="32" t="s">
        <v>16169</v>
      </c>
      <c r="G5963" s="36" t="e">
        <v>#N/A</v>
      </c>
      <c r="H5963" s="33"/>
      <c r="I5963" s="33"/>
      <c r="J5963" s="33"/>
      <c r="K5963" s="33"/>
      <c r="L5963" s="33"/>
      <c r="M5963" s="33"/>
    </row>
    <row r="5964">
      <c r="A5964" s="32" t="s">
        <v>16170</v>
      </c>
      <c r="B5964" s="32" t="s">
        <v>16171</v>
      </c>
      <c r="C5964" s="35">
        <v>13.14430046</v>
      </c>
      <c r="D5964" s="35">
        <v>-61.21089935</v>
      </c>
      <c r="E5964" s="32" t="s">
        <v>5153</v>
      </c>
      <c r="F5964" s="32" t="s">
        <v>16172</v>
      </c>
      <c r="G5964" s="36" t="e">
        <v>#N/A</v>
      </c>
      <c r="H5964" s="33"/>
      <c r="I5964" s="33"/>
      <c r="J5964" s="33"/>
      <c r="K5964" s="33"/>
      <c r="L5964" s="33"/>
      <c r="M5964" s="33"/>
    </row>
    <row r="5965">
      <c r="A5965" s="32" t="s">
        <v>16173</v>
      </c>
      <c r="B5965" s="32" t="s">
        <v>16174</v>
      </c>
      <c r="C5965" s="35">
        <v>58.87670135</v>
      </c>
      <c r="D5965" s="35">
        <v>5.63778019</v>
      </c>
      <c r="E5965" s="32" t="s">
        <v>343</v>
      </c>
      <c r="F5965" s="32" t="s">
        <v>16175</v>
      </c>
      <c r="G5965" s="36" t="e">
        <v>#N/A</v>
      </c>
      <c r="H5965" s="33"/>
      <c r="I5965" s="33"/>
      <c r="J5965" s="33"/>
      <c r="K5965" s="33"/>
      <c r="L5965" s="33"/>
      <c r="M5965" s="33"/>
    </row>
    <row r="5966">
      <c r="A5966" s="32" t="s">
        <v>16176</v>
      </c>
      <c r="B5966" s="32" t="s">
        <v>16177</v>
      </c>
      <c r="C5966" s="35">
        <v>35.76530075</v>
      </c>
      <c r="D5966" s="35">
        <v>-80.9539032</v>
      </c>
      <c r="E5966" s="32" t="s">
        <v>180</v>
      </c>
      <c r="F5966" s="32" t="s">
        <v>16178</v>
      </c>
      <c r="G5966" s="39" t="s">
        <v>181</v>
      </c>
      <c r="H5966" s="33"/>
      <c r="I5966" s="33"/>
      <c r="J5966" s="33"/>
      <c r="K5966" s="33"/>
      <c r="L5966" s="33"/>
      <c r="M5966" s="33"/>
    </row>
    <row r="5967">
      <c r="A5967" s="32" t="s">
        <v>16179</v>
      </c>
      <c r="B5967" s="32" t="s">
        <v>16180</v>
      </c>
      <c r="C5967" s="35">
        <v>2.15217</v>
      </c>
      <c r="D5967" s="35">
        <v>-74.7663</v>
      </c>
      <c r="E5967" s="32" t="s">
        <v>292</v>
      </c>
      <c r="F5967" s="32" t="s">
        <v>16181</v>
      </c>
      <c r="G5967" s="36" t="e">
        <v>#N/A</v>
      </c>
      <c r="H5967" s="33"/>
      <c r="I5967" s="33"/>
      <c r="J5967" s="33"/>
      <c r="K5967" s="33"/>
      <c r="L5967" s="33"/>
      <c r="M5967" s="33"/>
    </row>
    <row r="5968">
      <c r="A5968" s="32" t="s">
        <v>16182</v>
      </c>
      <c r="B5968" s="32" t="s">
        <v>16183</v>
      </c>
      <c r="C5968" s="35">
        <v>68.24330139</v>
      </c>
      <c r="D5968" s="35">
        <v>14.66919994</v>
      </c>
      <c r="E5968" s="32" t="s">
        <v>343</v>
      </c>
      <c r="F5968" s="32" t="s">
        <v>16184</v>
      </c>
      <c r="G5968" s="36" t="e">
        <v>#N/A</v>
      </c>
      <c r="H5968" s="33"/>
      <c r="I5968" s="33"/>
      <c r="J5968" s="33"/>
      <c r="K5968" s="33"/>
      <c r="L5968" s="33"/>
      <c r="M5968" s="33"/>
    </row>
    <row r="5969">
      <c r="A5969" s="32" t="s">
        <v>16185</v>
      </c>
      <c r="B5969" s="32" t="s">
        <v>16186</v>
      </c>
      <c r="C5969" s="35">
        <v>61.94309998</v>
      </c>
      <c r="D5969" s="35">
        <v>28.94510078</v>
      </c>
      <c r="E5969" s="32" t="s">
        <v>408</v>
      </c>
      <c r="F5969" s="32" t="s">
        <v>16187</v>
      </c>
      <c r="G5969" s="36" t="e">
        <v>#N/A</v>
      </c>
      <c r="H5969" s="33"/>
      <c r="I5969" s="33"/>
      <c r="J5969" s="33"/>
      <c r="K5969" s="33"/>
      <c r="L5969" s="33"/>
      <c r="M5969" s="33"/>
    </row>
    <row r="5970">
      <c r="A5970" s="32" t="s">
        <v>16188</v>
      </c>
      <c r="B5970" s="32" t="s">
        <v>16189</v>
      </c>
      <c r="C5970" s="35">
        <v>32.00999832</v>
      </c>
      <c r="D5970" s="35">
        <v>-81.14569855</v>
      </c>
      <c r="E5970" s="32" t="s">
        <v>180</v>
      </c>
      <c r="F5970" s="32" t="s">
        <v>16190</v>
      </c>
      <c r="G5970" s="39" t="s">
        <v>181</v>
      </c>
      <c r="H5970" s="33"/>
      <c r="I5970" s="33"/>
      <c r="J5970" s="33"/>
      <c r="K5970" s="33"/>
      <c r="L5970" s="33"/>
      <c r="M5970" s="33"/>
    </row>
    <row r="5971">
      <c r="A5971" s="32" t="s">
        <v>16191</v>
      </c>
      <c r="B5971" s="32" t="s">
        <v>16192</v>
      </c>
      <c r="C5971" s="35">
        <v>55.972599</v>
      </c>
      <c r="D5971" s="35">
        <v>37.4146</v>
      </c>
      <c r="E5971" s="32" t="s">
        <v>2040</v>
      </c>
      <c r="F5971" s="32" t="s">
        <v>2653</v>
      </c>
      <c r="G5971" s="36" t="e">
        <v>#N/A</v>
      </c>
      <c r="H5971" s="33"/>
      <c r="I5971" s="33"/>
      <c r="J5971" s="33"/>
      <c r="K5971" s="33"/>
      <c r="L5971" s="33"/>
      <c r="M5971" s="33"/>
    </row>
    <row r="5972">
      <c r="A5972" s="32" t="s">
        <v>16193</v>
      </c>
      <c r="B5972" s="32" t="s">
        <v>16194</v>
      </c>
      <c r="C5972" s="35">
        <v>-12.40460014</v>
      </c>
      <c r="D5972" s="35">
        <v>16.94739914</v>
      </c>
      <c r="E5972" s="32" t="s">
        <v>764</v>
      </c>
      <c r="F5972" s="32" t="s">
        <v>16195</v>
      </c>
      <c r="G5972" s="36" t="e">
        <v>#N/A</v>
      </c>
      <c r="H5972" s="33"/>
      <c r="I5972" s="33"/>
      <c r="J5972" s="33"/>
      <c r="K5972" s="33"/>
      <c r="L5972" s="33"/>
      <c r="M5972" s="33"/>
    </row>
    <row r="5973">
      <c r="A5973" s="32" t="s">
        <v>16196</v>
      </c>
      <c r="B5973" s="32" t="s">
        <v>16197</v>
      </c>
      <c r="C5973" s="35">
        <v>37.41799927</v>
      </c>
      <c r="D5973" s="35">
        <v>-5.893109798</v>
      </c>
      <c r="E5973" s="32" t="s">
        <v>115</v>
      </c>
      <c r="F5973" s="32" t="s">
        <v>2872</v>
      </c>
      <c r="G5973" s="39" t="s">
        <v>116</v>
      </c>
      <c r="H5973" s="33"/>
      <c r="I5973" s="33"/>
      <c r="J5973" s="33"/>
      <c r="K5973" s="33"/>
      <c r="L5973" s="33"/>
      <c r="M5973" s="33"/>
    </row>
    <row r="5974">
      <c r="A5974" s="32" t="s">
        <v>16198</v>
      </c>
      <c r="B5974" s="32" t="s">
        <v>16199</v>
      </c>
      <c r="C5974" s="35">
        <v>-16.80279922</v>
      </c>
      <c r="D5974" s="35">
        <v>179.3410034</v>
      </c>
      <c r="E5974" s="32" t="s">
        <v>9136</v>
      </c>
      <c r="F5974" s="32" t="s">
        <v>16200</v>
      </c>
      <c r="G5974" s="36" t="e">
        <v>#N/A</v>
      </c>
      <c r="H5974" s="33"/>
      <c r="I5974" s="33"/>
      <c r="J5974" s="33"/>
      <c r="K5974" s="33"/>
      <c r="L5974" s="33"/>
      <c r="M5974" s="33"/>
    </row>
    <row r="5975">
      <c r="A5975" s="32" t="s">
        <v>16201</v>
      </c>
      <c r="B5975" s="32" t="s">
        <v>16202</v>
      </c>
      <c r="C5975" s="35">
        <v>61.09740067</v>
      </c>
      <c r="D5975" s="35">
        <v>-155.5740051</v>
      </c>
      <c r="E5975" s="32" t="s">
        <v>180</v>
      </c>
      <c r="F5975" s="32" t="s">
        <v>16203</v>
      </c>
      <c r="G5975" s="39" t="s">
        <v>181</v>
      </c>
      <c r="H5975" s="33"/>
      <c r="I5975" s="33"/>
      <c r="J5975" s="33"/>
      <c r="K5975" s="33"/>
      <c r="L5975" s="33"/>
      <c r="M5975" s="33"/>
    </row>
    <row r="5976">
      <c r="A5976" s="32" t="s">
        <v>16204</v>
      </c>
      <c r="B5976" s="32" t="s">
        <v>16205</v>
      </c>
      <c r="C5976" s="35">
        <v>56.74309921</v>
      </c>
      <c r="D5976" s="35">
        <v>60.80270004</v>
      </c>
      <c r="E5976" s="32" t="s">
        <v>2040</v>
      </c>
      <c r="F5976" s="32" t="s">
        <v>2252</v>
      </c>
      <c r="G5976" s="36" t="e">
        <v>#N/A</v>
      </c>
      <c r="H5976" s="33"/>
      <c r="I5976" s="33"/>
      <c r="J5976" s="33"/>
      <c r="K5976" s="33"/>
      <c r="L5976" s="33"/>
      <c r="M5976" s="33"/>
    </row>
    <row r="5977">
      <c r="A5977" s="32" t="s">
        <v>16206</v>
      </c>
      <c r="B5977" s="32" t="s">
        <v>16207</v>
      </c>
      <c r="C5977" s="35">
        <v>7.840829849</v>
      </c>
      <c r="D5977" s="35">
        <v>-72.43969727</v>
      </c>
      <c r="E5977" s="32" t="s">
        <v>315</v>
      </c>
      <c r="F5977" s="32" t="s">
        <v>2929</v>
      </c>
      <c r="G5977" s="36" t="e">
        <v>#N/A</v>
      </c>
      <c r="H5977" s="33"/>
      <c r="I5977" s="33"/>
      <c r="J5977" s="33"/>
      <c r="K5977" s="33"/>
      <c r="L5977" s="33"/>
      <c r="M5977" s="33"/>
    </row>
    <row r="5978">
      <c r="A5978" s="32" t="s">
        <v>16208</v>
      </c>
      <c r="B5978" s="32" t="s">
        <v>16209</v>
      </c>
      <c r="C5978" s="35">
        <v>23.552</v>
      </c>
      <c r="D5978" s="35">
        <v>116.5033</v>
      </c>
      <c r="E5978" s="32" t="s">
        <v>205</v>
      </c>
      <c r="F5978" s="32" t="s">
        <v>16210</v>
      </c>
      <c r="G5978" s="39" t="s">
        <v>206</v>
      </c>
      <c r="H5978" s="33"/>
      <c r="I5978" s="33"/>
      <c r="J5978" s="33"/>
      <c r="K5978" s="33"/>
      <c r="L5978" s="33"/>
      <c r="M5978" s="33"/>
    </row>
    <row r="5979">
      <c r="A5979" s="32" t="s">
        <v>16211</v>
      </c>
      <c r="B5979" s="32" t="s">
        <v>16212</v>
      </c>
      <c r="C5979" s="35">
        <v>-37.07170105</v>
      </c>
      <c r="D5979" s="35">
        <v>142.7409973</v>
      </c>
      <c r="E5979" s="32" t="s">
        <v>1968</v>
      </c>
      <c r="F5979" s="33"/>
      <c r="G5979" s="36" t="e">
        <v>#N/A</v>
      </c>
      <c r="H5979" s="33"/>
      <c r="I5979" s="33"/>
      <c r="J5979" s="33"/>
      <c r="K5979" s="33"/>
      <c r="L5979" s="33"/>
      <c r="M5979" s="33"/>
    </row>
    <row r="5980">
      <c r="A5980" s="32" t="s">
        <v>16213</v>
      </c>
      <c r="B5980" s="32" t="s">
        <v>16214</v>
      </c>
      <c r="C5980" s="35">
        <v>60.12689972</v>
      </c>
      <c r="D5980" s="35">
        <v>-149.4190063</v>
      </c>
      <c r="E5980" s="32" t="s">
        <v>180</v>
      </c>
      <c r="F5980" s="32" t="s">
        <v>16215</v>
      </c>
      <c r="G5980" s="39" t="s">
        <v>181</v>
      </c>
      <c r="H5980" s="33"/>
      <c r="I5980" s="33"/>
      <c r="J5980" s="33"/>
      <c r="K5980" s="33"/>
      <c r="L5980" s="33"/>
      <c r="M5980" s="33"/>
    </row>
    <row r="5981">
      <c r="A5981" s="32" t="s">
        <v>16216</v>
      </c>
      <c r="B5981" s="32" t="s">
        <v>16217</v>
      </c>
      <c r="C5981" s="35">
        <v>41.5041008</v>
      </c>
      <c r="D5981" s="35">
        <v>-74.10479736</v>
      </c>
      <c r="E5981" s="32" t="s">
        <v>180</v>
      </c>
      <c r="F5981" s="32" t="s">
        <v>16218</v>
      </c>
      <c r="G5981" s="39" t="s">
        <v>181</v>
      </c>
      <c r="H5981" s="33"/>
      <c r="I5981" s="33"/>
      <c r="J5981" s="33"/>
      <c r="K5981" s="33"/>
      <c r="L5981" s="33"/>
      <c r="M5981" s="33"/>
    </row>
    <row r="5982">
      <c r="A5982" s="32" t="s">
        <v>16219</v>
      </c>
      <c r="B5982" s="32" t="s">
        <v>16220</v>
      </c>
      <c r="C5982" s="35">
        <v>-35.37580109</v>
      </c>
      <c r="D5982" s="35">
        <v>143.5330048</v>
      </c>
      <c r="E5982" s="32" t="s">
        <v>1968</v>
      </c>
      <c r="F5982" s="32" t="s">
        <v>16221</v>
      </c>
      <c r="G5982" s="36" t="e">
        <v>#N/A</v>
      </c>
      <c r="H5982" s="33"/>
      <c r="I5982" s="33"/>
      <c r="J5982" s="33"/>
      <c r="K5982" s="33"/>
      <c r="L5982" s="33"/>
      <c r="M5982" s="33"/>
    </row>
    <row r="5983">
      <c r="A5983" s="32" t="s">
        <v>16222</v>
      </c>
      <c r="B5983" s="32" t="s">
        <v>16223</v>
      </c>
      <c r="C5983" s="35">
        <v>-16.4864</v>
      </c>
      <c r="D5983" s="35">
        <v>167.4472</v>
      </c>
      <c r="E5983" s="32" t="s">
        <v>4279</v>
      </c>
      <c r="F5983" s="32" t="s">
        <v>16224</v>
      </c>
      <c r="G5983" s="36" t="e">
        <v>#N/A</v>
      </c>
      <c r="H5983" s="33"/>
      <c r="I5983" s="33"/>
      <c r="J5983" s="33"/>
      <c r="K5983" s="33"/>
      <c r="L5983" s="33"/>
      <c r="M5983" s="33"/>
    </row>
    <row r="5984">
      <c r="A5984" s="32" t="s">
        <v>16225</v>
      </c>
      <c r="B5984" s="32" t="s">
        <v>16226</v>
      </c>
      <c r="C5984" s="35">
        <v>-22.66189957</v>
      </c>
      <c r="D5984" s="35">
        <v>14.56809998</v>
      </c>
      <c r="E5984" s="32" t="s">
        <v>3193</v>
      </c>
      <c r="F5984" s="32" t="s">
        <v>16227</v>
      </c>
      <c r="G5984" s="36" t="e">
        <v>#N/A</v>
      </c>
      <c r="H5984" s="33"/>
      <c r="I5984" s="33"/>
      <c r="J5984" s="33"/>
      <c r="K5984" s="33"/>
      <c r="L5984" s="33"/>
      <c r="M5984" s="33"/>
    </row>
    <row r="5985">
      <c r="A5985" s="32" t="s">
        <v>16228</v>
      </c>
      <c r="B5985" s="32" t="s">
        <v>16229</v>
      </c>
      <c r="C5985" s="35">
        <v>-8.489040375</v>
      </c>
      <c r="D5985" s="35">
        <v>117.4120026</v>
      </c>
      <c r="E5985" s="32" t="s">
        <v>280</v>
      </c>
      <c r="F5985" s="32" t="s">
        <v>16230</v>
      </c>
      <c r="G5985" s="36" t="e">
        <v>#N/A</v>
      </c>
      <c r="H5985" s="33"/>
      <c r="I5985" s="33"/>
      <c r="J5985" s="33"/>
      <c r="K5985" s="33"/>
      <c r="L5985" s="33"/>
      <c r="M5985" s="33"/>
    </row>
    <row r="5986">
      <c r="A5986" s="32" t="s">
        <v>16231</v>
      </c>
      <c r="B5986" s="32" t="s">
        <v>16232</v>
      </c>
      <c r="C5986" s="35">
        <v>51.6053009</v>
      </c>
      <c r="D5986" s="35">
        <v>-4.067830086</v>
      </c>
      <c r="E5986" s="32" t="s">
        <v>90</v>
      </c>
      <c r="F5986" s="32" t="s">
        <v>16233</v>
      </c>
      <c r="G5986" s="39" t="s">
        <v>91</v>
      </c>
      <c r="H5986" s="33"/>
      <c r="I5986" s="33"/>
      <c r="J5986" s="33"/>
      <c r="K5986" s="33"/>
      <c r="L5986" s="33"/>
      <c r="M5986" s="33"/>
    </row>
    <row r="5987">
      <c r="A5987" s="32" t="s">
        <v>16234</v>
      </c>
      <c r="B5987" s="32" t="s">
        <v>16235</v>
      </c>
      <c r="C5987" s="35">
        <v>60.70940018</v>
      </c>
      <c r="D5987" s="35">
        <v>77.66000366</v>
      </c>
      <c r="E5987" s="32" t="s">
        <v>2040</v>
      </c>
      <c r="F5987" s="32" t="s">
        <v>16236</v>
      </c>
      <c r="G5987" s="36" t="e">
        <v>#N/A</v>
      </c>
      <c r="H5987" s="33"/>
      <c r="I5987" s="33"/>
      <c r="J5987" s="33"/>
      <c r="K5987" s="33"/>
      <c r="L5987" s="33"/>
      <c r="M5987" s="33"/>
    </row>
    <row r="5988">
      <c r="A5988" s="32" t="s">
        <v>16237</v>
      </c>
      <c r="B5988" s="32" t="s">
        <v>16238</v>
      </c>
      <c r="C5988" s="35">
        <v>37.23939896</v>
      </c>
      <c r="D5988" s="35">
        <v>127.0070038</v>
      </c>
      <c r="E5988" s="32" t="s">
        <v>151</v>
      </c>
      <c r="F5988" s="32" t="s">
        <v>16239</v>
      </c>
      <c r="G5988" s="39" t="s">
        <v>152</v>
      </c>
      <c r="H5988" s="33"/>
      <c r="I5988" s="33"/>
      <c r="J5988" s="33"/>
      <c r="K5988" s="33"/>
      <c r="L5988" s="33"/>
      <c r="M5988" s="33"/>
    </row>
    <row r="5989">
      <c r="A5989" s="32" t="s">
        <v>16240</v>
      </c>
      <c r="B5989" s="32" t="s">
        <v>16241</v>
      </c>
      <c r="C5989" s="35">
        <v>-18.37389946</v>
      </c>
      <c r="D5989" s="35">
        <v>21.83259964</v>
      </c>
      <c r="E5989" s="32" t="s">
        <v>2285</v>
      </c>
      <c r="F5989" s="32" t="s">
        <v>16242</v>
      </c>
      <c r="G5989" s="36" t="e">
        <v>#N/A</v>
      </c>
      <c r="H5989" s="33"/>
      <c r="I5989" s="33"/>
      <c r="J5989" s="33"/>
      <c r="K5989" s="33"/>
      <c r="L5989" s="33"/>
      <c r="M5989" s="33"/>
    </row>
    <row r="5990">
      <c r="A5990" s="32" t="s">
        <v>16243</v>
      </c>
      <c r="B5990" s="32" t="s">
        <v>16244</v>
      </c>
      <c r="C5990" s="35">
        <v>48.53829956</v>
      </c>
      <c r="D5990" s="35">
        <v>7.628230095</v>
      </c>
      <c r="E5990" s="32" t="s">
        <v>96</v>
      </c>
      <c r="F5990" s="32" t="s">
        <v>16245</v>
      </c>
      <c r="G5990" s="39" t="s">
        <v>97</v>
      </c>
      <c r="H5990" s="33"/>
      <c r="I5990" s="33"/>
      <c r="J5990" s="33"/>
      <c r="K5990" s="33"/>
      <c r="L5990" s="33"/>
      <c r="M5990" s="33"/>
    </row>
    <row r="5991">
      <c r="A5991" s="32" t="s">
        <v>16246</v>
      </c>
      <c r="B5991" s="32" t="s">
        <v>16247</v>
      </c>
      <c r="C5991" s="35">
        <v>-38.090827</v>
      </c>
      <c r="D5991" s="35">
        <v>146.965335</v>
      </c>
      <c r="E5991" s="32" t="s">
        <v>1968</v>
      </c>
      <c r="F5991" s="32" t="s">
        <v>16248</v>
      </c>
      <c r="G5991" s="36" t="e">
        <v>#N/A</v>
      </c>
      <c r="H5991" s="33"/>
      <c r="I5991" s="33"/>
      <c r="J5991" s="33"/>
      <c r="K5991" s="33"/>
      <c r="L5991" s="33"/>
      <c r="M5991" s="33"/>
    </row>
    <row r="5992">
      <c r="A5992" s="32" t="s">
        <v>16249</v>
      </c>
      <c r="B5992" s="32" t="s">
        <v>16250</v>
      </c>
      <c r="C5992" s="35">
        <v>52.38000107</v>
      </c>
      <c r="D5992" s="35">
        <v>13.52250004</v>
      </c>
      <c r="E5992" s="32" t="s">
        <v>109</v>
      </c>
      <c r="F5992" s="32" t="s">
        <v>16251</v>
      </c>
      <c r="G5992" s="39" t="s">
        <v>110</v>
      </c>
      <c r="H5992" s="33"/>
      <c r="I5992" s="33"/>
      <c r="J5992" s="33"/>
      <c r="K5992" s="33"/>
      <c r="L5992" s="33"/>
      <c r="M5992" s="33"/>
    </row>
    <row r="5993">
      <c r="A5993" s="32" t="s">
        <v>16252</v>
      </c>
      <c r="B5993" s="32" t="s">
        <v>16253</v>
      </c>
      <c r="C5993" s="35">
        <v>42.9117012</v>
      </c>
      <c r="D5993" s="35">
        <v>90.24749756</v>
      </c>
      <c r="E5993" s="32" t="s">
        <v>205</v>
      </c>
      <c r="F5993" s="32" t="s">
        <v>16254</v>
      </c>
      <c r="G5993" s="39" t="s">
        <v>206</v>
      </c>
      <c r="H5993" s="33"/>
      <c r="I5993" s="33"/>
      <c r="J5993" s="33"/>
      <c r="K5993" s="33"/>
      <c r="L5993" s="33"/>
      <c r="M5993" s="33"/>
    </row>
    <row r="5994">
      <c r="A5994" s="32" t="s">
        <v>16255</v>
      </c>
      <c r="B5994" s="32" t="s">
        <v>16256</v>
      </c>
      <c r="C5994" s="35">
        <v>-7.988609791</v>
      </c>
      <c r="D5994" s="35">
        <v>131.3059998</v>
      </c>
      <c r="E5994" s="32" t="s">
        <v>280</v>
      </c>
      <c r="F5994" s="32" t="s">
        <v>16257</v>
      </c>
      <c r="G5994" s="36" t="e">
        <v>#N/A</v>
      </c>
      <c r="H5994" s="33"/>
      <c r="I5994" s="33"/>
      <c r="J5994" s="33"/>
      <c r="K5994" s="33"/>
      <c r="L5994" s="33"/>
      <c r="M5994" s="33"/>
    </row>
    <row r="5995">
      <c r="A5995" s="32" t="s">
        <v>16258</v>
      </c>
      <c r="B5995" s="32" t="s">
        <v>16259</v>
      </c>
      <c r="C5995" s="35">
        <v>54.28020096</v>
      </c>
      <c r="D5995" s="35">
        <v>-8.599209785</v>
      </c>
      <c r="E5995" s="32" t="s">
        <v>199</v>
      </c>
      <c r="F5995" s="32" t="s">
        <v>16260</v>
      </c>
      <c r="G5995" s="39" t="s">
        <v>200</v>
      </c>
      <c r="H5995" s="33"/>
      <c r="I5995" s="33"/>
      <c r="J5995" s="33"/>
      <c r="K5995" s="33"/>
      <c r="L5995" s="33"/>
      <c r="M5995" s="33"/>
    </row>
    <row r="5996">
      <c r="A5996" s="32" t="s">
        <v>16261</v>
      </c>
      <c r="B5996" s="32" t="s">
        <v>16262</v>
      </c>
      <c r="C5996" s="35">
        <v>18.04100037</v>
      </c>
      <c r="D5996" s="35">
        <v>-63.10889816</v>
      </c>
      <c r="E5996" s="32" t="s">
        <v>5070</v>
      </c>
      <c r="F5996" s="32" t="s">
        <v>16263</v>
      </c>
      <c r="G5996" s="36" t="e">
        <v>#N/A</v>
      </c>
      <c r="H5996" s="33"/>
      <c r="I5996" s="33"/>
      <c r="J5996" s="33"/>
      <c r="K5996" s="33"/>
      <c r="L5996" s="33"/>
      <c r="M5996" s="33"/>
    </row>
    <row r="5997">
      <c r="A5997" s="32" t="s">
        <v>16264</v>
      </c>
      <c r="B5997" s="32" t="s">
        <v>16265</v>
      </c>
      <c r="C5997" s="35">
        <v>-20.5534</v>
      </c>
      <c r="D5997" s="35">
        <v>26.115801</v>
      </c>
      <c r="E5997" s="32" t="s">
        <v>2285</v>
      </c>
      <c r="F5997" s="32" t="s">
        <v>16266</v>
      </c>
      <c r="G5997" s="36" t="e">
        <v>#N/A</v>
      </c>
      <c r="H5997" s="33"/>
      <c r="I5997" s="33"/>
      <c r="J5997" s="33"/>
      <c r="K5997" s="33"/>
      <c r="L5997" s="33"/>
      <c r="M5997" s="33"/>
    </row>
    <row r="5998">
      <c r="A5998" s="32" t="s">
        <v>16267</v>
      </c>
      <c r="B5998" s="32" t="s">
        <v>16268</v>
      </c>
      <c r="C5998" s="35">
        <v>-11.63239956</v>
      </c>
      <c r="D5998" s="35">
        <v>-50.6896019</v>
      </c>
      <c r="E5998" s="32" t="s">
        <v>288</v>
      </c>
      <c r="F5998" s="32" t="s">
        <v>16269</v>
      </c>
      <c r="G5998" s="36" t="e">
        <v>#N/A</v>
      </c>
      <c r="H5998" s="33"/>
      <c r="I5998" s="33"/>
      <c r="J5998" s="33"/>
      <c r="K5998" s="33"/>
      <c r="L5998" s="33"/>
      <c r="M5998" s="33"/>
    </row>
    <row r="5999">
      <c r="A5999" s="32" t="s">
        <v>16270</v>
      </c>
      <c r="B5999" s="32" t="s">
        <v>16271</v>
      </c>
      <c r="C5999" s="35">
        <v>60.47570038</v>
      </c>
      <c r="D5999" s="35">
        <v>-151.0339966</v>
      </c>
      <c r="E5999" s="32" t="s">
        <v>180</v>
      </c>
      <c r="F5999" s="32" t="s">
        <v>16272</v>
      </c>
      <c r="G5999" s="39" t="s">
        <v>181</v>
      </c>
      <c r="H5999" s="33"/>
      <c r="I5999" s="33"/>
      <c r="J5999" s="33"/>
      <c r="K5999" s="33"/>
      <c r="L5999" s="33"/>
      <c r="M5999" s="33"/>
    </row>
    <row r="6000">
      <c r="A6000" s="32" t="s">
        <v>16273</v>
      </c>
      <c r="B6000" s="32" t="s">
        <v>16274</v>
      </c>
      <c r="C6000" s="35">
        <v>33.98709869</v>
      </c>
      <c r="D6000" s="35">
        <v>74.77420044</v>
      </c>
      <c r="E6000" s="32" t="s">
        <v>217</v>
      </c>
      <c r="F6000" s="32" t="s">
        <v>16275</v>
      </c>
      <c r="G6000" s="39" t="s">
        <v>218</v>
      </c>
      <c r="H6000" s="33"/>
      <c r="I6000" s="33"/>
      <c r="J6000" s="33"/>
      <c r="K6000" s="33"/>
      <c r="L6000" s="33"/>
      <c r="M6000" s="33"/>
    </row>
    <row r="6001">
      <c r="A6001" s="32" t="s">
        <v>16276</v>
      </c>
      <c r="B6001" s="32" t="s">
        <v>16277</v>
      </c>
      <c r="C6001" s="35">
        <v>-6.6413</v>
      </c>
      <c r="D6001" s="35">
        <v>-51.9523</v>
      </c>
      <c r="E6001" s="32" t="s">
        <v>288</v>
      </c>
      <c r="F6001" s="32" t="s">
        <v>16278</v>
      </c>
      <c r="G6001" s="36" t="e">
        <v>#N/A</v>
      </c>
      <c r="H6001" s="33"/>
      <c r="I6001" s="33"/>
      <c r="J6001" s="33"/>
      <c r="K6001" s="33"/>
      <c r="L6001" s="33"/>
      <c r="M6001" s="33"/>
    </row>
    <row r="6002">
      <c r="A6002" s="32" t="s">
        <v>16279</v>
      </c>
      <c r="B6002" s="32" t="s">
        <v>16280</v>
      </c>
      <c r="C6002" s="35">
        <v>-33.94609833</v>
      </c>
      <c r="D6002" s="35">
        <v>151.177002</v>
      </c>
      <c r="E6002" s="32" t="s">
        <v>1968</v>
      </c>
      <c r="F6002" s="32" t="s">
        <v>5398</v>
      </c>
      <c r="G6002" s="36" t="e">
        <v>#N/A</v>
      </c>
      <c r="H6002" s="33"/>
      <c r="I6002" s="33"/>
      <c r="J6002" s="33"/>
      <c r="K6002" s="33"/>
      <c r="L6002" s="33"/>
      <c r="M6002" s="33"/>
    </row>
    <row r="6003">
      <c r="A6003" s="32" t="s">
        <v>16281</v>
      </c>
      <c r="B6003" s="32" t="s">
        <v>16282</v>
      </c>
      <c r="C6003" s="35">
        <v>27.8112</v>
      </c>
      <c r="D6003" s="35">
        <v>86.7124</v>
      </c>
      <c r="E6003" s="32" t="s">
        <v>1877</v>
      </c>
      <c r="F6003" s="32" t="s">
        <v>16283</v>
      </c>
      <c r="G6003" s="36" t="e">
        <v>#N/A</v>
      </c>
      <c r="H6003" s="33"/>
      <c r="I6003" s="33"/>
      <c r="J6003" s="33"/>
      <c r="K6003" s="33"/>
      <c r="L6003" s="33"/>
      <c r="M6003" s="33"/>
    </row>
    <row r="6004">
      <c r="A6004" s="32" t="s">
        <v>16284</v>
      </c>
      <c r="B6004" s="32" t="s">
        <v>16285</v>
      </c>
      <c r="C6004" s="35">
        <v>22.793301</v>
      </c>
      <c r="D6004" s="35">
        <v>100.959</v>
      </c>
      <c r="E6004" s="32" t="s">
        <v>205</v>
      </c>
      <c r="F6004" s="32" t="s">
        <v>16286</v>
      </c>
      <c r="G6004" s="39" t="s">
        <v>206</v>
      </c>
      <c r="H6004" s="33"/>
      <c r="I6004" s="33"/>
      <c r="J6004" s="33"/>
      <c r="K6004" s="33"/>
      <c r="L6004" s="33"/>
      <c r="M6004" s="33"/>
    </row>
    <row r="6005">
      <c r="A6005" s="32" t="s">
        <v>16287</v>
      </c>
      <c r="B6005" s="32" t="s">
        <v>16288</v>
      </c>
      <c r="C6005" s="35">
        <v>38.81219864</v>
      </c>
      <c r="D6005" s="35">
        <v>139.7870026</v>
      </c>
      <c r="E6005" s="32" t="s">
        <v>170</v>
      </c>
      <c r="F6005" s="32" t="s">
        <v>16289</v>
      </c>
      <c r="G6005" s="39" t="s">
        <v>171</v>
      </c>
      <c r="H6005" s="33"/>
      <c r="I6005" s="33"/>
      <c r="J6005" s="33"/>
      <c r="K6005" s="33"/>
      <c r="L6005" s="33"/>
      <c r="M6005" s="33"/>
    </row>
    <row r="6006">
      <c r="A6006" s="32" t="s">
        <v>16290</v>
      </c>
      <c r="B6006" s="32" t="s">
        <v>16291</v>
      </c>
      <c r="C6006" s="35">
        <v>9.957050323</v>
      </c>
      <c r="D6006" s="35">
        <v>-84.13980103</v>
      </c>
      <c r="E6006" s="32" t="s">
        <v>1267</v>
      </c>
      <c r="F6006" s="32" t="s">
        <v>1243</v>
      </c>
      <c r="G6006" s="36" t="e">
        <v>#N/A</v>
      </c>
      <c r="H6006" s="33"/>
      <c r="I6006" s="33"/>
      <c r="J6006" s="33"/>
      <c r="K6006" s="33"/>
      <c r="L6006" s="33"/>
      <c r="M6006" s="33"/>
    </row>
    <row r="6007">
      <c r="A6007" s="32" t="s">
        <v>16292</v>
      </c>
      <c r="B6007" s="32" t="s">
        <v>16293</v>
      </c>
      <c r="C6007" s="35">
        <v>43.11119843</v>
      </c>
      <c r="D6007" s="35">
        <v>-76.10630035</v>
      </c>
      <c r="E6007" s="32" t="s">
        <v>180</v>
      </c>
      <c r="F6007" s="32" t="s">
        <v>16294</v>
      </c>
      <c r="G6007" s="39" t="s">
        <v>181</v>
      </c>
      <c r="H6007" s="33"/>
      <c r="I6007" s="33"/>
      <c r="J6007" s="33"/>
      <c r="K6007" s="33"/>
      <c r="L6007" s="33"/>
      <c r="M6007" s="33"/>
    </row>
    <row r="6008">
      <c r="A6008" s="32" t="s">
        <v>16295</v>
      </c>
      <c r="B6008" s="32" t="s">
        <v>16296</v>
      </c>
      <c r="C6008" s="35">
        <v>-10.20829964</v>
      </c>
      <c r="D6008" s="35">
        <v>142.8249969</v>
      </c>
      <c r="E6008" s="32" t="s">
        <v>1968</v>
      </c>
      <c r="F6008" s="32" t="s">
        <v>16297</v>
      </c>
      <c r="G6008" s="36" t="e">
        <v>#N/A</v>
      </c>
      <c r="H6008" s="33"/>
      <c r="I6008" s="33"/>
      <c r="J6008" s="33"/>
      <c r="K6008" s="33"/>
      <c r="L6008" s="33"/>
      <c r="M6008" s="33"/>
    </row>
    <row r="6009">
      <c r="A6009" s="32" t="s">
        <v>16298</v>
      </c>
      <c r="B6009" s="32" t="s">
        <v>16299</v>
      </c>
      <c r="C6009" s="35">
        <v>26.47310066</v>
      </c>
      <c r="D6009" s="35">
        <v>67.71720123</v>
      </c>
      <c r="E6009" s="32" t="s">
        <v>1470</v>
      </c>
      <c r="F6009" s="32" t="s">
        <v>16300</v>
      </c>
      <c r="G6009" s="36" t="e">
        <v>#N/A</v>
      </c>
      <c r="H6009" s="33"/>
      <c r="I6009" s="33"/>
      <c r="J6009" s="33"/>
      <c r="K6009" s="33"/>
      <c r="L6009" s="33"/>
      <c r="M6009" s="33"/>
    </row>
    <row r="6010">
      <c r="A6010" s="32" t="s">
        <v>16301</v>
      </c>
      <c r="B6010" s="32" t="s">
        <v>16302</v>
      </c>
      <c r="C6010" s="35">
        <v>18.30290031</v>
      </c>
      <c r="D6010" s="35">
        <v>109.4120026</v>
      </c>
      <c r="E6010" s="32" t="s">
        <v>205</v>
      </c>
      <c r="F6010" s="32" t="s">
        <v>16303</v>
      </c>
      <c r="G6010" s="39" t="s">
        <v>206</v>
      </c>
      <c r="H6010" s="33"/>
      <c r="I6010" s="33"/>
      <c r="J6010" s="33"/>
      <c r="K6010" s="33"/>
      <c r="L6010" s="33"/>
      <c r="M6010" s="33"/>
    </row>
    <row r="6011">
      <c r="A6011" s="32" t="s">
        <v>16304</v>
      </c>
      <c r="B6011" s="32" t="s">
        <v>16305</v>
      </c>
      <c r="C6011" s="35">
        <v>58.21559906</v>
      </c>
      <c r="D6011" s="35">
        <v>-6.331110001</v>
      </c>
      <c r="E6011" s="32" t="s">
        <v>90</v>
      </c>
      <c r="F6011" s="32" t="s">
        <v>16306</v>
      </c>
      <c r="G6011" s="39" t="s">
        <v>91</v>
      </c>
      <c r="H6011" s="33"/>
      <c r="I6011" s="33"/>
      <c r="J6011" s="33"/>
      <c r="K6011" s="33"/>
      <c r="L6011" s="33"/>
      <c r="M6011" s="33"/>
    </row>
    <row r="6012">
      <c r="A6012" s="32" t="s">
        <v>16307</v>
      </c>
      <c r="B6012" s="32" t="s">
        <v>16308</v>
      </c>
      <c r="C6012" s="35">
        <v>29.53919983</v>
      </c>
      <c r="D6012" s="35">
        <v>52.58980179</v>
      </c>
      <c r="E6012" s="32" t="s">
        <v>1378</v>
      </c>
      <c r="F6012" s="32" t="s">
        <v>16309</v>
      </c>
      <c r="G6012" s="36" t="e">
        <v>#N/A</v>
      </c>
      <c r="H6012" s="33"/>
      <c r="I6012" s="33"/>
      <c r="J6012" s="33"/>
      <c r="K6012" s="33"/>
      <c r="L6012" s="33"/>
      <c r="M6012" s="33"/>
    </row>
    <row r="6013">
      <c r="A6013" s="32" t="s">
        <v>16310</v>
      </c>
      <c r="B6013" s="32" t="s">
        <v>16311</v>
      </c>
      <c r="C6013" s="35">
        <v>-6.141089916</v>
      </c>
      <c r="D6013" s="35">
        <v>12.37180042</v>
      </c>
      <c r="E6013" s="32" t="s">
        <v>764</v>
      </c>
      <c r="F6013" s="32" t="s">
        <v>16312</v>
      </c>
      <c r="G6013" s="36" t="e">
        <v>#N/A</v>
      </c>
      <c r="H6013" s="33"/>
      <c r="I6013" s="33"/>
      <c r="J6013" s="33"/>
      <c r="K6013" s="33"/>
      <c r="L6013" s="33"/>
      <c r="M6013" s="33"/>
    </row>
    <row r="6014">
      <c r="A6014" s="32" t="s">
        <v>16313</v>
      </c>
      <c r="B6014" s="32" t="s">
        <v>16314</v>
      </c>
      <c r="C6014" s="35">
        <v>3.130579948</v>
      </c>
      <c r="D6014" s="35">
        <v>101.5490036</v>
      </c>
      <c r="E6014" s="32" t="s">
        <v>284</v>
      </c>
      <c r="F6014" s="32" t="s">
        <v>10583</v>
      </c>
      <c r="G6014" s="36" t="e">
        <v>#N/A</v>
      </c>
      <c r="H6014" s="33"/>
      <c r="I6014" s="33"/>
      <c r="J6014" s="33"/>
      <c r="K6014" s="33"/>
      <c r="L6014" s="33"/>
      <c r="M6014" s="33"/>
    </row>
    <row r="6015">
      <c r="A6015" s="32" t="s">
        <v>16315</v>
      </c>
      <c r="B6015" s="32" t="s">
        <v>16316</v>
      </c>
      <c r="C6015" s="35">
        <v>41.254501</v>
      </c>
      <c r="D6015" s="35">
        <v>36.567101</v>
      </c>
      <c r="E6015" s="32" t="s">
        <v>133</v>
      </c>
      <c r="F6015" s="32" t="s">
        <v>16317</v>
      </c>
      <c r="G6015" s="39" t="s">
        <v>134</v>
      </c>
      <c r="H6015" s="33"/>
      <c r="I6015" s="33"/>
      <c r="J6015" s="33"/>
      <c r="K6015" s="33"/>
      <c r="L6015" s="33"/>
      <c r="M6015" s="33"/>
    </row>
    <row r="6016">
      <c r="A6016" s="32" t="s">
        <v>16318</v>
      </c>
      <c r="B6016" s="32" t="s">
        <v>16319</v>
      </c>
      <c r="C6016" s="35">
        <v>47.79330063</v>
      </c>
      <c r="D6016" s="35">
        <v>13.00430012</v>
      </c>
      <c r="E6016" s="32" t="s">
        <v>1145</v>
      </c>
      <c r="F6016" s="32" t="s">
        <v>16320</v>
      </c>
      <c r="G6016" s="36" t="e">
        <v>#N/A</v>
      </c>
      <c r="H6016" s="33"/>
      <c r="I6016" s="33"/>
      <c r="J6016" s="33"/>
      <c r="K6016" s="33"/>
      <c r="L6016" s="33"/>
      <c r="M6016" s="33"/>
    </row>
    <row r="6017">
      <c r="A6017" s="32" t="s">
        <v>16321</v>
      </c>
      <c r="B6017" s="32" t="s">
        <v>16322</v>
      </c>
      <c r="C6017" s="35">
        <v>-24.96089935</v>
      </c>
      <c r="D6017" s="35">
        <v>31.58869934</v>
      </c>
      <c r="E6017" s="32" t="s">
        <v>16</v>
      </c>
      <c r="F6017" s="32" t="s">
        <v>16323</v>
      </c>
      <c r="G6017" s="36" t="e">
        <v>#N/A</v>
      </c>
      <c r="H6017" s="33"/>
      <c r="I6017" s="33"/>
      <c r="J6017" s="33"/>
      <c r="K6017" s="33"/>
      <c r="L6017" s="33"/>
      <c r="M6017" s="33"/>
    </row>
    <row r="6018">
      <c r="A6018" s="32" t="s">
        <v>16324</v>
      </c>
      <c r="B6018" s="32" t="s">
        <v>16325</v>
      </c>
      <c r="C6018" s="35">
        <v>38.7303009</v>
      </c>
      <c r="D6018" s="35">
        <v>-93.54789734</v>
      </c>
      <c r="E6018" s="32" t="s">
        <v>180</v>
      </c>
      <c r="F6018" s="32" t="s">
        <v>16326</v>
      </c>
      <c r="G6018" s="39" t="s">
        <v>181</v>
      </c>
      <c r="H6018" s="33"/>
      <c r="I6018" s="33"/>
      <c r="J6018" s="33"/>
      <c r="K6018" s="33"/>
      <c r="L6018" s="33"/>
      <c r="M6018" s="33"/>
    </row>
    <row r="6019">
      <c r="A6019" s="32" t="s">
        <v>16327</v>
      </c>
      <c r="B6019" s="32" t="s">
        <v>16328</v>
      </c>
      <c r="C6019" s="35">
        <v>-46.89970016</v>
      </c>
      <c r="D6019" s="35">
        <v>168.1009979</v>
      </c>
      <c r="E6019" s="32" t="s">
        <v>1328</v>
      </c>
      <c r="F6019" s="32" t="s">
        <v>16329</v>
      </c>
      <c r="G6019" s="36" t="e">
        <v>#N/A</v>
      </c>
      <c r="H6019" s="33"/>
      <c r="I6019" s="33"/>
      <c r="J6019" s="33"/>
      <c r="K6019" s="33"/>
      <c r="L6019" s="33"/>
      <c r="M6019" s="33"/>
    </row>
    <row r="6020">
      <c r="A6020" s="32" t="s">
        <v>16330</v>
      </c>
      <c r="B6020" s="32" t="s">
        <v>16331</v>
      </c>
      <c r="C6020" s="35">
        <v>16.69029999</v>
      </c>
      <c r="D6020" s="35">
        <v>-92.53009796</v>
      </c>
      <c r="E6020" s="32" t="s">
        <v>186</v>
      </c>
      <c r="F6020" s="32" t="s">
        <v>16332</v>
      </c>
      <c r="G6020" s="39" t="s">
        <v>187</v>
      </c>
      <c r="H6020" s="33"/>
      <c r="I6020" s="33"/>
      <c r="J6020" s="33"/>
      <c r="K6020" s="33"/>
      <c r="L6020" s="33"/>
      <c r="M6020" s="33"/>
    </row>
    <row r="6021">
      <c r="A6021" s="32" t="s">
        <v>16333</v>
      </c>
      <c r="B6021" s="32" t="s">
        <v>16334</v>
      </c>
      <c r="C6021" s="35">
        <v>31.2631</v>
      </c>
      <c r="D6021" s="35">
        <v>120.401001</v>
      </c>
      <c r="E6021" s="32" t="s">
        <v>205</v>
      </c>
      <c r="F6021" s="32" t="s">
        <v>16335</v>
      </c>
      <c r="G6021" s="39" t="s">
        <v>206</v>
      </c>
      <c r="H6021" s="33"/>
      <c r="I6021" s="33"/>
      <c r="J6021" s="33"/>
      <c r="K6021" s="33"/>
      <c r="L6021" s="33"/>
      <c r="M6021" s="33"/>
    </row>
    <row r="6022">
      <c r="A6022" s="32" t="s">
        <v>16336</v>
      </c>
      <c r="B6022" s="32" t="s">
        <v>16337</v>
      </c>
      <c r="C6022" s="35">
        <v>53.426998</v>
      </c>
      <c r="D6022" s="35">
        <v>11.7834</v>
      </c>
      <c r="E6022" s="32" t="s">
        <v>109</v>
      </c>
      <c r="F6022" s="32" t="s">
        <v>16338</v>
      </c>
      <c r="G6022" s="39" t="s">
        <v>110</v>
      </c>
      <c r="H6022" s="33"/>
      <c r="I6022" s="33"/>
      <c r="J6022" s="33"/>
      <c r="K6022" s="33"/>
      <c r="L6022" s="33"/>
      <c r="M6022" s="33"/>
    </row>
    <row r="6023">
      <c r="A6023" s="32" t="s">
        <v>16339</v>
      </c>
      <c r="B6023" s="32" t="s">
        <v>16340</v>
      </c>
      <c r="C6023" s="35">
        <v>22.63929939</v>
      </c>
      <c r="D6023" s="35">
        <v>113.810997</v>
      </c>
      <c r="E6023" s="32" t="s">
        <v>205</v>
      </c>
      <c r="F6023" s="32" t="s">
        <v>16341</v>
      </c>
      <c r="G6023" s="39" t="s">
        <v>206</v>
      </c>
      <c r="H6023" s="33"/>
      <c r="I6023" s="33"/>
      <c r="J6023" s="33"/>
      <c r="K6023" s="33"/>
      <c r="L6023" s="33"/>
      <c r="M6023" s="33"/>
    </row>
    <row r="6024">
      <c r="A6024" s="32" t="s">
        <v>16342</v>
      </c>
      <c r="B6024" s="32" t="s">
        <v>16343</v>
      </c>
      <c r="C6024" s="35">
        <v>53.48189926</v>
      </c>
      <c r="D6024" s="35">
        <v>20.93770027</v>
      </c>
      <c r="E6024" s="32" t="s">
        <v>192</v>
      </c>
      <c r="F6024" s="32" t="s">
        <v>16344</v>
      </c>
      <c r="G6024" s="39" t="s">
        <v>193</v>
      </c>
      <c r="H6024" s="33"/>
      <c r="I6024" s="33"/>
      <c r="J6024" s="33"/>
      <c r="K6024" s="33"/>
      <c r="L6024" s="33"/>
      <c r="M6024" s="33"/>
    </row>
    <row r="6025">
      <c r="A6025" s="32" t="s">
        <v>16345</v>
      </c>
      <c r="B6025" s="32" t="s">
        <v>16346</v>
      </c>
      <c r="C6025" s="35">
        <v>53.58470154</v>
      </c>
      <c r="D6025" s="35">
        <v>14.90219975</v>
      </c>
      <c r="E6025" s="32" t="s">
        <v>192</v>
      </c>
      <c r="F6025" s="32" t="s">
        <v>2056</v>
      </c>
      <c r="G6025" s="39" t="s">
        <v>193</v>
      </c>
      <c r="H6025" s="33"/>
      <c r="I6025" s="33"/>
      <c r="J6025" s="33"/>
      <c r="K6025" s="33"/>
      <c r="L6025" s="33"/>
      <c r="M6025" s="33"/>
    </row>
    <row r="6026">
      <c r="A6026" s="32" t="s">
        <v>16347</v>
      </c>
      <c r="B6026" s="32" t="s">
        <v>16348</v>
      </c>
      <c r="C6026" s="35">
        <v>11.14970016</v>
      </c>
      <c r="D6026" s="35">
        <v>-60.8321991</v>
      </c>
      <c r="E6026" s="32" t="s">
        <v>14222</v>
      </c>
      <c r="F6026" s="32" t="s">
        <v>16349</v>
      </c>
      <c r="G6026" s="36" t="e">
        <v>#N/A</v>
      </c>
      <c r="H6026" s="33"/>
      <c r="I6026" s="33"/>
      <c r="J6026" s="33"/>
      <c r="K6026" s="33"/>
      <c r="L6026" s="33"/>
      <c r="M6026" s="33"/>
    </row>
    <row r="6027">
      <c r="A6027" s="32" t="s">
        <v>16350</v>
      </c>
      <c r="B6027" s="32" t="s">
        <v>16351</v>
      </c>
      <c r="C6027" s="35">
        <v>11.2276001</v>
      </c>
      <c r="D6027" s="35">
        <v>125.0279999</v>
      </c>
      <c r="E6027" s="32" t="s">
        <v>270</v>
      </c>
      <c r="F6027" s="32" t="s">
        <v>16352</v>
      </c>
      <c r="G6027" s="36" t="e">
        <v>#N/A</v>
      </c>
      <c r="H6027" s="33"/>
      <c r="I6027" s="33"/>
      <c r="J6027" s="33"/>
      <c r="K6027" s="33"/>
      <c r="L6027" s="33"/>
      <c r="M6027" s="33"/>
    </row>
    <row r="6028">
      <c r="A6028" s="32" t="s">
        <v>16353</v>
      </c>
      <c r="B6028" s="32" t="s">
        <v>16354</v>
      </c>
      <c r="C6028" s="35">
        <v>35.89410019</v>
      </c>
      <c r="D6028" s="35">
        <v>128.6589966</v>
      </c>
      <c r="E6028" s="32" t="s">
        <v>151</v>
      </c>
      <c r="F6028" s="32" t="s">
        <v>16355</v>
      </c>
      <c r="G6028" s="39" t="s">
        <v>152</v>
      </c>
      <c r="H6028" s="33"/>
      <c r="I6028" s="33"/>
      <c r="J6028" s="33"/>
      <c r="K6028" s="33"/>
      <c r="L6028" s="33"/>
      <c r="M6028" s="33"/>
    </row>
    <row r="6029">
      <c r="A6029" s="32" t="s">
        <v>16356</v>
      </c>
      <c r="B6029" s="32" t="s">
        <v>16357</v>
      </c>
      <c r="C6029" s="35">
        <v>35.54240036</v>
      </c>
      <c r="D6029" s="35">
        <v>-0.532278001</v>
      </c>
      <c r="E6029" s="32" t="s">
        <v>20</v>
      </c>
      <c r="F6029" s="32" t="s">
        <v>13469</v>
      </c>
      <c r="G6029" s="36" t="e">
        <v>#N/A</v>
      </c>
      <c r="H6029" s="33"/>
      <c r="I6029" s="33"/>
      <c r="J6029" s="33"/>
      <c r="K6029" s="33"/>
      <c r="L6029" s="33"/>
      <c r="M6029" s="33"/>
    </row>
    <row r="6030">
      <c r="A6030" s="32" t="s">
        <v>16358</v>
      </c>
      <c r="B6030" s="32" t="s">
        <v>16359</v>
      </c>
      <c r="C6030" s="35">
        <v>9.664079666</v>
      </c>
      <c r="D6030" s="35">
        <v>123.8529968</v>
      </c>
      <c r="E6030" s="32" t="s">
        <v>270</v>
      </c>
      <c r="F6030" s="32" t="s">
        <v>16360</v>
      </c>
      <c r="G6030" s="36" t="e">
        <v>#N/A</v>
      </c>
      <c r="H6030" s="33"/>
      <c r="I6030" s="33"/>
      <c r="J6030" s="33"/>
      <c r="K6030" s="33"/>
      <c r="L6030" s="33"/>
      <c r="M6030" s="33"/>
    </row>
    <row r="6031">
      <c r="A6031" s="32" t="s">
        <v>16361</v>
      </c>
      <c r="B6031" s="32" t="s">
        <v>16362</v>
      </c>
      <c r="C6031" s="35">
        <v>-19.45509911</v>
      </c>
      <c r="D6031" s="35">
        <v>169.223999</v>
      </c>
      <c r="E6031" s="32" t="s">
        <v>4279</v>
      </c>
      <c r="F6031" s="32" t="s">
        <v>16363</v>
      </c>
      <c r="G6031" s="36" t="e">
        <v>#N/A</v>
      </c>
      <c r="H6031" s="33"/>
      <c r="I6031" s="33"/>
      <c r="J6031" s="33"/>
      <c r="K6031" s="33"/>
      <c r="L6031" s="33"/>
      <c r="M6031" s="33"/>
    </row>
    <row r="6032">
      <c r="A6032" s="32" t="s">
        <v>16364</v>
      </c>
      <c r="B6032" s="32" t="s">
        <v>16365</v>
      </c>
      <c r="C6032" s="35">
        <v>13.68599987</v>
      </c>
      <c r="D6032" s="35">
        <v>44.13909912</v>
      </c>
      <c r="E6032" s="32" t="s">
        <v>2020</v>
      </c>
      <c r="F6032" s="32" t="s">
        <v>16366</v>
      </c>
      <c r="G6032" s="36" t="e">
        <v>#N/A</v>
      </c>
      <c r="H6032" s="33"/>
      <c r="I6032" s="33"/>
      <c r="J6032" s="33"/>
      <c r="K6032" s="33"/>
      <c r="L6032" s="33"/>
      <c r="M6032" s="33"/>
    </row>
    <row r="6033">
      <c r="A6033" s="32" t="s">
        <v>16367</v>
      </c>
      <c r="B6033" s="32" t="s">
        <v>16368</v>
      </c>
      <c r="C6033" s="35">
        <v>34.21419907</v>
      </c>
      <c r="D6033" s="35">
        <v>134.0160065</v>
      </c>
      <c r="E6033" s="32" t="s">
        <v>170</v>
      </c>
      <c r="F6033" s="32" t="s">
        <v>16369</v>
      </c>
      <c r="G6033" s="39" t="s">
        <v>171</v>
      </c>
      <c r="H6033" s="33"/>
      <c r="I6033" s="33"/>
      <c r="J6033" s="33"/>
      <c r="K6033" s="33"/>
      <c r="L6033" s="33"/>
      <c r="M6033" s="33"/>
    </row>
    <row r="6034">
      <c r="A6034" s="32" t="s">
        <v>16370</v>
      </c>
      <c r="B6034" s="32" t="s">
        <v>16371</v>
      </c>
      <c r="C6034" s="35">
        <v>22.29640007</v>
      </c>
      <c r="D6034" s="35">
        <v>-97.86589813</v>
      </c>
      <c r="E6034" s="32" t="s">
        <v>186</v>
      </c>
      <c r="F6034" s="32" t="s">
        <v>16372</v>
      </c>
      <c r="G6034" s="39" t="s">
        <v>187</v>
      </c>
      <c r="H6034" s="33"/>
      <c r="I6034" s="33"/>
      <c r="J6034" s="33"/>
      <c r="K6034" s="33"/>
      <c r="L6034" s="33"/>
      <c r="M6034" s="33"/>
    </row>
    <row r="6035">
      <c r="A6035" s="32" t="s">
        <v>16373</v>
      </c>
      <c r="B6035" s="32" t="s">
        <v>16374</v>
      </c>
      <c r="C6035" s="35">
        <v>41.87440109</v>
      </c>
      <c r="D6035" s="35">
        <v>-71.01660156</v>
      </c>
      <c r="E6035" s="32" t="s">
        <v>180</v>
      </c>
      <c r="F6035" s="32" t="s">
        <v>16375</v>
      </c>
      <c r="G6035" s="39" t="s">
        <v>181</v>
      </c>
      <c r="H6035" s="33"/>
      <c r="I6035" s="33"/>
      <c r="J6035" s="33"/>
      <c r="K6035" s="33"/>
      <c r="L6035" s="33"/>
      <c r="M6035" s="33"/>
    </row>
    <row r="6036">
      <c r="A6036" s="32" t="s">
        <v>16376</v>
      </c>
      <c r="B6036" s="32" t="s">
        <v>16377</v>
      </c>
      <c r="C6036" s="35">
        <v>36.26610184</v>
      </c>
      <c r="D6036" s="35">
        <v>120.3740005</v>
      </c>
      <c r="E6036" s="32" t="s">
        <v>205</v>
      </c>
      <c r="F6036" s="32" t="s">
        <v>16378</v>
      </c>
      <c r="G6036" s="39" t="s">
        <v>206</v>
      </c>
      <c r="H6036" s="33"/>
      <c r="I6036" s="33"/>
      <c r="J6036" s="33"/>
      <c r="K6036" s="33"/>
      <c r="L6036" s="33"/>
      <c r="M6036" s="33"/>
    </row>
    <row r="6037">
      <c r="A6037" s="32" t="s">
        <v>16379</v>
      </c>
      <c r="B6037" s="32" t="s">
        <v>16380</v>
      </c>
      <c r="C6037" s="35">
        <v>14.79430008</v>
      </c>
      <c r="D6037" s="35">
        <v>-92.37000275</v>
      </c>
      <c r="E6037" s="32" t="s">
        <v>186</v>
      </c>
      <c r="F6037" s="32" t="s">
        <v>16381</v>
      </c>
      <c r="G6037" s="39" t="s">
        <v>187</v>
      </c>
      <c r="H6037" s="33"/>
      <c r="I6037" s="33"/>
      <c r="J6037" s="33"/>
      <c r="K6037" s="33"/>
      <c r="L6037" s="33"/>
      <c r="M6037" s="33"/>
    </row>
    <row r="6038">
      <c r="A6038" s="32" t="s">
        <v>16382</v>
      </c>
      <c r="B6038" s="32" t="s">
        <v>16383</v>
      </c>
      <c r="C6038" s="35">
        <v>40.517502</v>
      </c>
      <c r="D6038" s="35">
        <v>17.4032</v>
      </c>
      <c r="E6038" s="32" t="s">
        <v>103</v>
      </c>
      <c r="F6038" s="32" t="s">
        <v>16384</v>
      </c>
      <c r="G6038" s="39" t="s">
        <v>104</v>
      </c>
      <c r="H6038" s="33"/>
      <c r="I6038" s="33"/>
      <c r="J6038" s="33"/>
      <c r="K6038" s="33"/>
      <c r="L6038" s="33"/>
      <c r="M6038" s="33"/>
    </row>
    <row r="6039">
      <c r="A6039" s="32" t="s">
        <v>16385</v>
      </c>
      <c r="B6039" s="32" t="s">
        <v>16386</v>
      </c>
      <c r="C6039" s="35">
        <v>41.25790024</v>
      </c>
      <c r="D6039" s="35">
        <v>69.28119659</v>
      </c>
      <c r="E6039" s="32" t="s">
        <v>3332</v>
      </c>
      <c r="F6039" s="32" t="s">
        <v>3333</v>
      </c>
      <c r="G6039" s="36" t="e">
        <v>#N/A</v>
      </c>
      <c r="H6039" s="33"/>
      <c r="I6039" s="33"/>
      <c r="J6039" s="33"/>
      <c r="K6039" s="33"/>
      <c r="L6039" s="33"/>
      <c r="M6039" s="33"/>
    </row>
    <row r="6040">
      <c r="A6040" s="32" t="s">
        <v>16387</v>
      </c>
      <c r="B6040" s="32" t="s">
        <v>16388</v>
      </c>
      <c r="C6040" s="35">
        <v>49.07360077</v>
      </c>
      <c r="D6040" s="35">
        <v>20.24110031</v>
      </c>
      <c r="E6040" s="32" t="s">
        <v>1229</v>
      </c>
      <c r="F6040" s="32" t="s">
        <v>16389</v>
      </c>
      <c r="G6040" s="36" t="e">
        <v>#N/A</v>
      </c>
      <c r="H6040" s="33"/>
      <c r="I6040" s="33"/>
      <c r="J6040" s="33"/>
      <c r="K6040" s="33"/>
      <c r="L6040" s="33"/>
      <c r="M6040" s="33"/>
    </row>
    <row r="6041">
      <c r="A6041" s="32" t="s">
        <v>16390</v>
      </c>
      <c r="B6041" s="32" t="s">
        <v>16391</v>
      </c>
      <c r="C6041" s="35">
        <v>58.30749893</v>
      </c>
      <c r="D6041" s="35">
        <v>26.69039917</v>
      </c>
      <c r="E6041" s="32" t="s">
        <v>405</v>
      </c>
      <c r="F6041" s="32" t="s">
        <v>16392</v>
      </c>
      <c r="G6041" s="36" t="e">
        <v>#N/A</v>
      </c>
      <c r="H6041" s="33"/>
      <c r="I6041" s="33"/>
      <c r="J6041" s="33"/>
      <c r="K6041" s="33"/>
      <c r="L6041" s="33"/>
      <c r="M6041" s="33"/>
    </row>
    <row r="6042">
      <c r="A6042" s="32" t="s">
        <v>16393</v>
      </c>
      <c r="B6042" s="32" t="s">
        <v>16394</v>
      </c>
      <c r="C6042" s="35">
        <v>41.761101</v>
      </c>
      <c r="D6042" s="35">
        <v>59.826698</v>
      </c>
      <c r="E6042" s="32" t="s">
        <v>4140</v>
      </c>
      <c r="F6042" s="32" t="s">
        <v>16395</v>
      </c>
      <c r="G6042" s="36" t="e">
        <v>#N/A</v>
      </c>
      <c r="H6042" s="33"/>
      <c r="I6042" s="33"/>
      <c r="J6042" s="33"/>
      <c r="K6042" s="33"/>
      <c r="L6042" s="33"/>
      <c r="M6042" s="33"/>
    </row>
    <row r="6043">
      <c r="A6043" s="32" t="s">
        <v>16396</v>
      </c>
      <c r="B6043" s="32" t="s">
        <v>16397</v>
      </c>
      <c r="C6043" s="35">
        <v>13.04959965</v>
      </c>
      <c r="D6043" s="35">
        <v>109.3339996</v>
      </c>
      <c r="E6043" s="32" t="s">
        <v>1913</v>
      </c>
      <c r="F6043" s="32" t="s">
        <v>16398</v>
      </c>
      <c r="G6043" s="36" t="e">
        <v>#N/A</v>
      </c>
      <c r="H6043" s="33"/>
      <c r="I6043" s="33"/>
      <c r="J6043" s="33"/>
      <c r="K6043" s="33"/>
      <c r="L6043" s="33"/>
      <c r="M6043" s="33"/>
    </row>
    <row r="6044">
      <c r="A6044" s="32" t="s">
        <v>16399</v>
      </c>
      <c r="B6044" s="32" t="s">
        <v>16400</v>
      </c>
      <c r="C6044" s="35">
        <v>-1.224470019</v>
      </c>
      <c r="D6044" s="35">
        <v>174.776001</v>
      </c>
      <c r="E6044" s="32" t="s">
        <v>3439</v>
      </c>
      <c r="F6044" s="32" t="s">
        <v>16401</v>
      </c>
      <c r="G6044" s="36" t="e">
        <v>#N/A</v>
      </c>
      <c r="H6044" s="33"/>
      <c r="I6044" s="33"/>
      <c r="J6044" s="33"/>
      <c r="K6044" s="33"/>
      <c r="L6044" s="33"/>
      <c r="M6044" s="33"/>
    </row>
    <row r="6045">
      <c r="A6045" s="32" t="s">
        <v>16402</v>
      </c>
      <c r="B6045" s="32" t="s">
        <v>16403</v>
      </c>
      <c r="C6045" s="35">
        <v>-5.278610229</v>
      </c>
      <c r="D6045" s="35">
        <v>141.2259979</v>
      </c>
      <c r="E6045" s="32" t="s">
        <v>5289</v>
      </c>
      <c r="F6045" s="32" t="s">
        <v>16404</v>
      </c>
      <c r="G6045" s="36" t="e">
        <v>#N/A</v>
      </c>
      <c r="H6045" s="33"/>
      <c r="I6045" s="33"/>
      <c r="J6045" s="33"/>
      <c r="K6045" s="33"/>
      <c r="L6045" s="33"/>
      <c r="M6045" s="33"/>
    </row>
    <row r="6046">
      <c r="A6046" s="32" t="s">
        <v>16405</v>
      </c>
      <c r="B6046" s="32" t="s">
        <v>16406</v>
      </c>
      <c r="C6046" s="35">
        <v>12.31099987</v>
      </c>
      <c r="D6046" s="35">
        <v>122.0849991</v>
      </c>
      <c r="E6046" s="32" t="s">
        <v>270</v>
      </c>
      <c r="F6046" s="32" t="s">
        <v>8009</v>
      </c>
      <c r="G6046" s="36" t="e">
        <v>#N/A</v>
      </c>
      <c r="H6046" s="33"/>
      <c r="I6046" s="33"/>
      <c r="J6046" s="33"/>
      <c r="K6046" s="33"/>
      <c r="L6046" s="33"/>
      <c r="M6046" s="33"/>
    </row>
    <row r="6047">
      <c r="A6047" s="32" t="s">
        <v>16407</v>
      </c>
      <c r="B6047" s="32" t="s">
        <v>16408</v>
      </c>
      <c r="C6047" s="35">
        <v>36.97999954</v>
      </c>
      <c r="D6047" s="35">
        <v>8.876939774</v>
      </c>
      <c r="E6047" s="32" t="s">
        <v>22</v>
      </c>
      <c r="F6047" s="32" t="s">
        <v>16409</v>
      </c>
      <c r="G6047" s="36" t="e">
        <v>#N/A</v>
      </c>
      <c r="H6047" s="33"/>
      <c r="I6047" s="33"/>
      <c r="J6047" s="33"/>
      <c r="K6047" s="33"/>
      <c r="L6047" s="33"/>
      <c r="M6047" s="33"/>
    </row>
    <row r="6048">
      <c r="A6048" s="32" t="s">
        <v>16410</v>
      </c>
      <c r="B6048" s="32" t="s">
        <v>16411</v>
      </c>
      <c r="C6048" s="35">
        <v>37.74160004</v>
      </c>
      <c r="D6048" s="35">
        <v>-92.14070129</v>
      </c>
      <c r="E6048" s="32" t="s">
        <v>180</v>
      </c>
      <c r="F6048" s="32" t="s">
        <v>16412</v>
      </c>
      <c r="G6048" s="39" t="s">
        <v>181</v>
      </c>
      <c r="H6048" s="33"/>
      <c r="I6048" s="33"/>
      <c r="J6048" s="33"/>
      <c r="K6048" s="33"/>
      <c r="L6048" s="33"/>
      <c r="M6048" s="33"/>
    </row>
    <row r="6049">
      <c r="A6049" s="32" t="s">
        <v>16413</v>
      </c>
      <c r="B6049" s="32" t="s">
        <v>16414</v>
      </c>
      <c r="C6049" s="35">
        <v>-5.07638979</v>
      </c>
      <c r="D6049" s="35">
        <v>32.83330154</v>
      </c>
      <c r="E6049" s="32" t="s">
        <v>2937</v>
      </c>
      <c r="F6049" s="32" t="s">
        <v>16415</v>
      </c>
      <c r="G6049" s="36" t="e">
        <v>#N/A</v>
      </c>
      <c r="H6049" s="33"/>
      <c r="I6049" s="33"/>
      <c r="J6049" s="33"/>
      <c r="K6049" s="33"/>
      <c r="L6049" s="33"/>
      <c r="M6049" s="33"/>
    </row>
    <row r="6050">
      <c r="A6050" s="32" t="s">
        <v>16416</v>
      </c>
      <c r="B6050" s="32" t="s">
        <v>16417</v>
      </c>
      <c r="C6050" s="35">
        <v>-3.55253005</v>
      </c>
      <c r="D6050" s="35">
        <v>-80.38140106</v>
      </c>
      <c r="E6050" s="32" t="s">
        <v>307</v>
      </c>
      <c r="F6050" s="32" t="s">
        <v>16418</v>
      </c>
      <c r="G6050" s="36" t="e">
        <v>#N/A</v>
      </c>
      <c r="H6050" s="33"/>
      <c r="I6050" s="33"/>
      <c r="J6050" s="33"/>
      <c r="K6050" s="33"/>
      <c r="L6050" s="33"/>
      <c r="M6050" s="33"/>
    </row>
    <row r="6051">
      <c r="A6051" s="32" t="s">
        <v>16419</v>
      </c>
      <c r="B6051" s="32" t="s">
        <v>16420</v>
      </c>
      <c r="C6051" s="35">
        <v>41.6692009</v>
      </c>
      <c r="D6051" s="35">
        <v>44.95470047</v>
      </c>
      <c r="E6051" s="32" t="s">
        <v>3041</v>
      </c>
      <c r="F6051" s="32" t="s">
        <v>16421</v>
      </c>
      <c r="G6051" s="36" t="e">
        <v>#N/A</v>
      </c>
      <c r="H6051" s="33"/>
      <c r="I6051" s="33"/>
      <c r="J6051" s="33"/>
      <c r="K6051" s="33"/>
      <c r="L6051" s="33"/>
      <c r="M6051" s="33"/>
    </row>
    <row r="6052">
      <c r="A6052" s="32" t="s">
        <v>16422</v>
      </c>
      <c r="B6052" s="32" t="s">
        <v>16423</v>
      </c>
      <c r="C6052" s="35">
        <v>-4.255670071</v>
      </c>
      <c r="D6052" s="35">
        <v>-69.93579865</v>
      </c>
      <c r="E6052" s="32" t="s">
        <v>288</v>
      </c>
      <c r="F6052" s="32" t="s">
        <v>16424</v>
      </c>
      <c r="G6052" s="36" t="e">
        <v>#N/A</v>
      </c>
      <c r="H6052" s="33"/>
      <c r="I6052" s="33"/>
      <c r="J6052" s="33"/>
      <c r="K6052" s="33"/>
      <c r="L6052" s="33"/>
      <c r="M6052" s="33"/>
    </row>
    <row r="6053">
      <c r="A6053" s="32" t="s">
        <v>16425</v>
      </c>
      <c r="B6053" s="32" t="s">
        <v>16426</v>
      </c>
      <c r="C6053" s="35">
        <v>-21.24119949</v>
      </c>
      <c r="D6053" s="35">
        <v>-175.1499939</v>
      </c>
      <c r="E6053" s="32" t="s">
        <v>7417</v>
      </c>
      <c r="F6053" s="32" t="s">
        <v>16427</v>
      </c>
      <c r="G6053" s="36" t="e">
        <v>#N/A</v>
      </c>
      <c r="H6053" s="33"/>
      <c r="I6053" s="33"/>
      <c r="J6053" s="33"/>
      <c r="K6053" s="33"/>
      <c r="L6053" s="33"/>
      <c r="M6053" s="33"/>
    </row>
    <row r="6054">
      <c r="A6054" s="32" t="s">
        <v>16428</v>
      </c>
      <c r="B6054" s="32" t="s">
        <v>16429</v>
      </c>
      <c r="C6054" s="35">
        <v>52.80609894</v>
      </c>
      <c r="D6054" s="35">
        <v>41.48279953</v>
      </c>
      <c r="E6054" s="32" t="s">
        <v>2040</v>
      </c>
      <c r="F6054" s="32" t="s">
        <v>16430</v>
      </c>
      <c r="G6054" s="36" t="e">
        <v>#N/A</v>
      </c>
      <c r="H6054" s="33"/>
      <c r="I6054" s="33"/>
      <c r="J6054" s="33"/>
      <c r="K6054" s="33"/>
      <c r="L6054" s="33"/>
      <c r="M6054" s="33"/>
    </row>
    <row r="6055">
      <c r="A6055" s="32" t="s">
        <v>16431</v>
      </c>
      <c r="B6055" s="32" t="s">
        <v>16432</v>
      </c>
      <c r="C6055" s="35">
        <v>38.13389969</v>
      </c>
      <c r="D6055" s="35">
        <v>46.23500061</v>
      </c>
      <c r="E6055" s="32" t="s">
        <v>1378</v>
      </c>
      <c r="F6055" s="32" t="s">
        <v>16433</v>
      </c>
      <c r="G6055" s="36" t="e">
        <v>#N/A</v>
      </c>
      <c r="H6055" s="33"/>
      <c r="I6055" s="33"/>
      <c r="J6055" s="33"/>
      <c r="K6055" s="33"/>
      <c r="L6055" s="33"/>
      <c r="M6055" s="33"/>
    </row>
    <row r="6056">
      <c r="A6056" s="32" t="s">
        <v>16434</v>
      </c>
      <c r="B6056" s="32" t="s">
        <v>16435</v>
      </c>
      <c r="C6056" s="35">
        <v>-19.63439941</v>
      </c>
      <c r="D6056" s="35">
        <v>134.1829987</v>
      </c>
      <c r="E6056" s="32" t="s">
        <v>1968</v>
      </c>
      <c r="F6056" s="32" t="s">
        <v>16436</v>
      </c>
      <c r="G6056" s="36" t="e">
        <v>#N/A</v>
      </c>
      <c r="H6056" s="33"/>
      <c r="I6056" s="33"/>
      <c r="J6056" s="33"/>
      <c r="K6056" s="33"/>
      <c r="L6056" s="33"/>
      <c r="M6056" s="33"/>
    </row>
    <row r="6057">
      <c r="A6057" s="32" t="s">
        <v>16437</v>
      </c>
      <c r="B6057" s="32" t="s">
        <v>16438</v>
      </c>
      <c r="C6057" s="35">
        <v>26.74530029</v>
      </c>
      <c r="D6057" s="35">
        <v>-77.39129639</v>
      </c>
      <c r="E6057" s="32" t="s">
        <v>319</v>
      </c>
      <c r="F6057" s="32" t="s">
        <v>16439</v>
      </c>
      <c r="G6057" s="36" t="e">
        <v>#N/A</v>
      </c>
      <c r="H6057" s="33"/>
      <c r="I6057" s="33"/>
      <c r="J6057" s="33"/>
      <c r="K6057" s="33"/>
      <c r="L6057" s="33"/>
      <c r="M6057" s="33"/>
    </row>
    <row r="6058">
      <c r="A6058" s="32" t="s">
        <v>16440</v>
      </c>
      <c r="B6058" s="32" t="s">
        <v>16441</v>
      </c>
      <c r="C6058" s="35">
        <v>35.18280029</v>
      </c>
      <c r="D6058" s="35">
        <v>-103.6029968</v>
      </c>
      <c r="E6058" s="32" t="s">
        <v>180</v>
      </c>
      <c r="F6058" s="32" t="s">
        <v>16442</v>
      </c>
      <c r="G6058" s="39" t="s">
        <v>181</v>
      </c>
      <c r="H6058" s="33"/>
      <c r="I6058" s="33"/>
      <c r="J6058" s="33"/>
      <c r="K6058" s="33"/>
      <c r="L6058" s="33"/>
      <c r="M6058" s="33"/>
    </row>
    <row r="6059">
      <c r="A6059" s="32" t="s">
        <v>16443</v>
      </c>
      <c r="B6059" s="32" t="s">
        <v>16444</v>
      </c>
      <c r="C6059" s="35">
        <v>45.0625</v>
      </c>
      <c r="D6059" s="35">
        <v>28.71430016</v>
      </c>
      <c r="E6059" s="32" t="s">
        <v>2874</v>
      </c>
      <c r="F6059" s="32" t="s">
        <v>16445</v>
      </c>
      <c r="G6059" s="36" t="e">
        <v>#N/A</v>
      </c>
      <c r="H6059" s="33"/>
      <c r="I6059" s="33"/>
      <c r="J6059" s="33"/>
      <c r="K6059" s="33"/>
      <c r="L6059" s="33"/>
      <c r="M6059" s="33"/>
    </row>
    <row r="6060">
      <c r="A6060" s="32" t="s">
        <v>16446</v>
      </c>
      <c r="B6060" s="32" t="s">
        <v>16447</v>
      </c>
      <c r="C6060" s="35">
        <v>46.67250061</v>
      </c>
      <c r="D6060" s="35">
        <v>83.34079742</v>
      </c>
      <c r="E6060" s="32" t="s">
        <v>205</v>
      </c>
      <c r="F6060" s="32" t="s">
        <v>16448</v>
      </c>
      <c r="G6060" s="39" t="s">
        <v>206</v>
      </c>
      <c r="H6060" s="33"/>
      <c r="I6060" s="33"/>
      <c r="J6060" s="33"/>
      <c r="K6060" s="33"/>
      <c r="L6060" s="33"/>
      <c r="M6060" s="33"/>
    </row>
    <row r="6061">
      <c r="A6061" s="32" t="s">
        <v>16449</v>
      </c>
      <c r="B6061" s="32" t="s">
        <v>16450</v>
      </c>
      <c r="C6061" s="35">
        <v>-2.849999905</v>
      </c>
      <c r="D6061" s="35">
        <v>11.0170002</v>
      </c>
      <c r="E6061" s="32" t="s">
        <v>4974</v>
      </c>
      <c r="F6061" s="32" t="s">
        <v>16451</v>
      </c>
      <c r="G6061" s="36" t="e">
        <v>#N/A</v>
      </c>
      <c r="H6061" s="33"/>
      <c r="I6061" s="33"/>
      <c r="J6061" s="33"/>
      <c r="K6061" s="33"/>
      <c r="L6061" s="33"/>
      <c r="M6061" s="33"/>
    </row>
    <row r="6062">
      <c r="A6062" s="32" t="s">
        <v>16452</v>
      </c>
      <c r="B6062" s="32" t="s">
        <v>16453</v>
      </c>
      <c r="C6062" s="35">
        <v>33.22060013</v>
      </c>
      <c r="D6062" s="35">
        <v>-87.61139679</v>
      </c>
      <c r="E6062" s="32" t="s">
        <v>180</v>
      </c>
      <c r="F6062" s="32" t="s">
        <v>16454</v>
      </c>
      <c r="G6062" s="39" t="s">
        <v>181</v>
      </c>
      <c r="H6062" s="33"/>
      <c r="I6062" s="33"/>
      <c r="J6062" s="33"/>
      <c r="K6062" s="33"/>
      <c r="L6062" s="33"/>
      <c r="M6062" s="33"/>
    </row>
    <row r="6063">
      <c r="A6063" s="32" t="s">
        <v>16455</v>
      </c>
      <c r="B6063" s="32" t="s">
        <v>16456</v>
      </c>
      <c r="C6063" s="35">
        <v>47.13769913</v>
      </c>
      <c r="D6063" s="35">
        <v>-122.4759979</v>
      </c>
      <c r="E6063" s="32" t="s">
        <v>180</v>
      </c>
      <c r="F6063" s="32" t="s">
        <v>16457</v>
      </c>
      <c r="G6063" s="39" t="s">
        <v>181</v>
      </c>
      <c r="H6063" s="33"/>
      <c r="I6063" s="33"/>
      <c r="J6063" s="33"/>
      <c r="K6063" s="33"/>
      <c r="L6063" s="33"/>
      <c r="M6063" s="33"/>
    </row>
    <row r="6064">
      <c r="A6064" s="32" t="s">
        <v>16458</v>
      </c>
      <c r="B6064" s="32" t="s">
        <v>16459</v>
      </c>
      <c r="C6064" s="35">
        <v>18.49720001</v>
      </c>
      <c r="D6064" s="35">
        <v>-97.41989899</v>
      </c>
      <c r="E6064" s="32" t="s">
        <v>186</v>
      </c>
      <c r="F6064" s="32" t="s">
        <v>16460</v>
      </c>
      <c r="G6064" s="39" t="s">
        <v>187</v>
      </c>
      <c r="H6064" s="33"/>
      <c r="I6064" s="33"/>
      <c r="J6064" s="33"/>
      <c r="K6064" s="33"/>
      <c r="L6064" s="33"/>
      <c r="M6064" s="33"/>
    </row>
    <row r="6065">
      <c r="A6065" s="32" t="s">
        <v>16461</v>
      </c>
      <c r="B6065" s="32" t="s">
        <v>11300</v>
      </c>
      <c r="C6065" s="35">
        <v>1.81442</v>
      </c>
      <c r="D6065" s="35">
        <v>-78.7492</v>
      </c>
      <c r="E6065" s="32" t="s">
        <v>292</v>
      </c>
      <c r="F6065" s="32" t="s">
        <v>16462</v>
      </c>
      <c r="G6065" s="36" t="e">
        <v>#N/A</v>
      </c>
      <c r="H6065" s="33"/>
      <c r="I6065" s="33"/>
      <c r="J6065" s="33"/>
      <c r="K6065" s="33"/>
      <c r="L6065" s="33"/>
      <c r="M6065" s="33"/>
    </row>
    <row r="6066">
      <c r="A6066" s="32" t="s">
        <v>16463</v>
      </c>
      <c r="B6066" s="32" t="s">
        <v>16464</v>
      </c>
      <c r="C6066" s="35">
        <v>29.58779907</v>
      </c>
      <c r="D6066" s="35">
        <v>34.77809906</v>
      </c>
      <c r="E6066" s="32" t="s">
        <v>15</v>
      </c>
      <c r="F6066" s="32" t="s">
        <v>16465</v>
      </c>
      <c r="G6066" s="36" t="e">
        <v>#N/A</v>
      </c>
      <c r="H6066" s="33"/>
      <c r="I6066" s="33"/>
      <c r="J6066" s="33"/>
      <c r="K6066" s="33"/>
      <c r="L6066" s="33"/>
      <c r="M6066" s="33"/>
    </row>
    <row r="6067">
      <c r="A6067" s="32" t="s">
        <v>16466</v>
      </c>
      <c r="B6067" s="32" t="s">
        <v>16467</v>
      </c>
      <c r="C6067" s="35">
        <v>-18.05330086</v>
      </c>
      <c r="D6067" s="35">
        <v>-70.27580261</v>
      </c>
      <c r="E6067" s="32" t="s">
        <v>307</v>
      </c>
      <c r="F6067" s="32" t="s">
        <v>16468</v>
      </c>
      <c r="G6067" s="36" t="e">
        <v>#N/A</v>
      </c>
      <c r="H6067" s="33"/>
      <c r="I6067" s="33"/>
      <c r="J6067" s="33"/>
      <c r="K6067" s="33"/>
      <c r="L6067" s="33"/>
      <c r="M6067" s="33"/>
    </row>
    <row r="6068">
      <c r="A6068" s="32" t="s">
        <v>16469</v>
      </c>
      <c r="B6068" s="32" t="s">
        <v>16470</v>
      </c>
      <c r="C6068" s="35">
        <v>33.23690033</v>
      </c>
      <c r="D6068" s="35">
        <v>-107.2720032</v>
      </c>
      <c r="E6068" s="32" t="s">
        <v>180</v>
      </c>
      <c r="F6068" s="32" t="s">
        <v>16471</v>
      </c>
      <c r="G6068" s="39" t="s">
        <v>181</v>
      </c>
      <c r="H6068" s="33"/>
      <c r="I6068" s="33"/>
      <c r="J6068" s="33"/>
      <c r="K6068" s="33"/>
      <c r="L6068" s="33"/>
      <c r="M6068" s="33"/>
    </row>
    <row r="6069">
      <c r="A6069" s="32" t="s">
        <v>16472</v>
      </c>
      <c r="B6069" s="32" t="s">
        <v>16473</v>
      </c>
      <c r="C6069" s="35">
        <v>24.93805556</v>
      </c>
      <c r="D6069" s="35">
        <v>98.48583333</v>
      </c>
      <c r="E6069" s="32" t="s">
        <v>205</v>
      </c>
      <c r="F6069" s="32" t="s">
        <v>16474</v>
      </c>
      <c r="G6069" s="39" t="s">
        <v>206</v>
      </c>
      <c r="H6069" s="33"/>
      <c r="I6069" s="33"/>
      <c r="J6069" s="33"/>
      <c r="K6069" s="33"/>
      <c r="L6069" s="33"/>
      <c r="M6069" s="33"/>
    </row>
    <row r="6070">
      <c r="A6070" s="32" t="s">
        <v>16475</v>
      </c>
      <c r="B6070" s="32" t="s">
        <v>16476</v>
      </c>
      <c r="C6070" s="35">
        <v>-14.81869984</v>
      </c>
      <c r="D6070" s="35">
        <v>-64.91799927</v>
      </c>
      <c r="E6070" s="32" t="s">
        <v>323</v>
      </c>
      <c r="F6070" s="32" t="s">
        <v>16477</v>
      </c>
      <c r="G6070" s="36" t="e">
        <v>#N/A</v>
      </c>
      <c r="H6070" s="33"/>
      <c r="I6070" s="33"/>
      <c r="J6070" s="33"/>
      <c r="K6070" s="33"/>
      <c r="L6070" s="33"/>
      <c r="M6070" s="33"/>
    </row>
    <row r="6071">
      <c r="A6071" s="32" t="s">
        <v>16478</v>
      </c>
      <c r="B6071" s="32" t="s">
        <v>16479</v>
      </c>
      <c r="C6071" s="35">
        <v>36.28490067</v>
      </c>
      <c r="D6071" s="35">
        <v>-78.98419952</v>
      </c>
      <c r="E6071" s="32" t="s">
        <v>180</v>
      </c>
      <c r="F6071" s="32" t="s">
        <v>16480</v>
      </c>
      <c r="G6071" s="39" t="s">
        <v>181</v>
      </c>
      <c r="H6071" s="33"/>
      <c r="I6071" s="33"/>
      <c r="J6071" s="33"/>
      <c r="K6071" s="33"/>
      <c r="L6071" s="33"/>
      <c r="M6071" s="33"/>
    </row>
    <row r="6072">
      <c r="A6072" s="32" t="s">
        <v>16481</v>
      </c>
      <c r="B6072" s="32" t="s">
        <v>16482</v>
      </c>
      <c r="C6072" s="35">
        <v>9.072110176</v>
      </c>
      <c r="D6072" s="35">
        <v>126.1709976</v>
      </c>
      <c r="E6072" s="32" t="s">
        <v>270</v>
      </c>
      <c r="F6072" s="32" t="s">
        <v>16483</v>
      </c>
      <c r="G6072" s="36" t="e">
        <v>#N/A</v>
      </c>
      <c r="H6072" s="33"/>
      <c r="I6072" s="33"/>
      <c r="J6072" s="33"/>
      <c r="K6072" s="33"/>
      <c r="L6072" s="33"/>
      <c r="M6072" s="33"/>
    </row>
    <row r="6073">
      <c r="A6073" s="32" t="s">
        <v>16484</v>
      </c>
      <c r="B6073" s="32" t="s">
        <v>16485</v>
      </c>
      <c r="C6073" s="35">
        <v>11.78299999</v>
      </c>
      <c r="D6073" s="35">
        <v>42.91699982</v>
      </c>
      <c r="E6073" s="32" t="s">
        <v>9706</v>
      </c>
      <c r="F6073" s="32" t="s">
        <v>16486</v>
      </c>
      <c r="G6073" s="36" t="e">
        <v>#N/A</v>
      </c>
      <c r="H6073" s="33"/>
      <c r="I6073" s="33"/>
      <c r="J6073" s="33"/>
      <c r="K6073" s="33"/>
      <c r="L6073" s="33"/>
      <c r="M6073" s="33"/>
    </row>
    <row r="6074">
      <c r="A6074" s="32" t="s">
        <v>16487</v>
      </c>
      <c r="B6074" s="32" t="s">
        <v>16488</v>
      </c>
      <c r="C6074" s="35">
        <v>42.88958</v>
      </c>
      <c r="D6074" s="35">
        <v>73.602004</v>
      </c>
      <c r="E6074" s="32" t="s">
        <v>2817</v>
      </c>
      <c r="F6074" s="32" t="s">
        <v>16489</v>
      </c>
      <c r="G6074" s="36" t="e">
        <v>#N/A</v>
      </c>
      <c r="H6074" s="33"/>
      <c r="I6074" s="33"/>
      <c r="J6074" s="33"/>
      <c r="K6074" s="33"/>
      <c r="L6074" s="33"/>
      <c r="M6074" s="33"/>
    </row>
    <row r="6075">
      <c r="A6075" s="32" t="s">
        <v>16490</v>
      </c>
      <c r="B6075" s="32" t="s">
        <v>16491</v>
      </c>
      <c r="C6075" s="35">
        <v>-37.23740005</v>
      </c>
      <c r="D6075" s="35">
        <v>-59.22790146</v>
      </c>
      <c r="E6075" s="32" t="s">
        <v>296</v>
      </c>
      <c r="F6075" s="32" t="s">
        <v>16492</v>
      </c>
      <c r="G6075" s="36" t="e">
        <v>#N/A</v>
      </c>
      <c r="H6075" s="33"/>
      <c r="I6075" s="33"/>
      <c r="J6075" s="33"/>
      <c r="K6075" s="33"/>
      <c r="L6075" s="33"/>
      <c r="M6075" s="33"/>
    </row>
    <row r="6076">
      <c r="A6076" s="32" t="s">
        <v>16493</v>
      </c>
      <c r="B6076" s="32" t="s">
        <v>16494</v>
      </c>
      <c r="C6076" s="35">
        <v>-24.99329948</v>
      </c>
      <c r="D6076" s="35">
        <v>150.0930023</v>
      </c>
      <c r="E6076" s="32" t="s">
        <v>1968</v>
      </c>
      <c r="F6076" s="32" t="s">
        <v>16495</v>
      </c>
      <c r="G6076" s="36" t="e">
        <v>#N/A</v>
      </c>
      <c r="H6076" s="33"/>
      <c r="I6076" s="33"/>
      <c r="J6076" s="33"/>
      <c r="K6076" s="33"/>
      <c r="L6076" s="33"/>
      <c r="M6076" s="33"/>
    </row>
    <row r="6077">
      <c r="A6077" s="32" t="s">
        <v>16496</v>
      </c>
      <c r="B6077" s="32" t="s">
        <v>16497</v>
      </c>
      <c r="C6077" s="35">
        <v>12.27460003</v>
      </c>
      <c r="D6077" s="35">
        <v>102.3190002</v>
      </c>
      <c r="E6077" s="32" t="s">
        <v>175</v>
      </c>
      <c r="F6077" s="32" t="s">
        <v>16498</v>
      </c>
      <c r="G6077" s="39" t="s">
        <v>176</v>
      </c>
      <c r="H6077" s="33"/>
      <c r="I6077" s="33"/>
      <c r="J6077" s="33"/>
      <c r="K6077" s="33"/>
      <c r="L6077" s="33"/>
      <c r="M6077" s="33"/>
    </row>
    <row r="6078">
      <c r="A6078" s="32" t="s">
        <v>16499</v>
      </c>
      <c r="B6078" s="32" t="s">
        <v>16500</v>
      </c>
      <c r="C6078" s="35">
        <v>15.7759</v>
      </c>
      <c r="D6078" s="35">
        <v>-87.4758</v>
      </c>
      <c r="E6078" s="32" t="s">
        <v>1245</v>
      </c>
      <c r="F6078" s="32" t="s">
        <v>16501</v>
      </c>
      <c r="G6078" s="36" t="e">
        <v>#N/A</v>
      </c>
      <c r="H6078" s="33"/>
      <c r="I6078" s="33"/>
      <c r="J6078" s="33"/>
      <c r="K6078" s="33"/>
      <c r="L6078" s="33"/>
      <c r="M6078" s="33"/>
    </row>
    <row r="6079">
      <c r="A6079" s="32" t="s">
        <v>16502</v>
      </c>
      <c r="B6079" s="32" t="s">
        <v>16503</v>
      </c>
      <c r="C6079" s="35">
        <v>40.85010147</v>
      </c>
      <c r="D6079" s="35">
        <v>-74.06079865</v>
      </c>
      <c r="E6079" s="32" t="s">
        <v>180</v>
      </c>
      <c r="F6079" s="32" t="s">
        <v>16504</v>
      </c>
      <c r="G6079" s="39" t="s">
        <v>181</v>
      </c>
      <c r="H6079" s="33"/>
      <c r="I6079" s="33"/>
      <c r="J6079" s="33"/>
      <c r="K6079" s="33"/>
      <c r="L6079" s="33"/>
      <c r="M6079" s="33"/>
    </row>
    <row r="6080">
      <c r="A6080" s="32" t="s">
        <v>16505</v>
      </c>
      <c r="B6080" s="32" t="s">
        <v>16506</v>
      </c>
      <c r="C6080" s="35">
        <v>57.06880188</v>
      </c>
      <c r="D6080" s="35">
        <v>8.705220222</v>
      </c>
      <c r="E6080" s="32" t="s">
        <v>533</v>
      </c>
      <c r="F6080" s="32" t="s">
        <v>16507</v>
      </c>
      <c r="G6080" s="36" t="e">
        <v>#N/A</v>
      </c>
      <c r="H6080" s="33"/>
      <c r="I6080" s="33"/>
      <c r="J6080" s="33"/>
      <c r="K6080" s="33"/>
      <c r="L6080" s="33"/>
      <c r="M6080" s="33"/>
    </row>
    <row r="6081">
      <c r="A6081" s="32" t="s">
        <v>16508</v>
      </c>
      <c r="B6081" s="32" t="s">
        <v>16509</v>
      </c>
      <c r="C6081" s="35">
        <v>35.43159866</v>
      </c>
      <c r="D6081" s="35">
        <v>8.12071991</v>
      </c>
      <c r="E6081" s="32" t="s">
        <v>20</v>
      </c>
      <c r="F6081" s="32" t="s">
        <v>16510</v>
      </c>
      <c r="G6081" s="36" t="e">
        <v>#N/A</v>
      </c>
      <c r="H6081" s="33"/>
      <c r="I6081" s="33"/>
      <c r="J6081" s="33"/>
      <c r="K6081" s="33"/>
      <c r="L6081" s="33"/>
      <c r="M6081" s="33"/>
    </row>
    <row r="6082">
      <c r="A6082" s="32" t="s">
        <v>16511</v>
      </c>
      <c r="B6082" s="32" t="s">
        <v>16512</v>
      </c>
      <c r="C6082" s="35">
        <v>-21.71500015</v>
      </c>
      <c r="D6082" s="35">
        <v>122.2289963</v>
      </c>
      <c r="E6082" s="32" t="s">
        <v>1968</v>
      </c>
      <c r="F6082" s="32" t="s">
        <v>16513</v>
      </c>
      <c r="G6082" s="36" t="e">
        <v>#N/A</v>
      </c>
      <c r="H6082" s="33"/>
      <c r="I6082" s="33"/>
      <c r="J6082" s="33"/>
      <c r="K6082" s="33"/>
      <c r="L6082" s="33"/>
      <c r="M6082" s="33"/>
    </row>
    <row r="6083">
      <c r="A6083" s="32" t="s">
        <v>16514</v>
      </c>
      <c r="B6083" s="32" t="s">
        <v>16515</v>
      </c>
      <c r="C6083" s="35">
        <v>-34.42139816</v>
      </c>
      <c r="D6083" s="35">
        <v>147.5119934</v>
      </c>
      <c r="E6083" s="32" t="s">
        <v>1968</v>
      </c>
      <c r="F6083" s="32" t="s">
        <v>16516</v>
      </c>
      <c r="G6083" s="36" t="e">
        <v>#N/A</v>
      </c>
      <c r="H6083" s="33"/>
      <c r="I6083" s="33"/>
      <c r="J6083" s="33"/>
      <c r="K6083" s="33"/>
      <c r="L6083" s="33"/>
      <c r="M6083" s="33"/>
    </row>
    <row r="6084">
      <c r="A6084" s="32" t="s">
        <v>16517</v>
      </c>
      <c r="B6084" s="32" t="s">
        <v>16518</v>
      </c>
      <c r="C6084" s="35">
        <v>27.883333</v>
      </c>
      <c r="D6084" s="35">
        <v>109.308889</v>
      </c>
      <c r="E6084" s="32" t="s">
        <v>205</v>
      </c>
      <c r="F6084" s="32" t="s">
        <v>16519</v>
      </c>
      <c r="G6084" s="39" t="s">
        <v>206</v>
      </c>
      <c r="H6084" s="33"/>
      <c r="I6084" s="33"/>
      <c r="J6084" s="33"/>
      <c r="K6084" s="33"/>
      <c r="L6084" s="33"/>
      <c r="M6084" s="33"/>
    </row>
    <row r="6085">
      <c r="A6085" s="32" t="s">
        <v>16520</v>
      </c>
      <c r="B6085" s="32" t="s">
        <v>16521</v>
      </c>
      <c r="C6085" s="35">
        <v>41.13819885</v>
      </c>
      <c r="D6085" s="35">
        <v>27.91909981</v>
      </c>
      <c r="E6085" s="32" t="s">
        <v>133</v>
      </c>
      <c r="F6085" s="32" t="s">
        <v>16522</v>
      </c>
      <c r="G6085" s="39" t="s">
        <v>134</v>
      </c>
      <c r="H6085" s="33"/>
      <c r="I6085" s="33"/>
      <c r="J6085" s="33"/>
      <c r="K6085" s="33"/>
      <c r="L6085" s="33"/>
      <c r="M6085" s="33"/>
    </row>
    <row r="6086">
      <c r="A6086" s="32" t="s">
        <v>16523</v>
      </c>
      <c r="B6086" s="32" t="s">
        <v>16524</v>
      </c>
      <c r="C6086" s="35">
        <v>38.76179886</v>
      </c>
      <c r="D6086" s="35">
        <v>-27.09079933</v>
      </c>
      <c r="E6086" s="32" t="s">
        <v>121</v>
      </c>
      <c r="F6086" s="32" t="s">
        <v>16525</v>
      </c>
      <c r="G6086" s="39" t="s">
        <v>122</v>
      </c>
      <c r="H6086" s="33"/>
      <c r="I6086" s="33"/>
      <c r="J6086" s="33"/>
      <c r="K6086" s="33"/>
      <c r="L6086" s="33"/>
      <c r="M6086" s="33"/>
    </row>
    <row r="6087">
      <c r="A6087" s="32" t="s">
        <v>16526</v>
      </c>
      <c r="B6087" s="32" t="s">
        <v>16527</v>
      </c>
      <c r="C6087" s="35">
        <v>-16.10479927</v>
      </c>
      <c r="D6087" s="35">
        <v>33.64020157</v>
      </c>
      <c r="E6087" s="32" t="s">
        <v>767</v>
      </c>
      <c r="F6087" s="32" t="s">
        <v>16528</v>
      </c>
      <c r="G6087" s="36" t="e">
        <v>#N/A</v>
      </c>
      <c r="H6087" s="33"/>
      <c r="I6087" s="33"/>
      <c r="J6087" s="33"/>
      <c r="K6087" s="33"/>
      <c r="L6087" s="33"/>
      <c r="M6087" s="33"/>
    </row>
    <row r="6088">
      <c r="A6088" s="32" t="s">
        <v>16529</v>
      </c>
      <c r="B6088" s="32" t="s">
        <v>16530</v>
      </c>
      <c r="C6088" s="35">
        <v>-45.53310013</v>
      </c>
      <c r="D6088" s="35">
        <v>167.6499939</v>
      </c>
      <c r="E6088" s="32" t="s">
        <v>1328</v>
      </c>
      <c r="F6088" s="32" t="s">
        <v>16531</v>
      </c>
      <c r="G6088" s="36" t="e">
        <v>#N/A</v>
      </c>
      <c r="H6088" s="33"/>
      <c r="I6088" s="33"/>
      <c r="J6088" s="33"/>
      <c r="K6088" s="33"/>
      <c r="L6088" s="33"/>
      <c r="M6088" s="33"/>
    </row>
    <row r="6089">
      <c r="A6089" s="32" t="s">
        <v>16532</v>
      </c>
      <c r="B6089" s="32" t="s">
        <v>16533</v>
      </c>
      <c r="C6089" s="35">
        <v>40.403</v>
      </c>
      <c r="D6089" s="35">
        <v>-1.2183</v>
      </c>
      <c r="E6089" s="32" t="s">
        <v>115</v>
      </c>
      <c r="F6089" s="32" t="s">
        <v>16534</v>
      </c>
      <c r="G6089" s="39" t="s">
        <v>116</v>
      </c>
      <c r="H6089" s="33"/>
      <c r="I6089" s="33"/>
      <c r="J6089" s="33"/>
      <c r="K6089" s="33"/>
      <c r="L6089" s="33"/>
      <c r="M6089" s="33"/>
    </row>
    <row r="6090">
      <c r="A6090" s="32" t="s">
        <v>16535</v>
      </c>
      <c r="B6090" s="32" t="s">
        <v>16536</v>
      </c>
      <c r="C6090" s="35">
        <v>37.9538002</v>
      </c>
      <c r="D6090" s="35">
        <v>-107.9079971</v>
      </c>
      <c r="E6090" s="32" t="s">
        <v>180</v>
      </c>
      <c r="F6090" s="32" t="s">
        <v>16537</v>
      </c>
      <c r="G6090" s="39" t="s">
        <v>181</v>
      </c>
      <c r="H6090" s="33"/>
      <c r="I6090" s="33"/>
      <c r="J6090" s="33"/>
      <c r="K6090" s="33"/>
      <c r="L6090" s="33"/>
      <c r="M6090" s="33"/>
    </row>
    <row r="6091">
      <c r="A6091" s="32" t="s">
        <v>16538</v>
      </c>
      <c r="B6091" s="32" t="s">
        <v>16539</v>
      </c>
      <c r="C6091" s="35">
        <v>26.70910072</v>
      </c>
      <c r="D6091" s="35">
        <v>92.78469849</v>
      </c>
      <c r="E6091" s="32" t="s">
        <v>217</v>
      </c>
      <c r="F6091" s="32" t="s">
        <v>16540</v>
      </c>
      <c r="G6091" s="39" t="s">
        <v>218</v>
      </c>
      <c r="H6091" s="33"/>
      <c r="I6091" s="33"/>
      <c r="J6091" s="33"/>
      <c r="K6091" s="33"/>
      <c r="L6091" s="33"/>
      <c r="M6091" s="33"/>
    </row>
    <row r="6092">
      <c r="A6092" s="32" t="s">
        <v>16541</v>
      </c>
      <c r="B6092" s="32" t="s">
        <v>16542</v>
      </c>
      <c r="C6092" s="35">
        <v>-3.382940054</v>
      </c>
      <c r="D6092" s="35">
        <v>-64.72409821</v>
      </c>
      <c r="E6092" s="32" t="s">
        <v>288</v>
      </c>
      <c r="F6092" s="32" t="s">
        <v>16543</v>
      </c>
      <c r="G6092" s="36" t="e">
        <v>#N/A</v>
      </c>
      <c r="H6092" s="33"/>
      <c r="I6092" s="33"/>
      <c r="J6092" s="33"/>
      <c r="K6092" s="33"/>
      <c r="L6092" s="33"/>
      <c r="M6092" s="33"/>
    </row>
    <row r="6093">
      <c r="A6093" s="32" t="s">
        <v>16544</v>
      </c>
      <c r="B6093" s="32" t="s">
        <v>16545</v>
      </c>
      <c r="C6093" s="35">
        <v>-17.892299649999998</v>
      </c>
      <c r="D6093" s="35">
        <v>-41.5135994</v>
      </c>
      <c r="E6093" s="32" t="s">
        <v>288</v>
      </c>
      <c r="F6093" s="32" t="s">
        <v>16546</v>
      </c>
      <c r="G6093" s="36" t="e">
        <v>#N/A</v>
      </c>
      <c r="H6093" s="33"/>
      <c r="I6093" s="33"/>
      <c r="J6093" s="33"/>
      <c r="K6093" s="33"/>
      <c r="L6093" s="33"/>
      <c r="M6093" s="33"/>
    </row>
    <row r="6094">
      <c r="A6094" s="32" t="s">
        <v>16547</v>
      </c>
      <c r="B6094" s="32" t="s">
        <v>16548</v>
      </c>
      <c r="C6094" s="35">
        <v>28.482700350000002</v>
      </c>
      <c r="D6094" s="35">
        <v>-16.34149933</v>
      </c>
      <c r="E6094" s="32" t="s">
        <v>115</v>
      </c>
      <c r="F6094" s="32" t="s">
        <v>16549</v>
      </c>
      <c r="G6094" s="39" t="s">
        <v>116</v>
      </c>
      <c r="H6094" s="33"/>
      <c r="I6094" s="33"/>
      <c r="J6094" s="33"/>
      <c r="K6094" s="33"/>
      <c r="L6094" s="33"/>
      <c r="M6094" s="33"/>
    </row>
    <row r="6095">
      <c r="A6095" s="32" t="s">
        <v>16550</v>
      </c>
      <c r="B6095" s="32" t="s">
        <v>16551</v>
      </c>
      <c r="C6095" s="35">
        <v>28.04450035</v>
      </c>
      <c r="D6095" s="35">
        <v>-16.57250023</v>
      </c>
      <c r="E6095" s="32" t="s">
        <v>115</v>
      </c>
      <c r="F6095" s="32" t="s">
        <v>16549</v>
      </c>
      <c r="G6095" s="39" t="s">
        <v>116</v>
      </c>
      <c r="H6095" s="33"/>
      <c r="I6095" s="33"/>
      <c r="J6095" s="33"/>
      <c r="K6095" s="33"/>
      <c r="L6095" s="33"/>
      <c r="M6095" s="33"/>
    </row>
    <row r="6096">
      <c r="A6096" s="32" t="s">
        <v>16552</v>
      </c>
      <c r="B6096" s="32" t="s">
        <v>16553</v>
      </c>
      <c r="C6096" s="35">
        <v>42.3594017</v>
      </c>
      <c r="D6096" s="35">
        <v>19.25189972</v>
      </c>
      <c r="E6096" s="32" t="s">
        <v>16554</v>
      </c>
      <c r="F6096" s="32" t="s">
        <v>16555</v>
      </c>
      <c r="G6096" s="36" t="e">
        <v>#N/A</v>
      </c>
      <c r="H6096" s="33"/>
      <c r="I6096" s="33"/>
      <c r="J6096" s="33"/>
      <c r="K6096" s="33"/>
      <c r="L6096" s="33"/>
      <c r="M6096" s="33"/>
    </row>
    <row r="6097">
      <c r="A6097" s="32" t="s">
        <v>16556</v>
      </c>
      <c r="B6097" s="32" t="s">
        <v>16557</v>
      </c>
      <c r="C6097" s="35">
        <v>5.382639885</v>
      </c>
      <c r="D6097" s="35">
        <v>103.1029968</v>
      </c>
      <c r="E6097" s="32" t="s">
        <v>284</v>
      </c>
      <c r="F6097" s="32" t="s">
        <v>16558</v>
      </c>
      <c r="G6097" s="36" t="e">
        <v>#N/A</v>
      </c>
      <c r="H6097" s="33"/>
      <c r="I6097" s="33"/>
      <c r="J6097" s="33"/>
      <c r="K6097" s="33"/>
      <c r="L6097" s="33"/>
      <c r="M6097" s="33"/>
    </row>
    <row r="6098">
      <c r="A6098" s="32" t="s">
        <v>16559</v>
      </c>
      <c r="B6098" s="32" t="s">
        <v>16560</v>
      </c>
      <c r="C6098" s="35">
        <v>-16.89109993</v>
      </c>
      <c r="D6098" s="35">
        <v>168.5509949</v>
      </c>
      <c r="E6098" s="32" t="s">
        <v>4279</v>
      </c>
      <c r="F6098" s="32" t="s">
        <v>16561</v>
      </c>
      <c r="G6098" s="36" t="e">
        <v>#N/A</v>
      </c>
      <c r="H6098" s="33"/>
      <c r="I6098" s="33"/>
      <c r="J6098" s="33"/>
      <c r="K6098" s="33"/>
      <c r="L6098" s="33"/>
      <c r="M6098" s="33"/>
    </row>
    <row r="6099">
      <c r="A6099" s="32" t="s">
        <v>16562</v>
      </c>
      <c r="B6099" s="32" t="s">
        <v>16563</v>
      </c>
      <c r="C6099" s="35">
        <v>-9.133000374</v>
      </c>
      <c r="D6099" s="35">
        <v>-75.94999695</v>
      </c>
      <c r="E6099" s="32" t="s">
        <v>307</v>
      </c>
      <c r="F6099" s="32" t="s">
        <v>16564</v>
      </c>
      <c r="G6099" s="36" t="e">
        <v>#N/A</v>
      </c>
      <c r="H6099" s="33"/>
      <c r="I6099" s="33"/>
      <c r="J6099" s="33"/>
      <c r="K6099" s="33"/>
      <c r="L6099" s="33"/>
      <c r="M6099" s="33"/>
    </row>
    <row r="6100">
      <c r="A6100" s="32" t="s">
        <v>16565</v>
      </c>
      <c r="B6100" s="32" t="s">
        <v>16566</v>
      </c>
      <c r="C6100" s="35">
        <v>-21.09609985</v>
      </c>
      <c r="D6100" s="35">
        <v>167.8040009</v>
      </c>
      <c r="E6100" s="32" t="s">
        <v>5002</v>
      </c>
      <c r="F6100" s="32" t="s">
        <v>16567</v>
      </c>
      <c r="G6100" s="36" t="e">
        <v>#N/A</v>
      </c>
      <c r="H6100" s="33"/>
      <c r="I6100" s="33"/>
      <c r="J6100" s="33"/>
      <c r="K6100" s="33"/>
      <c r="L6100" s="33"/>
      <c r="M6100" s="33"/>
    </row>
    <row r="6101">
      <c r="A6101" s="32" t="s">
        <v>16568</v>
      </c>
      <c r="B6101" s="32" t="s">
        <v>16569</v>
      </c>
      <c r="C6101" s="35">
        <v>46.46770096</v>
      </c>
      <c r="D6101" s="35">
        <v>24.41250038</v>
      </c>
      <c r="E6101" s="32" t="s">
        <v>2874</v>
      </c>
      <c r="F6101" s="32" t="s">
        <v>16570</v>
      </c>
      <c r="G6101" s="36" t="e">
        <v>#N/A</v>
      </c>
      <c r="H6101" s="33"/>
      <c r="I6101" s="33"/>
      <c r="J6101" s="33"/>
      <c r="K6101" s="33"/>
      <c r="L6101" s="33"/>
      <c r="M6101" s="33"/>
    </row>
    <row r="6102">
      <c r="A6102" s="32" t="s">
        <v>16571</v>
      </c>
      <c r="B6102" s="32" t="s">
        <v>16572</v>
      </c>
      <c r="C6102" s="35">
        <v>-38.207199</v>
      </c>
      <c r="D6102" s="35">
        <v>146.470001</v>
      </c>
      <c r="E6102" s="32" t="s">
        <v>1968</v>
      </c>
      <c r="F6102" s="32" t="s">
        <v>16573</v>
      </c>
      <c r="G6102" s="36" t="e">
        <v>#N/A</v>
      </c>
      <c r="H6102" s="33"/>
      <c r="I6102" s="33"/>
      <c r="J6102" s="33"/>
      <c r="K6102" s="33"/>
      <c r="L6102" s="33"/>
      <c r="M6102" s="33"/>
    </row>
    <row r="6103">
      <c r="A6103" s="32" t="s">
        <v>16574</v>
      </c>
      <c r="B6103" s="32" t="s">
        <v>16575</v>
      </c>
      <c r="C6103" s="35">
        <v>43.556702</v>
      </c>
      <c r="D6103" s="35">
        <v>122.199997</v>
      </c>
      <c r="E6103" s="32" t="s">
        <v>205</v>
      </c>
      <c r="F6103" s="32" t="s">
        <v>16576</v>
      </c>
      <c r="G6103" s="39" t="s">
        <v>206</v>
      </c>
      <c r="H6103" s="33"/>
      <c r="I6103" s="33"/>
      <c r="J6103" s="33"/>
      <c r="K6103" s="33"/>
      <c r="L6103" s="33"/>
      <c r="M6103" s="33"/>
    </row>
    <row r="6104">
      <c r="A6104" s="32" t="s">
        <v>16577</v>
      </c>
      <c r="B6104" s="32" t="s">
        <v>16578</v>
      </c>
      <c r="C6104" s="35">
        <v>33.06779861</v>
      </c>
      <c r="D6104" s="35">
        <v>6.088669777</v>
      </c>
      <c r="E6104" s="32" t="s">
        <v>20</v>
      </c>
      <c r="F6104" s="32" t="s">
        <v>16579</v>
      </c>
      <c r="G6104" s="36" t="e">
        <v>#N/A</v>
      </c>
      <c r="H6104" s="33"/>
      <c r="I6104" s="33"/>
      <c r="J6104" s="33"/>
      <c r="K6104" s="33"/>
      <c r="L6104" s="33"/>
      <c r="M6104" s="33"/>
    </row>
    <row r="6105">
      <c r="A6105" s="32" t="s">
        <v>16580</v>
      </c>
      <c r="B6105" s="32" t="s">
        <v>16581</v>
      </c>
      <c r="C6105" s="35">
        <v>-5.09236002</v>
      </c>
      <c r="D6105" s="35">
        <v>39.07120132</v>
      </c>
      <c r="E6105" s="32" t="s">
        <v>2937</v>
      </c>
      <c r="F6105" s="32" t="s">
        <v>16582</v>
      </c>
      <c r="G6105" s="36" t="e">
        <v>#N/A</v>
      </c>
      <c r="H6105" s="33"/>
      <c r="I6105" s="33"/>
      <c r="J6105" s="33"/>
      <c r="K6105" s="33"/>
      <c r="L6105" s="33"/>
      <c r="M6105" s="33"/>
    </row>
    <row r="6106">
      <c r="A6106" s="32" t="s">
        <v>16583</v>
      </c>
      <c r="B6106" s="32" t="s">
        <v>16584</v>
      </c>
      <c r="C6106" s="35">
        <v>14.06089973</v>
      </c>
      <c r="D6106" s="35">
        <v>-87.21720123</v>
      </c>
      <c r="E6106" s="32" t="s">
        <v>1245</v>
      </c>
      <c r="F6106" s="32" t="s">
        <v>16585</v>
      </c>
      <c r="G6106" s="36" t="e">
        <v>#N/A</v>
      </c>
      <c r="H6106" s="33"/>
      <c r="I6106" s="33"/>
      <c r="J6106" s="33"/>
      <c r="K6106" s="33"/>
      <c r="L6106" s="33"/>
      <c r="M6106" s="33"/>
    </row>
    <row r="6107">
      <c r="A6107" s="32" t="s">
        <v>16586</v>
      </c>
      <c r="B6107" s="32" t="s">
        <v>16587</v>
      </c>
      <c r="C6107" s="35">
        <v>16.56360054</v>
      </c>
      <c r="D6107" s="35">
        <v>-93.02249908</v>
      </c>
      <c r="E6107" s="32" t="s">
        <v>186</v>
      </c>
      <c r="F6107" s="32" t="s">
        <v>1256</v>
      </c>
      <c r="G6107" s="39" t="s">
        <v>187</v>
      </c>
      <c r="H6107" s="33"/>
      <c r="I6107" s="33"/>
      <c r="J6107" s="33"/>
      <c r="K6107" s="33"/>
      <c r="L6107" s="33"/>
      <c r="M6107" s="33"/>
    </row>
    <row r="6108">
      <c r="A6108" s="32" t="s">
        <v>16588</v>
      </c>
      <c r="B6108" s="32" t="s">
        <v>16589</v>
      </c>
      <c r="C6108" s="35">
        <v>-5.059939861</v>
      </c>
      <c r="D6108" s="35">
        <v>-42.82350159</v>
      </c>
      <c r="E6108" s="32" t="s">
        <v>288</v>
      </c>
      <c r="F6108" s="32" t="s">
        <v>16590</v>
      </c>
      <c r="G6108" s="36" t="e">
        <v>#N/A</v>
      </c>
      <c r="H6108" s="33"/>
      <c r="I6108" s="33"/>
      <c r="J6108" s="33"/>
      <c r="K6108" s="33"/>
      <c r="L6108" s="33"/>
      <c r="M6108" s="33"/>
    </row>
    <row r="6109">
      <c r="A6109" s="32" t="s">
        <v>16591</v>
      </c>
      <c r="B6109" s="32" t="s">
        <v>16592</v>
      </c>
      <c r="C6109" s="35">
        <v>52.47299957</v>
      </c>
      <c r="D6109" s="35">
        <v>13.40390015</v>
      </c>
      <c r="E6109" s="32" t="s">
        <v>109</v>
      </c>
      <c r="F6109" s="32" t="s">
        <v>16251</v>
      </c>
      <c r="G6109" s="39" t="s">
        <v>110</v>
      </c>
      <c r="H6109" s="33"/>
      <c r="I6109" s="33"/>
      <c r="J6109" s="33"/>
      <c r="K6109" s="33"/>
      <c r="L6109" s="33"/>
      <c r="M6109" s="33"/>
    </row>
    <row r="6110">
      <c r="A6110" s="32" t="s">
        <v>16593</v>
      </c>
      <c r="B6110" s="32" t="s">
        <v>16594</v>
      </c>
      <c r="C6110" s="35">
        <v>-24.4939003</v>
      </c>
      <c r="D6110" s="35">
        <v>150.576004</v>
      </c>
      <c r="E6110" s="32" t="s">
        <v>1968</v>
      </c>
      <c r="F6110" s="32" t="s">
        <v>16595</v>
      </c>
      <c r="G6110" s="36" t="e">
        <v>#N/A</v>
      </c>
      <c r="H6110" s="33"/>
      <c r="I6110" s="33"/>
      <c r="J6110" s="33"/>
      <c r="K6110" s="33"/>
      <c r="L6110" s="33"/>
      <c r="M6110" s="33"/>
    </row>
    <row r="6111">
      <c r="A6111" s="32" t="s">
        <v>16596</v>
      </c>
      <c r="B6111" s="32" t="s">
        <v>16597</v>
      </c>
      <c r="C6111" s="35">
        <v>20.48380089</v>
      </c>
      <c r="D6111" s="35">
        <v>99.93540192</v>
      </c>
      <c r="E6111" s="32" t="s">
        <v>1918</v>
      </c>
      <c r="F6111" s="32" t="s">
        <v>16598</v>
      </c>
      <c r="G6111" s="36" t="e">
        <v>#N/A</v>
      </c>
      <c r="H6111" s="33"/>
      <c r="I6111" s="33"/>
      <c r="J6111" s="33"/>
      <c r="K6111" s="33"/>
      <c r="L6111" s="33"/>
      <c r="M6111" s="33"/>
    </row>
    <row r="6112">
      <c r="A6112" s="32" t="s">
        <v>16599</v>
      </c>
      <c r="B6112" s="32" t="s">
        <v>16600</v>
      </c>
      <c r="C6112" s="35">
        <v>58.31809998</v>
      </c>
      <c r="D6112" s="35">
        <v>12.34500027</v>
      </c>
      <c r="E6112" s="32" t="s">
        <v>347</v>
      </c>
      <c r="F6112" s="32" t="s">
        <v>16601</v>
      </c>
      <c r="G6112" s="36" t="e">
        <v>#N/A</v>
      </c>
      <c r="H6112" s="33"/>
      <c r="I6112" s="33"/>
      <c r="J6112" s="33"/>
      <c r="K6112" s="33"/>
      <c r="L6112" s="33"/>
      <c r="M6112" s="33"/>
    </row>
    <row r="6113">
      <c r="A6113" s="32" t="s">
        <v>16602</v>
      </c>
      <c r="B6113" s="32" t="s">
        <v>16603</v>
      </c>
      <c r="C6113" s="35">
        <v>66.21849823</v>
      </c>
      <c r="D6113" s="35">
        <v>-15.3355999</v>
      </c>
      <c r="E6113" s="32" t="s">
        <v>2037</v>
      </c>
      <c r="F6113" s="32" t="s">
        <v>16604</v>
      </c>
      <c r="G6113" s="36" t="e">
        <v>#N/A</v>
      </c>
      <c r="H6113" s="33"/>
      <c r="I6113" s="33"/>
      <c r="J6113" s="33"/>
      <c r="K6113" s="33"/>
      <c r="L6113" s="33"/>
      <c r="M6113" s="33"/>
    </row>
    <row r="6114">
      <c r="A6114" s="32" t="s">
        <v>16605</v>
      </c>
      <c r="B6114" s="32" t="s">
        <v>16606</v>
      </c>
      <c r="C6114" s="35">
        <v>35.68920135</v>
      </c>
      <c r="D6114" s="35">
        <v>51.31340027</v>
      </c>
      <c r="E6114" s="32" t="s">
        <v>1378</v>
      </c>
      <c r="F6114" s="32" t="s">
        <v>1413</v>
      </c>
      <c r="G6114" s="36" t="e">
        <v>#N/A</v>
      </c>
      <c r="H6114" s="33"/>
      <c r="I6114" s="33"/>
      <c r="J6114" s="33"/>
      <c r="K6114" s="33"/>
      <c r="L6114" s="33"/>
      <c r="M6114" s="33"/>
    </row>
    <row r="6115">
      <c r="A6115" s="32" t="s">
        <v>16607</v>
      </c>
      <c r="B6115" s="32" t="s">
        <v>16608</v>
      </c>
      <c r="C6115" s="35">
        <v>17.23800087</v>
      </c>
      <c r="D6115" s="35">
        <v>99.81819916</v>
      </c>
      <c r="E6115" s="32" t="s">
        <v>175</v>
      </c>
      <c r="F6115" s="32" t="s">
        <v>16609</v>
      </c>
      <c r="G6115" s="39" t="s">
        <v>176</v>
      </c>
      <c r="H6115" s="33"/>
      <c r="I6115" s="33"/>
      <c r="J6115" s="33"/>
      <c r="K6115" s="33"/>
      <c r="L6115" s="33"/>
      <c r="M6115" s="33"/>
    </row>
    <row r="6116">
      <c r="A6116" s="32" t="s">
        <v>16610</v>
      </c>
      <c r="B6116" s="32" t="s">
        <v>16611</v>
      </c>
      <c r="C6116" s="35">
        <v>76.53119659</v>
      </c>
      <c r="D6116" s="35">
        <v>-68.70320129</v>
      </c>
      <c r="E6116" s="32" t="s">
        <v>3703</v>
      </c>
      <c r="F6116" s="32" t="s">
        <v>16612</v>
      </c>
      <c r="G6116" s="36" t="e">
        <v>#N/A</v>
      </c>
      <c r="H6116" s="33"/>
      <c r="I6116" s="33"/>
      <c r="J6116" s="33"/>
      <c r="K6116" s="33"/>
      <c r="L6116" s="33"/>
      <c r="M6116" s="33"/>
    </row>
    <row r="6117">
      <c r="A6117" s="32" t="s">
        <v>16613</v>
      </c>
      <c r="B6117" s="32" t="s">
        <v>16614</v>
      </c>
      <c r="C6117" s="35">
        <v>14.8757</v>
      </c>
      <c r="D6117" s="35">
        <v>5.265359879</v>
      </c>
      <c r="E6117" s="32" t="s">
        <v>168</v>
      </c>
      <c r="F6117" s="32" t="s">
        <v>16615</v>
      </c>
      <c r="G6117" s="36" t="e">
        <v>#N/A</v>
      </c>
      <c r="H6117" s="33"/>
      <c r="I6117" s="33"/>
      <c r="J6117" s="33"/>
      <c r="K6117" s="33"/>
      <c r="L6117" s="33"/>
      <c r="M6117" s="33"/>
    </row>
    <row r="6118">
      <c r="A6118" s="32" t="s">
        <v>16616</v>
      </c>
      <c r="B6118" s="32" t="s">
        <v>16617</v>
      </c>
      <c r="C6118" s="35">
        <v>41.41469955</v>
      </c>
      <c r="D6118" s="35">
        <v>19.72060013</v>
      </c>
      <c r="E6118" s="32" t="s">
        <v>3203</v>
      </c>
      <c r="F6118" s="32" t="s">
        <v>16618</v>
      </c>
      <c r="G6118" s="36" t="e">
        <v>#N/A</v>
      </c>
      <c r="H6118" s="33"/>
      <c r="I6118" s="33"/>
      <c r="J6118" s="33"/>
      <c r="K6118" s="33"/>
      <c r="L6118" s="33"/>
      <c r="M6118" s="33"/>
    </row>
    <row r="6119">
      <c r="A6119" s="32" t="s">
        <v>16619</v>
      </c>
      <c r="B6119" s="32" t="s">
        <v>16620</v>
      </c>
      <c r="C6119" s="35">
        <v>35.34109879</v>
      </c>
      <c r="D6119" s="35">
        <v>1.463150024</v>
      </c>
      <c r="E6119" s="32" t="s">
        <v>20</v>
      </c>
      <c r="F6119" s="32" t="s">
        <v>16621</v>
      </c>
      <c r="G6119" s="36" t="e">
        <v>#N/A</v>
      </c>
      <c r="H6119" s="33"/>
      <c r="I6119" s="33"/>
      <c r="J6119" s="33"/>
      <c r="K6119" s="33"/>
      <c r="L6119" s="33"/>
      <c r="M6119" s="33"/>
    </row>
    <row r="6120">
      <c r="A6120" s="32" t="s">
        <v>16622</v>
      </c>
      <c r="B6120" s="32" t="s">
        <v>16623</v>
      </c>
      <c r="C6120" s="35">
        <v>7.2024</v>
      </c>
      <c r="D6120" s="35">
        <v>35.415</v>
      </c>
      <c r="E6120" s="32" t="s">
        <v>18</v>
      </c>
      <c r="F6120" s="32" t="s">
        <v>16624</v>
      </c>
      <c r="G6120" s="36" t="e">
        <v>#N/A</v>
      </c>
      <c r="H6120" s="33"/>
      <c r="I6120" s="33"/>
      <c r="J6120" s="33"/>
      <c r="K6120" s="33"/>
      <c r="L6120" s="33"/>
      <c r="M6120" s="33"/>
    </row>
    <row r="6121">
      <c r="A6121" s="32" t="s">
        <v>16625</v>
      </c>
      <c r="B6121" s="32" t="s">
        <v>16626</v>
      </c>
      <c r="C6121" s="35">
        <v>21.483001</v>
      </c>
      <c r="D6121" s="35">
        <v>40.543442</v>
      </c>
      <c r="E6121" s="32" t="s">
        <v>223</v>
      </c>
      <c r="F6121" s="32" t="s">
        <v>16627</v>
      </c>
      <c r="G6121" s="36" t="e">
        <v>#N/A</v>
      </c>
      <c r="H6121" s="33"/>
      <c r="I6121" s="33"/>
      <c r="J6121" s="33"/>
      <c r="K6121" s="33"/>
      <c r="L6121" s="33"/>
      <c r="M6121" s="33"/>
    </row>
    <row r="6122">
      <c r="A6122" s="32" t="s">
        <v>16628</v>
      </c>
      <c r="B6122" s="32" t="s">
        <v>16629</v>
      </c>
      <c r="C6122" s="35">
        <v>-15.1196003</v>
      </c>
      <c r="D6122" s="35">
        <v>-148.2310028</v>
      </c>
      <c r="E6122" s="32" t="s">
        <v>1325</v>
      </c>
      <c r="F6122" s="32" t="s">
        <v>16630</v>
      </c>
      <c r="G6122" s="36" t="e">
        <v>#N/A</v>
      </c>
      <c r="H6122" s="33"/>
      <c r="I6122" s="33"/>
      <c r="J6122" s="33"/>
      <c r="K6122" s="33"/>
      <c r="L6122" s="33"/>
      <c r="M6122" s="33"/>
    </row>
    <row r="6123">
      <c r="A6123" s="32" t="s">
        <v>16631</v>
      </c>
      <c r="B6123" s="32" t="s">
        <v>16632</v>
      </c>
      <c r="C6123" s="35">
        <v>32.60419846</v>
      </c>
      <c r="D6123" s="35">
        <v>65.86579895</v>
      </c>
      <c r="E6123" s="32" t="s">
        <v>1350</v>
      </c>
      <c r="F6123" s="32" t="s">
        <v>16633</v>
      </c>
      <c r="G6123" s="36" t="e">
        <v>#N/A</v>
      </c>
      <c r="H6123" s="33"/>
      <c r="I6123" s="33"/>
      <c r="J6123" s="33"/>
      <c r="K6123" s="33"/>
      <c r="L6123" s="33"/>
      <c r="M6123" s="33"/>
    </row>
    <row r="6124">
      <c r="A6124" s="32" t="s">
        <v>16634</v>
      </c>
      <c r="B6124" s="32" t="s">
        <v>16635</v>
      </c>
      <c r="C6124" s="35">
        <v>32.54109955</v>
      </c>
      <c r="D6124" s="35">
        <v>-116.9700012</v>
      </c>
      <c r="E6124" s="32" t="s">
        <v>186</v>
      </c>
      <c r="F6124" s="32" t="s">
        <v>16636</v>
      </c>
      <c r="G6124" s="39" t="s">
        <v>187</v>
      </c>
      <c r="H6124" s="33"/>
      <c r="I6124" s="33"/>
      <c r="J6124" s="33"/>
      <c r="K6124" s="33"/>
      <c r="L6124" s="33"/>
      <c r="M6124" s="33"/>
    </row>
    <row r="6125">
      <c r="A6125" s="32" t="s">
        <v>16637</v>
      </c>
      <c r="B6125" s="32" t="s">
        <v>16638</v>
      </c>
      <c r="C6125" s="35">
        <v>35.41469955</v>
      </c>
      <c r="D6125" s="35">
        <v>-97.38659668</v>
      </c>
      <c r="E6125" s="32" t="s">
        <v>180</v>
      </c>
      <c r="F6125" s="32" t="s">
        <v>2904</v>
      </c>
      <c r="G6125" s="39" t="s">
        <v>181</v>
      </c>
      <c r="H6125" s="33"/>
      <c r="I6125" s="33"/>
      <c r="J6125" s="33"/>
      <c r="K6125" s="33"/>
      <c r="L6125" s="33"/>
      <c r="M6125" s="33"/>
    </row>
    <row r="6126">
      <c r="A6126" s="32" t="s">
        <v>16639</v>
      </c>
      <c r="B6126" s="32" t="s">
        <v>16640</v>
      </c>
      <c r="C6126" s="35">
        <v>-4.528279781</v>
      </c>
      <c r="D6126" s="35">
        <v>136.8869934</v>
      </c>
      <c r="E6126" s="32" t="s">
        <v>280</v>
      </c>
      <c r="F6126" s="32" t="s">
        <v>16641</v>
      </c>
      <c r="G6126" s="36" t="e">
        <v>#N/A</v>
      </c>
      <c r="H6126" s="33"/>
      <c r="I6126" s="33"/>
      <c r="J6126" s="33"/>
      <c r="K6126" s="33"/>
      <c r="L6126" s="33"/>
      <c r="M6126" s="33"/>
    </row>
    <row r="6127">
      <c r="A6127" s="32" t="s">
        <v>16642</v>
      </c>
      <c r="B6127" s="32" t="s">
        <v>16643</v>
      </c>
      <c r="C6127" s="35">
        <v>27.7003994</v>
      </c>
      <c r="D6127" s="35">
        <v>-8.167099953</v>
      </c>
      <c r="E6127" s="32" t="s">
        <v>20</v>
      </c>
      <c r="F6127" s="32" t="s">
        <v>16644</v>
      </c>
      <c r="G6127" s="36" t="e">
        <v>#N/A</v>
      </c>
      <c r="H6127" s="33"/>
      <c r="I6127" s="33"/>
      <c r="J6127" s="33"/>
      <c r="K6127" s="33"/>
      <c r="L6127" s="33"/>
      <c r="M6127" s="33"/>
    </row>
    <row r="6128">
      <c r="A6128" s="32" t="s">
        <v>16645</v>
      </c>
      <c r="B6128" s="32" t="s">
        <v>16646</v>
      </c>
      <c r="C6128" s="35">
        <v>32.66350174</v>
      </c>
      <c r="D6128" s="35">
        <v>13.1590004</v>
      </c>
      <c r="E6128" s="32" t="s">
        <v>829</v>
      </c>
      <c r="F6128" s="32" t="s">
        <v>11974</v>
      </c>
      <c r="G6128" s="36" t="e">
        <v>#N/A</v>
      </c>
      <c r="H6128" s="33"/>
      <c r="I6128" s="33"/>
      <c r="J6128" s="33"/>
      <c r="K6128" s="33"/>
      <c r="L6128" s="33"/>
      <c r="M6128" s="33"/>
    </row>
    <row r="6129">
      <c r="A6129" s="32" t="s">
        <v>16647</v>
      </c>
      <c r="B6129" s="32" t="s">
        <v>16648</v>
      </c>
      <c r="C6129" s="35">
        <v>14.99919987</v>
      </c>
      <c r="D6129" s="35">
        <v>145.6190033</v>
      </c>
      <c r="E6129" s="32" t="s">
        <v>15057</v>
      </c>
      <c r="F6129" s="32" t="s">
        <v>16649</v>
      </c>
      <c r="G6129" s="36" t="e">
        <v>#N/A</v>
      </c>
      <c r="H6129" s="33"/>
      <c r="I6129" s="33"/>
      <c r="J6129" s="33"/>
      <c r="K6129" s="33"/>
      <c r="L6129" s="33"/>
      <c r="M6129" s="33"/>
    </row>
    <row r="6130">
      <c r="A6130" s="32" t="s">
        <v>16650</v>
      </c>
      <c r="B6130" s="32" t="s">
        <v>16651</v>
      </c>
      <c r="C6130" s="35">
        <v>13.63249969</v>
      </c>
      <c r="D6130" s="35">
        <v>79.54329681</v>
      </c>
      <c r="E6130" s="32" t="s">
        <v>217</v>
      </c>
      <c r="F6130" s="32" t="s">
        <v>16652</v>
      </c>
      <c r="G6130" s="39" t="s">
        <v>218</v>
      </c>
      <c r="H6130" s="33"/>
      <c r="I6130" s="33"/>
      <c r="J6130" s="33"/>
      <c r="K6130" s="33"/>
      <c r="L6130" s="33"/>
      <c r="M6130" s="33"/>
    </row>
    <row r="6131">
      <c r="A6131" s="32" t="s">
        <v>16653</v>
      </c>
      <c r="B6131" s="32" t="s">
        <v>16654</v>
      </c>
      <c r="C6131" s="35">
        <v>-44.30279922</v>
      </c>
      <c r="D6131" s="35">
        <v>171.2250061</v>
      </c>
      <c r="E6131" s="32" t="s">
        <v>1328</v>
      </c>
      <c r="F6131" s="32" t="s">
        <v>16655</v>
      </c>
      <c r="G6131" s="36" t="e">
        <v>#N/A</v>
      </c>
      <c r="H6131" s="33"/>
      <c r="I6131" s="33"/>
      <c r="J6131" s="33"/>
      <c r="K6131" s="33"/>
      <c r="L6131" s="33"/>
      <c r="M6131" s="33"/>
    </row>
    <row r="6132">
      <c r="A6132" s="32" t="s">
        <v>16656</v>
      </c>
      <c r="B6132" s="32" t="s">
        <v>16657</v>
      </c>
      <c r="C6132" s="35">
        <v>42.40470123</v>
      </c>
      <c r="D6132" s="35">
        <v>18.72330093</v>
      </c>
      <c r="E6132" s="32" t="s">
        <v>16554</v>
      </c>
      <c r="F6132" s="32" t="s">
        <v>16658</v>
      </c>
      <c r="G6132" s="36" t="e">
        <v>#N/A</v>
      </c>
      <c r="H6132" s="33"/>
      <c r="I6132" s="33"/>
      <c r="J6132" s="33"/>
      <c r="K6132" s="33"/>
      <c r="L6132" s="33"/>
      <c r="M6132" s="33"/>
    </row>
    <row r="6133">
      <c r="A6133" s="32" t="s">
        <v>16659</v>
      </c>
      <c r="B6133" s="32" t="s">
        <v>16660</v>
      </c>
      <c r="C6133" s="35">
        <v>47.26789856</v>
      </c>
      <c r="D6133" s="35">
        <v>-122.5780029</v>
      </c>
      <c r="E6133" s="32" t="s">
        <v>180</v>
      </c>
      <c r="F6133" s="32" t="s">
        <v>16457</v>
      </c>
      <c r="G6133" s="39" t="s">
        <v>181</v>
      </c>
      <c r="H6133" s="33"/>
      <c r="I6133" s="33"/>
      <c r="J6133" s="33"/>
      <c r="K6133" s="33"/>
      <c r="L6133" s="33"/>
      <c r="M6133" s="33"/>
    </row>
    <row r="6134">
      <c r="A6134" s="32" t="s">
        <v>16661</v>
      </c>
      <c r="B6134" s="32" t="s">
        <v>16662</v>
      </c>
      <c r="C6134" s="35">
        <v>28.51479912</v>
      </c>
      <c r="D6134" s="35">
        <v>-80.79920197</v>
      </c>
      <c r="E6134" s="32" t="s">
        <v>180</v>
      </c>
      <c r="F6134" s="32" t="s">
        <v>16663</v>
      </c>
      <c r="G6134" s="39" t="s">
        <v>181</v>
      </c>
      <c r="H6134" s="33"/>
      <c r="I6134" s="33"/>
      <c r="J6134" s="33"/>
      <c r="K6134" s="33"/>
      <c r="L6134" s="33"/>
      <c r="M6134" s="33"/>
    </row>
    <row r="6135">
      <c r="A6135" s="32" t="s">
        <v>16664</v>
      </c>
      <c r="B6135" s="32" t="s">
        <v>16665</v>
      </c>
      <c r="C6135" s="35">
        <v>18.57010078</v>
      </c>
      <c r="D6135" s="35">
        <v>-11.42350006</v>
      </c>
      <c r="E6135" s="32" t="s">
        <v>817</v>
      </c>
      <c r="F6135" s="32" t="s">
        <v>16666</v>
      </c>
      <c r="G6135" s="36" t="e">
        <v>#N/A</v>
      </c>
      <c r="H6135" s="33"/>
      <c r="I6135" s="33"/>
      <c r="J6135" s="33"/>
      <c r="K6135" s="33"/>
      <c r="L6135" s="33"/>
      <c r="M6135" s="33"/>
    </row>
    <row r="6136">
      <c r="A6136" s="32" t="s">
        <v>16667</v>
      </c>
      <c r="B6136" s="32" t="s">
        <v>16668</v>
      </c>
      <c r="C6136" s="35">
        <v>-5.84499979</v>
      </c>
      <c r="D6136" s="35">
        <v>142.947998</v>
      </c>
      <c r="E6136" s="32" t="s">
        <v>5289</v>
      </c>
      <c r="F6136" s="32" t="s">
        <v>16669</v>
      </c>
      <c r="G6136" s="36" t="e">
        <v>#N/A</v>
      </c>
      <c r="H6136" s="33"/>
      <c r="I6136" s="33"/>
      <c r="J6136" s="33"/>
      <c r="K6136" s="33"/>
      <c r="L6136" s="33"/>
      <c r="M6136" s="33"/>
    </row>
    <row r="6137">
      <c r="A6137" s="32" t="s">
        <v>16670</v>
      </c>
      <c r="B6137" s="32" t="s">
        <v>16671</v>
      </c>
      <c r="C6137" s="35">
        <v>-21.5557003</v>
      </c>
      <c r="D6137" s="35">
        <v>-64.70130157</v>
      </c>
      <c r="E6137" s="32" t="s">
        <v>323</v>
      </c>
      <c r="F6137" s="32" t="s">
        <v>16672</v>
      </c>
      <c r="G6137" s="36" t="e">
        <v>#N/A</v>
      </c>
      <c r="H6137" s="33"/>
      <c r="I6137" s="33"/>
      <c r="J6137" s="33"/>
      <c r="K6137" s="33"/>
      <c r="L6137" s="33"/>
      <c r="M6137" s="33"/>
    </row>
    <row r="6138">
      <c r="A6138" s="32" t="s">
        <v>16673</v>
      </c>
      <c r="B6138" s="32" t="s">
        <v>16674</v>
      </c>
      <c r="C6138" s="35">
        <v>-2.216559887</v>
      </c>
      <c r="D6138" s="35">
        <v>115.435997</v>
      </c>
      <c r="E6138" s="32" t="s">
        <v>280</v>
      </c>
      <c r="F6138" s="32" t="s">
        <v>16675</v>
      </c>
      <c r="G6138" s="36" t="e">
        <v>#N/A</v>
      </c>
      <c r="H6138" s="33"/>
      <c r="I6138" s="33"/>
      <c r="J6138" s="33"/>
      <c r="K6138" s="33"/>
      <c r="L6138" s="33"/>
      <c r="M6138" s="33"/>
    </row>
    <row r="6139">
      <c r="A6139" s="32" t="s">
        <v>16676</v>
      </c>
      <c r="B6139" s="32" t="s">
        <v>16677</v>
      </c>
      <c r="C6139" s="35">
        <v>35.51279831</v>
      </c>
      <c r="D6139" s="35">
        <v>134.7870026</v>
      </c>
      <c r="E6139" s="32" t="s">
        <v>170</v>
      </c>
      <c r="F6139" s="32" t="s">
        <v>16678</v>
      </c>
      <c r="G6139" s="39" t="s">
        <v>171</v>
      </c>
      <c r="H6139" s="33"/>
      <c r="I6139" s="33"/>
      <c r="J6139" s="33"/>
      <c r="K6139" s="33"/>
      <c r="L6139" s="33"/>
      <c r="M6139" s="33"/>
    </row>
    <row r="6140">
      <c r="A6140" s="32" t="s">
        <v>16679</v>
      </c>
      <c r="B6140" s="32" t="s">
        <v>16680</v>
      </c>
      <c r="C6140" s="35">
        <v>-20.75419998</v>
      </c>
      <c r="D6140" s="35">
        <v>-51.68420029</v>
      </c>
      <c r="E6140" s="32" t="s">
        <v>288</v>
      </c>
      <c r="F6140" s="32" t="s">
        <v>16681</v>
      </c>
      <c r="G6140" s="36" t="e">
        <v>#N/A</v>
      </c>
      <c r="H6140" s="33"/>
      <c r="I6140" s="33"/>
      <c r="J6140" s="33"/>
      <c r="K6140" s="33"/>
      <c r="L6140" s="33"/>
      <c r="M6140" s="33"/>
    </row>
    <row r="6141">
      <c r="A6141" s="32" t="s">
        <v>16682</v>
      </c>
      <c r="B6141" s="32" t="s">
        <v>16683</v>
      </c>
      <c r="C6141" s="35">
        <v>57.1896019</v>
      </c>
      <c r="D6141" s="35">
        <v>65.32430267</v>
      </c>
      <c r="E6141" s="32" t="s">
        <v>2040</v>
      </c>
      <c r="F6141" s="32" t="s">
        <v>16684</v>
      </c>
      <c r="G6141" s="36" t="e">
        <v>#N/A</v>
      </c>
      <c r="H6141" s="33"/>
      <c r="I6141" s="33"/>
      <c r="J6141" s="33"/>
      <c r="K6141" s="33"/>
      <c r="L6141" s="33"/>
      <c r="M6141" s="33"/>
    </row>
    <row r="6142">
      <c r="A6142" s="32" t="s">
        <v>16685</v>
      </c>
      <c r="B6142" s="32" t="s">
        <v>16686</v>
      </c>
      <c r="C6142" s="35">
        <v>-2.74571991</v>
      </c>
      <c r="D6142" s="35">
        <v>107.7549973</v>
      </c>
      <c r="E6142" s="32" t="s">
        <v>280</v>
      </c>
      <c r="F6142" s="32" t="s">
        <v>16687</v>
      </c>
      <c r="G6142" s="36" t="e">
        <v>#N/A</v>
      </c>
      <c r="H6142" s="33"/>
      <c r="I6142" s="33"/>
      <c r="J6142" s="33"/>
      <c r="K6142" s="33"/>
      <c r="L6142" s="33"/>
      <c r="M6142" s="33"/>
    </row>
    <row r="6143">
      <c r="A6143" s="32" t="s">
        <v>16688</v>
      </c>
      <c r="B6143" s="32" t="s">
        <v>16689</v>
      </c>
      <c r="C6143" s="35">
        <v>2.835833333</v>
      </c>
      <c r="D6143" s="35">
        <v>117.3736111</v>
      </c>
      <c r="E6143" s="32" t="s">
        <v>280</v>
      </c>
      <c r="F6143" s="32" t="s">
        <v>16690</v>
      </c>
      <c r="G6143" s="36" t="e">
        <v>#N/A</v>
      </c>
      <c r="H6143" s="33"/>
      <c r="I6143" s="33"/>
      <c r="J6143" s="33"/>
      <c r="K6143" s="33"/>
      <c r="L6143" s="33"/>
      <c r="M6143" s="33"/>
    </row>
    <row r="6144">
      <c r="A6144" s="32" t="s">
        <v>16691</v>
      </c>
      <c r="B6144" s="32" t="s">
        <v>16692</v>
      </c>
      <c r="C6144" s="35">
        <v>37.98809814</v>
      </c>
      <c r="D6144" s="35">
        <v>69.80500031</v>
      </c>
      <c r="E6144" s="32" t="s">
        <v>2237</v>
      </c>
      <c r="F6144" s="32" t="s">
        <v>16693</v>
      </c>
      <c r="G6144" s="36" t="e">
        <v>#N/A</v>
      </c>
      <c r="H6144" s="33"/>
      <c r="I6144" s="33"/>
      <c r="J6144" s="33"/>
      <c r="K6144" s="33"/>
      <c r="L6144" s="33"/>
      <c r="M6144" s="33"/>
    </row>
    <row r="6145">
      <c r="A6145" s="32" t="s">
        <v>16694</v>
      </c>
      <c r="B6145" s="32" t="s">
        <v>16695</v>
      </c>
      <c r="C6145" s="35">
        <v>62.32049942</v>
      </c>
      <c r="D6145" s="35">
        <v>-150.0939941</v>
      </c>
      <c r="E6145" s="32" t="s">
        <v>180</v>
      </c>
      <c r="F6145" s="32" t="s">
        <v>16696</v>
      </c>
      <c r="G6145" s="39" t="s">
        <v>181</v>
      </c>
      <c r="H6145" s="33"/>
      <c r="I6145" s="33"/>
      <c r="J6145" s="33"/>
      <c r="K6145" s="33"/>
      <c r="L6145" s="33"/>
      <c r="M6145" s="33"/>
    </row>
    <row r="6146">
      <c r="A6146" s="32" t="s">
        <v>16697</v>
      </c>
      <c r="B6146" s="32" t="s">
        <v>16698</v>
      </c>
      <c r="C6146" s="35">
        <v>4.089190006</v>
      </c>
      <c r="D6146" s="35">
        <v>9.3605299</v>
      </c>
      <c r="E6146" s="32" t="s">
        <v>32</v>
      </c>
      <c r="F6146" s="32" t="s">
        <v>16699</v>
      </c>
      <c r="G6146" s="36" t="e">
        <v>#N/A</v>
      </c>
      <c r="H6146" s="33"/>
      <c r="I6146" s="33"/>
      <c r="J6146" s="33"/>
      <c r="K6146" s="33"/>
      <c r="L6146" s="33"/>
      <c r="M6146" s="33"/>
    </row>
    <row r="6147">
      <c r="A6147" s="32" t="s">
        <v>16700</v>
      </c>
      <c r="B6147" s="32" t="s">
        <v>16701</v>
      </c>
      <c r="C6147" s="35">
        <v>4.89605999</v>
      </c>
      <c r="D6147" s="35">
        <v>-1.774760008</v>
      </c>
      <c r="E6147" s="32" t="s">
        <v>24</v>
      </c>
      <c r="F6147" s="32" t="s">
        <v>16702</v>
      </c>
      <c r="G6147" s="36" t="e">
        <v>#N/A</v>
      </c>
      <c r="H6147" s="33"/>
      <c r="I6147" s="33"/>
      <c r="J6147" s="33"/>
      <c r="K6147" s="33"/>
      <c r="L6147" s="33"/>
      <c r="M6147" s="33"/>
    </row>
    <row r="6148">
      <c r="A6148" s="32" t="s">
        <v>16703</v>
      </c>
      <c r="B6148" s="32" t="s">
        <v>16704</v>
      </c>
      <c r="C6148" s="35">
        <v>39.31999969</v>
      </c>
      <c r="D6148" s="35">
        <v>-120.1399994</v>
      </c>
      <c r="E6148" s="32" t="s">
        <v>180</v>
      </c>
      <c r="F6148" s="32" t="s">
        <v>16705</v>
      </c>
      <c r="G6148" s="39" t="s">
        <v>181</v>
      </c>
      <c r="H6148" s="33"/>
      <c r="I6148" s="33"/>
      <c r="J6148" s="33"/>
      <c r="K6148" s="33"/>
      <c r="L6148" s="33"/>
      <c r="M6148" s="33"/>
    </row>
    <row r="6149">
      <c r="A6149" s="32" t="s">
        <v>16706</v>
      </c>
      <c r="B6149" s="32" t="s">
        <v>16707</v>
      </c>
      <c r="C6149" s="35">
        <v>-5.240556</v>
      </c>
      <c r="D6149" s="35">
        <v>105.175556</v>
      </c>
      <c r="E6149" s="32" t="s">
        <v>280</v>
      </c>
      <c r="F6149" s="32" t="s">
        <v>16708</v>
      </c>
      <c r="G6149" s="36" t="e">
        <v>#N/A</v>
      </c>
      <c r="H6149" s="33"/>
      <c r="I6149" s="33"/>
      <c r="J6149" s="33"/>
      <c r="K6149" s="33"/>
      <c r="L6149" s="33"/>
      <c r="M6149" s="33"/>
    </row>
    <row r="6150">
      <c r="A6150" s="32" t="s">
        <v>16709</v>
      </c>
      <c r="B6150" s="32" t="s">
        <v>16710</v>
      </c>
      <c r="C6150" s="35">
        <v>33.17789841</v>
      </c>
      <c r="D6150" s="35">
        <v>-96.59049988</v>
      </c>
      <c r="E6150" s="32" t="s">
        <v>180</v>
      </c>
      <c r="F6150" s="32" t="s">
        <v>16711</v>
      </c>
      <c r="G6150" s="39" t="s">
        <v>181</v>
      </c>
      <c r="H6150" s="33"/>
      <c r="I6150" s="33"/>
      <c r="J6150" s="33"/>
      <c r="K6150" s="33"/>
      <c r="L6150" s="33"/>
      <c r="M6150" s="33"/>
    </row>
    <row r="6151">
      <c r="A6151" s="32" t="s">
        <v>16712</v>
      </c>
      <c r="B6151" s="32" t="s">
        <v>16713</v>
      </c>
      <c r="C6151" s="35">
        <v>63.32949829</v>
      </c>
      <c r="D6151" s="35">
        <v>-142.9539948</v>
      </c>
      <c r="E6151" s="32" t="s">
        <v>180</v>
      </c>
      <c r="F6151" s="32" t="s">
        <v>2888</v>
      </c>
      <c r="G6151" s="39" t="s">
        <v>181</v>
      </c>
      <c r="H6151" s="33"/>
      <c r="I6151" s="33"/>
      <c r="J6151" s="33"/>
      <c r="K6151" s="33"/>
      <c r="L6151" s="33"/>
      <c r="M6151" s="33"/>
    </row>
    <row r="6152">
      <c r="A6152" s="32" t="s">
        <v>16714</v>
      </c>
      <c r="B6152" s="32" t="s">
        <v>16715</v>
      </c>
      <c r="C6152" s="35">
        <v>7.461870193</v>
      </c>
      <c r="D6152" s="35">
        <v>151.8430023</v>
      </c>
      <c r="E6152" s="32" t="s">
        <v>10468</v>
      </c>
      <c r="F6152" s="32" t="s">
        <v>16716</v>
      </c>
      <c r="G6152" s="36" t="e">
        <v>#N/A</v>
      </c>
      <c r="H6152" s="33"/>
      <c r="I6152" s="33"/>
      <c r="J6152" s="33"/>
      <c r="K6152" s="33"/>
      <c r="L6152" s="33"/>
      <c r="M6152" s="33"/>
    </row>
    <row r="6153">
      <c r="A6153" s="32" t="s">
        <v>16717</v>
      </c>
      <c r="B6153" s="32" t="s">
        <v>16718</v>
      </c>
      <c r="C6153" s="35">
        <v>27.83639908</v>
      </c>
      <c r="D6153" s="35">
        <v>128.8809967</v>
      </c>
      <c r="E6153" s="32" t="s">
        <v>170</v>
      </c>
      <c r="F6153" s="32" t="s">
        <v>16719</v>
      </c>
      <c r="G6153" s="39" t="s">
        <v>171</v>
      </c>
      <c r="H6153" s="33"/>
      <c r="I6153" s="33"/>
      <c r="J6153" s="33"/>
      <c r="K6153" s="33"/>
      <c r="L6153" s="33"/>
      <c r="M6153" s="33"/>
    </row>
    <row r="6154">
      <c r="A6154" s="32" t="s">
        <v>16720</v>
      </c>
      <c r="B6154" s="32" t="s">
        <v>16721</v>
      </c>
      <c r="C6154" s="35">
        <v>-14.70950031</v>
      </c>
      <c r="D6154" s="35">
        <v>-145.2460022</v>
      </c>
      <c r="E6154" s="32" t="s">
        <v>1325</v>
      </c>
      <c r="F6154" s="32" t="s">
        <v>16722</v>
      </c>
      <c r="G6154" s="36" t="e">
        <v>#N/A</v>
      </c>
      <c r="H6154" s="33"/>
      <c r="I6154" s="33"/>
      <c r="J6154" s="33"/>
      <c r="K6154" s="33"/>
      <c r="L6154" s="33"/>
      <c r="M6154" s="33"/>
    </row>
    <row r="6155">
      <c r="A6155" s="32" t="s">
        <v>16723</v>
      </c>
      <c r="B6155" s="32" t="s">
        <v>16724</v>
      </c>
      <c r="C6155" s="35">
        <v>-4.8862</v>
      </c>
      <c r="D6155" s="35">
        <v>29.6709</v>
      </c>
      <c r="E6155" s="32" t="s">
        <v>2937</v>
      </c>
      <c r="F6155" s="32" t="s">
        <v>16725</v>
      </c>
      <c r="G6155" s="36" t="e">
        <v>#N/A</v>
      </c>
      <c r="H6155" s="33"/>
      <c r="I6155" s="33"/>
      <c r="J6155" s="33"/>
      <c r="K6155" s="33"/>
      <c r="L6155" s="33"/>
      <c r="M6155" s="33"/>
    </row>
    <row r="6156">
      <c r="A6156" s="32" t="s">
        <v>16726</v>
      </c>
      <c r="B6156" s="32" t="s">
        <v>16727</v>
      </c>
      <c r="C6156" s="35">
        <v>34.13280106</v>
      </c>
      <c r="D6156" s="35">
        <v>134.6069946</v>
      </c>
      <c r="E6156" s="32" t="s">
        <v>170</v>
      </c>
      <c r="F6156" s="32" t="s">
        <v>16728</v>
      </c>
      <c r="G6156" s="39" t="s">
        <v>171</v>
      </c>
      <c r="H6156" s="33"/>
      <c r="I6156" s="33"/>
      <c r="J6156" s="33"/>
      <c r="K6156" s="33"/>
      <c r="L6156" s="33"/>
      <c r="M6156" s="33"/>
    </row>
    <row r="6157">
      <c r="A6157" s="32" t="s">
        <v>16729</v>
      </c>
      <c r="B6157" s="32" t="s">
        <v>16730</v>
      </c>
      <c r="C6157" s="35">
        <v>16.89599991</v>
      </c>
      <c r="D6157" s="35">
        <v>99.25330353</v>
      </c>
      <c r="E6157" s="32" t="s">
        <v>175</v>
      </c>
      <c r="F6157" s="32" t="s">
        <v>1899</v>
      </c>
      <c r="G6157" s="39" t="s">
        <v>176</v>
      </c>
      <c r="H6157" s="33"/>
      <c r="I6157" s="33"/>
      <c r="J6157" s="33"/>
      <c r="K6157" s="33"/>
      <c r="L6157" s="33"/>
      <c r="M6157" s="33"/>
    </row>
    <row r="6158">
      <c r="A6158" s="32" t="s">
        <v>16731</v>
      </c>
      <c r="B6158" s="32" t="s">
        <v>16732</v>
      </c>
      <c r="C6158" s="35">
        <v>60.51409912</v>
      </c>
      <c r="D6158" s="35">
        <v>22.26280022</v>
      </c>
      <c r="E6158" s="32" t="s">
        <v>408</v>
      </c>
      <c r="F6158" s="32" t="s">
        <v>16733</v>
      </c>
      <c r="G6158" s="36" t="e">
        <v>#N/A</v>
      </c>
      <c r="H6158" s="33"/>
      <c r="I6158" s="33"/>
      <c r="J6158" s="33"/>
      <c r="K6158" s="33"/>
      <c r="L6158" s="33"/>
      <c r="M6158" s="33"/>
    </row>
    <row r="6159">
      <c r="A6159" s="32" t="s">
        <v>16734</v>
      </c>
      <c r="B6159" s="32" t="s">
        <v>16735</v>
      </c>
      <c r="C6159" s="35">
        <v>-14.45580006</v>
      </c>
      <c r="D6159" s="35">
        <v>-145.0249939</v>
      </c>
      <c r="E6159" s="32" t="s">
        <v>1325</v>
      </c>
      <c r="F6159" s="32" t="s">
        <v>16736</v>
      </c>
      <c r="G6159" s="36" t="e">
        <v>#N/A</v>
      </c>
      <c r="H6159" s="33"/>
      <c r="I6159" s="33"/>
      <c r="J6159" s="33"/>
      <c r="K6159" s="33"/>
      <c r="L6159" s="33"/>
      <c r="M6159" s="33"/>
    </row>
    <row r="6160">
      <c r="A6160" s="32" t="s">
        <v>16737</v>
      </c>
      <c r="B6160" s="32" t="s">
        <v>16738</v>
      </c>
      <c r="C6160" s="35">
        <v>65.24040221999999</v>
      </c>
      <c r="D6160" s="35">
        <v>-166.3390045</v>
      </c>
      <c r="E6160" s="32" t="s">
        <v>180</v>
      </c>
      <c r="F6160" s="32" t="s">
        <v>16739</v>
      </c>
      <c r="G6160" s="39" t="s">
        <v>181</v>
      </c>
      <c r="H6160" s="33"/>
      <c r="I6160" s="33"/>
      <c r="J6160" s="33"/>
      <c r="K6160" s="33"/>
      <c r="L6160" s="33"/>
      <c r="M6160" s="33"/>
    </row>
    <row r="6161">
      <c r="A6161" s="32" t="s">
        <v>16740</v>
      </c>
      <c r="B6161" s="32" t="s">
        <v>16741</v>
      </c>
      <c r="C6161" s="35">
        <v>19.33709908</v>
      </c>
      <c r="D6161" s="35">
        <v>-99.56600189</v>
      </c>
      <c r="E6161" s="32" t="s">
        <v>186</v>
      </c>
      <c r="F6161" s="32" t="s">
        <v>16742</v>
      </c>
      <c r="G6161" s="39" t="s">
        <v>187</v>
      </c>
      <c r="H6161" s="33"/>
      <c r="I6161" s="33"/>
      <c r="J6161" s="33"/>
      <c r="K6161" s="33"/>
      <c r="L6161" s="33"/>
      <c r="M6161" s="33"/>
    </row>
    <row r="6162">
      <c r="A6162" s="32" t="s">
        <v>16743</v>
      </c>
      <c r="B6162" s="32" t="s">
        <v>16744</v>
      </c>
      <c r="C6162" s="35">
        <v>-22.18919945</v>
      </c>
      <c r="D6162" s="35">
        <v>29.12689972</v>
      </c>
      <c r="E6162" s="32" t="s">
        <v>2285</v>
      </c>
      <c r="F6162" s="32" t="s">
        <v>16745</v>
      </c>
      <c r="G6162" s="36" t="e">
        <v>#N/A</v>
      </c>
      <c r="H6162" s="33"/>
      <c r="I6162" s="33"/>
      <c r="J6162" s="33"/>
      <c r="K6162" s="33"/>
      <c r="L6162" s="33"/>
      <c r="M6162" s="33"/>
    </row>
    <row r="6163">
      <c r="A6163" s="32" t="s">
        <v>16746</v>
      </c>
      <c r="B6163" s="32" t="s">
        <v>16747</v>
      </c>
      <c r="C6163" s="35">
        <v>-23.38339996</v>
      </c>
      <c r="D6163" s="35">
        <v>43.72850037</v>
      </c>
      <c r="E6163" s="32" t="s">
        <v>384</v>
      </c>
      <c r="F6163" s="32" t="s">
        <v>16748</v>
      </c>
      <c r="G6163" s="36" t="e">
        <v>#N/A</v>
      </c>
      <c r="H6163" s="33"/>
      <c r="I6163" s="33"/>
      <c r="J6163" s="33"/>
      <c r="K6163" s="33"/>
      <c r="L6163" s="33"/>
      <c r="M6163" s="33"/>
    </row>
    <row r="6164">
      <c r="A6164" s="32" t="s">
        <v>16749</v>
      </c>
      <c r="B6164" s="32" t="s">
        <v>16750</v>
      </c>
      <c r="C6164" s="35">
        <v>30.39649963</v>
      </c>
      <c r="D6164" s="35">
        <v>-84.35030365</v>
      </c>
      <c r="E6164" s="32" t="s">
        <v>180</v>
      </c>
      <c r="F6164" s="32" t="s">
        <v>16751</v>
      </c>
      <c r="G6164" s="39" t="s">
        <v>181</v>
      </c>
      <c r="H6164" s="33"/>
      <c r="I6164" s="33"/>
      <c r="J6164" s="33"/>
      <c r="K6164" s="33"/>
      <c r="L6164" s="33"/>
      <c r="M6164" s="33"/>
    </row>
    <row r="6165">
      <c r="A6165" s="32" t="s">
        <v>16752</v>
      </c>
      <c r="B6165" s="32" t="s">
        <v>16753</v>
      </c>
      <c r="C6165" s="35">
        <v>1.123428</v>
      </c>
      <c r="D6165" s="35">
        <v>120.793658</v>
      </c>
      <c r="E6165" s="32" t="s">
        <v>280</v>
      </c>
      <c r="F6165" s="32" t="s">
        <v>16754</v>
      </c>
      <c r="G6165" s="36" t="e">
        <v>#N/A</v>
      </c>
      <c r="H6165" s="33"/>
      <c r="I6165" s="33"/>
      <c r="J6165" s="33"/>
      <c r="K6165" s="33"/>
      <c r="L6165" s="33"/>
      <c r="M6165" s="33"/>
    </row>
    <row r="6166">
      <c r="A6166" s="32" t="s">
        <v>16755</v>
      </c>
      <c r="B6166" s="32" t="s">
        <v>16756</v>
      </c>
      <c r="C6166" s="35">
        <v>62.89440155</v>
      </c>
      <c r="D6166" s="35">
        <v>-155.977005</v>
      </c>
      <c r="E6166" s="32" t="s">
        <v>180</v>
      </c>
      <c r="F6166" s="32" t="s">
        <v>16757</v>
      </c>
      <c r="G6166" s="39" t="s">
        <v>181</v>
      </c>
      <c r="H6166" s="33"/>
      <c r="I6166" s="33"/>
      <c r="J6166" s="33"/>
      <c r="K6166" s="33"/>
      <c r="L6166" s="33"/>
      <c r="M6166" s="33"/>
    </row>
    <row r="6167">
      <c r="A6167" s="32" t="s">
        <v>16758</v>
      </c>
      <c r="B6167" s="32" t="s">
        <v>16759</v>
      </c>
      <c r="C6167" s="35">
        <v>59.41329956</v>
      </c>
      <c r="D6167" s="35">
        <v>24.83279991</v>
      </c>
      <c r="E6167" s="32" t="s">
        <v>405</v>
      </c>
      <c r="F6167" s="32" t="s">
        <v>16760</v>
      </c>
      <c r="G6167" s="36" t="e">
        <v>#N/A</v>
      </c>
      <c r="H6167" s="33"/>
      <c r="I6167" s="33"/>
      <c r="J6167" s="33"/>
      <c r="K6167" s="33"/>
      <c r="L6167" s="33"/>
      <c r="M6167" s="33"/>
    </row>
    <row r="6168">
      <c r="A6168" s="32" t="s">
        <v>16761</v>
      </c>
      <c r="B6168" s="32" t="s">
        <v>16762</v>
      </c>
      <c r="C6168" s="35">
        <v>35.01670074</v>
      </c>
      <c r="D6168" s="35">
        <v>-1.450000048</v>
      </c>
      <c r="E6168" s="32" t="s">
        <v>20</v>
      </c>
      <c r="F6168" s="32" t="s">
        <v>16763</v>
      </c>
      <c r="G6168" s="36" t="e">
        <v>#N/A</v>
      </c>
      <c r="H6168" s="33"/>
      <c r="I6168" s="33"/>
      <c r="J6168" s="33"/>
      <c r="K6168" s="33"/>
      <c r="L6168" s="33"/>
      <c r="M6168" s="33"/>
    </row>
    <row r="6169">
      <c r="A6169" s="32" t="s">
        <v>16764</v>
      </c>
      <c r="B6169" s="32" t="s">
        <v>16765</v>
      </c>
      <c r="C6169" s="35">
        <v>43.09730148</v>
      </c>
      <c r="D6169" s="35">
        <v>6.146029949</v>
      </c>
      <c r="E6169" s="32" t="s">
        <v>96</v>
      </c>
      <c r="F6169" s="32" t="s">
        <v>16766</v>
      </c>
      <c r="G6169" s="39" t="s">
        <v>97</v>
      </c>
      <c r="H6169" s="33"/>
      <c r="I6169" s="33"/>
      <c r="J6169" s="33"/>
      <c r="K6169" s="33"/>
      <c r="L6169" s="33"/>
      <c r="M6169" s="33"/>
    </row>
    <row r="6170">
      <c r="A6170" s="32" t="s">
        <v>16767</v>
      </c>
      <c r="B6170" s="32" t="s">
        <v>16768</v>
      </c>
      <c r="C6170" s="35">
        <v>43.0308</v>
      </c>
      <c r="D6170" s="35">
        <v>89.0987</v>
      </c>
      <c r="E6170" s="32" t="s">
        <v>205</v>
      </c>
      <c r="F6170" s="32" t="s">
        <v>16769</v>
      </c>
      <c r="G6170" s="39" t="s">
        <v>206</v>
      </c>
      <c r="H6170" s="33"/>
      <c r="I6170" s="33"/>
      <c r="J6170" s="33"/>
      <c r="K6170" s="33"/>
      <c r="L6170" s="33"/>
      <c r="M6170" s="33"/>
    </row>
    <row r="6171">
      <c r="A6171" s="32" t="s">
        <v>16770</v>
      </c>
      <c r="B6171" s="32" t="s">
        <v>16771</v>
      </c>
      <c r="C6171" s="35">
        <v>43.629101</v>
      </c>
      <c r="D6171" s="35">
        <v>1.36382</v>
      </c>
      <c r="E6171" s="32" t="s">
        <v>96</v>
      </c>
      <c r="F6171" s="32" t="s">
        <v>890</v>
      </c>
      <c r="G6171" s="39" t="s">
        <v>97</v>
      </c>
      <c r="H6171" s="33"/>
      <c r="I6171" s="33"/>
      <c r="J6171" s="33"/>
      <c r="K6171" s="33"/>
      <c r="L6171" s="33"/>
      <c r="M6171" s="33"/>
    </row>
    <row r="6172">
      <c r="A6172" s="32" t="s">
        <v>16772</v>
      </c>
      <c r="B6172" s="32" t="s">
        <v>16773</v>
      </c>
      <c r="C6172" s="35">
        <v>9.50945</v>
      </c>
      <c r="D6172" s="35">
        <v>-75.5854</v>
      </c>
      <c r="E6172" s="32" t="s">
        <v>292</v>
      </c>
      <c r="F6172" s="32" t="s">
        <v>16774</v>
      </c>
      <c r="G6172" s="36" t="e">
        <v>#N/A</v>
      </c>
      <c r="H6172" s="33"/>
      <c r="I6172" s="33"/>
      <c r="J6172" s="33"/>
      <c r="K6172" s="33"/>
      <c r="L6172" s="33"/>
      <c r="M6172" s="33"/>
    </row>
    <row r="6173">
      <c r="A6173" s="32" t="s">
        <v>16775</v>
      </c>
      <c r="B6173" s="32" t="s">
        <v>16776</v>
      </c>
      <c r="C6173" s="35">
        <v>32.01139832</v>
      </c>
      <c r="D6173" s="35">
        <v>34.88669968</v>
      </c>
      <c r="E6173" s="32" t="s">
        <v>243</v>
      </c>
      <c r="F6173" s="32" t="s">
        <v>15423</v>
      </c>
      <c r="G6173" s="36" t="e">
        <v>#N/A</v>
      </c>
      <c r="H6173" s="33"/>
      <c r="I6173" s="33"/>
      <c r="J6173" s="33"/>
      <c r="K6173" s="33"/>
      <c r="L6173" s="33"/>
      <c r="M6173" s="33"/>
    </row>
    <row r="6174">
      <c r="A6174" s="32" t="s">
        <v>16777</v>
      </c>
      <c r="B6174" s="32" t="s">
        <v>16778</v>
      </c>
      <c r="C6174" s="35">
        <v>-35.37779999</v>
      </c>
      <c r="D6174" s="35">
        <v>-71.60169983</v>
      </c>
      <c r="E6174" s="32" t="s">
        <v>300</v>
      </c>
      <c r="F6174" s="32" t="s">
        <v>16779</v>
      </c>
      <c r="G6174" s="36" t="e">
        <v>#N/A</v>
      </c>
      <c r="H6174" s="33"/>
      <c r="I6174" s="33"/>
      <c r="J6174" s="33"/>
      <c r="K6174" s="33"/>
      <c r="L6174" s="33"/>
      <c r="M6174" s="33"/>
    </row>
    <row r="6175">
      <c r="A6175" s="32" t="s">
        <v>16780</v>
      </c>
      <c r="B6175" s="32" t="s">
        <v>16781</v>
      </c>
      <c r="C6175" s="35">
        <v>31.42900085</v>
      </c>
      <c r="D6175" s="35">
        <v>-83.4885025</v>
      </c>
      <c r="E6175" s="32" t="s">
        <v>180</v>
      </c>
      <c r="F6175" s="32" t="s">
        <v>16782</v>
      </c>
      <c r="G6175" s="39" t="s">
        <v>181</v>
      </c>
      <c r="H6175" s="33"/>
      <c r="I6175" s="33"/>
      <c r="J6175" s="33"/>
      <c r="K6175" s="33"/>
      <c r="L6175" s="33"/>
      <c r="M6175" s="33"/>
    </row>
    <row r="6176">
      <c r="A6176" s="32" t="s">
        <v>16783</v>
      </c>
      <c r="B6176" s="32" t="s">
        <v>16784</v>
      </c>
      <c r="C6176" s="35">
        <v>25.64789963</v>
      </c>
      <c r="D6176" s="35">
        <v>-80.43280029</v>
      </c>
      <c r="E6176" s="32" t="s">
        <v>180</v>
      </c>
      <c r="F6176" s="32" t="s">
        <v>16785</v>
      </c>
      <c r="G6176" s="39" t="s">
        <v>181</v>
      </c>
      <c r="H6176" s="33"/>
      <c r="I6176" s="33"/>
      <c r="J6176" s="33"/>
      <c r="K6176" s="33"/>
      <c r="L6176" s="33"/>
      <c r="M6176" s="33"/>
    </row>
    <row r="6177">
      <c r="A6177" s="32" t="s">
        <v>16786</v>
      </c>
      <c r="B6177" s="32" t="s">
        <v>16787</v>
      </c>
      <c r="C6177" s="35">
        <v>-9.409720421</v>
      </c>
      <c r="D6177" s="35">
        <v>119.2440033</v>
      </c>
      <c r="E6177" s="32" t="s">
        <v>280</v>
      </c>
      <c r="F6177" s="32" t="s">
        <v>16788</v>
      </c>
      <c r="G6177" s="36" t="e">
        <v>#N/A</v>
      </c>
      <c r="H6177" s="33"/>
      <c r="I6177" s="33"/>
      <c r="J6177" s="33"/>
      <c r="K6177" s="33"/>
      <c r="L6177" s="33"/>
      <c r="M6177" s="33"/>
    </row>
    <row r="6178">
      <c r="A6178" s="32" t="s">
        <v>16789</v>
      </c>
      <c r="B6178" s="32" t="s">
        <v>16790</v>
      </c>
      <c r="C6178" s="35">
        <v>6.45108</v>
      </c>
      <c r="D6178" s="35">
        <v>-71.7603</v>
      </c>
      <c r="E6178" s="32" t="s">
        <v>292</v>
      </c>
      <c r="F6178" s="32" t="s">
        <v>16791</v>
      </c>
      <c r="G6178" s="36" t="e">
        <v>#N/A</v>
      </c>
      <c r="H6178" s="33"/>
      <c r="I6178" s="33"/>
      <c r="J6178" s="33"/>
      <c r="K6178" s="33"/>
      <c r="L6178" s="33"/>
      <c r="M6178" s="33"/>
    </row>
    <row r="6179">
      <c r="A6179" s="32" t="s">
        <v>16792</v>
      </c>
      <c r="B6179" s="32" t="s">
        <v>16793</v>
      </c>
      <c r="C6179" s="35">
        <v>2.211</v>
      </c>
      <c r="D6179" s="35">
        <v>73.1533</v>
      </c>
      <c r="E6179" s="32" t="s">
        <v>6888</v>
      </c>
      <c r="F6179" s="32" t="s">
        <v>16794</v>
      </c>
      <c r="G6179" s="36" t="e">
        <v>#N/A</v>
      </c>
      <c r="H6179" s="33"/>
      <c r="I6179" s="33"/>
      <c r="J6179" s="33"/>
      <c r="K6179" s="33"/>
      <c r="L6179" s="33"/>
      <c r="M6179" s="33"/>
    </row>
    <row r="6180">
      <c r="A6180" s="32" t="s">
        <v>16795</v>
      </c>
      <c r="B6180" s="32" t="s">
        <v>16796</v>
      </c>
      <c r="C6180" s="35">
        <v>5.400000095</v>
      </c>
      <c r="D6180" s="35">
        <v>118.6500015</v>
      </c>
      <c r="E6180" s="32" t="s">
        <v>284</v>
      </c>
      <c r="F6180" s="32" t="s">
        <v>16797</v>
      </c>
      <c r="G6180" s="36" t="e">
        <v>#N/A</v>
      </c>
      <c r="H6180" s="33"/>
      <c r="I6180" s="33"/>
      <c r="J6180" s="33"/>
      <c r="K6180" s="33"/>
      <c r="L6180" s="33"/>
      <c r="M6180" s="33"/>
    </row>
    <row r="6181">
      <c r="A6181" s="32" t="s">
        <v>16798</v>
      </c>
      <c r="B6181" s="32" t="s">
        <v>16799</v>
      </c>
      <c r="C6181" s="35">
        <v>27.31500053</v>
      </c>
      <c r="D6181" s="35">
        <v>87.19329834</v>
      </c>
      <c r="E6181" s="32" t="s">
        <v>1877</v>
      </c>
      <c r="F6181" s="32" t="s">
        <v>16800</v>
      </c>
      <c r="G6181" s="36" t="e">
        <v>#N/A</v>
      </c>
      <c r="H6181" s="33"/>
      <c r="I6181" s="33"/>
      <c r="J6181" s="33"/>
      <c r="K6181" s="33"/>
      <c r="L6181" s="33"/>
      <c r="M6181" s="33"/>
    </row>
    <row r="6182">
      <c r="A6182" s="32" t="s">
        <v>16801</v>
      </c>
      <c r="B6182" s="32" t="s">
        <v>16802</v>
      </c>
      <c r="C6182" s="35">
        <v>37.2867012</v>
      </c>
      <c r="D6182" s="35">
        <v>67.30999756</v>
      </c>
      <c r="E6182" s="32" t="s">
        <v>3332</v>
      </c>
      <c r="F6182" s="32" t="s">
        <v>16803</v>
      </c>
      <c r="G6182" s="36" t="e">
        <v>#N/A</v>
      </c>
      <c r="H6182" s="33"/>
      <c r="I6182" s="33"/>
      <c r="J6182" s="33"/>
      <c r="K6182" s="33"/>
      <c r="L6182" s="33"/>
      <c r="M6182" s="33"/>
    </row>
    <row r="6183">
      <c r="A6183" s="32" t="s">
        <v>16804</v>
      </c>
      <c r="B6183" s="32" t="s">
        <v>16805</v>
      </c>
      <c r="C6183" s="35">
        <v>9.557189941</v>
      </c>
      <c r="D6183" s="35">
        <v>-0.863214016</v>
      </c>
      <c r="E6183" s="32" t="s">
        <v>24</v>
      </c>
      <c r="F6183" s="32" t="s">
        <v>16806</v>
      </c>
      <c r="G6183" s="36" t="e">
        <v>#N/A</v>
      </c>
      <c r="H6183" s="33"/>
      <c r="I6183" s="33"/>
      <c r="J6183" s="33"/>
      <c r="K6183" s="33"/>
      <c r="L6183" s="33"/>
      <c r="M6183" s="33"/>
    </row>
    <row r="6184">
      <c r="A6184" s="32" t="s">
        <v>16807</v>
      </c>
      <c r="B6184" s="32" t="s">
        <v>16808</v>
      </c>
      <c r="C6184" s="35">
        <v>-18.10950089</v>
      </c>
      <c r="D6184" s="35">
        <v>49.39250183</v>
      </c>
      <c r="E6184" s="32" t="s">
        <v>384</v>
      </c>
      <c r="F6184" s="32" t="s">
        <v>16809</v>
      </c>
      <c r="G6184" s="36" t="e">
        <v>#N/A</v>
      </c>
      <c r="H6184" s="33"/>
      <c r="I6184" s="33"/>
      <c r="J6184" s="33"/>
      <c r="K6184" s="33"/>
      <c r="L6184" s="33"/>
      <c r="M6184" s="33"/>
    </row>
    <row r="6185">
      <c r="A6185" s="32" t="s">
        <v>16810</v>
      </c>
      <c r="B6185" s="32" t="s">
        <v>16811</v>
      </c>
      <c r="C6185" s="35">
        <v>-2.485830069</v>
      </c>
      <c r="D6185" s="35">
        <v>175.9700012</v>
      </c>
      <c r="E6185" s="32" t="s">
        <v>3439</v>
      </c>
      <c r="F6185" s="32" t="s">
        <v>16812</v>
      </c>
      <c r="G6185" s="36" t="e">
        <v>#N/A</v>
      </c>
      <c r="H6185" s="33"/>
      <c r="I6185" s="33"/>
      <c r="J6185" s="33"/>
      <c r="K6185" s="33"/>
      <c r="L6185" s="33"/>
      <c r="M6185" s="33"/>
    </row>
    <row r="6186">
      <c r="A6186" s="32" t="s">
        <v>16813</v>
      </c>
      <c r="B6186" s="32" t="s">
        <v>16814</v>
      </c>
      <c r="C6186" s="35">
        <v>61.41410065</v>
      </c>
      <c r="D6186" s="35">
        <v>23.60440063</v>
      </c>
      <c r="E6186" s="32" t="s">
        <v>408</v>
      </c>
      <c r="F6186" s="32" t="s">
        <v>16815</v>
      </c>
      <c r="G6186" s="36" t="e">
        <v>#N/A</v>
      </c>
      <c r="H6186" s="33"/>
      <c r="I6186" s="33"/>
      <c r="J6186" s="33"/>
      <c r="K6186" s="33"/>
      <c r="L6186" s="33"/>
      <c r="M6186" s="33"/>
    </row>
    <row r="6187">
      <c r="A6187" s="32" t="s">
        <v>16816</v>
      </c>
      <c r="B6187" s="32" t="s">
        <v>16817</v>
      </c>
      <c r="C6187" s="35">
        <v>22.81150055</v>
      </c>
      <c r="D6187" s="35">
        <v>5.451079845</v>
      </c>
      <c r="E6187" s="32" t="s">
        <v>20</v>
      </c>
      <c r="F6187" s="32" t="s">
        <v>16818</v>
      </c>
      <c r="G6187" s="36" t="e">
        <v>#N/A</v>
      </c>
      <c r="H6187" s="33"/>
      <c r="I6187" s="33"/>
      <c r="J6187" s="33"/>
      <c r="K6187" s="33"/>
      <c r="L6187" s="33"/>
      <c r="M6187" s="33"/>
    </row>
    <row r="6188">
      <c r="A6188" s="32" t="s">
        <v>16819</v>
      </c>
      <c r="B6188" s="32" t="s">
        <v>16820</v>
      </c>
      <c r="C6188" s="35">
        <v>0.37817499</v>
      </c>
      <c r="D6188" s="35">
        <v>6.712150097</v>
      </c>
      <c r="E6188" s="32" t="s">
        <v>13764</v>
      </c>
      <c r="F6188" s="32" t="s">
        <v>16821</v>
      </c>
      <c r="G6188" s="36" t="e">
        <v>#N/A</v>
      </c>
      <c r="H6188" s="33"/>
      <c r="I6188" s="33"/>
      <c r="J6188" s="33"/>
      <c r="K6188" s="33"/>
      <c r="L6188" s="33"/>
      <c r="M6188" s="33"/>
    </row>
    <row r="6189">
      <c r="A6189" s="32" t="s">
        <v>16822</v>
      </c>
      <c r="B6189" s="32" t="s">
        <v>16823</v>
      </c>
      <c r="C6189" s="35">
        <v>-1.489599943</v>
      </c>
      <c r="D6189" s="35">
        <v>-56.39680099</v>
      </c>
      <c r="E6189" s="32" t="s">
        <v>288</v>
      </c>
      <c r="F6189" s="32" t="s">
        <v>13509</v>
      </c>
      <c r="G6189" s="36" t="e">
        <v>#N/A</v>
      </c>
      <c r="H6189" s="33"/>
      <c r="I6189" s="33"/>
      <c r="J6189" s="33"/>
      <c r="K6189" s="33"/>
      <c r="L6189" s="33"/>
      <c r="M6189" s="33"/>
    </row>
    <row r="6190">
      <c r="A6190" s="32" t="s">
        <v>16824</v>
      </c>
      <c r="B6190" s="32" t="s">
        <v>16825</v>
      </c>
      <c r="C6190" s="35">
        <v>9.738519669</v>
      </c>
      <c r="D6190" s="35">
        <v>-85.01380157</v>
      </c>
      <c r="E6190" s="32" t="s">
        <v>1267</v>
      </c>
      <c r="F6190" s="32" t="s">
        <v>16826</v>
      </c>
      <c r="G6190" s="36" t="e">
        <v>#N/A</v>
      </c>
      <c r="H6190" s="33"/>
      <c r="I6190" s="33"/>
      <c r="J6190" s="33"/>
      <c r="K6190" s="33"/>
      <c r="L6190" s="33"/>
      <c r="M6190" s="33"/>
    </row>
    <row r="6191">
      <c r="A6191" s="32" t="s">
        <v>16827</v>
      </c>
      <c r="B6191" s="32" t="s">
        <v>16828</v>
      </c>
      <c r="C6191" s="35">
        <v>-31.08390045</v>
      </c>
      <c r="D6191" s="35">
        <v>150.8470001</v>
      </c>
      <c r="E6191" s="32" t="s">
        <v>1968</v>
      </c>
      <c r="F6191" s="32" t="s">
        <v>16829</v>
      </c>
      <c r="G6191" s="36" t="e">
        <v>#N/A</v>
      </c>
      <c r="H6191" s="33"/>
      <c r="I6191" s="33"/>
      <c r="J6191" s="33"/>
      <c r="K6191" s="33"/>
      <c r="L6191" s="33"/>
      <c r="M6191" s="33"/>
    </row>
    <row r="6192">
      <c r="A6192" s="32" t="s">
        <v>16830</v>
      </c>
      <c r="B6192" s="32" t="s">
        <v>16831</v>
      </c>
      <c r="C6192" s="35">
        <v>29.2371006</v>
      </c>
      <c r="D6192" s="35">
        <v>0.276033014</v>
      </c>
      <c r="E6192" s="32" t="s">
        <v>20</v>
      </c>
      <c r="F6192" s="32" t="s">
        <v>16832</v>
      </c>
      <c r="G6192" s="36" t="e">
        <v>#N/A</v>
      </c>
      <c r="H6192" s="33"/>
      <c r="I6192" s="33"/>
      <c r="J6192" s="33"/>
      <c r="K6192" s="33"/>
      <c r="L6192" s="33"/>
      <c r="M6192" s="33"/>
    </row>
    <row r="6193">
      <c r="A6193" s="32" t="s">
        <v>16833</v>
      </c>
      <c r="B6193" s="32" t="s">
        <v>16834</v>
      </c>
      <c r="C6193" s="35">
        <v>46.0214</v>
      </c>
      <c r="D6193" s="35">
        <v>11.1242</v>
      </c>
      <c r="E6193" s="32" t="s">
        <v>103</v>
      </c>
      <c r="F6193" s="32" t="s">
        <v>16835</v>
      </c>
      <c r="G6193" s="39" t="s">
        <v>104</v>
      </c>
      <c r="H6193" s="33"/>
      <c r="I6193" s="33"/>
      <c r="J6193" s="33"/>
      <c r="K6193" s="33"/>
      <c r="L6193" s="33"/>
      <c r="M6193" s="33"/>
    </row>
    <row r="6194">
      <c r="A6194" s="32" t="s">
        <v>16836</v>
      </c>
      <c r="B6194" s="32" t="s">
        <v>16837</v>
      </c>
      <c r="C6194" s="35">
        <v>36.85720062</v>
      </c>
      <c r="D6194" s="35">
        <v>117.2160034</v>
      </c>
      <c r="E6194" s="32" t="s">
        <v>205</v>
      </c>
      <c r="F6194" s="32" t="s">
        <v>16838</v>
      </c>
      <c r="G6194" s="39" t="s">
        <v>206</v>
      </c>
      <c r="H6194" s="33"/>
      <c r="I6194" s="33"/>
      <c r="J6194" s="33"/>
      <c r="K6194" s="33"/>
      <c r="L6194" s="33"/>
      <c r="M6194" s="33"/>
    </row>
    <row r="6195">
      <c r="A6195" s="32" t="s">
        <v>16839</v>
      </c>
      <c r="B6195" s="32" t="s">
        <v>16840</v>
      </c>
      <c r="C6195" s="35">
        <v>65.56310272</v>
      </c>
      <c r="D6195" s="35">
        <v>-167.9219971</v>
      </c>
      <c r="E6195" s="32" t="s">
        <v>180</v>
      </c>
      <c r="F6195" s="32" t="s">
        <v>16841</v>
      </c>
      <c r="G6195" s="39" t="s">
        <v>181</v>
      </c>
      <c r="H6195" s="33"/>
      <c r="I6195" s="33"/>
      <c r="J6195" s="33"/>
      <c r="K6195" s="33"/>
      <c r="L6195" s="33"/>
      <c r="M6195" s="33"/>
    </row>
    <row r="6196">
      <c r="A6196" s="32" t="s">
        <v>16842</v>
      </c>
      <c r="B6196" s="32" t="s">
        <v>16843</v>
      </c>
      <c r="C6196" s="35">
        <v>21.78829956</v>
      </c>
      <c r="D6196" s="35">
        <v>-79.99720001</v>
      </c>
      <c r="E6196" s="32" t="s">
        <v>1294</v>
      </c>
      <c r="F6196" s="32" t="s">
        <v>16477</v>
      </c>
      <c r="G6196" s="36" t="e">
        <v>#N/A</v>
      </c>
      <c r="H6196" s="33"/>
      <c r="I6196" s="33"/>
      <c r="J6196" s="33"/>
      <c r="K6196" s="33"/>
      <c r="L6196" s="33"/>
      <c r="M6196" s="33"/>
    </row>
    <row r="6197">
      <c r="A6197" s="32" t="s">
        <v>16844</v>
      </c>
      <c r="B6197" s="32" t="s">
        <v>16845</v>
      </c>
      <c r="C6197" s="35">
        <v>30.60510063</v>
      </c>
      <c r="D6197" s="35">
        <v>130.9909973</v>
      </c>
      <c r="E6197" s="32" t="s">
        <v>170</v>
      </c>
      <c r="F6197" s="32" t="s">
        <v>16846</v>
      </c>
      <c r="G6197" s="39" t="s">
        <v>171</v>
      </c>
      <c r="H6197" s="33"/>
      <c r="I6197" s="33"/>
      <c r="J6197" s="33"/>
      <c r="K6197" s="33"/>
      <c r="L6197" s="33"/>
      <c r="M6197" s="33"/>
    </row>
    <row r="6198">
      <c r="A6198" s="32" t="s">
        <v>16847</v>
      </c>
      <c r="B6198" s="32" t="s">
        <v>16848</v>
      </c>
      <c r="C6198" s="35">
        <v>48.75189972</v>
      </c>
      <c r="D6198" s="35">
        <v>2.106189966</v>
      </c>
      <c r="E6198" s="32" t="s">
        <v>96</v>
      </c>
      <c r="F6198" s="32" t="s">
        <v>16849</v>
      </c>
      <c r="G6198" s="39" t="s">
        <v>97</v>
      </c>
      <c r="H6198" s="33"/>
      <c r="I6198" s="33"/>
      <c r="J6198" s="33"/>
      <c r="K6198" s="33"/>
      <c r="L6198" s="33"/>
      <c r="M6198" s="33"/>
    </row>
    <row r="6199">
      <c r="A6199" s="32" t="s">
        <v>16850</v>
      </c>
      <c r="B6199" s="32" t="s">
        <v>16851</v>
      </c>
      <c r="C6199" s="35">
        <v>35.72689819</v>
      </c>
      <c r="D6199" s="35">
        <v>-5.916890144</v>
      </c>
      <c r="E6199" s="32" t="s">
        <v>17</v>
      </c>
      <c r="F6199" s="32" t="s">
        <v>16852</v>
      </c>
      <c r="G6199" s="36" t="e">
        <v>#N/A</v>
      </c>
      <c r="H6199" s="33"/>
      <c r="I6199" s="33"/>
      <c r="J6199" s="33"/>
      <c r="K6199" s="33"/>
      <c r="L6199" s="33"/>
      <c r="M6199" s="33"/>
    </row>
    <row r="6200">
      <c r="A6200" s="32" t="s">
        <v>16853</v>
      </c>
      <c r="B6200" s="32" t="s">
        <v>16854</v>
      </c>
      <c r="C6200" s="35">
        <v>42.25388889</v>
      </c>
      <c r="D6200" s="35">
        <v>125.7033333</v>
      </c>
      <c r="E6200" s="32" t="s">
        <v>205</v>
      </c>
      <c r="F6200" s="32" t="s">
        <v>16855</v>
      </c>
      <c r="G6200" s="39" t="s">
        <v>206</v>
      </c>
      <c r="H6200" s="33"/>
      <c r="I6200" s="33"/>
      <c r="J6200" s="33"/>
      <c r="K6200" s="33"/>
      <c r="L6200" s="33"/>
      <c r="M6200" s="33"/>
    </row>
    <row r="6201">
      <c r="A6201" s="32" t="s">
        <v>16856</v>
      </c>
      <c r="B6201" s="32" t="s">
        <v>16857</v>
      </c>
      <c r="C6201" s="35">
        <v>24.56229973</v>
      </c>
      <c r="D6201" s="35">
        <v>80.85489655</v>
      </c>
      <c r="E6201" s="32" t="s">
        <v>217</v>
      </c>
      <c r="F6201" s="32" t="s">
        <v>16858</v>
      </c>
      <c r="G6201" s="39" t="s">
        <v>218</v>
      </c>
      <c r="H6201" s="33"/>
      <c r="I6201" s="33"/>
      <c r="J6201" s="33"/>
      <c r="K6201" s="33"/>
      <c r="L6201" s="33"/>
      <c r="M6201" s="33"/>
    </row>
    <row r="6202">
      <c r="A6202" s="32" t="s">
        <v>16859</v>
      </c>
      <c r="B6202" s="32" t="s">
        <v>16860</v>
      </c>
      <c r="C6202" s="35">
        <v>0.922683001</v>
      </c>
      <c r="D6202" s="35">
        <v>104.5319977</v>
      </c>
      <c r="E6202" s="32" t="s">
        <v>280</v>
      </c>
      <c r="F6202" s="32" t="s">
        <v>16861</v>
      </c>
      <c r="G6202" s="36" t="e">
        <v>#N/A</v>
      </c>
      <c r="H6202" s="33"/>
      <c r="I6202" s="33"/>
      <c r="J6202" s="33"/>
      <c r="K6202" s="33"/>
      <c r="L6202" s="33"/>
      <c r="M6202" s="33"/>
    </row>
    <row r="6203">
      <c r="A6203" s="32" t="s">
        <v>16862</v>
      </c>
      <c r="B6203" s="32" t="s">
        <v>16863</v>
      </c>
      <c r="C6203" s="35">
        <v>49.5242</v>
      </c>
      <c r="D6203" s="35">
        <v>25.7001</v>
      </c>
      <c r="E6203" s="32" t="s">
        <v>3293</v>
      </c>
      <c r="F6203" s="32" t="s">
        <v>16864</v>
      </c>
      <c r="G6203" s="36" t="e">
        <v>#N/A</v>
      </c>
      <c r="H6203" s="33"/>
      <c r="I6203" s="33"/>
      <c r="J6203" s="33"/>
      <c r="K6203" s="33"/>
      <c r="L6203" s="33"/>
      <c r="M6203" s="33"/>
    </row>
    <row r="6204">
      <c r="A6204" s="32" t="s">
        <v>16865</v>
      </c>
      <c r="B6204" s="32" t="s">
        <v>16866</v>
      </c>
      <c r="C6204" s="35">
        <v>22.9503994</v>
      </c>
      <c r="D6204" s="35">
        <v>120.2060013</v>
      </c>
      <c r="E6204" s="32" t="s">
        <v>1497</v>
      </c>
      <c r="F6204" s="32" t="s">
        <v>16867</v>
      </c>
      <c r="G6204" s="36" t="e">
        <v>#N/A</v>
      </c>
      <c r="H6204" s="33"/>
      <c r="I6204" s="33"/>
      <c r="J6204" s="33"/>
      <c r="K6204" s="33"/>
      <c r="L6204" s="33"/>
      <c r="M6204" s="33"/>
    </row>
    <row r="6205">
      <c r="A6205" s="32" t="s">
        <v>16868</v>
      </c>
      <c r="B6205" s="32" t="s">
        <v>16869</v>
      </c>
      <c r="C6205" s="35">
        <v>10.35569954</v>
      </c>
      <c r="D6205" s="35">
        <v>-85.85289764</v>
      </c>
      <c r="E6205" s="32" t="s">
        <v>1267</v>
      </c>
      <c r="F6205" s="32" t="s">
        <v>16826</v>
      </c>
      <c r="G6205" s="36" t="e">
        <v>#N/A</v>
      </c>
      <c r="H6205" s="33"/>
      <c r="I6205" s="33"/>
      <c r="J6205" s="33"/>
      <c r="K6205" s="33"/>
      <c r="L6205" s="33"/>
      <c r="M6205" s="33"/>
    </row>
    <row r="6206">
      <c r="A6206" s="32" t="s">
        <v>16870</v>
      </c>
      <c r="B6206" s="32" t="s">
        <v>16871</v>
      </c>
      <c r="C6206" s="35">
        <v>-18.7968998</v>
      </c>
      <c r="D6206" s="35">
        <v>47.47880173</v>
      </c>
      <c r="E6206" s="32" t="s">
        <v>384</v>
      </c>
      <c r="F6206" s="32" t="s">
        <v>16872</v>
      </c>
      <c r="G6206" s="36" t="e">
        <v>#N/A</v>
      </c>
      <c r="H6206" s="33"/>
      <c r="I6206" s="33"/>
      <c r="J6206" s="33"/>
      <c r="K6206" s="33"/>
      <c r="L6206" s="33"/>
      <c r="M6206" s="33"/>
    </row>
    <row r="6207">
      <c r="A6207" s="32" t="s">
        <v>16873</v>
      </c>
      <c r="B6207" s="32" t="s">
        <v>16874</v>
      </c>
      <c r="C6207" s="35">
        <v>25.86179924</v>
      </c>
      <c r="D6207" s="35">
        <v>-80.89700317</v>
      </c>
      <c r="E6207" s="32" t="s">
        <v>180</v>
      </c>
      <c r="F6207" s="32" t="s">
        <v>11920</v>
      </c>
      <c r="G6207" s="39" t="s">
        <v>181</v>
      </c>
      <c r="H6207" s="33"/>
      <c r="I6207" s="33"/>
      <c r="J6207" s="33"/>
      <c r="K6207" s="33"/>
      <c r="L6207" s="33"/>
      <c r="M6207" s="33"/>
    </row>
    <row r="6208">
      <c r="A6208" s="32" t="s">
        <v>16875</v>
      </c>
      <c r="B6208" s="32" t="s">
        <v>16876</v>
      </c>
      <c r="C6208" s="35">
        <v>13.53190041</v>
      </c>
      <c r="D6208" s="35">
        <v>106.0149994</v>
      </c>
      <c r="E6208" s="32" t="s">
        <v>1832</v>
      </c>
      <c r="F6208" s="32" t="s">
        <v>16877</v>
      </c>
      <c r="G6208" s="36" t="e">
        <v>#N/A</v>
      </c>
      <c r="H6208" s="33"/>
      <c r="I6208" s="33"/>
      <c r="J6208" s="33"/>
      <c r="K6208" s="33"/>
      <c r="L6208" s="33"/>
      <c r="M6208" s="33"/>
    </row>
    <row r="6209">
      <c r="A6209" s="32" t="s">
        <v>16878</v>
      </c>
      <c r="B6209" s="32" t="s">
        <v>16879</v>
      </c>
      <c r="C6209" s="35">
        <v>33.80339813</v>
      </c>
      <c r="D6209" s="35">
        <v>-118.3399963</v>
      </c>
      <c r="E6209" s="32" t="s">
        <v>180</v>
      </c>
      <c r="F6209" s="32" t="s">
        <v>16880</v>
      </c>
      <c r="G6209" s="39" t="s">
        <v>181</v>
      </c>
      <c r="H6209" s="33"/>
      <c r="I6209" s="33"/>
      <c r="J6209" s="33"/>
      <c r="K6209" s="33"/>
      <c r="L6209" s="33"/>
      <c r="M6209" s="33"/>
    </row>
    <row r="6210">
      <c r="A6210" s="32" t="s">
        <v>16881</v>
      </c>
      <c r="B6210" s="32" t="s">
        <v>16882</v>
      </c>
      <c r="C6210" s="35">
        <v>31.861</v>
      </c>
      <c r="D6210" s="35">
        <v>23.907</v>
      </c>
      <c r="E6210" s="32" t="s">
        <v>829</v>
      </c>
      <c r="F6210" s="32" t="s">
        <v>16883</v>
      </c>
      <c r="G6210" s="36" t="e">
        <v>#N/A</v>
      </c>
      <c r="H6210" s="33"/>
      <c r="I6210" s="33"/>
      <c r="J6210" s="33"/>
      <c r="K6210" s="33"/>
      <c r="L6210" s="33"/>
      <c r="M6210" s="33"/>
    </row>
    <row r="6211">
      <c r="A6211" s="32" t="s">
        <v>16884</v>
      </c>
      <c r="B6211" s="32" t="s">
        <v>16885</v>
      </c>
      <c r="C6211" s="35">
        <v>34.59379959</v>
      </c>
      <c r="D6211" s="35">
        <v>-83.29579926</v>
      </c>
      <c r="E6211" s="32" t="s">
        <v>180</v>
      </c>
      <c r="F6211" s="32" t="s">
        <v>16886</v>
      </c>
      <c r="G6211" s="39" t="s">
        <v>181</v>
      </c>
      <c r="H6211" s="33"/>
      <c r="I6211" s="33"/>
      <c r="J6211" s="33"/>
      <c r="K6211" s="33"/>
      <c r="L6211" s="33"/>
      <c r="M6211" s="33"/>
    </row>
    <row r="6212">
      <c r="A6212" s="32" t="s">
        <v>16887</v>
      </c>
      <c r="B6212" s="32" t="s">
        <v>16888</v>
      </c>
      <c r="C6212" s="35">
        <v>2.818180084</v>
      </c>
      <c r="D6212" s="35">
        <v>104.1600037</v>
      </c>
      <c r="E6212" s="32" t="s">
        <v>284</v>
      </c>
      <c r="F6212" s="32" t="s">
        <v>16889</v>
      </c>
      <c r="G6212" s="36" t="e">
        <v>#N/A</v>
      </c>
      <c r="H6212" s="33"/>
      <c r="I6212" s="33"/>
      <c r="J6212" s="33"/>
      <c r="K6212" s="33"/>
      <c r="L6212" s="33"/>
      <c r="M6212" s="33"/>
    </row>
    <row r="6213">
      <c r="A6213" s="32" t="s">
        <v>16890</v>
      </c>
      <c r="B6213" s="32" t="s">
        <v>16891</v>
      </c>
      <c r="C6213" s="35">
        <v>33.93970108</v>
      </c>
      <c r="D6213" s="35">
        <v>8.110560417</v>
      </c>
      <c r="E6213" s="32" t="s">
        <v>22</v>
      </c>
      <c r="F6213" s="32" t="s">
        <v>16892</v>
      </c>
      <c r="G6213" s="36" t="e">
        <v>#N/A</v>
      </c>
      <c r="H6213" s="33"/>
      <c r="I6213" s="33"/>
      <c r="J6213" s="33"/>
      <c r="K6213" s="33"/>
      <c r="L6213" s="33"/>
      <c r="M6213" s="33"/>
    </row>
    <row r="6214">
      <c r="A6214" s="32" t="s">
        <v>16893</v>
      </c>
      <c r="B6214" s="32" t="s">
        <v>16894</v>
      </c>
      <c r="C6214" s="35">
        <v>56.38029861</v>
      </c>
      <c r="D6214" s="35">
        <v>85.20829773</v>
      </c>
      <c r="E6214" s="32" t="s">
        <v>2040</v>
      </c>
      <c r="F6214" s="32" t="s">
        <v>16895</v>
      </c>
      <c r="G6214" s="36" t="e">
        <v>#N/A</v>
      </c>
      <c r="H6214" s="33"/>
      <c r="I6214" s="33"/>
      <c r="J6214" s="33"/>
      <c r="K6214" s="33"/>
      <c r="L6214" s="33"/>
      <c r="M6214" s="33"/>
    </row>
    <row r="6215">
      <c r="A6215" s="32" t="s">
        <v>16896</v>
      </c>
      <c r="B6215" s="32" t="s">
        <v>16897</v>
      </c>
      <c r="C6215" s="35">
        <v>59.05279922</v>
      </c>
      <c r="D6215" s="35">
        <v>-160.3970032</v>
      </c>
      <c r="E6215" s="32" t="s">
        <v>180</v>
      </c>
      <c r="F6215" s="32" t="s">
        <v>16898</v>
      </c>
      <c r="G6215" s="39" t="s">
        <v>181</v>
      </c>
      <c r="H6215" s="33"/>
      <c r="I6215" s="33"/>
      <c r="J6215" s="33"/>
      <c r="K6215" s="33"/>
      <c r="L6215" s="33"/>
      <c r="M6215" s="33"/>
    </row>
    <row r="6216">
      <c r="A6216" s="32" t="s">
        <v>16899</v>
      </c>
      <c r="B6216" s="32" t="s">
        <v>16900</v>
      </c>
      <c r="C6216" s="35">
        <v>-13.32800007</v>
      </c>
      <c r="D6216" s="35">
        <v>166.6380005</v>
      </c>
      <c r="E6216" s="32" t="s">
        <v>4279</v>
      </c>
      <c r="F6216" s="32" t="s">
        <v>16901</v>
      </c>
      <c r="G6216" s="36" t="e">
        <v>#N/A</v>
      </c>
      <c r="H6216" s="33"/>
      <c r="I6216" s="33"/>
      <c r="J6216" s="33"/>
      <c r="K6216" s="33"/>
      <c r="L6216" s="33"/>
      <c r="M6216" s="33"/>
    </row>
    <row r="6217">
      <c r="A6217" s="32" t="s">
        <v>16902</v>
      </c>
      <c r="B6217" s="32" t="s">
        <v>16903</v>
      </c>
      <c r="C6217" s="35">
        <v>31.86039925</v>
      </c>
      <c r="D6217" s="35">
        <v>-86.01210022</v>
      </c>
      <c r="E6217" s="32" t="s">
        <v>180</v>
      </c>
      <c r="F6217" s="32" t="s">
        <v>16904</v>
      </c>
      <c r="G6217" s="39" t="s">
        <v>181</v>
      </c>
      <c r="H6217" s="33"/>
      <c r="I6217" s="33"/>
      <c r="J6217" s="33"/>
      <c r="K6217" s="33"/>
      <c r="L6217" s="33"/>
      <c r="M6217" s="33"/>
    </row>
    <row r="6218">
      <c r="A6218" s="32" t="s">
        <v>16905</v>
      </c>
      <c r="B6218" s="32" t="s">
        <v>16906</v>
      </c>
      <c r="C6218" s="35">
        <v>40.49670029</v>
      </c>
      <c r="D6218" s="35">
        <v>-3.445869923</v>
      </c>
      <c r="E6218" s="32" t="s">
        <v>115</v>
      </c>
      <c r="F6218" s="32" t="s">
        <v>864</v>
      </c>
      <c r="G6218" s="39" t="s">
        <v>116</v>
      </c>
      <c r="H6218" s="33"/>
      <c r="I6218" s="33"/>
      <c r="J6218" s="33"/>
      <c r="K6218" s="33"/>
      <c r="L6218" s="33"/>
      <c r="M6218" s="33"/>
    </row>
    <row r="6219">
      <c r="A6219" s="32" t="s">
        <v>16907</v>
      </c>
      <c r="B6219" s="32" t="s">
        <v>16908</v>
      </c>
      <c r="C6219" s="35">
        <v>41.58679962</v>
      </c>
      <c r="D6219" s="35">
        <v>-83.80780029</v>
      </c>
      <c r="E6219" s="32" t="s">
        <v>180</v>
      </c>
      <c r="F6219" s="32" t="s">
        <v>16909</v>
      </c>
      <c r="G6219" s="39" t="s">
        <v>181</v>
      </c>
      <c r="H6219" s="33"/>
      <c r="I6219" s="33"/>
      <c r="J6219" s="33"/>
      <c r="K6219" s="33"/>
      <c r="L6219" s="33"/>
      <c r="M6219" s="33"/>
    </row>
    <row r="6220">
      <c r="A6220" s="32" t="s">
        <v>16910</v>
      </c>
      <c r="B6220" s="32" t="s">
        <v>16911</v>
      </c>
      <c r="C6220" s="35">
        <v>16.73049927</v>
      </c>
      <c r="D6220" s="35">
        <v>-3.007580042</v>
      </c>
      <c r="E6220" s="32" t="s">
        <v>807</v>
      </c>
      <c r="F6220" s="32" t="s">
        <v>16912</v>
      </c>
      <c r="G6220" s="36" t="e">
        <v>#N/A</v>
      </c>
      <c r="H6220" s="33"/>
      <c r="I6220" s="33"/>
      <c r="J6220" s="33"/>
      <c r="K6220" s="33"/>
      <c r="L6220" s="33"/>
      <c r="M6220" s="33"/>
    </row>
    <row r="6221">
      <c r="A6221" s="32" t="s">
        <v>16913</v>
      </c>
      <c r="B6221" s="32" t="s">
        <v>16914</v>
      </c>
      <c r="C6221" s="35">
        <v>39.06869888</v>
      </c>
      <c r="D6221" s="35">
        <v>-95.62249756</v>
      </c>
      <c r="E6221" s="32" t="s">
        <v>180</v>
      </c>
      <c r="F6221" s="32" t="s">
        <v>7727</v>
      </c>
      <c r="G6221" s="39" t="s">
        <v>181</v>
      </c>
      <c r="H6221" s="33"/>
      <c r="I6221" s="33"/>
      <c r="J6221" s="33"/>
      <c r="K6221" s="33"/>
      <c r="L6221" s="33"/>
      <c r="M6221" s="33"/>
    </row>
    <row r="6222">
      <c r="A6222" s="32" t="s">
        <v>16915</v>
      </c>
      <c r="B6222" s="32" t="s">
        <v>16916</v>
      </c>
      <c r="C6222" s="35">
        <v>-22.14109993</v>
      </c>
      <c r="D6222" s="35">
        <v>-70.06289673</v>
      </c>
      <c r="E6222" s="32" t="s">
        <v>300</v>
      </c>
      <c r="F6222" s="32" t="s">
        <v>16917</v>
      </c>
      <c r="G6222" s="36" t="e">
        <v>#N/A</v>
      </c>
      <c r="H6222" s="33"/>
      <c r="I6222" s="33"/>
      <c r="J6222" s="33"/>
      <c r="K6222" s="33"/>
      <c r="L6222" s="33"/>
      <c r="M6222" s="33"/>
    </row>
    <row r="6223">
      <c r="A6223" s="32" t="s">
        <v>16918</v>
      </c>
      <c r="B6223" s="32" t="s">
        <v>16919</v>
      </c>
      <c r="C6223" s="35">
        <v>69.6832962</v>
      </c>
      <c r="D6223" s="35">
        <v>18.91889954</v>
      </c>
      <c r="E6223" s="32" t="s">
        <v>343</v>
      </c>
      <c r="F6223" s="32" t="s">
        <v>16920</v>
      </c>
      <c r="G6223" s="36" t="e">
        <v>#N/A</v>
      </c>
      <c r="H6223" s="33"/>
      <c r="I6223" s="33"/>
      <c r="J6223" s="33"/>
      <c r="K6223" s="33"/>
      <c r="L6223" s="33"/>
      <c r="M6223" s="33"/>
    </row>
    <row r="6224">
      <c r="A6224" s="32" t="s">
        <v>16921</v>
      </c>
      <c r="B6224" s="32" t="s">
        <v>16922</v>
      </c>
      <c r="C6224" s="35">
        <v>5.865829945</v>
      </c>
      <c r="D6224" s="35">
        <v>-56.32749939</v>
      </c>
      <c r="E6224" s="32" t="s">
        <v>2192</v>
      </c>
      <c r="F6224" s="32" t="s">
        <v>16923</v>
      </c>
      <c r="G6224" s="36" t="e">
        <v>#N/A</v>
      </c>
      <c r="H6224" s="33"/>
      <c r="I6224" s="33"/>
      <c r="J6224" s="33"/>
      <c r="K6224" s="33"/>
      <c r="L6224" s="33"/>
      <c r="M6224" s="33"/>
    </row>
    <row r="6225">
      <c r="A6225" s="32" t="s">
        <v>16924</v>
      </c>
      <c r="B6225" s="32" t="s">
        <v>16925</v>
      </c>
      <c r="C6225" s="35">
        <v>-20.79000092</v>
      </c>
      <c r="D6225" s="35">
        <v>165.2590027</v>
      </c>
      <c r="E6225" s="32" t="s">
        <v>5002</v>
      </c>
      <c r="F6225" s="32" t="s">
        <v>16926</v>
      </c>
      <c r="G6225" s="36" t="e">
        <v>#N/A</v>
      </c>
      <c r="H6225" s="33"/>
      <c r="I6225" s="33"/>
      <c r="J6225" s="33"/>
      <c r="K6225" s="33"/>
      <c r="L6225" s="33"/>
      <c r="M6225" s="33"/>
    </row>
    <row r="6226">
      <c r="A6226" s="32" t="s">
        <v>16927</v>
      </c>
      <c r="B6226" s="32" t="s">
        <v>16928</v>
      </c>
      <c r="C6226" s="35">
        <v>-24.68630028</v>
      </c>
      <c r="D6226" s="35">
        <v>-53.69749832</v>
      </c>
      <c r="E6226" s="32" t="s">
        <v>288</v>
      </c>
      <c r="F6226" s="32" t="s">
        <v>16909</v>
      </c>
      <c r="G6226" s="36" t="e">
        <v>#N/A</v>
      </c>
      <c r="H6226" s="33"/>
      <c r="I6226" s="33"/>
      <c r="J6226" s="33"/>
      <c r="K6226" s="33"/>
      <c r="L6226" s="33"/>
      <c r="M6226" s="33"/>
    </row>
    <row r="6227">
      <c r="A6227" s="32" t="s">
        <v>16929</v>
      </c>
      <c r="B6227" s="32" t="s">
        <v>16930</v>
      </c>
      <c r="C6227" s="35">
        <v>36.64830017</v>
      </c>
      <c r="D6227" s="35">
        <v>137.1880035</v>
      </c>
      <c r="E6227" s="32" t="s">
        <v>170</v>
      </c>
      <c r="F6227" s="32" t="s">
        <v>16931</v>
      </c>
      <c r="G6227" s="39" t="s">
        <v>171</v>
      </c>
      <c r="H6227" s="33"/>
      <c r="I6227" s="33"/>
      <c r="J6227" s="33"/>
      <c r="K6227" s="33"/>
      <c r="L6227" s="33"/>
      <c r="M6227" s="33"/>
    </row>
    <row r="6228">
      <c r="A6228" s="32" t="s">
        <v>16932</v>
      </c>
      <c r="B6228" s="32" t="s">
        <v>16933</v>
      </c>
      <c r="C6228" s="35">
        <v>27.97550011</v>
      </c>
      <c r="D6228" s="35">
        <v>-82.53320313</v>
      </c>
      <c r="E6228" s="32" t="s">
        <v>180</v>
      </c>
      <c r="F6228" s="32" t="s">
        <v>11649</v>
      </c>
      <c r="G6228" s="39" t="s">
        <v>181</v>
      </c>
      <c r="H6228" s="33"/>
      <c r="I6228" s="33"/>
      <c r="J6228" s="33"/>
      <c r="K6228" s="33"/>
      <c r="L6228" s="33"/>
      <c r="M6228" s="33"/>
    </row>
    <row r="6229">
      <c r="A6229" s="32" t="s">
        <v>16934</v>
      </c>
      <c r="B6229" s="32" t="s">
        <v>16935</v>
      </c>
      <c r="C6229" s="35">
        <v>-0.122956</v>
      </c>
      <c r="D6229" s="35">
        <v>-76.33779907</v>
      </c>
      <c r="E6229" s="32" t="s">
        <v>311</v>
      </c>
      <c r="F6229" s="32" t="s">
        <v>16936</v>
      </c>
      <c r="G6229" s="36" t="e">
        <v>#N/A</v>
      </c>
      <c r="H6229" s="33"/>
      <c r="I6229" s="33"/>
      <c r="J6229" s="33"/>
      <c r="K6229" s="33"/>
      <c r="L6229" s="33"/>
      <c r="M6229" s="33"/>
    </row>
    <row r="6230">
      <c r="A6230" s="32" t="s">
        <v>16937</v>
      </c>
      <c r="B6230" s="32" t="s">
        <v>16938</v>
      </c>
      <c r="C6230" s="35">
        <v>25.0777</v>
      </c>
      <c r="D6230" s="35">
        <v>121.233002</v>
      </c>
      <c r="E6230" s="32" t="s">
        <v>1497</v>
      </c>
      <c r="F6230" s="32" t="s">
        <v>16939</v>
      </c>
      <c r="G6230" s="36" t="e">
        <v>#N/A</v>
      </c>
      <c r="H6230" s="33"/>
      <c r="I6230" s="33"/>
      <c r="J6230" s="33"/>
      <c r="K6230" s="33"/>
      <c r="L6230" s="33"/>
      <c r="M6230" s="33"/>
    </row>
    <row r="6231">
      <c r="A6231" s="32" t="s">
        <v>16940</v>
      </c>
      <c r="B6231" s="32" t="s">
        <v>16941</v>
      </c>
      <c r="C6231" s="35">
        <v>27.91559982</v>
      </c>
      <c r="D6231" s="35">
        <v>-82.44930267</v>
      </c>
      <c r="E6231" s="32" t="s">
        <v>180</v>
      </c>
      <c r="F6231" s="32" t="s">
        <v>11649</v>
      </c>
      <c r="G6231" s="39" t="s">
        <v>181</v>
      </c>
      <c r="H6231" s="33"/>
      <c r="I6231" s="33"/>
      <c r="J6231" s="33"/>
      <c r="K6231" s="33"/>
      <c r="L6231" s="33"/>
      <c r="M6231" s="33"/>
    </row>
    <row r="6232">
      <c r="A6232" s="32" t="s">
        <v>16942</v>
      </c>
      <c r="B6232" s="32" t="s">
        <v>16943</v>
      </c>
      <c r="C6232" s="35">
        <v>38.06019974</v>
      </c>
      <c r="D6232" s="35">
        <v>-117.086998</v>
      </c>
      <c r="E6232" s="32" t="s">
        <v>180</v>
      </c>
      <c r="F6232" s="32" t="s">
        <v>1985</v>
      </c>
      <c r="G6232" s="39" t="s">
        <v>181</v>
      </c>
      <c r="H6232" s="33"/>
      <c r="I6232" s="33"/>
      <c r="J6232" s="33"/>
      <c r="K6232" s="33"/>
      <c r="L6232" s="33"/>
      <c r="M6232" s="33"/>
    </row>
    <row r="6233">
      <c r="A6233" s="32" t="s">
        <v>16944</v>
      </c>
      <c r="B6233" s="32" t="s">
        <v>16945</v>
      </c>
      <c r="C6233" s="35">
        <v>27.3509</v>
      </c>
      <c r="D6233" s="35">
        <v>87.69525</v>
      </c>
      <c r="E6233" s="32" t="s">
        <v>1877</v>
      </c>
      <c r="F6233" s="32" t="s">
        <v>16946</v>
      </c>
      <c r="G6233" s="36" t="e">
        <v>#N/A</v>
      </c>
      <c r="H6233" s="33"/>
      <c r="I6233" s="33"/>
      <c r="J6233" s="33"/>
      <c r="K6233" s="33"/>
      <c r="L6233" s="33"/>
      <c r="M6233" s="33"/>
    </row>
    <row r="6234">
      <c r="A6234" s="32" t="s">
        <v>16947</v>
      </c>
      <c r="B6234" s="32" t="s">
        <v>16948</v>
      </c>
      <c r="C6234" s="35">
        <v>31.15250015</v>
      </c>
      <c r="D6234" s="35">
        <v>-97.40779877</v>
      </c>
      <c r="E6234" s="32" t="s">
        <v>180</v>
      </c>
      <c r="F6234" s="32" t="s">
        <v>16949</v>
      </c>
      <c r="G6234" s="39" t="s">
        <v>181</v>
      </c>
      <c r="H6234" s="33"/>
      <c r="I6234" s="33"/>
      <c r="J6234" s="33"/>
      <c r="K6234" s="33"/>
      <c r="L6234" s="33"/>
      <c r="M6234" s="33"/>
    </row>
    <row r="6235">
      <c r="A6235" s="32" t="s">
        <v>16950</v>
      </c>
      <c r="B6235" s="32" t="s">
        <v>16951</v>
      </c>
      <c r="C6235" s="35">
        <v>-0.776111007</v>
      </c>
      <c r="D6235" s="35">
        <v>-75.52639771</v>
      </c>
      <c r="E6235" s="32" t="s">
        <v>311</v>
      </c>
      <c r="F6235" s="32" t="s">
        <v>16952</v>
      </c>
      <c r="G6235" s="36" t="e">
        <v>#N/A</v>
      </c>
      <c r="H6235" s="33"/>
      <c r="I6235" s="33"/>
      <c r="J6235" s="33"/>
      <c r="K6235" s="33"/>
      <c r="L6235" s="33"/>
      <c r="M6235" s="33"/>
    </row>
    <row r="6236">
      <c r="A6236" s="32" t="s">
        <v>16953</v>
      </c>
      <c r="B6236" s="32" t="s">
        <v>16954</v>
      </c>
      <c r="C6236" s="35">
        <v>-6.508739948</v>
      </c>
      <c r="D6236" s="35">
        <v>-76.37319946</v>
      </c>
      <c r="E6236" s="32" t="s">
        <v>307</v>
      </c>
      <c r="F6236" s="32" t="s">
        <v>16955</v>
      </c>
      <c r="G6236" s="36" t="e">
        <v>#N/A</v>
      </c>
      <c r="H6236" s="33"/>
      <c r="I6236" s="33"/>
      <c r="J6236" s="33"/>
      <c r="K6236" s="33"/>
      <c r="L6236" s="33"/>
      <c r="M6236" s="33"/>
    </row>
    <row r="6237">
      <c r="A6237" s="32" t="s">
        <v>16956</v>
      </c>
      <c r="B6237" s="32" t="s">
        <v>16957</v>
      </c>
      <c r="C6237" s="35">
        <v>21.41950035</v>
      </c>
      <c r="D6237" s="35">
        <v>-104.8430023</v>
      </c>
      <c r="E6237" s="32" t="s">
        <v>186</v>
      </c>
      <c r="F6237" s="32" t="s">
        <v>16958</v>
      </c>
      <c r="G6237" s="39" t="s">
        <v>187</v>
      </c>
      <c r="H6237" s="33"/>
      <c r="I6237" s="33"/>
      <c r="J6237" s="33"/>
      <c r="K6237" s="33"/>
      <c r="L6237" s="33"/>
      <c r="M6237" s="33"/>
    </row>
    <row r="6238">
      <c r="A6238" s="32" t="s">
        <v>16959</v>
      </c>
      <c r="B6238" s="32" t="s">
        <v>16960</v>
      </c>
      <c r="C6238" s="35">
        <v>37.9114</v>
      </c>
      <c r="D6238" s="35">
        <v>12.488</v>
      </c>
      <c r="E6238" s="32" t="s">
        <v>103</v>
      </c>
      <c r="F6238" s="32" t="s">
        <v>16961</v>
      </c>
      <c r="G6238" s="39" t="s">
        <v>104</v>
      </c>
      <c r="H6238" s="33"/>
      <c r="I6238" s="33"/>
      <c r="J6238" s="33"/>
      <c r="K6238" s="33"/>
      <c r="L6238" s="33"/>
      <c r="M6238" s="33"/>
    </row>
    <row r="6239">
      <c r="A6239" s="32" t="s">
        <v>16962</v>
      </c>
      <c r="B6239" s="32" t="s">
        <v>16963</v>
      </c>
      <c r="C6239" s="35">
        <v>38.47430038</v>
      </c>
      <c r="D6239" s="35">
        <v>-100.8850021</v>
      </c>
      <c r="E6239" s="32" t="s">
        <v>180</v>
      </c>
      <c r="F6239" s="32" t="s">
        <v>16964</v>
      </c>
      <c r="G6239" s="39" t="s">
        <v>181</v>
      </c>
      <c r="H6239" s="33"/>
      <c r="I6239" s="33"/>
      <c r="J6239" s="33"/>
      <c r="K6239" s="33"/>
      <c r="L6239" s="33"/>
      <c r="M6239" s="33"/>
    </row>
    <row r="6240">
      <c r="A6240" s="32" t="s">
        <v>16965</v>
      </c>
      <c r="B6240" s="32" t="s">
        <v>16966</v>
      </c>
      <c r="C6240" s="35">
        <v>64.93080139</v>
      </c>
      <c r="D6240" s="35">
        <v>77.81809998</v>
      </c>
      <c r="E6240" s="32" t="s">
        <v>2040</v>
      </c>
      <c r="F6240" s="32" t="s">
        <v>16967</v>
      </c>
      <c r="G6240" s="36" t="e">
        <v>#N/A</v>
      </c>
      <c r="H6240" s="33"/>
      <c r="I6240" s="33"/>
      <c r="J6240" s="33"/>
      <c r="K6240" s="33"/>
      <c r="L6240" s="33"/>
      <c r="M6240" s="33"/>
    </row>
    <row r="6241">
      <c r="A6241" s="32" t="s">
        <v>16968</v>
      </c>
      <c r="B6241" s="32" t="s">
        <v>16969</v>
      </c>
      <c r="C6241" s="35">
        <v>0.7459</v>
      </c>
      <c r="D6241" s="35">
        <v>-75.234</v>
      </c>
      <c r="E6241" s="32" t="s">
        <v>292</v>
      </c>
      <c r="F6241" s="32" t="s">
        <v>16970</v>
      </c>
      <c r="G6241" s="36" t="e">
        <v>#N/A</v>
      </c>
      <c r="H6241" s="33"/>
      <c r="I6241" s="33"/>
      <c r="J6241" s="33"/>
      <c r="K6241" s="33"/>
      <c r="L6241" s="33"/>
      <c r="M6241" s="33"/>
    </row>
    <row r="6242">
      <c r="A6242" s="32" t="s">
        <v>16971</v>
      </c>
      <c r="B6242" s="32" t="s">
        <v>16972</v>
      </c>
      <c r="C6242" s="35">
        <v>25.56830025</v>
      </c>
      <c r="D6242" s="35">
        <v>-103.4110031</v>
      </c>
      <c r="E6242" s="32" t="s">
        <v>186</v>
      </c>
      <c r="F6242" s="32" t="s">
        <v>16973</v>
      </c>
      <c r="G6242" s="39" t="s">
        <v>187</v>
      </c>
      <c r="H6242" s="33"/>
      <c r="I6242" s="33"/>
      <c r="J6242" s="33"/>
      <c r="K6242" s="33"/>
      <c r="L6242" s="33"/>
      <c r="M6242" s="33"/>
    </row>
    <row r="6243">
      <c r="A6243" s="32" t="s">
        <v>16974</v>
      </c>
      <c r="B6243" s="32" t="s">
        <v>16975</v>
      </c>
      <c r="C6243" s="35">
        <v>63.4578018</v>
      </c>
      <c r="D6243" s="35">
        <v>10.9239998</v>
      </c>
      <c r="E6243" s="32" t="s">
        <v>343</v>
      </c>
      <c r="F6243" s="32" t="s">
        <v>16976</v>
      </c>
      <c r="G6243" s="36" t="e">
        <v>#N/A</v>
      </c>
      <c r="H6243" s="33"/>
      <c r="I6243" s="33"/>
      <c r="J6243" s="33"/>
      <c r="K6243" s="33"/>
      <c r="L6243" s="33"/>
      <c r="M6243" s="33"/>
    </row>
    <row r="6244">
      <c r="A6244" s="32" t="s">
        <v>16977</v>
      </c>
      <c r="B6244" s="32" t="s">
        <v>16978</v>
      </c>
      <c r="C6244" s="35">
        <v>56.49919891</v>
      </c>
      <c r="D6244" s="35">
        <v>-6.869170189</v>
      </c>
      <c r="E6244" s="32" t="s">
        <v>90</v>
      </c>
      <c r="F6244" s="32" t="s">
        <v>16979</v>
      </c>
      <c r="G6244" s="39" t="s">
        <v>91</v>
      </c>
      <c r="H6244" s="33"/>
      <c r="I6244" s="33"/>
      <c r="J6244" s="33"/>
      <c r="K6244" s="33"/>
      <c r="L6244" s="33"/>
      <c r="M6244" s="33"/>
    </row>
    <row r="6245">
      <c r="A6245" s="32" t="s">
        <v>16980</v>
      </c>
      <c r="B6245" s="32" t="s">
        <v>16981</v>
      </c>
      <c r="C6245" s="35">
        <v>59.18669891</v>
      </c>
      <c r="D6245" s="35">
        <v>10.25860024</v>
      </c>
      <c r="E6245" s="32" t="s">
        <v>343</v>
      </c>
      <c r="F6245" s="32" t="s">
        <v>16982</v>
      </c>
      <c r="G6245" s="36" t="e">
        <v>#N/A</v>
      </c>
      <c r="H6245" s="33"/>
      <c r="I6245" s="33"/>
      <c r="J6245" s="33"/>
      <c r="K6245" s="33"/>
      <c r="L6245" s="33"/>
      <c r="M6245" s="33"/>
    </row>
    <row r="6246">
      <c r="A6246" s="32" t="s">
        <v>16983</v>
      </c>
      <c r="B6246" s="32" t="s">
        <v>16984</v>
      </c>
      <c r="C6246" s="35">
        <v>-37.6719017</v>
      </c>
      <c r="D6246" s="35">
        <v>176.1959991</v>
      </c>
      <c r="E6246" s="32" t="s">
        <v>1328</v>
      </c>
      <c r="F6246" s="32" t="s">
        <v>16985</v>
      </c>
      <c r="G6246" s="36" t="e">
        <v>#N/A</v>
      </c>
      <c r="H6246" s="33"/>
      <c r="I6246" s="33"/>
      <c r="J6246" s="33"/>
      <c r="K6246" s="33"/>
      <c r="L6246" s="33"/>
      <c r="M6246" s="33"/>
    </row>
    <row r="6247">
      <c r="A6247" s="32" t="s">
        <v>16986</v>
      </c>
      <c r="B6247" s="32" t="s">
        <v>16987</v>
      </c>
      <c r="C6247" s="35">
        <v>36.47520065</v>
      </c>
      <c r="D6247" s="35">
        <v>-82.40740204</v>
      </c>
      <c r="E6247" s="32" t="s">
        <v>180</v>
      </c>
      <c r="F6247" s="32" t="s">
        <v>16988</v>
      </c>
      <c r="G6247" s="39" t="s">
        <v>181</v>
      </c>
      <c r="H6247" s="33"/>
      <c r="I6247" s="33"/>
      <c r="J6247" s="33"/>
      <c r="K6247" s="33"/>
      <c r="L6247" s="33"/>
      <c r="M6247" s="33"/>
    </row>
    <row r="6248">
      <c r="A6248" s="32" t="s">
        <v>16989</v>
      </c>
      <c r="B6248" s="32" t="s">
        <v>16990</v>
      </c>
      <c r="C6248" s="35">
        <v>3.326667</v>
      </c>
      <c r="D6248" s="35">
        <v>117.569444</v>
      </c>
      <c r="E6248" s="32" t="s">
        <v>280</v>
      </c>
      <c r="F6248" s="32" t="s">
        <v>16991</v>
      </c>
      <c r="G6248" s="36" t="e">
        <v>#N/A</v>
      </c>
      <c r="H6248" s="33"/>
      <c r="I6248" s="33"/>
      <c r="J6248" s="33"/>
      <c r="K6248" s="33"/>
      <c r="L6248" s="33"/>
      <c r="M6248" s="33"/>
    </row>
    <row r="6249">
      <c r="A6249" s="32" t="s">
        <v>16992</v>
      </c>
      <c r="B6249" s="32" t="s">
        <v>16993</v>
      </c>
      <c r="C6249" s="35">
        <v>33.62670135</v>
      </c>
      <c r="D6249" s="35">
        <v>-116.1600037</v>
      </c>
      <c r="E6249" s="32" t="s">
        <v>180</v>
      </c>
      <c r="F6249" s="32" t="s">
        <v>14350</v>
      </c>
      <c r="G6249" s="39" t="s">
        <v>181</v>
      </c>
      <c r="H6249" s="33"/>
      <c r="I6249" s="33"/>
      <c r="J6249" s="33"/>
      <c r="K6249" s="33"/>
      <c r="L6249" s="33"/>
      <c r="M6249" s="33"/>
    </row>
    <row r="6250">
      <c r="A6250" s="32" t="s">
        <v>16994</v>
      </c>
      <c r="B6250" s="32" t="s">
        <v>16995</v>
      </c>
      <c r="C6250" s="35">
        <v>45.200802</v>
      </c>
      <c r="D6250" s="35">
        <v>7.64963</v>
      </c>
      <c r="E6250" s="32" t="s">
        <v>103</v>
      </c>
      <c r="F6250" s="32" t="s">
        <v>16996</v>
      </c>
      <c r="G6250" s="39" t="s">
        <v>104</v>
      </c>
      <c r="H6250" s="33"/>
      <c r="I6250" s="33"/>
      <c r="J6250" s="33"/>
      <c r="K6250" s="33"/>
      <c r="L6250" s="33"/>
      <c r="M6250" s="33"/>
    </row>
    <row r="6251">
      <c r="A6251" s="32" t="s">
        <v>16997</v>
      </c>
      <c r="B6251" s="32" t="s">
        <v>16998</v>
      </c>
      <c r="C6251" s="35">
        <v>-31.8885994</v>
      </c>
      <c r="D6251" s="35">
        <v>152.5140076</v>
      </c>
      <c r="E6251" s="32" t="s">
        <v>1968</v>
      </c>
      <c r="F6251" s="32" t="s">
        <v>16999</v>
      </c>
      <c r="G6251" s="36" t="e">
        <v>#N/A</v>
      </c>
      <c r="H6251" s="33"/>
      <c r="I6251" s="33"/>
      <c r="J6251" s="33"/>
      <c r="K6251" s="33"/>
      <c r="L6251" s="33"/>
      <c r="M6251" s="33"/>
    </row>
    <row r="6252">
      <c r="A6252" s="32" t="s">
        <v>17000</v>
      </c>
      <c r="B6252" s="32" t="s">
        <v>17001</v>
      </c>
      <c r="C6252" s="35">
        <v>8.538510323</v>
      </c>
      <c r="D6252" s="35">
        <v>81.18190002</v>
      </c>
      <c r="E6252" s="32" t="s">
        <v>1829</v>
      </c>
      <c r="F6252" s="32" t="s">
        <v>17002</v>
      </c>
      <c r="G6252" s="36" t="e">
        <v>#N/A</v>
      </c>
      <c r="H6252" s="33"/>
      <c r="I6252" s="33"/>
      <c r="J6252" s="33"/>
      <c r="K6252" s="33"/>
      <c r="L6252" s="33"/>
      <c r="M6252" s="33"/>
    </row>
    <row r="6253">
      <c r="A6253" s="32" t="s">
        <v>17003</v>
      </c>
      <c r="B6253" s="32" t="s">
        <v>17004</v>
      </c>
      <c r="C6253" s="35">
        <v>45.827499</v>
      </c>
      <c r="D6253" s="35">
        <v>13.4722</v>
      </c>
      <c r="E6253" s="32" t="s">
        <v>103</v>
      </c>
      <c r="F6253" s="32" t="s">
        <v>17005</v>
      </c>
      <c r="G6253" s="39" t="s">
        <v>104</v>
      </c>
      <c r="H6253" s="33"/>
      <c r="I6253" s="33"/>
      <c r="J6253" s="33"/>
      <c r="K6253" s="33"/>
      <c r="L6253" s="33"/>
      <c r="M6253" s="33"/>
    </row>
    <row r="6254">
      <c r="A6254" s="32" t="s">
        <v>17006</v>
      </c>
      <c r="B6254" s="32" t="s">
        <v>17007</v>
      </c>
      <c r="C6254" s="35">
        <v>-8.081410408</v>
      </c>
      <c r="D6254" s="35">
        <v>-79.1088028</v>
      </c>
      <c r="E6254" s="32" t="s">
        <v>307</v>
      </c>
      <c r="F6254" s="32" t="s">
        <v>1246</v>
      </c>
      <c r="G6254" s="36" t="e">
        <v>#N/A</v>
      </c>
      <c r="H6254" s="33"/>
      <c r="I6254" s="33"/>
      <c r="J6254" s="33"/>
      <c r="K6254" s="33"/>
      <c r="L6254" s="33"/>
      <c r="M6254" s="33"/>
    </row>
    <row r="6255">
      <c r="A6255" s="32" t="s">
        <v>17008</v>
      </c>
      <c r="B6255" s="32" t="s">
        <v>17009</v>
      </c>
      <c r="C6255" s="35">
        <v>8.48211956</v>
      </c>
      <c r="D6255" s="35">
        <v>76.92009735</v>
      </c>
      <c r="E6255" s="32" t="s">
        <v>217</v>
      </c>
      <c r="F6255" s="32" t="s">
        <v>17010</v>
      </c>
      <c r="G6255" s="39" t="s">
        <v>218</v>
      </c>
      <c r="H6255" s="33"/>
      <c r="I6255" s="33"/>
      <c r="J6255" s="33"/>
      <c r="K6255" s="33"/>
      <c r="L6255" s="33"/>
      <c r="M6255" s="33"/>
    </row>
    <row r="6256">
      <c r="A6256" s="32" t="s">
        <v>17011</v>
      </c>
      <c r="B6256" s="32" t="s">
        <v>17012</v>
      </c>
      <c r="C6256" s="35">
        <v>1.381639957</v>
      </c>
      <c r="D6256" s="35">
        <v>173.1470032</v>
      </c>
      <c r="E6256" s="32" t="s">
        <v>3439</v>
      </c>
      <c r="F6256" s="32" t="s">
        <v>17013</v>
      </c>
      <c r="G6256" s="36" t="e">
        <v>#N/A</v>
      </c>
      <c r="H6256" s="33"/>
      <c r="I6256" s="33"/>
      <c r="J6256" s="33"/>
      <c r="K6256" s="33"/>
      <c r="L6256" s="33"/>
      <c r="M6256" s="33"/>
    </row>
    <row r="6257">
      <c r="A6257" s="32" t="s">
        <v>17014</v>
      </c>
      <c r="B6257" s="32" t="s">
        <v>17015</v>
      </c>
      <c r="C6257" s="35">
        <v>10.76539993</v>
      </c>
      <c r="D6257" s="35">
        <v>78.70970154</v>
      </c>
      <c r="E6257" s="32" t="s">
        <v>217</v>
      </c>
      <c r="F6257" s="32" t="s">
        <v>17016</v>
      </c>
      <c r="G6257" s="39" t="s">
        <v>218</v>
      </c>
      <c r="H6257" s="33"/>
      <c r="I6257" s="33"/>
      <c r="J6257" s="33"/>
      <c r="K6257" s="33"/>
      <c r="L6257" s="33"/>
      <c r="M6257" s="33"/>
    </row>
    <row r="6258">
      <c r="A6258" s="32" t="s">
        <v>17017</v>
      </c>
      <c r="B6258" s="32" t="s">
        <v>17018</v>
      </c>
      <c r="C6258" s="35">
        <v>25.06940079</v>
      </c>
      <c r="D6258" s="35">
        <v>121.552002</v>
      </c>
      <c r="E6258" s="32" t="s">
        <v>1497</v>
      </c>
      <c r="F6258" s="32" t="s">
        <v>16939</v>
      </c>
      <c r="G6258" s="36" t="e">
        <v>#N/A</v>
      </c>
      <c r="H6258" s="33"/>
      <c r="I6258" s="33"/>
      <c r="J6258" s="33"/>
      <c r="K6258" s="33"/>
      <c r="L6258" s="33"/>
      <c r="M6258" s="33"/>
    </row>
    <row r="6259">
      <c r="A6259" s="32" t="s">
        <v>17019</v>
      </c>
      <c r="B6259" s="32" t="s">
        <v>17020</v>
      </c>
      <c r="C6259" s="35">
        <v>-19.26189995</v>
      </c>
      <c r="D6259" s="35">
        <v>17.73250008</v>
      </c>
      <c r="E6259" s="32" t="s">
        <v>3193</v>
      </c>
      <c r="F6259" s="32" t="s">
        <v>17021</v>
      </c>
      <c r="G6259" s="36" t="e">
        <v>#N/A</v>
      </c>
      <c r="H6259" s="33"/>
      <c r="I6259" s="33"/>
      <c r="J6259" s="33"/>
      <c r="K6259" s="33"/>
      <c r="L6259" s="33"/>
      <c r="M6259" s="33"/>
    </row>
    <row r="6260">
      <c r="A6260" s="32" t="s">
        <v>17022</v>
      </c>
      <c r="B6260" s="32" t="s">
        <v>17023</v>
      </c>
      <c r="C6260" s="35">
        <v>51.02220154</v>
      </c>
      <c r="D6260" s="35">
        <v>71.46690369</v>
      </c>
      <c r="E6260" s="32" t="s">
        <v>2817</v>
      </c>
      <c r="F6260" s="32" t="s">
        <v>17024</v>
      </c>
      <c r="G6260" s="36" t="e">
        <v>#N/A</v>
      </c>
      <c r="H6260" s="33"/>
      <c r="I6260" s="33"/>
      <c r="J6260" s="33"/>
      <c r="K6260" s="33"/>
      <c r="L6260" s="33"/>
      <c r="M6260" s="33"/>
    </row>
    <row r="6261">
      <c r="A6261" s="32" t="s">
        <v>17025</v>
      </c>
      <c r="B6261" s="32" t="s">
        <v>17026</v>
      </c>
      <c r="C6261" s="35">
        <v>45.648399</v>
      </c>
      <c r="D6261" s="35">
        <v>12.1944</v>
      </c>
      <c r="E6261" s="32" t="s">
        <v>103</v>
      </c>
      <c r="F6261" s="32" t="s">
        <v>1087</v>
      </c>
      <c r="G6261" s="39" t="s">
        <v>104</v>
      </c>
      <c r="H6261" s="33"/>
      <c r="I6261" s="33"/>
      <c r="J6261" s="33"/>
      <c r="K6261" s="33"/>
      <c r="L6261" s="33"/>
      <c r="M6261" s="33"/>
    </row>
    <row r="6262">
      <c r="A6262" s="32" t="s">
        <v>17027</v>
      </c>
      <c r="B6262" s="32" t="s">
        <v>17028</v>
      </c>
      <c r="C6262" s="35">
        <v>-6.438330173</v>
      </c>
      <c r="D6262" s="35">
        <v>20.79470062</v>
      </c>
      <c r="E6262" s="32" t="s">
        <v>800</v>
      </c>
      <c r="F6262" s="32" t="s">
        <v>17029</v>
      </c>
      <c r="G6262" s="36" t="e">
        <v>#N/A</v>
      </c>
      <c r="H6262" s="33"/>
      <c r="I6262" s="33"/>
      <c r="J6262" s="33"/>
      <c r="K6262" s="33"/>
      <c r="L6262" s="33"/>
      <c r="M6262" s="33"/>
    </row>
    <row r="6263">
      <c r="A6263" s="32" t="s">
        <v>17030</v>
      </c>
      <c r="B6263" s="32" t="s">
        <v>17031</v>
      </c>
      <c r="C6263" s="35">
        <v>34.28490067</v>
      </c>
      <c r="D6263" s="35">
        <v>129.3309937</v>
      </c>
      <c r="E6263" s="32" t="s">
        <v>170</v>
      </c>
      <c r="F6263" s="32" t="s">
        <v>17032</v>
      </c>
      <c r="G6263" s="39" t="s">
        <v>171</v>
      </c>
      <c r="H6263" s="33"/>
      <c r="I6263" s="33"/>
      <c r="J6263" s="33"/>
      <c r="K6263" s="33"/>
      <c r="L6263" s="33"/>
      <c r="M6263" s="33"/>
    </row>
    <row r="6264">
      <c r="A6264" s="32" t="s">
        <v>17033</v>
      </c>
      <c r="B6264" s="32" t="s">
        <v>17034</v>
      </c>
      <c r="C6264" s="35">
        <v>22.03829956</v>
      </c>
      <c r="D6264" s="35">
        <v>-98.8065033</v>
      </c>
      <c r="E6264" s="32" t="s">
        <v>186</v>
      </c>
      <c r="F6264" s="32" t="s">
        <v>17035</v>
      </c>
      <c r="G6264" s="39" t="s">
        <v>187</v>
      </c>
      <c r="H6264" s="33"/>
      <c r="I6264" s="33"/>
      <c r="J6264" s="33"/>
      <c r="K6264" s="33"/>
      <c r="L6264" s="33"/>
      <c r="M6264" s="33"/>
    </row>
    <row r="6265">
      <c r="A6265" s="32" t="s">
        <v>17036</v>
      </c>
      <c r="B6265" s="32" t="s">
        <v>17037</v>
      </c>
      <c r="C6265" s="35">
        <v>39.12440109</v>
      </c>
      <c r="D6265" s="35">
        <v>117.3460007</v>
      </c>
      <c r="E6265" s="32" t="s">
        <v>205</v>
      </c>
      <c r="F6265" s="32" t="s">
        <v>17038</v>
      </c>
      <c r="G6265" s="39" t="s">
        <v>206</v>
      </c>
      <c r="H6265" s="33"/>
      <c r="I6265" s="33"/>
      <c r="J6265" s="33"/>
      <c r="K6265" s="33"/>
      <c r="L6265" s="33"/>
      <c r="M6265" s="33"/>
    </row>
    <row r="6266">
      <c r="A6266" s="32" t="s">
        <v>17039</v>
      </c>
      <c r="B6266" s="32" t="s">
        <v>17040</v>
      </c>
      <c r="C6266" s="35">
        <v>49.9455986</v>
      </c>
      <c r="D6266" s="35">
        <v>-6.331389904</v>
      </c>
      <c r="E6266" s="32" t="s">
        <v>90</v>
      </c>
      <c r="F6266" s="32" t="s">
        <v>17041</v>
      </c>
      <c r="G6266" s="39" t="s">
        <v>91</v>
      </c>
      <c r="H6266" s="33"/>
      <c r="I6266" s="33"/>
      <c r="J6266" s="33"/>
      <c r="K6266" s="33"/>
      <c r="L6266" s="33"/>
      <c r="M6266" s="33"/>
    </row>
    <row r="6267">
      <c r="A6267" s="32" t="s">
        <v>17042</v>
      </c>
      <c r="B6267" s="32" t="s">
        <v>17043</v>
      </c>
      <c r="C6267" s="35">
        <v>45.80989838</v>
      </c>
      <c r="D6267" s="35">
        <v>21.33790016</v>
      </c>
      <c r="E6267" s="32" t="s">
        <v>2874</v>
      </c>
      <c r="F6267" s="32" t="s">
        <v>17044</v>
      </c>
      <c r="G6267" s="36" t="e">
        <v>#N/A</v>
      </c>
      <c r="H6267" s="33"/>
      <c r="I6267" s="33"/>
      <c r="J6267" s="33"/>
      <c r="K6267" s="33"/>
      <c r="L6267" s="33"/>
      <c r="M6267" s="33"/>
    </row>
    <row r="6268">
      <c r="A6268" s="32" t="s">
        <v>17045</v>
      </c>
      <c r="B6268" s="32" t="s">
        <v>17046</v>
      </c>
      <c r="C6268" s="35">
        <v>7.508739948</v>
      </c>
      <c r="D6268" s="35">
        <v>99.61660004</v>
      </c>
      <c r="E6268" s="32" t="s">
        <v>175</v>
      </c>
      <c r="F6268" s="32" t="s">
        <v>17047</v>
      </c>
      <c r="G6268" s="39" t="s">
        <v>176</v>
      </c>
      <c r="H6268" s="33"/>
      <c r="I6268" s="33"/>
      <c r="J6268" s="33"/>
      <c r="K6268" s="33"/>
      <c r="L6268" s="33"/>
      <c r="M6268" s="33"/>
    </row>
    <row r="6269">
      <c r="A6269" s="32" t="s">
        <v>17048</v>
      </c>
      <c r="B6269" s="32" t="s">
        <v>17049</v>
      </c>
      <c r="C6269" s="35">
        <v>-1.474439979</v>
      </c>
      <c r="D6269" s="35">
        <v>175.0639954</v>
      </c>
      <c r="E6269" s="32" t="s">
        <v>3439</v>
      </c>
      <c r="F6269" s="32" t="s">
        <v>17050</v>
      </c>
      <c r="G6269" s="36" t="e">
        <v>#N/A</v>
      </c>
      <c r="H6269" s="33"/>
      <c r="I6269" s="33"/>
      <c r="J6269" s="33"/>
      <c r="K6269" s="33"/>
      <c r="L6269" s="33"/>
      <c r="M6269" s="33"/>
    </row>
    <row r="6270">
      <c r="A6270" s="32" t="s">
        <v>17051</v>
      </c>
      <c r="B6270" s="32" t="s">
        <v>17052</v>
      </c>
      <c r="C6270" s="35">
        <v>-19.25250053</v>
      </c>
      <c r="D6270" s="35">
        <v>146.7649994</v>
      </c>
      <c r="E6270" s="32" t="s">
        <v>1968</v>
      </c>
      <c r="F6270" s="32" t="s">
        <v>17053</v>
      </c>
      <c r="G6270" s="36" t="e">
        <v>#N/A</v>
      </c>
      <c r="H6270" s="33"/>
      <c r="I6270" s="33"/>
      <c r="J6270" s="33"/>
      <c r="K6270" s="33"/>
      <c r="L6270" s="33"/>
      <c r="M6270" s="33"/>
    </row>
    <row r="6271">
      <c r="A6271" s="32" t="s">
        <v>17054</v>
      </c>
      <c r="B6271" s="32" t="s">
        <v>17055</v>
      </c>
      <c r="C6271" s="35">
        <v>28.44820023</v>
      </c>
      <c r="D6271" s="35">
        <v>-11.16129971</v>
      </c>
      <c r="E6271" s="32" t="s">
        <v>17</v>
      </c>
      <c r="F6271" s="32" t="s">
        <v>17056</v>
      </c>
      <c r="G6271" s="36" t="e">
        <v>#N/A</v>
      </c>
      <c r="H6271" s="33"/>
      <c r="I6271" s="33"/>
      <c r="J6271" s="33"/>
      <c r="K6271" s="33"/>
      <c r="L6271" s="33"/>
      <c r="M6271" s="33"/>
    </row>
    <row r="6272">
      <c r="A6272" s="32" t="s">
        <v>17057</v>
      </c>
      <c r="B6272" s="32" t="s">
        <v>17058</v>
      </c>
      <c r="C6272" s="35">
        <v>39.9188</v>
      </c>
      <c r="D6272" s="35">
        <v>9.68298</v>
      </c>
      <c r="E6272" s="32" t="s">
        <v>103</v>
      </c>
      <c r="F6272" s="32" t="s">
        <v>17059</v>
      </c>
      <c r="G6272" s="39" t="s">
        <v>104</v>
      </c>
      <c r="H6272" s="33"/>
      <c r="I6272" s="33"/>
      <c r="J6272" s="33"/>
      <c r="K6272" s="33"/>
      <c r="L6272" s="33"/>
      <c r="M6272" s="33"/>
    </row>
    <row r="6273">
      <c r="A6273" s="32" t="s">
        <v>17060</v>
      </c>
      <c r="B6273" s="32" t="s">
        <v>17061</v>
      </c>
      <c r="C6273" s="35">
        <v>-25.56430054</v>
      </c>
      <c r="D6273" s="35">
        <v>-70.37590027</v>
      </c>
      <c r="E6273" s="32" t="s">
        <v>300</v>
      </c>
      <c r="F6273" s="32" t="s">
        <v>17062</v>
      </c>
      <c r="G6273" s="36" t="e">
        <v>#N/A</v>
      </c>
      <c r="H6273" s="33"/>
      <c r="I6273" s="33"/>
      <c r="J6273" s="33"/>
      <c r="K6273" s="33"/>
      <c r="L6273" s="33"/>
      <c r="M6273" s="33"/>
    </row>
    <row r="6274">
      <c r="A6274" s="32" t="s">
        <v>17063</v>
      </c>
      <c r="B6274" s="32" t="s">
        <v>17064</v>
      </c>
      <c r="C6274" s="35">
        <v>45.54940033</v>
      </c>
      <c r="D6274" s="35">
        <v>-122.401001</v>
      </c>
      <c r="E6274" s="32" t="s">
        <v>180</v>
      </c>
      <c r="F6274" s="32" t="s">
        <v>17065</v>
      </c>
      <c r="G6274" s="39" t="s">
        <v>181</v>
      </c>
      <c r="H6274" s="33"/>
      <c r="I6274" s="33"/>
      <c r="J6274" s="33"/>
      <c r="K6274" s="33"/>
      <c r="L6274" s="33"/>
      <c r="M6274" s="33"/>
    </row>
    <row r="6275">
      <c r="A6275" s="32" t="s">
        <v>17066</v>
      </c>
      <c r="B6275" s="32" t="s">
        <v>17067</v>
      </c>
      <c r="C6275" s="35">
        <v>0.831413984</v>
      </c>
      <c r="D6275" s="35">
        <v>127.3809967</v>
      </c>
      <c r="E6275" s="32" t="s">
        <v>280</v>
      </c>
      <c r="F6275" s="32" t="s">
        <v>17068</v>
      </c>
      <c r="G6275" s="36" t="e">
        <v>#N/A</v>
      </c>
      <c r="H6275" s="33"/>
      <c r="I6275" s="33"/>
      <c r="J6275" s="33"/>
      <c r="K6275" s="33"/>
      <c r="L6275" s="33"/>
      <c r="M6275" s="33"/>
    </row>
    <row r="6276">
      <c r="A6276" s="32" t="s">
        <v>17069</v>
      </c>
      <c r="B6276" s="32" t="s">
        <v>17070</v>
      </c>
      <c r="C6276" s="35">
        <v>-22.6196003</v>
      </c>
      <c r="D6276" s="35">
        <v>-63.79370117</v>
      </c>
      <c r="E6276" s="32" t="s">
        <v>296</v>
      </c>
      <c r="F6276" s="32" t="s">
        <v>17071</v>
      </c>
      <c r="G6276" s="36" t="e">
        <v>#N/A</v>
      </c>
      <c r="H6276" s="33"/>
      <c r="I6276" s="33"/>
      <c r="J6276" s="33"/>
      <c r="K6276" s="33"/>
      <c r="L6276" s="33"/>
      <c r="M6276" s="33"/>
    </row>
    <row r="6277">
      <c r="A6277" s="32" t="s">
        <v>17072</v>
      </c>
      <c r="B6277" s="32" t="s">
        <v>17073</v>
      </c>
      <c r="C6277" s="35">
        <v>17.66600037</v>
      </c>
      <c r="D6277" s="35">
        <v>54.02460098</v>
      </c>
      <c r="E6277" s="32" t="s">
        <v>238</v>
      </c>
      <c r="F6277" s="32" t="s">
        <v>17074</v>
      </c>
      <c r="G6277" s="36" t="e">
        <v>#N/A</v>
      </c>
      <c r="H6277" s="33"/>
      <c r="I6277" s="33"/>
      <c r="J6277" s="33"/>
      <c r="K6277" s="33"/>
      <c r="L6277" s="33"/>
      <c r="M6277" s="33"/>
    </row>
    <row r="6278">
      <c r="A6278" s="32" t="s">
        <v>17075</v>
      </c>
      <c r="B6278" s="32" t="s">
        <v>17076</v>
      </c>
      <c r="C6278" s="35">
        <v>-17.01329994</v>
      </c>
      <c r="D6278" s="35">
        <v>-149.5870056</v>
      </c>
      <c r="E6278" s="32" t="s">
        <v>1325</v>
      </c>
      <c r="F6278" s="32" t="s">
        <v>17077</v>
      </c>
      <c r="G6278" s="36" t="e">
        <v>#N/A</v>
      </c>
      <c r="H6278" s="33"/>
      <c r="I6278" s="33"/>
      <c r="J6278" s="33"/>
      <c r="K6278" s="33"/>
      <c r="L6278" s="33"/>
      <c r="M6278" s="33"/>
    </row>
    <row r="6279">
      <c r="A6279" s="32" t="s">
        <v>17078</v>
      </c>
      <c r="B6279" s="32" t="s">
        <v>17079</v>
      </c>
      <c r="C6279" s="35">
        <v>35.53010178</v>
      </c>
      <c r="D6279" s="35">
        <v>134.1670074</v>
      </c>
      <c r="E6279" s="32" t="s">
        <v>170</v>
      </c>
      <c r="F6279" s="32" t="s">
        <v>17080</v>
      </c>
      <c r="G6279" s="39" t="s">
        <v>171</v>
      </c>
      <c r="H6279" s="33"/>
      <c r="I6279" s="33"/>
      <c r="J6279" s="33"/>
      <c r="K6279" s="33"/>
      <c r="L6279" s="33"/>
      <c r="M6279" s="33"/>
    </row>
    <row r="6280">
      <c r="A6280" s="32" t="s">
        <v>17081</v>
      </c>
      <c r="B6280" s="32" t="s">
        <v>17082</v>
      </c>
      <c r="C6280" s="35">
        <v>-16.966</v>
      </c>
      <c r="D6280" s="35">
        <v>177.368</v>
      </c>
      <c r="E6280" s="32" t="s">
        <v>9136</v>
      </c>
      <c r="F6280" s="32" t="s">
        <v>17083</v>
      </c>
      <c r="G6280" s="36" t="e">
        <v>#N/A</v>
      </c>
      <c r="H6280" s="33"/>
      <c r="I6280" s="33"/>
      <c r="J6280" s="33"/>
      <c r="K6280" s="33"/>
      <c r="L6280" s="33"/>
      <c r="M6280" s="33"/>
    </row>
    <row r="6281">
      <c r="A6281" s="32" t="s">
        <v>17084</v>
      </c>
      <c r="B6281" s="32" t="s">
        <v>17085</v>
      </c>
      <c r="C6281" s="35">
        <v>40.27669907</v>
      </c>
      <c r="D6281" s="35">
        <v>-74.81349945</v>
      </c>
      <c r="E6281" s="32" t="s">
        <v>180</v>
      </c>
      <c r="F6281" s="32" t="s">
        <v>17086</v>
      </c>
      <c r="G6281" s="39" t="s">
        <v>181</v>
      </c>
      <c r="H6281" s="33"/>
      <c r="I6281" s="33"/>
      <c r="J6281" s="33"/>
      <c r="K6281" s="33"/>
      <c r="L6281" s="33"/>
      <c r="M6281" s="33"/>
    </row>
    <row r="6282">
      <c r="A6282" s="32" t="s">
        <v>17087</v>
      </c>
      <c r="B6282" s="32" t="s">
        <v>17088</v>
      </c>
      <c r="C6282" s="35">
        <v>10.42</v>
      </c>
      <c r="D6282" s="35">
        <v>-83.6095</v>
      </c>
      <c r="E6282" s="32" t="s">
        <v>1267</v>
      </c>
      <c r="F6282" s="32" t="s">
        <v>17089</v>
      </c>
      <c r="G6282" s="36" t="e">
        <v>#N/A</v>
      </c>
      <c r="H6282" s="33"/>
      <c r="I6282" s="33"/>
      <c r="J6282" s="33"/>
      <c r="K6282" s="33"/>
      <c r="L6282" s="33"/>
      <c r="M6282" s="33"/>
    </row>
    <row r="6283">
      <c r="A6283" s="32" t="s">
        <v>17090</v>
      </c>
      <c r="B6283" s="32" t="s">
        <v>17091</v>
      </c>
      <c r="C6283" s="35">
        <v>-3.044739962</v>
      </c>
      <c r="D6283" s="35">
        <v>119.8219986</v>
      </c>
      <c r="E6283" s="32" t="s">
        <v>280</v>
      </c>
      <c r="F6283" s="32" t="s">
        <v>12286</v>
      </c>
      <c r="G6283" s="36" t="e">
        <v>#N/A</v>
      </c>
      <c r="H6283" s="33"/>
      <c r="I6283" s="33"/>
      <c r="J6283" s="33"/>
      <c r="K6283" s="33"/>
      <c r="L6283" s="33"/>
      <c r="M6283" s="33"/>
    </row>
    <row r="6284">
      <c r="A6284" s="32" t="s">
        <v>17092</v>
      </c>
      <c r="B6284" s="32" t="s">
        <v>17093</v>
      </c>
      <c r="C6284" s="35">
        <v>28.61499977</v>
      </c>
      <c r="D6284" s="35">
        <v>-80.69450378</v>
      </c>
      <c r="E6284" s="32" t="s">
        <v>384</v>
      </c>
      <c r="F6284" s="32" t="s">
        <v>17094</v>
      </c>
      <c r="G6284" s="36" t="e">
        <v>#N/A</v>
      </c>
      <c r="H6284" s="33"/>
      <c r="I6284" s="33"/>
      <c r="J6284" s="33"/>
      <c r="K6284" s="33"/>
      <c r="L6284" s="33"/>
      <c r="M6284" s="33"/>
    </row>
    <row r="6285">
      <c r="A6285" s="32" t="s">
        <v>17095</v>
      </c>
      <c r="B6285" s="32" t="s">
        <v>17096</v>
      </c>
      <c r="C6285" s="35">
        <v>22.75499916</v>
      </c>
      <c r="D6285" s="35">
        <v>121.1019974</v>
      </c>
      <c r="E6285" s="32" t="s">
        <v>1497</v>
      </c>
      <c r="F6285" s="32" t="s">
        <v>17097</v>
      </c>
      <c r="G6285" s="36" t="e">
        <v>#N/A</v>
      </c>
      <c r="H6285" s="33"/>
      <c r="I6285" s="33"/>
      <c r="J6285" s="33"/>
      <c r="K6285" s="33"/>
      <c r="L6285" s="33"/>
      <c r="M6285" s="33"/>
    </row>
    <row r="6286">
      <c r="A6286" s="32" t="s">
        <v>17098</v>
      </c>
      <c r="B6286" s="32" t="s">
        <v>17099</v>
      </c>
      <c r="C6286" s="35">
        <v>35.59429932</v>
      </c>
      <c r="D6286" s="35">
        <v>-5.320020199</v>
      </c>
      <c r="E6286" s="32" t="s">
        <v>17</v>
      </c>
      <c r="F6286" s="32" t="s">
        <v>17100</v>
      </c>
      <c r="G6286" s="36" t="e">
        <v>#N/A</v>
      </c>
      <c r="H6286" s="33"/>
      <c r="I6286" s="33"/>
      <c r="J6286" s="33"/>
      <c r="K6286" s="33"/>
      <c r="L6286" s="33"/>
      <c r="M6286" s="33"/>
    </row>
    <row r="6287">
      <c r="A6287" s="32" t="s">
        <v>17101</v>
      </c>
      <c r="B6287" s="32" t="s">
        <v>17102</v>
      </c>
      <c r="C6287" s="35">
        <v>0.809505999</v>
      </c>
      <c r="D6287" s="35">
        <v>-77.70809937</v>
      </c>
      <c r="E6287" s="32" t="s">
        <v>311</v>
      </c>
      <c r="F6287" s="32" t="s">
        <v>17103</v>
      </c>
      <c r="G6287" s="36" t="e">
        <v>#N/A</v>
      </c>
      <c r="H6287" s="33"/>
      <c r="I6287" s="33"/>
      <c r="J6287" s="33"/>
      <c r="K6287" s="33"/>
      <c r="L6287" s="33"/>
      <c r="M6287" s="33"/>
    </row>
    <row r="6288">
      <c r="A6288" s="32" t="s">
        <v>17104</v>
      </c>
      <c r="B6288" s="32" t="s">
        <v>17105</v>
      </c>
      <c r="C6288" s="35">
        <v>-23.36540031</v>
      </c>
      <c r="D6288" s="35">
        <v>-149.5240021</v>
      </c>
      <c r="E6288" s="32" t="s">
        <v>1325</v>
      </c>
      <c r="F6288" s="32" t="s">
        <v>17106</v>
      </c>
      <c r="G6288" s="36" t="e">
        <v>#N/A</v>
      </c>
      <c r="H6288" s="33"/>
      <c r="I6288" s="33"/>
      <c r="J6288" s="33"/>
      <c r="K6288" s="33"/>
      <c r="L6288" s="33"/>
      <c r="M6288" s="33"/>
    </row>
    <row r="6289">
      <c r="A6289" s="32" t="s">
        <v>17107</v>
      </c>
      <c r="B6289" s="32" t="s">
        <v>17108</v>
      </c>
      <c r="C6289" s="35">
        <v>-26.8409</v>
      </c>
      <c r="D6289" s="35">
        <v>-65.104897</v>
      </c>
      <c r="E6289" s="32" t="s">
        <v>296</v>
      </c>
      <c r="F6289" s="32" t="s">
        <v>17109</v>
      </c>
      <c r="G6289" s="36" t="e">
        <v>#N/A</v>
      </c>
      <c r="H6289" s="33"/>
      <c r="I6289" s="33"/>
      <c r="J6289" s="33"/>
      <c r="K6289" s="33"/>
      <c r="L6289" s="33"/>
      <c r="M6289" s="33"/>
    </row>
    <row r="6290">
      <c r="A6290" s="32" t="s">
        <v>17110</v>
      </c>
      <c r="B6290" s="32" t="s">
        <v>17111</v>
      </c>
      <c r="C6290" s="35">
        <v>13.73680019</v>
      </c>
      <c r="D6290" s="35">
        <v>-13.65310001</v>
      </c>
      <c r="E6290" s="32" t="s">
        <v>5407</v>
      </c>
      <c r="F6290" s="32" t="s">
        <v>17112</v>
      </c>
      <c r="G6290" s="36" t="e">
        <v>#N/A</v>
      </c>
      <c r="H6290" s="33"/>
      <c r="I6290" s="33"/>
      <c r="J6290" s="33"/>
      <c r="K6290" s="33"/>
      <c r="L6290" s="33"/>
      <c r="M6290" s="33"/>
    </row>
    <row r="6291">
      <c r="A6291" s="32" t="s">
        <v>17113</v>
      </c>
      <c r="B6291" s="32" t="s">
        <v>17114</v>
      </c>
      <c r="C6291" s="35">
        <v>47.43220139</v>
      </c>
      <c r="D6291" s="35">
        <v>0.727605999</v>
      </c>
      <c r="E6291" s="32" t="s">
        <v>96</v>
      </c>
      <c r="F6291" s="32" t="s">
        <v>17115</v>
      </c>
      <c r="G6291" s="39" t="s">
        <v>97</v>
      </c>
      <c r="H6291" s="33"/>
      <c r="I6291" s="33"/>
      <c r="J6291" s="33"/>
      <c r="K6291" s="33"/>
      <c r="L6291" s="33"/>
      <c r="M6291" s="33"/>
    </row>
    <row r="6292">
      <c r="A6292" s="32" t="s">
        <v>17116</v>
      </c>
      <c r="B6292" s="32" t="s">
        <v>17117</v>
      </c>
      <c r="C6292" s="35">
        <v>17.64336768</v>
      </c>
      <c r="D6292" s="35">
        <v>121.7331505</v>
      </c>
      <c r="E6292" s="32" t="s">
        <v>270</v>
      </c>
      <c r="F6292" s="32" t="s">
        <v>17118</v>
      </c>
      <c r="G6292" s="36" t="e">
        <v>#N/A</v>
      </c>
      <c r="H6292" s="33"/>
      <c r="I6292" s="33"/>
      <c r="J6292" s="33"/>
      <c r="K6292" s="33"/>
      <c r="L6292" s="33"/>
      <c r="M6292" s="33"/>
    </row>
    <row r="6293">
      <c r="A6293" s="32" t="s">
        <v>17119</v>
      </c>
      <c r="B6293" s="32" t="s">
        <v>17120</v>
      </c>
      <c r="C6293" s="35">
        <v>31.692188</v>
      </c>
      <c r="D6293" s="35">
        <v>38.731544</v>
      </c>
      <c r="E6293" s="32" t="s">
        <v>223</v>
      </c>
      <c r="F6293" s="32" t="s">
        <v>17121</v>
      </c>
      <c r="G6293" s="36" t="e">
        <v>#N/A</v>
      </c>
      <c r="H6293" s="33"/>
      <c r="I6293" s="33"/>
      <c r="J6293" s="33"/>
      <c r="K6293" s="33"/>
      <c r="L6293" s="33"/>
      <c r="M6293" s="33"/>
    </row>
    <row r="6294">
      <c r="A6294" s="32" t="s">
        <v>17122</v>
      </c>
      <c r="B6294" s="32" t="s">
        <v>17123</v>
      </c>
      <c r="C6294" s="35">
        <v>25.9864006</v>
      </c>
      <c r="D6294" s="35">
        <v>63.03020096</v>
      </c>
      <c r="E6294" s="32" t="s">
        <v>1470</v>
      </c>
      <c r="F6294" s="32" t="s">
        <v>17124</v>
      </c>
      <c r="G6294" s="36" t="e">
        <v>#N/A</v>
      </c>
      <c r="H6294" s="33"/>
      <c r="I6294" s="33"/>
      <c r="J6294" s="33"/>
      <c r="K6294" s="33"/>
      <c r="L6294" s="33"/>
      <c r="M6294" s="33"/>
    </row>
    <row r="6295">
      <c r="A6295" s="32" t="s">
        <v>17125</v>
      </c>
      <c r="B6295" s="32" t="s">
        <v>17126</v>
      </c>
      <c r="C6295" s="35">
        <v>36.19839859</v>
      </c>
      <c r="D6295" s="35">
        <v>-95.88809967</v>
      </c>
      <c r="E6295" s="32" t="s">
        <v>180</v>
      </c>
      <c r="F6295" s="32" t="s">
        <v>15185</v>
      </c>
      <c r="G6295" s="39" t="s">
        <v>181</v>
      </c>
      <c r="H6295" s="33"/>
      <c r="I6295" s="33"/>
      <c r="J6295" s="33"/>
      <c r="K6295" s="33"/>
      <c r="L6295" s="33"/>
      <c r="M6295" s="33"/>
    </row>
    <row r="6296">
      <c r="A6296" s="32" t="s">
        <v>17127</v>
      </c>
      <c r="B6296" s="32" t="s">
        <v>17128</v>
      </c>
      <c r="C6296" s="35">
        <v>-35.26279831</v>
      </c>
      <c r="D6296" s="35">
        <v>148.2409973</v>
      </c>
      <c r="E6296" s="32" t="s">
        <v>1968</v>
      </c>
      <c r="F6296" s="33"/>
      <c r="G6296" s="36" t="e">
        <v>#N/A</v>
      </c>
      <c r="H6296" s="33"/>
      <c r="I6296" s="33"/>
      <c r="J6296" s="33"/>
      <c r="K6296" s="33"/>
      <c r="L6296" s="33"/>
      <c r="M6296" s="33"/>
    </row>
    <row r="6297">
      <c r="A6297" s="32" t="s">
        <v>17129</v>
      </c>
      <c r="B6297" s="32" t="s">
        <v>17130</v>
      </c>
      <c r="C6297" s="35">
        <v>36.85100174</v>
      </c>
      <c r="D6297" s="35">
        <v>10.22719955</v>
      </c>
      <c r="E6297" s="32" t="s">
        <v>22</v>
      </c>
      <c r="F6297" s="32" t="s">
        <v>17131</v>
      </c>
      <c r="G6297" s="36" t="e">
        <v>#N/A</v>
      </c>
      <c r="H6297" s="33"/>
      <c r="I6297" s="33"/>
      <c r="J6297" s="33"/>
      <c r="K6297" s="33"/>
      <c r="L6297" s="33"/>
      <c r="M6297" s="33"/>
    </row>
    <row r="6298">
      <c r="A6298" s="32" t="s">
        <v>17132</v>
      </c>
      <c r="B6298" s="32" t="s">
        <v>17133</v>
      </c>
      <c r="C6298" s="35">
        <v>-38.73970032</v>
      </c>
      <c r="D6298" s="35">
        <v>176.0839996</v>
      </c>
      <c r="E6298" s="32" t="s">
        <v>1328</v>
      </c>
      <c r="F6298" s="32" t="s">
        <v>17134</v>
      </c>
      <c r="G6298" s="36" t="e">
        <v>#N/A</v>
      </c>
      <c r="H6298" s="33"/>
      <c r="I6298" s="33"/>
      <c r="J6298" s="33"/>
      <c r="K6298" s="33"/>
      <c r="L6298" s="33"/>
      <c r="M6298" s="33"/>
    </row>
    <row r="6299">
      <c r="A6299" s="32" t="s">
        <v>17135</v>
      </c>
      <c r="B6299" s="32" t="s">
        <v>17136</v>
      </c>
      <c r="C6299" s="35">
        <v>34.26810074</v>
      </c>
      <c r="D6299" s="35">
        <v>-88.76989746</v>
      </c>
      <c r="E6299" s="32" t="s">
        <v>180</v>
      </c>
      <c r="F6299" s="32" t="s">
        <v>17137</v>
      </c>
      <c r="G6299" s="39" t="s">
        <v>181</v>
      </c>
      <c r="H6299" s="33"/>
      <c r="I6299" s="33"/>
      <c r="J6299" s="33"/>
      <c r="K6299" s="33"/>
      <c r="L6299" s="33"/>
      <c r="M6299" s="33"/>
    </row>
    <row r="6300">
      <c r="A6300" s="32" t="s">
        <v>17138</v>
      </c>
      <c r="B6300" s="32" t="s">
        <v>17139</v>
      </c>
      <c r="C6300" s="35">
        <v>-3.786010027</v>
      </c>
      <c r="D6300" s="35">
        <v>-49.72029877</v>
      </c>
      <c r="E6300" s="32" t="s">
        <v>288</v>
      </c>
      <c r="F6300" s="32" t="s">
        <v>17140</v>
      </c>
      <c r="G6300" s="36" t="e">
        <v>#N/A</v>
      </c>
      <c r="H6300" s="33"/>
      <c r="I6300" s="33"/>
      <c r="J6300" s="33"/>
      <c r="K6300" s="33"/>
      <c r="L6300" s="33"/>
      <c r="M6300" s="33"/>
    </row>
    <row r="6301">
      <c r="A6301" s="32" t="s">
        <v>17141</v>
      </c>
      <c r="B6301" s="32" t="s">
        <v>17142</v>
      </c>
      <c r="C6301" s="35">
        <v>32.11610031</v>
      </c>
      <c r="D6301" s="35">
        <v>-110.9410019</v>
      </c>
      <c r="E6301" s="32" t="s">
        <v>180</v>
      </c>
      <c r="F6301" s="32" t="s">
        <v>3044</v>
      </c>
      <c r="G6301" s="39" t="s">
        <v>181</v>
      </c>
      <c r="H6301" s="33"/>
      <c r="I6301" s="33"/>
      <c r="J6301" s="33"/>
      <c r="K6301" s="33"/>
      <c r="L6301" s="33"/>
      <c r="M6301" s="33"/>
    </row>
    <row r="6302">
      <c r="A6302" s="32" t="s">
        <v>17143</v>
      </c>
      <c r="B6302" s="32" t="s">
        <v>17144</v>
      </c>
      <c r="C6302" s="35">
        <v>28.3654</v>
      </c>
      <c r="D6302" s="35">
        <v>36.6189</v>
      </c>
      <c r="E6302" s="32" t="s">
        <v>223</v>
      </c>
      <c r="F6302" s="32" t="s">
        <v>17145</v>
      </c>
      <c r="G6302" s="36" t="e">
        <v>#N/A</v>
      </c>
      <c r="H6302" s="33"/>
      <c r="I6302" s="33"/>
      <c r="J6302" s="33"/>
      <c r="K6302" s="33"/>
      <c r="L6302" s="33"/>
      <c r="M6302" s="33"/>
    </row>
    <row r="6303">
      <c r="A6303" s="32" t="s">
        <v>17146</v>
      </c>
      <c r="B6303" s="32" t="s">
        <v>17147</v>
      </c>
      <c r="C6303" s="35">
        <v>9.088994026</v>
      </c>
      <c r="D6303" s="35">
        <v>-62.09417343</v>
      </c>
      <c r="E6303" s="32" t="s">
        <v>315</v>
      </c>
      <c r="F6303" s="32" t="s">
        <v>17148</v>
      </c>
      <c r="G6303" s="36" t="e">
        <v>#N/A</v>
      </c>
      <c r="H6303" s="33"/>
      <c r="I6303" s="33"/>
      <c r="J6303" s="33"/>
      <c r="K6303" s="33"/>
      <c r="L6303" s="33"/>
      <c r="M6303" s="33"/>
    </row>
    <row r="6304">
      <c r="A6304" s="32" t="s">
        <v>17149</v>
      </c>
      <c r="B6304" s="32" t="s">
        <v>17150</v>
      </c>
      <c r="C6304" s="35">
        <v>-17.85008346</v>
      </c>
      <c r="D6304" s="35">
        <v>44.92046714</v>
      </c>
      <c r="E6304" s="32" t="s">
        <v>384</v>
      </c>
      <c r="F6304" s="32" t="s">
        <v>17151</v>
      </c>
      <c r="G6304" s="36" t="e">
        <v>#N/A</v>
      </c>
      <c r="H6304" s="33"/>
      <c r="I6304" s="33"/>
      <c r="J6304" s="33"/>
      <c r="K6304" s="33"/>
      <c r="L6304" s="33"/>
      <c r="M6304" s="33"/>
    </row>
    <row r="6305">
      <c r="A6305" s="32" t="s">
        <v>17152</v>
      </c>
      <c r="B6305" s="32" t="s">
        <v>17153</v>
      </c>
      <c r="C6305" s="35">
        <v>44.74140167</v>
      </c>
      <c r="D6305" s="35">
        <v>-85.5821991</v>
      </c>
      <c r="E6305" s="32" t="s">
        <v>180</v>
      </c>
      <c r="F6305" s="32" t="s">
        <v>17154</v>
      </c>
      <c r="G6305" s="39" t="s">
        <v>181</v>
      </c>
      <c r="H6305" s="33"/>
      <c r="I6305" s="33"/>
      <c r="J6305" s="33"/>
      <c r="K6305" s="33"/>
      <c r="L6305" s="33"/>
      <c r="M6305" s="33"/>
    </row>
    <row r="6306">
      <c r="A6306" s="32" t="s">
        <v>17155</v>
      </c>
      <c r="B6306" s="32" t="s">
        <v>17156</v>
      </c>
      <c r="C6306" s="35">
        <v>48.06570053</v>
      </c>
      <c r="D6306" s="35">
        <v>-96.18499756</v>
      </c>
      <c r="E6306" s="32" t="s">
        <v>180</v>
      </c>
      <c r="F6306" s="32" t="s">
        <v>17157</v>
      </c>
      <c r="G6306" s="39" t="s">
        <v>181</v>
      </c>
      <c r="H6306" s="33"/>
      <c r="I6306" s="33"/>
      <c r="J6306" s="33"/>
      <c r="K6306" s="33"/>
      <c r="L6306" s="33"/>
      <c r="M6306" s="33"/>
    </row>
    <row r="6307">
      <c r="A6307" s="32" t="s">
        <v>17158</v>
      </c>
      <c r="B6307" s="32" t="s">
        <v>17159</v>
      </c>
      <c r="C6307" s="35">
        <v>30.90159988</v>
      </c>
      <c r="D6307" s="35">
        <v>-83.88130188</v>
      </c>
      <c r="E6307" s="32" t="s">
        <v>180</v>
      </c>
      <c r="F6307" s="32" t="s">
        <v>17160</v>
      </c>
      <c r="G6307" s="39" t="s">
        <v>181</v>
      </c>
      <c r="H6307" s="33"/>
      <c r="I6307" s="33"/>
      <c r="J6307" s="33"/>
      <c r="K6307" s="33"/>
      <c r="L6307" s="33"/>
      <c r="M6307" s="33"/>
    </row>
    <row r="6308">
      <c r="A6308" s="32" t="s">
        <v>17161</v>
      </c>
      <c r="B6308" s="32" t="s">
        <v>17162</v>
      </c>
      <c r="C6308" s="35">
        <v>38.89390182</v>
      </c>
      <c r="D6308" s="35">
        <v>-119.9950027</v>
      </c>
      <c r="E6308" s="32" t="s">
        <v>180</v>
      </c>
      <c r="F6308" s="32" t="s">
        <v>17163</v>
      </c>
      <c r="G6308" s="39" t="s">
        <v>181</v>
      </c>
      <c r="H6308" s="33"/>
      <c r="I6308" s="33"/>
      <c r="J6308" s="33"/>
      <c r="K6308" s="33"/>
      <c r="L6308" s="33"/>
      <c r="M6308" s="33"/>
    </row>
    <row r="6309">
      <c r="A6309" s="32" t="s">
        <v>17164</v>
      </c>
      <c r="B6309" s="32" t="s">
        <v>17165</v>
      </c>
      <c r="C6309" s="35">
        <v>-16.69059944</v>
      </c>
      <c r="D6309" s="35">
        <v>-179.8769989</v>
      </c>
      <c r="E6309" s="32" t="s">
        <v>9136</v>
      </c>
      <c r="F6309" s="32" t="s">
        <v>17166</v>
      </c>
      <c r="G6309" s="36" t="e">
        <v>#N/A</v>
      </c>
      <c r="H6309" s="33"/>
      <c r="I6309" s="33"/>
      <c r="J6309" s="33"/>
      <c r="K6309" s="33"/>
      <c r="L6309" s="33"/>
      <c r="M6309" s="33"/>
    </row>
    <row r="6310">
      <c r="A6310" s="32" t="s">
        <v>17167</v>
      </c>
      <c r="B6310" s="32" t="s">
        <v>17168</v>
      </c>
      <c r="C6310" s="35">
        <v>14.10389996</v>
      </c>
      <c r="D6310" s="35">
        <v>98.20359802</v>
      </c>
      <c r="E6310" s="32" t="s">
        <v>1918</v>
      </c>
      <c r="F6310" s="32" t="s">
        <v>17169</v>
      </c>
      <c r="G6310" s="36" t="e">
        <v>#N/A</v>
      </c>
      <c r="H6310" s="33"/>
      <c r="I6310" s="33"/>
      <c r="J6310" s="33"/>
      <c r="K6310" s="33"/>
      <c r="L6310" s="33"/>
      <c r="M6310" s="33"/>
    </row>
    <row r="6311">
      <c r="A6311" s="32" t="s">
        <v>17170</v>
      </c>
      <c r="B6311" s="32" t="s">
        <v>17171</v>
      </c>
      <c r="C6311" s="35">
        <v>-27.5428009</v>
      </c>
      <c r="D6311" s="35">
        <v>151.9160004</v>
      </c>
      <c r="E6311" s="32" t="s">
        <v>1968</v>
      </c>
      <c r="F6311" s="32" t="s">
        <v>17172</v>
      </c>
      <c r="G6311" s="36" t="e">
        <v>#N/A</v>
      </c>
      <c r="H6311" s="33"/>
      <c r="I6311" s="33"/>
      <c r="J6311" s="33"/>
      <c r="K6311" s="33"/>
      <c r="L6311" s="33"/>
      <c r="M6311" s="33"/>
    </row>
    <row r="6312">
      <c r="A6312" s="32" t="s">
        <v>17173</v>
      </c>
      <c r="B6312" s="32" t="s">
        <v>17174</v>
      </c>
      <c r="C6312" s="35">
        <v>42.48180008</v>
      </c>
      <c r="D6312" s="35">
        <v>-114.487999</v>
      </c>
      <c r="E6312" s="32" t="s">
        <v>180</v>
      </c>
      <c r="F6312" s="32" t="s">
        <v>17175</v>
      </c>
      <c r="G6312" s="39" t="s">
        <v>181</v>
      </c>
      <c r="H6312" s="33"/>
      <c r="I6312" s="33"/>
      <c r="J6312" s="33"/>
      <c r="K6312" s="33"/>
      <c r="L6312" s="33"/>
      <c r="M6312" s="33"/>
    </row>
    <row r="6313">
      <c r="A6313" s="32" t="s">
        <v>17176</v>
      </c>
      <c r="B6313" s="32" t="s">
        <v>17177</v>
      </c>
      <c r="C6313" s="35">
        <v>4.320159912</v>
      </c>
      <c r="D6313" s="35">
        <v>118.1279984</v>
      </c>
      <c r="E6313" s="32" t="s">
        <v>284</v>
      </c>
      <c r="F6313" s="32" t="s">
        <v>17178</v>
      </c>
      <c r="G6313" s="36" t="e">
        <v>#N/A</v>
      </c>
      <c r="H6313" s="33"/>
      <c r="I6313" s="33"/>
      <c r="J6313" s="33"/>
      <c r="K6313" s="33"/>
      <c r="L6313" s="33"/>
      <c r="M6313" s="33"/>
    </row>
    <row r="6314">
      <c r="A6314" s="32" t="s">
        <v>17179</v>
      </c>
      <c r="B6314" s="32" t="s">
        <v>17180</v>
      </c>
      <c r="C6314" s="35">
        <v>19.537992</v>
      </c>
      <c r="D6314" s="35">
        <v>-98.173492</v>
      </c>
      <c r="E6314" s="32" t="s">
        <v>186</v>
      </c>
      <c r="F6314" s="32" t="s">
        <v>17181</v>
      </c>
      <c r="G6314" s="39" t="s">
        <v>187</v>
      </c>
      <c r="H6314" s="33"/>
      <c r="I6314" s="33"/>
      <c r="J6314" s="33"/>
      <c r="K6314" s="33"/>
      <c r="L6314" s="33"/>
      <c r="M6314" s="33"/>
    </row>
    <row r="6315">
      <c r="A6315" s="32" t="s">
        <v>17182</v>
      </c>
      <c r="B6315" s="32" t="s">
        <v>17183</v>
      </c>
      <c r="C6315" s="35">
        <v>24.18630028</v>
      </c>
      <c r="D6315" s="35">
        <v>120.6539993</v>
      </c>
      <c r="E6315" s="32" t="s">
        <v>1497</v>
      </c>
      <c r="F6315" s="32" t="s">
        <v>14990</v>
      </c>
      <c r="G6315" s="36" t="e">
        <v>#N/A</v>
      </c>
      <c r="H6315" s="33"/>
      <c r="I6315" s="33"/>
      <c r="J6315" s="33"/>
      <c r="K6315" s="33"/>
      <c r="L6315" s="33"/>
      <c r="M6315" s="33"/>
    </row>
    <row r="6316">
      <c r="A6316" s="32" t="s">
        <v>17184</v>
      </c>
      <c r="B6316" s="32" t="s">
        <v>17185</v>
      </c>
      <c r="C6316" s="35">
        <v>33.45370102</v>
      </c>
      <c r="D6316" s="35">
        <v>-93.99099731</v>
      </c>
      <c r="E6316" s="32" t="s">
        <v>180</v>
      </c>
      <c r="F6316" s="32" t="s">
        <v>17186</v>
      </c>
      <c r="G6316" s="39" t="s">
        <v>181</v>
      </c>
      <c r="H6316" s="33"/>
      <c r="I6316" s="33"/>
      <c r="J6316" s="33"/>
      <c r="K6316" s="33"/>
      <c r="L6316" s="33"/>
      <c r="M6316" s="33"/>
    </row>
    <row r="6317">
      <c r="A6317" s="32" t="s">
        <v>17187</v>
      </c>
      <c r="B6317" s="32" t="s">
        <v>17188</v>
      </c>
      <c r="C6317" s="35">
        <v>52.55970001</v>
      </c>
      <c r="D6317" s="35">
        <v>13.2876997</v>
      </c>
      <c r="E6317" s="32" t="s">
        <v>109</v>
      </c>
      <c r="F6317" s="32" t="s">
        <v>16251</v>
      </c>
      <c r="G6317" s="39" t="s">
        <v>110</v>
      </c>
      <c r="H6317" s="33"/>
      <c r="I6317" s="33"/>
      <c r="J6317" s="33"/>
      <c r="K6317" s="33"/>
      <c r="L6317" s="33"/>
      <c r="M6317" s="33"/>
    </row>
    <row r="6318">
      <c r="A6318" s="32" t="s">
        <v>17189</v>
      </c>
      <c r="B6318" s="32" t="s">
        <v>17190</v>
      </c>
      <c r="C6318" s="35">
        <v>29.73329926</v>
      </c>
      <c r="D6318" s="35">
        <v>118.2559967</v>
      </c>
      <c r="E6318" s="32" t="s">
        <v>205</v>
      </c>
      <c r="F6318" s="32" t="s">
        <v>17191</v>
      </c>
      <c r="G6318" s="39" t="s">
        <v>206</v>
      </c>
      <c r="H6318" s="33"/>
      <c r="I6318" s="33"/>
      <c r="J6318" s="33"/>
      <c r="K6318" s="33"/>
      <c r="L6318" s="33"/>
      <c r="M6318" s="33"/>
    </row>
    <row r="6319">
      <c r="A6319" s="32" t="s">
        <v>17192</v>
      </c>
      <c r="B6319" s="32" t="s">
        <v>17193</v>
      </c>
      <c r="C6319" s="35">
        <v>-29.4510994</v>
      </c>
      <c r="D6319" s="35">
        <v>142.0579987</v>
      </c>
      <c r="E6319" s="32" t="s">
        <v>1968</v>
      </c>
      <c r="F6319" s="33"/>
      <c r="G6319" s="36" t="e">
        <v>#N/A</v>
      </c>
      <c r="H6319" s="33"/>
      <c r="I6319" s="33"/>
      <c r="J6319" s="33"/>
      <c r="K6319" s="33"/>
      <c r="L6319" s="33"/>
      <c r="M6319" s="33"/>
    </row>
    <row r="6320">
      <c r="A6320" s="32" t="s">
        <v>17194</v>
      </c>
      <c r="B6320" s="32" t="s">
        <v>17195</v>
      </c>
      <c r="C6320" s="35">
        <v>60.1576004</v>
      </c>
      <c r="D6320" s="35">
        <v>12.99129963</v>
      </c>
      <c r="E6320" s="32" t="s">
        <v>347</v>
      </c>
      <c r="F6320" s="32" t="s">
        <v>17196</v>
      </c>
      <c r="G6320" s="36" t="e">
        <v>#N/A</v>
      </c>
      <c r="H6320" s="33"/>
      <c r="I6320" s="33"/>
      <c r="J6320" s="33"/>
      <c r="K6320" s="33"/>
      <c r="L6320" s="33"/>
      <c r="M6320" s="33"/>
    </row>
    <row r="6321">
      <c r="A6321" s="32" t="s">
        <v>17197</v>
      </c>
      <c r="B6321" s="32" t="s">
        <v>17198</v>
      </c>
      <c r="C6321" s="35">
        <v>-4.576640129</v>
      </c>
      <c r="D6321" s="35">
        <v>-81.25409698</v>
      </c>
      <c r="E6321" s="32" t="s">
        <v>307</v>
      </c>
      <c r="F6321" s="32" t="s">
        <v>17199</v>
      </c>
      <c r="G6321" s="36" t="e">
        <v>#N/A</v>
      </c>
      <c r="H6321" s="33"/>
      <c r="I6321" s="33"/>
      <c r="J6321" s="33"/>
      <c r="K6321" s="33"/>
      <c r="L6321" s="33"/>
      <c r="M6321" s="33"/>
    </row>
    <row r="6322">
      <c r="A6322" s="32" t="s">
        <v>17200</v>
      </c>
      <c r="B6322" s="32" t="s">
        <v>17201</v>
      </c>
      <c r="C6322" s="35">
        <v>37.74689865</v>
      </c>
      <c r="D6322" s="35">
        <v>112.6279984</v>
      </c>
      <c r="E6322" s="32" t="s">
        <v>205</v>
      </c>
      <c r="F6322" s="32" t="s">
        <v>17202</v>
      </c>
      <c r="G6322" s="39" t="s">
        <v>206</v>
      </c>
      <c r="H6322" s="33"/>
      <c r="I6322" s="33"/>
      <c r="J6322" s="33"/>
      <c r="K6322" s="33"/>
      <c r="L6322" s="33"/>
      <c r="M6322" s="33"/>
    </row>
    <row r="6323">
      <c r="A6323" s="32" t="s">
        <v>17203</v>
      </c>
      <c r="B6323" s="32" t="s">
        <v>17204</v>
      </c>
      <c r="C6323" s="35">
        <v>32.35409927</v>
      </c>
      <c r="D6323" s="35">
        <v>-95.40239716</v>
      </c>
      <c r="E6323" s="32" t="s">
        <v>180</v>
      </c>
      <c r="F6323" s="32" t="s">
        <v>17205</v>
      </c>
      <c r="G6323" s="39" t="s">
        <v>181</v>
      </c>
      <c r="H6323" s="33"/>
      <c r="I6323" s="33"/>
      <c r="J6323" s="33"/>
      <c r="K6323" s="33"/>
      <c r="L6323" s="33"/>
      <c r="M6323" s="33"/>
    </row>
    <row r="6324">
      <c r="A6324" s="32" t="s">
        <v>17206</v>
      </c>
      <c r="B6324" s="32" t="s">
        <v>17207</v>
      </c>
      <c r="C6324" s="35">
        <v>35.81100082</v>
      </c>
      <c r="D6324" s="35">
        <v>-83.9940033</v>
      </c>
      <c r="E6324" s="32" t="s">
        <v>180</v>
      </c>
      <c r="F6324" s="32" t="s">
        <v>6726</v>
      </c>
      <c r="G6324" s="39" t="s">
        <v>181</v>
      </c>
      <c r="H6324" s="33"/>
      <c r="I6324" s="33"/>
      <c r="J6324" s="33"/>
      <c r="K6324" s="33"/>
      <c r="L6324" s="33"/>
      <c r="M6324" s="33"/>
    </row>
    <row r="6325">
      <c r="A6325" s="32" t="s">
        <v>17208</v>
      </c>
      <c r="B6325" s="32" t="s">
        <v>17209</v>
      </c>
      <c r="C6325" s="35">
        <v>46.39310074</v>
      </c>
      <c r="D6325" s="35">
        <v>17.91749954</v>
      </c>
      <c r="E6325" s="32" t="s">
        <v>180</v>
      </c>
      <c r="F6325" s="32" t="s">
        <v>6005</v>
      </c>
      <c r="G6325" s="39" t="s">
        <v>181</v>
      </c>
      <c r="H6325" s="33"/>
      <c r="I6325" s="33"/>
      <c r="J6325" s="33"/>
      <c r="K6325" s="33"/>
      <c r="L6325" s="33"/>
      <c r="M6325" s="33"/>
    </row>
    <row r="6326">
      <c r="A6326" s="32" t="s">
        <v>17210</v>
      </c>
      <c r="B6326" s="32" t="s">
        <v>17211</v>
      </c>
      <c r="C6326" s="35">
        <v>40.99509811</v>
      </c>
      <c r="D6326" s="35">
        <v>39.78969955</v>
      </c>
      <c r="E6326" s="32" t="s">
        <v>133</v>
      </c>
      <c r="F6326" s="32" t="s">
        <v>17212</v>
      </c>
      <c r="G6326" s="39" t="s">
        <v>134</v>
      </c>
      <c r="H6326" s="33"/>
      <c r="I6326" s="33"/>
      <c r="J6326" s="33"/>
      <c r="K6326" s="33"/>
      <c r="L6326" s="33"/>
      <c r="M6326" s="33"/>
    </row>
    <row r="6327">
      <c r="A6327" s="32" t="s">
        <v>17213</v>
      </c>
      <c r="B6327" s="32" t="s">
        <v>17214</v>
      </c>
      <c r="C6327" s="35">
        <v>37.0021019</v>
      </c>
      <c r="D6327" s="35">
        <v>35.42589951</v>
      </c>
      <c r="E6327" s="32" t="s">
        <v>133</v>
      </c>
      <c r="F6327" s="32" t="s">
        <v>3581</v>
      </c>
      <c r="G6327" s="39" t="s">
        <v>134</v>
      </c>
      <c r="H6327" s="33"/>
      <c r="I6327" s="33"/>
      <c r="J6327" s="33"/>
      <c r="K6327" s="33"/>
      <c r="L6327" s="33"/>
      <c r="M6327" s="33"/>
    </row>
    <row r="6328">
      <c r="A6328" s="32" t="s">
        <v>17215</v>
      </c>
      <c r="B6328" s="32" t="s">
        <v>17216</v>
      </c>
      <c r="C6328" s="35">
        <v>-8.936109543</v>
      </c>
      <c r="D6328" s="35">
        <v>-139.552002</v>
      </c>
      <c r="E6328" s="32" t="s">
        <v>1325</v>
      </c>
      <c r="F6328" s="32" t="s">
        <v>17217</v>
      </c>
      <c r="G6328" s="36" t="e">
        <v>#N/A</v>
      </c>
      <c r="H6328" s="33"/>
      <c r="I6328" s="33"/>
      <c r="J6328" s="33"/>
      <c r="K6328" s="33"/>
      <c r="L6328" s="33"/>
      <c r="M6328" s="33"/>
    </row>
    <row r="6329">
      <c r="A6329" s="32" t="s">
        <v>17218</v>
      </c>
      <c r="B6329" s="32" t="s">
        <v>17219</v>
      </c>
      <c r="C6329" s="35">
        <v>61.16049957</v>
      </c>
      <c r="D6329" s="35">
        <v>-45.42599869</v>
      </c>
      <c r="E6329" s="32" t="s">
        <v>3703</v>
      </c>
      <c r="F6329" s="32" t="s">
        <v>17220</v>
      </c>
      <c r="G6329" s="36" t="e">
        <v>#N/A</v>
      </c>
      <c r="H6329" s="33"/>
      <c r="I6329" s="33"/>
      <c r="J6329" s="33"/>
      <c r="K6329" s="33"/>
      <c r="L6329" s="33"/>
      <c r="M6329" s="33"/>
    </row>
    <row r="6330">
      <c r="A6330" s="32" t="s">
        <v>17221</v>
      </c>
      <c r="B6330" s="32" t="s">
        <v>17222</v>
      </c>
      <c r="C6330" s="35">
        <v>13.584</v>
      </c>
      <c r="D6330" s="35">
        <v>144.929993</v>
      </c>
      <c r="E6330" s="32" t="s">
        <v>8388</v>
      </c>
      <c r="F6330" s="32" t="s">
        <v>3955</v>
      </c>
      <c r="G6330" s="36" t="e">
        <v>#N/A</v>
      </c>
      <c r="H6330" s="33"/>
      <c r="I6330" s="33"/>
      <c r="J6330" s="33"/>
      <c r="K6330" s="33"/>
      <c r="L6330" s="33"/>
      <c r="M6330" s="33"/>
    </row>
    <row r="6331">
      <c r="A6331" s="32" t="s">
        <v>17223</v>
      </c>
      <c r="B6331" s="32" t="s">
        <v>17224</v>
      </c>
      <c r="C6331" s="35">
        <v>45.24710083</v>
      </c>
      <c r="D6331" s="35">
        <v>-122.7699966</v>
      </c>
      <c r="E6331" s="32" t="s">
        <v>180</v>
      </c>
      <c r="F6331" s="32" t="s">
        <v>17225</v>
      </c>
      <c r="G6331" s="39" t="s">
        <v>181</v>
      </c>
      <c r="H6331" s="33"/>
      <c r="I6331" s="33"/>
      <c r="J6331" s="33"/>
      <c r="K6331" s="33"/>
      <c r="L6331" s="33"/>
      <c r="M6331" s="33"/>
    </row>
    <row r="6332">
      <c r="A6332" s="32" t="s">
        <v>17226</v>
      </c>
      <c r="B6332" s="32" t="s">
        <v>17227</v>
      </c>
      <c r="C6332" s="35">
        <v>-9.351670265</v>
      </c>
      <c r="D6332" s="35">
        <v>-140.0780029</v>
      </c>
      <c r="E6332" s="32" t="s">
        <v>1325</v>
      </c>
      <c r="F6332" s="32" t="s">
        <v>17228</v>
      </c>
      <c r="G6332" s="36" t="e">
        <v>#N/A</v>
      </c>
      <c r="H6332" s="33"/>
      <c r="I6332" s="33"/>
      <c r="J6332" s="33"/>
      <c r="K6332" s="33"/>
      <c r="L6332" s="33"/>
      <c r="M6332" s="33"/>
    </row>
    <row r="6333">
      <c r="A6333" s="32" t="s">
        <v>17229</v>
      </c>
      <c r="B6333" s="32" t="s">
        <v>17230</v>
      </c>
      <c r="C6333" s="35">
        <v>-31.571501</v>
      </c>
      <c r="D6333" s="35">
        <v>-68.418198</v>
      </c>
      <c r="E6333" s="32" t="s">
        <v>296</v>
      </c>
      <c r="F6333" s="32" t="s">
        <v>17231</v>
      </c>
      <c r="G6333" s="36" t="e">
        <v>#N/A</v>
      </c>
      <c r="H6333" s="33"/>
      <c r="I6333" s="33"/>
      <c r="J6333" s="33"/>
      <c r="K6333" s="33"/>
      <c r="L6333" s="33"/>
      <c r="M6333" s="33"/>
    </row>
    <row r="6334">
      <c r="A6334" s="32" t="s">
        <v>17232</v>
      </c>
      <c r="B6334" s="32" t="s">
        <v>17233</v>
      </c>
      <c r="C6334" s="35">
        <v>0.530583024</v>
      </c>
      <c r="D6334" s="35">
        <v>37.53419495</v>
      </c>
      <c r="E6334" s="32" t="s">
        <v>21</v>
      </c>
      <c r="F6334" s="32" t="s">
        <v>17234</v>
      </c>
      <c r="G6334" s="36" t="e">
        <v>#N/A</v>
      </c>
      <c r="H6334" s="33"/>
      <c r="I6334" s="33"/>
      <c r="J6334" s="33"/>
      <c r="K6334" s="33"/>
      <c r="L6334" s="33"/>
      <c r="M6334" s="33"/>
    </row>
    <row r="6335">
      <c r="A6335" s="32" t="s">
        <v>17235</v>
      </c>
      <c r="B6335" s="32" t="s">
        <v>17236</v>
      </c>
      <c r="C6335" s="35">
        <v>-19.76472282</v>
      </c>
      <c r="D6335" s="35">
        <v>-47.96611023</v>
      </c>
      <c r="E6335" s="32" t="s">
        <v>288</v>
      </c>
      <c r="F6335" s="32" t="s">
        <v>17237</v>
      </c>
      <c r="G6335" s="36" t="e">
        <v>#N/A</v>
      </c>
      <c r="H6335" s="33"/>
      <c r="I6335" s="33"/>
      <c r="J6335" s="33"/>
      <c r="K6335" s="33"/>
      <c r="L6335" s="33"/>
      <c r="M6335" s="33"/>
    </row>
    <row r="6336">
      <c r="A6336" s="32" t="s">
        <v>17238</v>
      </c>
      <c r="B6336" s="32" t="s">
        <v>17239</v>
      </c>
      <c r="C6336" s="35">
        <v>-9.949999809</v>
      </c>
      <c r="D6336" s="35">
        <v>142.1829987</v>
      </c>
      <c r="E6336" s="32" t="s">
        <v>1968</v>
      </c>
      <c r="F6336" s="32" t="s">
        <v>17240</v>
      </c>
      <c r="G6336" s="36" t="e">
        <v>#N/A</v>
      </c>
      <c r="H6336" s="33"/>
      <c r="I6336" s="33"/>
      <c r="J6336" s="33"/>
      <c r="K6336" s="33"/>
      <c r="L6336" s="33"/>
      <c r="M6336" s="33"/>
    </row>
    <row r="6337">
      <c r="A6337" s="32" t="s">
        <v>17241</v>
      </c>
      <c r="B6337" s="32" t="s">
        <v>17242</v>
      </c>
      <c r="C6337" s="35">
        <v>33.93000031</v>
      </c>
      <c r="D6337" s="35">
        <v>131.279007</v>
      </c>
      <c r="E6337" s="32" t="s">
        <v>170</v>
      </c>
      <c r="F6337" s="32" t="s">
        <v>17243</v>
      </c>
      <c r="G6337" s="39" t="s">
        <v>171</v>
      </c>
      <c r="H6337" s="33"/>
      <c r="I6337" s="33"/>
      <c r="J6337" s="33"/>
      <c r="K6337" s="33"/>
      <c r="L6337" s="33"/>
      <c r="M6337" s="33"/>
    </row>
    <row r="6338">
      <c r="A6338" s="32" t="s">
        <v>17244</v>
      </c>
      <c r="B6338" s="32" t="s">
        <v>17245</v>
      </c>
      <c r="C6338" s="35">
        <v>15.25129986</v>
      </c>
      <c r="D6338" s="35">
        <v>104.8700027</v>
      </c>
      <c r="E6338" s="32" t="s">
        <v>175</v>
      </c>
      <c r="F6338" s="32" t="s">
        <v>17246</v>
      </c>
      <c r="G6338" s="39" t="s">
        <v>176</v>
      </c>
      <c r="H6338" s="33"/>
      <c r="I6338" s="33"/>
      <c r="J6338" s="33"/>
      <c r="K6338" s="33"/>
      <c r="L6338" s="33"/>
      <c r="M6338" s="33"/>
    </row>
    <row r="6339">
      <c r="A6339" s="32" t="s">
        <v>17247</v>
      </c>
      <c r="B6339" s="32" t="s">
        <v>17248</v>
      </c>
      <c r="C6339" s="35">
        <v>-23.44109917</v>
      </c>
      <c r="D6339" s="35">
        <v>-45.07559967</v>
      </c>
      <c r="E6339" s="32" t="s">
        <v>288</v>
      </c>
      <c r="F6339" s="32" t="s">
        <v>17249</v>
      </c>
      <c r="G6339" s="36" t="e">
        <v>#N/A</v>
      </c>
      <c r="H6339" s="33"/>
      <c r="I6339" s="33"/>
      <c r="J6339" s="33"/>
      <c r="K6339" s="33"/>
      <c r="L6339" s="33"/>
      <c r="M6339" s="33"/>
    </row>
    <row r="6340">
      <c r="A6340" s="32" t="s">
        <v>17250</v>
      </c>
      <c r="B6340" s="32" t="s">
        <v>17251</v>
      </c>
      <c r="C6340" s="35">
        <v>63.56689835</v>
      </c>
      <c r="D6340" s="35">
        <v>53.80469894</v>
      </c>
      <c r="E6340" s="32" t="s">
        <v>2040</v>
      </c>
      <c r="F6340" s="32" t="s">
        <v>17252</v>
      </c>
      <c r="G6340" s="36" t="e">
        <v>#N/A</v>
      </c>
      <c r="H6340" s="33"/>
      <c r="I6340" s="33"/>
      <c r="J6340" s="33"/>
      <c r="K6340" s="33"/>
      <c r="L6340" s="33"/>
      <c r="M6340" s="33"/>
    </row>
    <row r="6341">
      <c r="A6341" s="32" t="s">
        <v>17253</v>
      </c>
      <c r="B6341" s="32" t="s">
        <v>17254</v>
      </c>
      <c r="C6341" s="35">
        <v>33.74840164</v>
      </c>
      <c r="D6341" s="35">
        <v>-116.2750015</v>
      </c>
      <c r="E6341" s="32" t="s">
        <v>180</v>
      </c>
      <c r="F6341" s="32" t="s">
        <v>14350</v>
      </c>
      <c r="G6341" s="39" t="s">
        <v>181</v>
      </c>
      <c r="H6341" s="33"/>
      <c r="I6341" s="33"/>
      <c r="J6341" s="33"/>
      <c r="K6341" s="33"/>
      <c r="L6341" s="33"/>
      <c r="M6341" s="33"/>
    </row>
    <row r="6342">
      <c r="A6342" s="32" t="s">
        <v>17255</v>
      </c>
      <c r="B6342" s="32" t="s">
        <v>17256</v>
      </c>
      <c r="C6342" s="35">
        <v>34.44940186</v>
      </c>
      <c r="D6342" s="35">
        <v>-79.89009857</v>
      </c>
      <c r="E6342" s="32" t="s">
        <v>180</v>
      </c>
      <c r="F6342" s="32" t="s">
        <v>17257</v>
      </c>
      <c r="G6342" s="39" t="s">
        <v>181</v>
      </c>
      <c r="H6342" s="33"/>
      <c r="I6342" s="33"/>
      <c r="J6342" s="33"/>
      <c r="K6342" s="33"/>
      <c r="L6342" s="33"/>
      <c r="M6342" s="33"/>
    </row>
    <row r="6343">
      <c r="A6343" s="32" t="s">
        <v>17258</v>
      </c>
      <c r="B6343" s="32" t="s">
        <v>17259</v>
      </c>
      <c r="C6343" s="35">
        <v>-18.88361168</v>
      </c>
      <c r="D6343" s="35">
        <v>-48.22527695</v>
      </c>
      <c r="E6343" s="32" t="s">
        <v>288</v>
      </c>
      <c r="F6343" s="32" t="s">
        <v>17260</v>
      </c>
      <c r="G6343" s="36" t="e">
        <v>#N/A</v>
      </c>
      <c r="H6343" s="33"/>
      <c r="I6343" s="33"/>
      <c r="J6343" s="33"/>
      <c r="K6343" s="33"/>
      <c r="L6343" s="33"/>
      <c r="M6343" s="33"/>
    </row>
    <row r="6344">
      <c r="A6344" s="32" t="s">
        <v>17261</v>
      </c>
      <c r="B6344" s="32" t="s">
        <v>17262</v>
      </c>
      <c r="C6344" s="35">
        <v>48.63430023</v>
      </c>
      <c r="D6344" s="35">
        <v>22.26339912</v>
      </c>
      <c r="E6344" s="32" t="s">
        <v>3293</v>
      </c>
      <c r="F6344" s="32" t="s">
        <v>17263</v>
      </c>
      <c r="G6344" s="36" t="e">
        <v>#N/A</v>
      </c>
      <c r="H6344" s="33"/>
      <c r="I6344" s="33"/>
      <c r="J6344" s="33"/>
      <c r="K6344" s="33"/>
      <c r="L6344" s="33"/>
      <c r="M6344" s="33"/>
    </row>
    <row r="6345">
      <c r="A6345" s="32" t="s">
        <v>17264</v>
      </c>
      <c r="B6345" s="32" t="s">
        <v>17265</v>
      </c>
      <c r="C6345" s="35">
        <v>24.61770058</v>
      </c>
      <c r="D6345" s="35">
        <v>73.89610291</v>
      </c>
      <c r="E6345" s="32" t="s">
        <v>217</v>
      </c>
      <c r="F6345" s="32" t="s">
        <v>17266</v>
      </c>
      <c r="G6345" s="39" t="s">
        <v>218</v>
      </c>
      <c r="H6345" s="33"/>
      <c r="I6345" s="33"/>
      <c r="J6345" s="33"/>
      <c r="K6345" s="33"/>
      <c r="L6345" s="33"/>
      <c r="M6345" s="33"/>
    </row>
    <row r="6346">
      <c r="A6346" s="32" t="s">
        <v>17267</v>
      </c>
      <c r="B6346" s="32" t="s">
        <v>17268</v>
      </c>
      <c r="C6346" s="35">
        <v>-17.85549927</v>
      </c>
      <c r="D6346" s="35">
        <v>36.86909866</v>
      </c>
      <c r="E6346" s="32" t="s">
        <v>767</v>
      </c>
      <c r="F6346" s="32" t="s">
        <v>17269</v>
      </c>
      <c r="G6346" s="36" t="e">
        <v>#N/A</v>
      </c>
      <c r="H6346" s="33"/>
      <c r="I6346" s="33"/>
      <c r="J6346" s="33"/>
      <c r="K6346" s="33"/>
      <c r="L6346" s="33"/>
      <c r="M6346" s="33"/>
    </row>
    <row r="6347">
      <c r="A6347" s="32" t="s">
        <v>17270</v>
      </c>
      <c r="B6347" s="32" t="s">
        <v>17271</v>
      </c>
      <c r="C6347" s="35">
        <v>26.3635006</v>
      </c>
      <c r="D6347" s="35">
        <v>126.7139969</v>
      </c>
      <c r="E6347" s="32" t="s">
        <v>170</v>
      </c>
      <c r="F6347" s="32" t="s">
        <v>17272</v>
      </c>
      <c r="G6347" s="39" t="s">
        <v>171</v>
      </c>
      <c r="H6347" s="33"/>
      <c r="I6347" s="33"/>
      <c r="J6347" s="33"/>
      <c r="K6347" s="33"/>
      <c r="L6347" s="33"/>
      <c r="M6347" s="33"/>
    </row>
    <row r="6348">
      <c r="A6348" s="32" t="s">
        <v>17273</v>
      </c>
      <c r="B6348" s="32" t="s">
        <v>17274</v>
      </c>
      <c r="C6348" s="35">
        <v>30.25139999</v>
      </c>
      <c r="D6348" s="35">
        <v>66.93779755</v>
      </c>
      <c r="E6348" s="32" t="s">
        <v>1470</v>
      </c>
      <c r="F6348" s="32" t="s">
        <v>17275</v>
      </c>
      <c r="G6348" s="36" t="e">
        <v>#N/A</v>
      </c>
      <c r="H6348" s="33"/>
      <c r="I6348" s="33"/>
      <c r="J6348" s="33"/>
      <c r="K6348" s="33"/>
      <c r="L6348" s="33"/>
      <c r="M6348" s="33"/>
    </row>
    <row r="6349">
      <c r="A6349" s="32" t="s">
        <v>17276</v>
      </c>
      <c r="B6349" s="32" t="s">
        <v>17277</v>
      </c>
      <c r="C6349" s="35">
        <v>54.55749893</v>
      </c>
      <c r="D6349" s="35">
        <v>55.87440109</v>
      </c>
      <c r="E6349" s="32" t="s">
        <v>2040</v>
      </c>
      <c r="F6349" s="32" t="s">
        <v>3344</v>
      </c>
      <c r="G6349" s="36" t="e">
        <v>#N/A</v>
      </c>
      <c r="H6349" s="33"/>
      <c r="I6349" s="33"/>
      <c r="J6349" s="33"/>
      <c r="K6349" s="33"/>
      <c r="L6349" s="33"/>
      <c r="M6349" s="33"/>
    </row>
    <row r="6350">
      <c r="A6350" s="32" t="s">
        <v>17278</v>
      </c>
      <c r="B6350" s="32" t="s">
        <v>17279</v>
      </c>
      <c r="C6350" s="35">
        <v>48.85499954</v>
      </c>
      <c r="D6350" s="35">
        <v>103.4759979</v>
      </c>
      <c r="E6350" s="32" t="s">
        <v>2274</v>
      </c>
      <c r="F6350" s="32" t="s">
        <v>17280</v>
      </c>
      <c r="G6350" s="36" t="e">
        <v>#N/A</v>
      </c>
      <c r="H6350" s="33"/>
      <c r="I6350" s="33"/>
      <c r="J6350" s="33"/>
      <c r="K6350" s="33"/>
      <c r="L6350" s="33"/>
      <c r="M6350" s="33"/>
    </row>
    <row r="6351">
      <c r="A6351" s="32" t="s">
        <v>17281</v>
      </c>
      <c r="B6351" s="32" t="s">
        <v>17282</v>
      </c>
      <c r="C6351" s="35">
        <v>41.58430099</v>
      </c>
      <c r="D6351" s="35">
        <v>60.64170074</v>
      </c>
      <c r="E6351" s="32" t="s">
        <v>3332</v>
      </c>
      <c r="F6351" s="32" t="s">
        <v>17283</v>
      </c>
      <c r="G6351" s="36" t="e">
        <v>#N/A</v>
      </c>
      <c r="H6351" s="33"/>
      <c r="I6351" s="33"/>
      <c r="J6351" s="33"/>
      <c r="K6351" s="33"/>
      <c r="L6351" s="33"/>
      <c r="M6351" s="33"/>
    </row>
    <row r="6352">
      <c r="A6352" s="32" t="s">
        <v>17284</v>
      </c>
      <c r="B6352" s="32" t="s">
        <v>17285</v>
      </c>
      <c r="C6352" s="35">
        <v>42.42219925</v>
      </c>
      <c r="D6352" s="35">
        <v>-87.86789703</v>
      </c>
      <c r="E6352" s="32" t="s">
        <v>180</v>
      </c>
      <c r="F6352" s="32" t="s">
        <v>5824</v>
      </c>
      <c r="G6352" s="39" t="s">
        <v>181</v>
      </c>
      <c r="H6352" s="33"/>
      <c r="I6352" s="33"/>
      <c r="J6352" s="33"/>
      <c r="K6352" s="33"/>
      <c r="L6352" s="33"/>
      <c r="M6352" s="33"/>
    </row>
    <row r="6353">
      <c r="A6353" s="32" t="s">
        <v>17286</v>
      </c>
      <c r="B6353" s="32" t="s">
        <v>17287</v>
      </c>
      <c r="C6353" s="35">
        <v>-7.603069782</v>
      </c>
      <c r="D6353" s="35">
        <v>15.02779961</v>
      </c>
      <c r="E6353" s="32" t="s">
        <v>764</v>
      </c>
      <c r="F6353" s="32" t="s">
        <v>17288</v>
      </c>
      <c r="G6353" s="36" t="e">
        <v>#N/A</v>
      </c>
      <c r="H6353" s="33"/>
      <c r="I6353" s="33"/>
      <c r="J6353" s="33"/>
      <c r="K6353" s="33"/>
      <c r="L6353" s="33"/>
      <c r="M6353" s="33"/>
    </row>
    <row r="6354">
      <c r="A6354" s="32" t="s">
        <v>17289</v>
      </c>
      <c r="B6354" s="32" t="s">
        <v>17290</v>
      </c>
      <c r="C6354" s="35">
        <v>5.69076</v>
      </c>
      <c r="D6354" s="35">
        <v>-76.6412</v>
      </c>
      <c r="E6354" s="32" t="s">
        <v>292</v>
      </c>
      <c r="F6354" s="32" t="s">
        <v>17291</v>
      </c>
      <c r="G6354" s="36" t="e">
        <v>#N/A</v>
      </c>
      <c r="H6354" s="33"/>
      <c r="I6354" s="33"/>
      <c r="J6354" s="33"/>
      <c r="K6354" s="33"/>
      <c r="L6354" s="33"/>
      <c r="M6354" s="33"/>
    </row>
    <row r="6355">
      <c r="A6355" s="32" t="s">
        <v>17292</v>
      </c>
      <c r="B6355" s="32" t="s">
        <v>17293</v>
      </c>
      <c r="C6355" s="35">
        <v>13.95499992</v>
      </c>
      <c r="D6355" s="35">
        <v>109.0419998</v>
      </c>
      <c r="E6355" s="32" t="s">
        <v>1913</v>
      </c>
      <c r="F6355" s="32" t="s">
        <v>17294</v>
      </c>
      <c r="G6355" s="36" t="e">
        <v>#N/A</v>
      </c>
      <c r="H6355" s="33"/>
      <c r="I6355" s="33"/>
      <c r="J6355" s="33"/>
      <c r="K6355" s="33"/>
      <c r="L6355" s="33"/>
      <c r="M6355" s="33"/>
    </row>
    <row r="6356">
      <c r="A6356" s="32" t="s">
        <v>17295</v>
      </c>
      <c r="B6356" s="32" t="s">
        <v>17296</v>
      </c>
      <c r="C6356" s="35">
        <v>16.1131</v>
      </c>
      <c r="D6356" s="35">
        <v>-86.880302</v>
      </c>
      <c r="E6356" s="32" t="s">
        <v>1245</v>
      </c>
      <c r="F6356" s="32" t="s">
        <v>17297</v>
      </c>
      <c r="G6356" s="36" t="e">
        <v>#N/A</v>
      </c>
      <c r="H6356" s="33"/>
      <c r="I6356" s="33"/>
      <c r="J6356" s="33"/>
      <c r="K6356" s="33"/>
      <c r="L6356" s="33"/>
      <c r="M6356" s="33"/>
    </row>
    <row r="6357">
      <c r="A6357" s="32" t="s">
        <v>17298</v>
      </c>
      <c r="B6357" s="32" t="s">
        <v>17299</v>
      </c>
      <c r="C6357" s="35">
        <v>58.13610077</v>
      </c>
      <c r="D6357" s="35">
        <v>102.5650024</v>
      </c>
      <c r="E6357" s="32" t="s">
        <v>2040</v>
      </c>
      <c r="F6357" s="32" t="s">
        <v>17300</v>
      </c>
      <c r="G6357" s="36" t="e">
        <v>#N/A</v>
      </c>
      <c r="H6357" s="33"/>
      <c r="I6357" s="33"/>
      <c r="J6357" s="33"/>
      <c r="K6357" s="33"/>
      <c r="L6357" s="33"/>
      <c r="M6357" s="33"/>
    </row>
    <row r="6358">
      <c r="A6358" s="32" t="s">
        <v>17301</v>
      </c>
      <c r="B6358" s="32" t="s">
        <v>17302</v>
      </c>
      <c r="C6358" s="35">
        <v>39.94269943</v>
      </c>
      <c r="D6358" s="35">
        <v>-91.19460297</v>
      </c>
      <c r="E6358" s="32" t="s">
        <v>180</v>
      </c>
      <c r="F6358" s="32" t="s">
        <v>17303</v>
      </c>
      <c r="G6358" s="39" t="s">
        <v>181</v>
      </c>
      <c r="H6358" s="33"/>
      <c r="I6358" s="33"/>
      <c r="J6358" s="33"/>
      <c r="K6358" s="33"/>
      <c r="L6358" s="33"/>
      <c r="M6358" s="33"/>
    </row>
    <row r="6359">
      <c r="A6359" s="32" t="s">
        <v>17304</v>
      </c>
      <c r="B6359" s="32" t="s">
        <v>17305</v>
      </c>
      <c r="C6359" s="35">
        <v>-0.129166667</v>
      </c>
      <c r="D6359" s="35">
        <v>-78.3575</v>
      </c>
      <c r="E6359" s="32" t="s">
        <v>311</v>
      </c>
      <c r="F6359" s="32" t="s">
        <v>17306</v>
      </c>
      <c r="G6359" s="36" t="e">
        <v>#N/A</v>
      </c>
      <c r="H6359" s="33"/>
      <c r="I6359" s="33"/>
      <c r="J6359" s="33"/>
      <c r="K6359" s="33"/>
      <c r="L6359" s="33"/>
      <c r="M6359" s="33"/>
    </row>
    <row r="6360">
      <c r="A6360" s="32" t="s">
        <v>17307</v>
      </c>
      <c r="B6360" s="32" t="s">
        <v>17308</v>
      </c>
      <c r="C6360" s="35">
        <v>47.97499847</v>
      </c>
      <c r="D6360" s="35">
        <v>-4.167789936</v>
      </c>
      <c r="E6360" s="32" t="s">
        <v>96</v>
      </c>
      <c r="F6360" s="32" t="s">
        <v>17309</v>
      </c>
      <c r="G6360" s="39" t="s">
        <v>97</v>
      </c>
      <c r="H6360" s="33"/>
      <c r="I6360" s="33"/>
      <c r="J6360" s="33"/>
      <c r="K6360" s="33"/>
      <c r="L6360" s="33"/>
      <c r="M6360" s="33"/>
    </row>
    <row r="6361">
      <c r="A6361" s="32" t="s">
        <v>17310</v>
      </c>
      <c r="B6361" s="32" t="s">
        <v>17311</v>
      </c>
      <c r="C6361" s="35">
        <v>8.928059578</v>
      </c>
      <c r="D6361" s="35">
        <v>165.7619934</v>
      </c>
      <c r="E6361" s="32" t="s">
        <v>1494</v>
      </c>
      <c r="F6361" s="32" t="s">
        <v>17312</v>
      </c>
      <c r="G6361" s="36" t="e">
        <v>#N/A</v>
      </c>
      <c r="H6361" s="33"/>
      <c r="I6361" s="33"/>
      <c r="J6361" s="33"/>
      <c r="K6361" s="33"/>
      <c r="L6361" s="33"/>
      <c r="M6361" s="33"/>
    </row>
    <row r="6362">
      <c r="A6362" s="32" t="s">
        <v>17313</v>
      </c>
      <c r="B6362" s="32" t="s">
        <v>17314</v>
      </c>
      <c r="C6362" s="35">
        <v>-4.293330193</v>
      </c>
      <c r="D6362" s="35">
        <v>39.57109833</v>
      </c>
      <c r="E6362" s="32" t="s">
        <v>21</v>
      </c>
      <c r="F6362" s="32" t="s">
        <v>17315</v>
      </c>
      <c r="G6362" s="36" t="e">
        <v>#N/A</v>
      </c>
      <c r="H6362" s="33"/>
      <c r="I6362" s="33"/>
      <c r="J6362" s="33"/>
      <c r="K6362" s="33"/>
      <c r="L6362" s="33"/>
      <c r="M6362" s="33"/>
    </row>
    <row r="6363">
      <c r="A6363" s="32" t="s">
        <v>17316</v>
      </c>
      <c r="B6363" s="32" t="s">
        <v>17317</v>
      </c>
      <c r="C6363" s="35">
        <v>34.63280106</v>
      </c>
      <c r="D6363" s="35">
        <v>135.223999</v>
      </c>
      <c r="E6363" s="32" t="s">
        <v>170</v>
      </c>
      <c r="F6363" s="32" t="s">
        <v>17318</v>
      </c>
      <c r="G6363" s="39" t="s">
        <v>171</v>
      </c>
      <c r="H6363" s="33"/>
      <c r="I6363" s="33"/>
      <c r="J6363" s="33"/>
      <c r="K6363" s="33"/>
      <c r="L6363" s="33"/>
      <c r="M6363" s="33"/>
    </row>
    <row r="6364">
      <c r="A6364" s="32" t="s">
        <v>17319</v>
      </c>
      <c r="B6364" s="32" t="s">
        <v>17320</v>
      </c>
      <c r="C6364" s="35">
        <v>50.678404</v>
      </c>
      <c r="D6364" s="35">
        <v>25.487165</v>
      </c>
      <c r="E6364" s="32" t="s">
        <v>3293</v>
      </c>
      <c r="F6364" s="32" t="s">
        <v>17321</v>
      </c>
      <c r="G6364" s="36" t="e">
        <v>#N/A</v>
      </c>
      <c r="H6364" s="33"/>
      <c r="I6364" s="33"/>
      <c r="J6364" s="33"/>
      <c r="K6364" s="33"/>
      <c r="L6364" s="33"/>
      <c r="M6364" s="33"/>
    </row>
    <row r="6365">
      <c r="A6365" s="32" t="s">
        <v>17322</v>
      </c>
      <c r="B6365" s="32" t="s">
        <v>17323</v>
      </c>
      <c r="C6365" s="35">
        <v>36.22280121</v>
      </c>
      <c r="D6365" s="35">
        <v>-81.09829712</v>
      </c>
      <c r="E6365" s="32" t="s">
        <v>180</v>
      </c>
      <c r="F6365" s="32" t="s">
        <v>17324</v>
      </c>
      <c r="G6365" s="39" t="s">
        <v>181</v>
      </c>
      <c r="H6365" s="33"/>
      <c r="I6365" s="33"/>
      <c r="J6365" s="33"/>
      <c r="K6365" s="33"/>
      <c r="L6365" s="33"/>
      <c r="M6365" s="33"/>
    </row>
    <row r="6366">
      <c r="A6366" s="32" t="s">
        <v>17325</v>
      </c>
      <c r="B6366" s="32" t="s">
        <v>17326</v>
      </c>
      <c r="C6366" s="35">
        <v>39.12599945</v>
      </c>
      <c r="D6366" s="35">
        <v>-123.2009964</v>
      </c>
      <c r="E6366" s="32" t="s">
        <v>180</v>
      </c>
      <c r="F6366" s="32" t="s">
        <v>17327</v>
      </c>
      <c r="G6366" s="39" t="s">
        <v>181</v>
      </c>
      <c r="H6366" s="33"/>
      <c r="I6366" s="33"/>
      <c r="J6366" s="33"/>
      <c r="K6366" s="33"/>
      <c r="L6366" s="33"/>
      <c r="M6366" s="33"/>
    </row>
    <row r="6367">
      <c r="A6367" s="32" t="s">
        <v>17328</v>
      </c>
      <c r="B6367" s="32" t="s">
        <v>17329</v>
      </c>
      <c r="C6367" s="35">
        <v>50.03659821</v>
      </c>
      <c r="D6367" s="35">
        <v>82.49420166</v>
      </c>
      <c r="E6367" s="32" t="s">
        <v>2817</v>
      </c>
      <c r="F6367" s="32" t="s">
        <v>17330</v>
      </c>
      <c r="G6367" s="36" t="e">
        <v>#N/A</v>
      </c>
      <c r="H6367" s="33"/>
      <c r="I6367" s="33"/>
      <c r="J6367" s="33"/>
      <c r="K6367" s="33"/>
      <c r="L6367" s="33"/>
      <c r="M6367" s="33"/>
    </row>
    <row r="6368">
      <c r="A6368" s="32" t="s">
        <v>17331</v>
      </c>
      <c r="B6368" s="32" t="s">
        <v>17332</v>
      </c>
      <c r="C6368" s="35">
        <v>44.68899918</v>
      </c>
      <c r="D6368" s="35">
        <v>33.57099915</v>
      </c>
      <c r="E6368" s="32" t="s">
        <v>3293</v>
      </c>
      <c r="F6368" s="32" t="s">
        <v>17333</v>
      </c>
      <c r="G6368" s="36" t="e">
        <v>#N/A</v>
      </c>
      <c r="H6368" s="33"/>
      <c r="I6368" s="33"/>
      <c r="J6368" s="33"/>
      <c r="K6368" s="33"/>
      <c r="L6368" s="33"/>
      <c r="M6368" s="33"/>
    </row>
    <row r="6369">
      <c r="A6369" s="32" t="s">
        <v>17334</v>
      </c>
      <c r="B6369" s="32" t="s">
        <v>17335</v>
      </c>
      <c r="C6369" s="35">
        <v>40.43519974</v>
      </c>
      <c r="D6369" s="35">
        <v>-75.38189697</v>
      </c>
      <c r="E6369" s="32" t="s">
        <v>180</v>
      </c>
      <c r="F6369" s="32" t="s">
        <v>17336</v>
      </c>
      <c r="G6369" s="39" t="s">
        <v>181</v>
      </c>
      <c r="H6369" s="33"/>
      <c r="I6369" s="33"/>
      <c r="J6369" s="33"/>
      <c r="K6369" s="33"/>
      <c r="L6369" s="33"/>
      <c r="M6369" s="33"/>
    </row>
    <row r="6370">
      <c r="A6370" s="32" t="s">
        <v>17337</v>
      </c>
      <c r="B6370" s="32" t="s">
        <v>17338</v>
      </c>
      <c r="C6370" s="35">
        <v>56.8567009</v>
      </c>
      <c r="D6370" s="35">
        <v>105.7300034</v>
      </c>
      <c r="E6370" s="32" t="s">
        <v>2040</v>
      </c>
      <c r="F6370" s="32" t="s">
        <v>17339</v>
      </c>
      <c r="G6370" s="36" t="e">
        <v>#N/A</v>
      </c>
      <c r="H6370" s="33"/>
      <c r="I6370" s="33"/>
      <c r="J6370" s="33"/>
      <c r="K6370" s="33"/>
      <c r="L6370" s="33"/>
      <c r="M6370" s="33"/>
    </row>
    <row r="6371">
      <c r="A6371" s="32" t="s">
        <v>17340</v>
      </c>
      <c r="B6371" s="32" t="s">
        <v>17341</v>
      </c>
      <c r="C6371" s="35">
        <v>-49.3068</v>
      </c>
      <c r="D6371" s="35">
        <v>-67.8026</v>
      </c>
      <c r="E6371" s="32" t="s">
        <v>296</v>
      </c>
      <c r="F6371" s="32" t="s">
        <v>17231</v>
      </c>
      <c r="G6371" s="36" t="e">
        <v>#N/A</v>
      </c>
      <c r="H6371" s="33"/>
      <c r="I6371" s="33"/>
      <c r="J6371" s="33"/>
      <c r="K6371" s="33"/>
      <c r="L6371" s="33"/>
      <c r="M6371" s="33"/>
    </row>
    <row r="6372">
      <c r="A6372" s="32" t="s">
        <v>17342</v>
      </c>
      <c r="B6372" s="32" t="s">
        <v>17343</v>
      </c>
      <c r="C6372" s="35">
        <v>-16.3297</v>
      </c>
      <c r="D6372" s="35">
        <v>168.3011</v>
      </c>
      <c r="E6372" s="32" t="s">
        <v>4279</v>
      </c>
      <c r="F6372" s="32" t="s">
        <v>17344</v>
      </c>
      <c r="G6372" s="36" t="e">
        <v>#N/A</v>
      </c>
      <c r="H6372" s="33"/>
      <c r="I6372" s="33"/>
      <c r="J6372" s="33"/>
      <c r="K6372" s="33"/>
      <c r="L6372" s="33"/>
      <c r="M6372" s="33"/>
    </row>
    <row r="6373">
      <c r="A6373" s="32" t="s">
        <v>17345</v>
      </c>
      <c r="B6373" s="32" t="s">
        <v>17346</v>
      </c>
      <c r="C6373" s="35">
        <v>-28.32060051</v>
      </c>
      <c r="D6373" s="35">
        <v>31.41650009</v>
      </c>
      <c r="E6373" s="32" t="s">
        <v>16</v>
      </c>
      <c r="F6373" s="32" t="s">
        <v>17347</v>
      </c>
      <c r="G6373" s="36" t="e">
        <v>#N/A</v>
      </c>
      <c r="H6373" s="33"/>
      <c r="I6373" s="33"/>
      <c r="J6373" s="33"/>
      <c r="K6373" s="33"/>
      <c r="L6373" s="33"/>
      <c r="M6373" s="33"/>
    </row>
    <row r="6374">
      <c r="A6374" s="32" t="s">
        <v>17348</v>
      </c>
      <c r="B6374" s="32" t="s">
        <v>17349</v>
      </c>
      <c r="C6374" s="35">
        <v>48.99330139</v>
      </c>
      <c r="D6374" s="35">
        <v>89.92250061</v>
      </c>
      <c r="E6374" s="32" t="s">
        <v>2274</v>
      </c>
      <c r="F6374" s="32" t="s">
        <v>17350</v>
      </c>
      <c r="G6374" s="36" t="e">
        <v>#N/A</v>
      </c>
      <c r="H6374" s="33"/>
      <c r="I6374" s="33"/>
      <c r="J6374" s="33"/>
      <c r="K6374" s="33"/>
      <c r="L6374" s="33"/>
      <c r="M6374" s="33"/>
    </row>
    <row r="6375">
      <c r="A6375" s="32" t="s">
        <v>17351</v>
      </c>
      <c r="B6375" s="32" t="s">
        <v>17352</v>
      </c>
      <c r="C6375" s="35">
        <v>60.72060013</v>
      </c>
      <c r="D6375" s="35">
        <v>114.8259964</v>
      </c>
      <c r="E6375" s="32" t="s">
        <v>2040</v>
      </c>
      <c r="F6375" s="32" t="s">
        <v>17353</v>
      </c>
      <c r="G6375" s="36" t="e">
        <v>#N/A</v>
      </c>
      <c r="H6375" s="33"/>
      <c r="I6375" s="33"/>
      <c r="J6375" s="33"/>
      <c r="K6375" s="33"/>
      <c r="L6375" s="33"/>
      <c r="M6375" s="33"/>
    </row>
    <row r="6376">
      <c r="A6376" s="32" t="s">
        <v>17354</v>
      </c>
      <c r="B6376" s="32" t="s">
        <v>17355</v>
      </c>
      <c r="C6376" s="35">
        <v>47.8431015</v>
      </c>
      <c r="D6376" s="35">
        <v>106.7669983</v>
      </c>
      <c r="E6376" s="32" t="s">
        <v>2274</v>
      </c>
      <c r="F6376" s="32" t="s">
        <v>17356</v>
      </c>
      <c r="G6376" s="36" t="e">
        <v>#N/A</v>
      </c>
      <c r="H6376" s="33"/>
      <c r="I6376" s="33"/>
      <c r="J6376" s="33"/>
      <c r="K6376" s="33"/>
      <c r="L6376" s="33"/>
      <c r="M6376" s="33"/>
    </row>
    <row r="6377">
      <c r="A6377" s="32" t="s">
        <v>17357</v>
      </c>
      <c r="B6377" s="32" t="s">
        <v>17358</v>
      </c>
      <c r="C6377" s="35">
        <v>50.066588</v>
      </c>
      <c r="D6377" s="35">
        <v>91.938273</v>
      </c>
      <c r="E6377" s="32" t="s">
        <v>2274</v>
      </c>
      <c r="F6377" s="32" t="s">
        <v>17359</v>
      </c>
      <c r="G6377" s="36" t="e">
        <v>#N/A</v>
      </c>
      <c r="H6377" s="33"/>
      <c r="I6377" s="33"/>
      <c r="J6377" s="33"/>
      <c r="K6377" s="33"/>
      <c r="L6377" s="33"/>
      <c r="M6377" s="33"/>
    </row>
    <row r="6378">
      <c r="A6378" s="32" t="s">
        <v>17360</v>
      </c>
      <c r="B6378" s="32" t="s">
        <v>17361</v>
      </c>
      <c r="C6378" s="35">
        <v>-26.61219978</v>
      </c>
      <c r="D6378" s="35">
        <v>144.253006</v>
      </c>
      <c r="E6378" s="32" t="s">
        <v>1968</v>
      </c>
      <c r="F6378" s="32" t="s">
        <v>17362</v>
      </c>
      <c r="G6378" s="36" t="e">
        <v>#N/A</v>
      </c>
      <c r="H6378" s="33"/>
      <c r="I6378" s="33"/>
      <c r="J6378" s="33"/>
      <c r="K6378" s="33"/>
      <c r="L6378" s="33"/>
      <c r="M6378" s="33"/>
    </row>
    <row r="6379">
      <c r="A6379" s="32" t="s">
        <v>17363</v>
      </c>
      <c r="B6379" s="32" t="s">
        <v>17364</v>
      </c>
      <c r="C6379" s="35">
        <v>4.08836</v>
      </c>
      <c r="D6379" s="35">
        <v>-76.2351</v>
      </c>
      <c r="E6379" s="32" t="s">
        <v>292</v>
      </c>
      <c r="F6379" s="32" t="s">
        <v>17365</v>
      </c>
      <c r="G6379" s="36" t="e">
        <v>#N/A</v>
      </c>
      <c r="H6379" s="33"/>
      <c r="I6379" s="33"/>
      <c r="J6379" s="33"/>
      <c r="K6379" s="33"/>
      <c r="L6379" s="33"/>
      <c r="M6379" s="33"/>
    </row>
    <row r="6380">
      <c r="A6380" s="32" t="s">
        <v>17366</v>
      </c>
      <c r="B6380" s="32" t="s">
        <v>17367</v>
      </c>
      <c r="C6380" s="35">
        <v>37.60400009</v>
      </c>
      <c r="D6380" s="35">
        <v>-101.3740005</v>
      </c>
      <c r="E6380" s="32" t="s">
        <v>180</v>
      </c>
      <c r="F6380" s="32" t="s">
        <v>17368</v>
      </c>
      <c r="G6380" s="39" t="s">
        <v>181</v>
      </c>
      <c r="H6380" s="33"/>
      <c r="I6380" s="33"/>
      <c r="J6380" s="33"/>
      <c r="K6380" s="33"/>
      <c r="L6380" s="33"/>
      <c r="M6380" s="33"/>
    </row>
    <row r="6381">
      <c r="A6381" s="32" t="s">
        <v>17369</v>
      </c>
      <c r="B6381" s="32" t="s">
        <v>17370</v>
      </c>
      <c r="C6381" s="35">
        <v>2.805560112</v>
      </c>
      <c r="D6381" s="35">
        <v>32.27180099</v>
      </c>
      <c r="E6381" s="32" t="s">
        <v>2219</v>
      </c>
      <c r="F6381" s="32" t="s">
        <v>17371</v>
      </c>
      <c r="G6381" s="36" t="e">
        <v>#N/A</v>
      </c>
      <c r="H6381" s="33"/>
      <c r="I6381" s="33"/>
      <c r="J6381" s="33"/>
      <c r="K6381" s="33"/>
      <c r="L6381" s="33"/>
      <c r="M6381" s="33"/>
    </row>
    <row r="6382">
      <c r="A6382" s="32" t="s">
        <v>17372</v>
      </c>
      <c r="B6382" s="32" t="s">
        <v>17373</v>
      </c>
      <c r="C6382" s="35">
        <v>54.2682991</v>
      </c>
      <c r="D6382" s="35">
        <v>48.22669983</v>
      </c>
      <c r="E6382" s="32" t="s">
        <v>2040</v>
      </c>
      <c r="F6382" s="32" t="s">
        <v>17374</v>
      </c>
      <c r="G6382" s="36" t="e">
        <v>#N/A</v>
      </c>
      <c r="H6382" s="33"/>
      <c r="I6382" s="33"/>
      <c r="J6382" s="33"/>
      <c r="K6382" s="33"/>
      <c r="L6382" s="33"/>
      <c r="M6382" s="33"/>
    </row>
    <row r="6383">
      <c r="A6383" s="32" t="s">
        <v>17375</v>
      </c>
      <c r="B6383" s="32" t="s">
        <v>17376</v>
      </c>
      <c r="C6383" s="35">
        <v>54.40100098</v>
      </c>
      <c r="D6383" s="35">
        <v>48.80270004</v>
      </c>
      <c r="E6383" s="32" t="s">
        <v>2040</v>
      </c>
      <c r="F6383" s="32" t="s">
        <v>17374</v>
      </c>
      <c r="G6383" s="36" t="e">
        <v>#N/A</v>
      </c>
      <c r="H6383" s="33"/>
      <c r="I6383" s="33"/>
      <c r="J6383" s="33"/>
      <c r="K6383" s="33"/>
      <c r="L6383" s="33"/>
      <c r="M6383" s="33"/>
    </row>
    <row r="6384">
      <c r="A6384" s="32" t="s">
        <v>17377</v>
      </c>
      <c r="B6384" s="32" t="s">
        <v>17378</v>
      </c>
      <c r="C6384" s="35">
        <v>70.68042793</v>
      </c>
      <c r="D6384" s="35">
        <v>-52.11163044</v>
      </c>
      <c r="E6384" s="32" t="s">
        <v>3703</v>
      </c>
      <c r="F6384" s="32" t="s">
        <v>9815</v>
      </c>
      <c r="G6384" s="36" t="e">
        <v>#N/A</v>
      </c>
      <c r="H6384" s="33"/>
      <c r="I6384" s="33"/>
      <c r="J6384" s="33"/>
      <c r="K6384" s="33"/>
      <c r="L6384" s="33"/>
      <c r="M6384" s="33"/>
    </row>
    <row r="6385">
      <c r="A6385" s="32" t="s">
        <v>17379</v>
      </c>
      <c r="B6385" s="32" t="s">
        <v>17380</v>
      </c>
      <c r="C6385" s="35">
        <v>63.79180145</v>
      </c>
      <c r="D6385" s="35">
        <v>20.28280067</v>
      </c>
      <c r="E6385" s="32" t="s">
        <v>347</v>
      </c>
      <c r="F6385" s="32" t="s">
        <v>17381</v>
      </c>
      <c r="G6385" s="36" t="e">
        <v>#N/A</v>
      </c>
      <c r="H6385" s="33"/>
      <c r="I6385" s="33"/>
      <c r="J6385" s="33"/>
      <c r="K6385" s="33"/>
      <c r="L6385" s="33"/>
      <c r="M6385" s="33"/>
    </row>
    <row r="6386">
      <c r="A6386" s="32" t="s">
        <v>17382</v>
      </c>
      <c r="B6386" s="32" t="s">
        <v>17383</v>
      </c>
      <c r="C6386" s="35">
        <v>39.93519974</v>
      </c>
      <c r="D6386" s="35">
        <v>-86.04499817</v>
      </c>
      <c r="E6386" s="32" t="s">
        <v>180</v>
      </c>
      <c r="F6386" s="32" t="s">
        <v>9309</v>
      </c>
      <c r="G6386" s="39" t="s">
        <v>181</v>
      </c>
      <c r="H6386" s="33"/>
      <c r="I6386" s="33"/>
      <c r="J6386" s="33"/>
      <c r="K6386" s="33"/>
      <c r="L6386" s="33"/>
      <c r="M6386" s="33"/>
    </row>
    <row r="6387">
      <c r="A6387" s="32" t="s">
        <v>17384</v>
      </c>
      <c r="B6387" s="32" t="s">
        <v>17385</v>
      </c>
      <c r="C6387" s="35">
        <v>-31.14419937</v>
      </c>
      <c r="D6387" s="35">
        <v>136.8170013</v>
      </c>
      <c r="E6387" s="32" t="s">
        <v>1968</v>
      </c>
      <c r="F6387" s="32" t="s">
        <v>17386</v>
      </c>
      <c r="G6387" s="36" t="e">
        <v>#N/A</v>
      </c>
      <c r="H6387" s="33"/>
      <c r="I6387" s="33"/>
      <c r="J6387" s="33"/>
      <c r="K6387" s="33"/>
      <c r="L6387" s="33"/>
      <c r="M6387" s="33"/>
    </row>
    <row r="6388">
      <c r="A6388" s="32" t="s">
        <v>17387</v>
      </c>
      <c r="B6388" s="32" t="s">
        <v>17388</v>
      </c>
      <c r="C6388" s="35">
        <v>60.35699844</v>
      </c>
      <c r="D6388" s="35">
        <v>134.4349976</v>
      </c>
      <c r="E6388" s="32" t="s">
        <v>2040</v>
      </c>
      <c r="F6388" s="32" t="s">
        <v>17389</v>
      </c>
      <c r="G6388" s="36" t="e">
        <v>#N/A</v>
      </c>
      <c r="H6388" s="33"/>
      <c r="I6388" s="33"/>
      <c r="J6388" s="33"/>
      <c r="K6388" s="33"/>
      <c r="L6388" s="33"/>
      <c r="M6388" s="33"/>
    </row>
    <row r="6389">
      <c r="A6389" s="32" t="s">
        <v>17390</v>
      </c>
      <c r="B6389" s="32" t="s">
        <v>17391</v>
      </c>
      <c r="C6389" s="35">
        <v>-23.79870033</v>
      </c>
      <c r="D6389" s="35">
        <v>-53.31380081</v>
      </c>
      <c r="E6389" s="32" t="s">
        <v>288</v>
      </c>
      <c r="F6389" s="32" t="s">
        <v>17392</v>
      </c>
      <c r="G6389" s="36" t="e">
        <v>#N/A</v>
      </c>
      <c r="H6389" s="33"/>
      <c r="I6389" s="33"/>
      <c r="J6389" s="33"/>
      <c r="K6389" s="33"/>
      <c r="L6389" s="33"/>
      <c r="M6389" s="33"/>
    </row>
    <row r="6390">
      <c r="A6390" s="32" t="s">
        <v>17393</v>
      </c>
      <c r="B6390" s="32" t="s">
        <v>17394</v>
      </c>
      <c r="C6390" s="35">
        <v>-15.35519981</v>
      </c>
      <c r="D6390" s="35">
        <v>-38.99900055</v>
      </c>
      <c r="E6390" s="32" t="s">
        <v>288</v>
      </c>
      <c r="F6390" s="32" t="s">
        <v>17395</v>
      </c>
      <c r="G6390" s="36" t="e">
        <v>#N/A</v>
      </c>
      <c r="H6390" s="33"/>
      <c r="I6390" s="33"/>
      <c r="J6390" s="33"/>
      <c r="K6390" s="33"/>
      <c r="L6390" s="33"/>
      <c r="M6390" s="33"/>
    </row>
    <row r="6391">
      <c r="A6391" s="32" t="s">
        <v>17396</v>
      </c>
      <c r="B6391" s="32" t="s">
        <v>17397</v>
      </c>
      <c r="C6391" s="35">
        <v>36.6651001</v>
      </c>
      <c r="D6391" s="35">
        <v>68.91079712</v>
      </c>
      <c r="E6391" s="32" t="s">
        <v>1350</v>
      </c>
      <c r="F6391" s="32" t="s">
        <v>17398</v>
      </c>
      <c r="G6391" s="36" t="e">
        <v>#N/A</v>
      </c>
      <c r="H6391" s="33"/>
      <c r="I6391" s="33"/>
      <c r="J6391" s="33"/>
      <c r="K6391" s="33"/>
      <c r="L6391" s="33"/>
      <c r="M6391" s="33"/>
    </row>
    <row r="6392">
      <c r="A6392" s="32" t="s">
        <v>17399</v>
      </c>
      <c r="B6392" s="32" t="s">
        <v>17400</v>
      </c>
      <c r="C6392" s="35">
        <v>-6.125710011</v>
      </c>
      <c r="D6392" s="35">
        <v>141.2819977</v>
      </c>
      <c r="E6392" s="32" t="s">
        <v>5289</v>
      </c>
      <c r="F6392" s="32" t="s">
        <v>17401</v>
      </c>
      <c r="G6392" s="36" t="e">
        <v>#N/A</v>
      </c>
      <c r="H6392" s="33"/>
      <c r="I6392" s="33"/>
      <c r="J6392" s="33"/>
      <c r="K6392" s="33"/>
      <c r="L6392" s="33"/>
      <c r="M6392" s="33"/>
    </row>
    <row r="6393">
      <c r="A6393" s="32" t="s">
        <v>17402</v>
      </c>
      <c r="B6393" s="32" t="s">
        <v>17403</v>
      </c>
      <c r="C6393" s="35">
        <v>12.60013485</v>
      </c>
      <c r="D6393" s="35">
        <v>-61.41194534</v>
      </c>
      <c r="E6393" s="32" t="s">
        <v>5153</v>
      </c>
      <c r="F6393" s="32" t="s">
        <v>17404</v>
      </c>
      <c r="G6393" s="36" t="e">
        <v>#N/A</v>
      </c>
      <c r="H6393" s="33"/>
      <c r="I6393" s="33"/>
      <c r="J6393" s="33"/>
      <c r="K6393" s="33"/>
      <c r="L6393" s="33"/>
      <c r="M6393" s="33"/>
    </row>
    <row r="6394">
      <c r="A6394" s="32" t="s">
        <v>17405</v>
      </c>
      <c r="B6394" s="32" t="s">
        <v>17406</v>
      </c>
      <c r="C6394" s="35">
        <v>63.88840103</v>
      </c>
      <c r="D6394" s="35">
        <v>-160.798996</v>
      </c>
      <c r="E6394" s="32" t="s">
        <v>180</v>
      </c>
      <c r="F6394" s="32" t="s">
        <v>17407</v>
      </c>
      <c r="G6394" s="39" t="s">
        <v>181</v>
      </c>
      <c r="H6394" s="33"/>
      <c r="I6394" s="33"/>
      <c r="J6394" s="33"/>
      <c r="K6394" s="33"/>
      <c r="L6394" s="33"/>
      <c r="M6394" s="33"/>
    </row>
    <row r="6395">
      <c r="A6395" s="32" t="s">
        <v>17408</v>
      </c>
      <c r="B6395" s="32" t="s">
        <v>17409</v>
      </c>
      <c r="C6395" s="35">
        <v>9.777620316</v>
      </c>
      <c r="D6395" s="35">
        <v>98.58550262</v>
      </c>
      <c r="E6395" s="32" t="s">
        <v>175</v>
      </c>
      <c r="F6395" s="32" t="s">
        <v>17410</v>
      </c>
      <c r="G6395" s="39" t="s">
        <v>176</v>
      </c>
      <c r="H6395" s="33"/>
      <c r="I6395" s="33"/>
      <c r="J6395" s="33"/>
      <c r="K6395" s="33"/>
      <c r="L6395" s="33"/>
      <c r="M6395" s="33"/>
    </row>
    <row r="6396">
      <c r="A6396" s="32" t="s">
        <v>17411</v>
      </c>
      <c r="B6396" s="32" t="s">
        <v>17412</v>
      </c>
      <c r="C6396" s="35">
        <v>60.74720001</v>
      </c>
      <c r="D6396" s="35">
        <v>-0.853850007</v>
      </c>
      <c r="E6396" s="32" t="s">
        <v>90</v>
      </c>
      <c r="F6396" s="32" t="s">
        <v>17413</v>
      </c>
      <c r="G6396" s="39" t="s">
        <v>91</v>
      </c>
      <c r="H6396" s="33"/>
      <c r="I6396" s="33"/>
      <c r="J6396" s="33"/>
      <c r="K6396" s="33"/>
      <c r="L6396" s="33"/>
      <c r="M6396" s="33"/>
    </row>
    <row r="6397">
      <c r="A6397" s="32" t="s">
        <v>17414</v>
      </c>
      <c r="B6397" s="32" t="s">
        <v>17415</v>
      </c>
      <c r="C6397" s="35">
        <v>34.38430023</v>
      </c>
      <c r="D6397" s="35">
        <v>-89.53679657</v>
      </c>
      <c r="E6397" s="32" t="s">
        <v>180</v>
      </c>
      <c r="F6397" s="32" t="s">
        <v>8836</v>
      </c>
      <c r="G6397" s="39" t="s">
        <v>181</v>
      </c>
      <c r="H6397" s="33"/>
      <c r="I6397" s="33"/>
      <c r="J6397" s="33"/>
      <c r="K6397" s="33"/>
      <c r="L6397" s="33"/>
      <c r="M6397" s="33"/>
    </row>
    <row r="6398">
      <c r="A6398" s="32" t="s">
        <v>17416</v>
      </c>
      <c r="B6398" s="32" t="s">
        <v>17417</v>
      </c>
      <c r="C6398" s="35">
        <v>23.03280067</v>
      </c>
      <c r="D6398" s="35">
        <v>-82.57939911</v>
      </c>
      <c r="E6398" s="32" t="s">
        <v>1294</v>
      </c>
      <c r="F6398" s="32" t="s">
        <v>4487</v>
      </c>
      <c r="G6398" s="36" t="e">
        <v>#N/A</v>
      </c>
      <c r="H6398" s="33"/>
      <c r="I6398" s="33"/>
      <c r="J6398" s="33"/>
      <c r="K6398" s="33"/>
      <c r="L6398" s="33"/>
      <c r="M6398" s="33"/>
    </row>
    <row r="6399">
      <c r="A6399" s="32" t="s">
        <v>17418</v>
      </c>
      <c r="B6399" s="32" t="s">
        <v>17419</v>
      </c>
      <c r="C6399" s="35">
        <v>-5.061629772</v>
      </c>
      <c r="D6399" s="35">
        <v>119.5540009</v>
      </c>
      <c r="E6399" s="32" t="s">
        <v>280</v>
      </c>
      <c r="F6399" s="32" t="s">
        <v>17420</v>
      </c>
      <c r="G6399" s="36" t="e">
        <v>#N/A</v>
      </c>
      <c r="H6399" s="33"/>
      <c r="I6399" s="33"/>
      <c r="J6399" s="33"/>
      <c r="K6399" s="33"/>
      <c r="L6399" s="33"/>
      <c r="M6399" s="33"/>
    </row>
    <row r="6400">
      <c r="A6400" s="32" t="s">
        <v>17421</v>
      </c>
      <c r="B6400" s="32" t="s">
        <v>17422</v>
      </c>
      <c r="C6400" s="35">
        <v>10.8922</v>
      </c>
      <c r="D6400" s="35">
        <v>-85.016197</v>
      </c>
      <c r="E6400" s="32" t="s">
        <v>1267</v>
      </c>
      <c r="F6400" s="32" t="s">
        <v>17423</v>
      </c>
      <c r="G6400" s="36" t="e">
        <v>#N/A</v>
      </c>
      <c r="H6400" s="33"/>
      <c r="I6400" s="33"/>
      <c r="J6400" s="33"/>
      <c r="K6400" s="33"/>
      <c r="L6400" s="33"/>
      <c r="M6400" s="33"/>
    </row>
    <row r="6401">
      <c r="A6401" s="32" t="s">
        <v>17424</v>
      </c>
      <c r="B6401" s="32" t="s">
        <v>17425</v>
      </c>
      <c r="C6401" s="35">
        <v>19.39669991</v>
      </c>
      <c r="D6401" s="35">
        <v>-102.0390015</v>
      </c>
      <c r="E6401" s="32" t="s">
        <v>186</v>
      </c>
      <c r="F6401" s="32" t="s">
        <v>17426</v>
      </c>
      <c r="G6401" s="39" t="s">
        <v>187</v>
      </c>
      <c r="H6401" s="33"/>
      <c r="I6401" s="33"/>
      <c r="J6401" s="33"/>
      <c r="K6401" s="33"/>
      <c r="L6401" s="33"/>
      <c r="M6401" s="33"/>
    </row>
    <row r="6402">
      <c r="A6402" s="32" t="s">
        <v>17427</v>
      </c>
      <c r="B6402" s="32" t="s">
        <v>17428</v>
      </c>
      <c r="C6402" s="35">
        <v>20.26530075</v>
      </c>
      <c r="D6402" s="35">
        <v>-155.8600006</v>
      </c>
      <c r="E6402" s="32" t="s">
        <v>180</v>
      </c>
      <c r="F6402" s="32" t="s">
        <v>17429</v>
      </c>
      <c r="G6402" s="39" t="s">
        <v>181</v>
      </c>
      <c r="H6402" s="33"/>
      <c r="I6402" s="33"/>
      <c r="J6402" s="33"/>
      <c r="K6402" s="33"/>
      <c r="L6402" s="33"/>
      <c r="M6402" s="33"/>
    </row>
    <row r="6403">
      <c r="A6403" s="32" t="s">
        <v>17430</v>
      </c>
      <c r="B6403" s="32" t="s">
        <v>17431</v>
      </c>
      <c r="C6403" s="35">
        <v>51.1507988</v>
      </c>
      <c r="D6403" s="35">
        <v>51.54309845</v>
      </c>
      <c r="E6403" s="32" t="s">
        <v>2817</v>
      </c>
      <c r="F6403" s="32" t="s">
        <v>17432</v>
      </c>
      <c r="G6403" s="36" t="e">
        <v>#N/A</v>
      </c>
      <c r="H6403" s="33"/>
      <c r="I6403" s="33"/>
      <c r="J6403" s="33"/>
      <c r="K6403" s="33"/>
      <c r="L6403" s="33"/>
      <c r="M6403" s="33"/>
    </row>
    <row r="6404">
      <c r="A6404" s="32" t="s">
        <v>17433</v>
      </c>
      <c r="B6404" s="32" t="s">
        <v>17434</v>
      </c>
      <c r="C6404" s="35">
        <v>43.90710068</v>
      </c>
      <c r="D6404" s="35">
        <v>87.47419739</v>
      </c>
      <c r="E6404" s="32" t="s">
        <v>205</v>
      </c>
      <c r="F6404" s="32" t="s">
        <v>17435</v>
      </c>
      <c r="G6404" s="39" t="s">
        <v>206</v>
      </c>
      <c r="H6404" s="33"/>
      <c r="I6404" s="33"/>
      <c r="J6404" s="33"/>
      <c r="K6404" s="33"/>
      <c r="L6404" s="33"/>
      <c r="M6404" s="33"/>
    </row>
    <row r="6405">
      <c r="A6405" s="32" t="s">
        <v>17436</v>
      </c>
      <c r="B6405" s="32" t="s">
        <v>17437</v>
      </c>
      <c r="C6405" s="35">
        <v>58.22990036</v>
      </c>
      <c r="D6405" s="35">
        <v>22.5095005</v>
      </c>
      <c r="E6405" s="32" t="s">
        <v>405</v>
      </c>
      <c r="F6405" s="32" t="s">
        <v>17438</v>
      </c>
      <c r="G6405" s="36" t="e">
        <v>#N/A</v>
      </c>
      <c r="H6405" s="33"/>
      <c r="I6405" s="33"/>
      <c r="J6405" s="33"/>
      <c r="K6405" s="33"/>
      <c r="L6405" s="33"/>
      <c r="M6405" s="33"/>
    </row>
    <row r="6406">
      <c r="A6406" s="32" t="s">
        <v>17439</v>
      </c>
      <c r="B6406" s="32" t="s">
        <v>17440</v>
      </c>
      <c r="C6406" s="35">
        <v>-29.78219986</v>
      </c>
      <c r="D6406" s="35">
        <v>-57.03820038</v>
      </c>
      <c r="E6406" s="32" t="s">
        <v>288</v>
      </c>
      <c r="F6406" s="32" t="s">
        <v>17441</v>
      </c>
      <c r="G6406" s="36" t="e">
        <v>#N/A</v>
      </c>
      <c r="H6406" s="33"/>
      <c r="I6406" s="33"/>
      <c r="J6406" s="33"/>
      <c r="K6406" s="33"/>
      <c r="L6406" s="33"/>
      <c r="M6406" s="33"/>
    </row>
    <row r="6407">
      <c r="A6407" s="32" t="s">
        <v>17442</v>
      </c>
      <c r="B6407" s="32" t="s">
        <v>17443</v>
      </c>
      <c r="C6407" s="35">
        <v>60.10329819</v>
      </c>
      <c r="D6407" s="35">
        <v>64.8266983</v>
      </c>
      <c r="E6407" s="32" t="s">
        <v>2040</v>
      </c>
      <c r="F6407" s="32" t="s">
        <v>17444</v>
      </c>
      <c r="G6407" s="36" t="e">
        <v>#N/A</v>
      </c>
      <c r="H6407" s="33"/>
      <c r="I6407" s="33"/>
      <c r="J6407" s="33"/>
      <c r="K6407" s="33"/>
      <c r="L6407" s="33"/>
      <c r="M6407" s="33"/>
    </row>
    <row r="6408">
      <c r="A6408" s="32" t="s">
        <v>17445</v>
      </c>
      <c r="B6408" s="32" t="s">
        <v>17446</v>
      </c>
      <c r="C6408" s="35">
        <v>49.38420105</v>
      </c>
      <c r="D6408" s="35">
        <v>1.174800038</v>
      </c>
      <c r="E6408" s="32" t="s">
        <v>96</v>
      </c>
      <c r="F6408" s="32" t="s">
        <v>17447</v>
      </c>
      <c r="G6408" s="39" t="s">
        <v>97</v>
      </c>
      <c r="H6408" s="33"/>
      <c r="I6408" s="33"/>
      <c r="J6408" s="33"/>
      <c r="K6408" s="33"/>
      <c r="L6408" s="33"/>
      <c r="M6408" s="33"/>
    </row>
    <row r="6409">
      <c r="A6409" s="32" t="s">
        <v>17448</v>
      </c>
      <c r="B6409" s="32" t="s">
        <v>17449</v>
      </c>
      <c r="C6409" s="35">
        <v>51.75059891</v>
      </c>
      <c r="D6409" s="35">
        <v>36.29560089</v>
      </c>
      <c r="E6409" s="32" t="s">
        <v>2040</v>
      </c>
      <c r="F6409" s="32" t="s">
        <v>17450</v>
      </c>
      <c r="G6409" s="36" t="e">
        <v>#N/A</v>
      </c>
      <c r="H6409" s="33"/>
      <c r="I6409" s="33"/>
      <c r="J6409" s="33"/>
      <c r="K6409" s="33"/>
      <c r="L6409" s="33"/>
      <c r="M6409" s="33"/>
    </row>
    <row r="6410">
      <c r="A6410" s="32" t="s">
        <v>17451</v>
      </c>
      <c r="B6410" s="32" t="s">
        <v>17452</v>
      </c>
      <c r="C6410" s="35">
        <v>9.132599831</v>
      </c>
      <c r="D6410" s="35">
        <v>99.13559723</v>
      </c>
      <c r="E6410" s="32" t="s">
        <v>175</v>
      </c>
      <c r="F6410" s="32" t="s">
        <v>17453</v>
      </c>
      <c r="G6410" s="39" t="s">
        <v>176</v>
      </c>
      <c r="H6410" s="33"/>
      <c r="I6410" s="33"/>
      <c r="J6410" s="33"/>
      <c r="K6410" s="33"/>
      <c r="L6410" s="33"/>
      <c r="M6410" s="33"/>
    </row>
    <row r="6411">
      <c r="A6411" s="32" t="s">
        <v>17454</v>
      </c>
      <c r="B6411" s="32" t="s">
        <v>17455</v>
      </c>
      <c r="C6411" s="35">
        <v>31.412413</v>
      </c>
      <c r="D6411" s="35">
        <v>37.278898</v>
      </c>
      <c r="E6411" s="32" t="s">
        <v>223</v>
      </c>
      <c r="F6411" s="32" t="s">
        <v>17456</v>
      </c>
      <c r="G6411" s="36" t="e">
        <v>#N/A</v>
      </c>
      <c r="H6411" s="33"/>
      <c r="I6411" s="33"/>
      <c r="J6411" s="33"/>
      <c r="K6411" s="33"/>
      <c r="L6411" s="33"/>
      <c r="M6411" s="33"/>
    </row>
    <row r="6412">
      <c r="A6412" s="32" t="s">
        <v>17457</v>
      </c>
      <c r="B6412" s="32" t="s">
        <v>17458</v>
      </c>
      <c r="C6412" s="35">
        <v>-54.8433</v>
      </c>
      <c r="D6412" s="35">
        <v>-68.2958</v>
      </c>
      <c r="E6412" s="32" t="s">
        <v>296</v>
      </c>
      <c r="F6412" s="32" t="s">
        <v>17459</v>
      </c>
      <c r="G6412" s="36" t="e">
        <v>#N/A</v>
      </c>
      <c r="H6412" s="33"/>
      <c r="I6412" s="33"/>
      <c r="J6412" s="33"/>
      <c r="K6412" s="33"/>
      <c r="L6412" s="33"/>
      <c r="M6412" s="33"/>
    </row>
    <row r="6413">
      <c r="A6413" s="32" t="s">
        <v>17460</v>
      </c>
      <c r="B6413" s="32" t="s">
        <v>17461</v>
      </c>
      <c r="C6413" s="35">
        <v>8.199999809</v>
      </c>
      <c r="D6413" s="35">
        <v>-59.78329849</v>
      </c>
      <c r="E6413" s="32" t="s">
        <v>1822</v>
      </c>
      <c r="F6413" s="32" t="s">
        <v>17462</v>
      </c>
      <c r="G6413" s="36" t="e">
        <v>#N/A</v>
      </c>
      <c r="H6413" s="33"/>
      <c r="I6413" s="33"/>
      <c r="J6413" s="33"/>
      <c r="K6413" s="33"/>
      <c r="L6413" s="33"/>
      <c r="M6413" s="33"/>
    </row>
    <row r="6414">
      <c r="A6414" s="32" t="s">
        <v>17463</v>
      </c>
      <c r="B6414" s="32" t="s">
        <v>17464</v>
      </c>
      <c r="C6414" s="35">
        <v>66.00469971</v>
      </c>
      <c r="D6414" s="35">
        <v>57.36719894</v>
      </c>
      <c r="E6414" s="32" t="s">
        <v>2040</v>
      </c>
      <c r="F6414" s="32" t="s">
        <v>17465</v>
      </c>
      <c r="G6414" s="36" t="e">
        <v>#N/A</v>
      </c>
      <c r="H6414" s="33"/>
      <c r="I6414" s="33"/>
      <c r="J6414" s="33"/>
      <c r="K6414" s="33"/>
      <c r="L6414" s="33"/>
      <c r="M6414" s="33"/>
    </row>
    <row r="6415">
      <c r="A6415" s="32" t="s">
        <v>17466</v>
      </c>
      <c r="B6415" s="32" t="s">
        <v>17467</v>
      </c>
      <c r="C6415" s="35">
        <v>9.547789574</v>
      </c>
      <c r="D6415" s="35">
        <v>100.0619965</v>
      </c>
      <c r="E6415" s="32" t="s">
        <v>175</v>
      </c>
      <c r="F6415" s="32" t="s">
        <v>17468</v>
      </c>
      <c r="G6415" s="39" t="s">
        <v>176</v>
      </c>
      <c r="H6415" s="33"/>
      <c r="I6415" s="33"/>
      <c r="J6415" s="33"/>
      <c r="K6415" s="33"/>
      <c r="L6415" s="33"/>
      <c r="M6415" s="33"/>
    </row>
    <row r="6416">
      <c r="A6416" s="32" t="s">
        <v>17469</v>
      </c>
      <c r="B6416" s="32" t="s">
        <v>17470</v>
      </c>
      <c r="C6416" s="35">
        <v>35.59349823</v>
      </c>
      <c r="D6416" s="35">
        <v>129.352005</v>
      </c>
      <c r="E6416" s="32" t="s">
        <v>151</v>
      </c>
      <c r="F6416" s="32" t="s">
        <v>17471</v>
      </c>
      <c r="G6416" s="39" t="s">
        <v>152</v>
      </c>
      <c r="H6416" s="33"/>
      <c r="I6416" s="33"/>
      <c r="J6416" s="33"/>
      <c r="K6416" s="33"/>
      <c r="L6416" s="33"/>
      <c r="M6416" s="33"/>
    </row>
    <row r="6417">
      <c r="A6417" s="32" t="s">
        <v>17472</v>
      </c>
      <c r="B6417" s="32" t="s">
        <v>17473</v>
      </c>
      <c r="C6417" s="35">
        <v>38.68149948</v>
      </c>
      <c r="D6417" s="35">
        <v>29.47170067</v>
      </c>
      <c r="E6417" s="32" t="s">
        <v>133</v>
      </c>
      <c r="F6417" s="32" t="s">
        <v>17474</v>
      </c>
      <c r="G6417" s="39" t="s">
        <v>134</v>
      </c>
      <c r="H6417" s="33"/>
      <c r="I6417" s="33"/>
      <c r="J6417" s="33"/>
      <c r="K6417" s="33"/>
      <c r="L6417" s="33"/>
      <c r="M6417" s="33"/>
    </row>
    <row r="6418">
      <c r="A6418" s="32" t="s">
        <v>17475</v>
      </c>
      <c r="B6418" s="32" t="s">
        <v>17476</v>
      </c>
      <c r="C6418" s="35">
        <v>29.95919991</v>
      </c>
      <c r="D6418" s="35">
        <v>-81.33979797</v>
      </c>
      <c r="E6418" s="32" t="s">
        <v>180</v>
      </c>
      <c r="F6418" s="32" t="s">
        <v>17477</v>
      </c>
      <c r="G6418" s="39" t="s">
        <v>181</v>
      </c>
      <c r="H6418" s="33"/>
      <c r="I6418" s="33"/>
      <c r="J6418" s="33"/>
      <c r="K6418" s="33"/>
      <c r="L6418" s="33"/>
      <c r="M6418" s="33"/>
    </row>
    <row r="6419">
      <c r="A6419" s="32" t="s">
        <v>17478</v>
      </c>
      <c r="B6419" s="32" t="s">
        <v>17479</v>
      </c>
      <c r="C6419" s="35">
        <v>12.12150002</v>
      </c>
      <c r="D6419" s="35">
        <v>120.0999985</v>
      </c>
      <c r="E6419" s="32" t="s">
        <v>270</v>
      </c>
      <c r="F6419" s="32" t="s">
        <v>17480</v>
      </c>
      <c r="G6419" s="36" t="e">
        <v>#N/A</v>
      </c>
      <c r="H6419" s="33"/>
      <c r="I6419" s="33"/>
      <c r="J6419" s="33"/>
      <c r="K6419" s="33"/>
      <c r="L6419" s="33"/>
      <c r="M6419" s="33"/>
    </row>
    <row r="6420">
      <c r="A6420" s="32" t="s">
        <v>17481</v>
      </c>
      <c r="B6420" s="32" t="s">
        <v>17482</v>
      </c>
      <c r="C6420" s="35">
        <v>52.12730026</v>
      </c>
      <c r="D6420" s="35">
        <v>5.276189804</v>
      </c>
      <c r="E6420" s="32" t="s">
        <v>127</v>
      </c>
      <c r="F6420" s="32" t="s">
        <v>17483</v>
      </c>
      <c r="G6420" s="39" t="s">
        <v>128</v>
      </c>
      <c r="H6420" s="33"/>
      <c r="I6420" s="33"/>
      <c r="J6420" s="33"/>
      <c r="K6420" s="33"/>
      <c r="L6420" s="33"/>
      <c r="M6420" s="33"/>
    </row>
    <row r="6421">
      <c r="A6421" s="32" t="s">
        <v>17484</v>
      </c>
      <c r="B6421" s="32" t="s">
        <v>17485</v>
      </c>
      <c r="C6421" s="35">
        <v>17.38640022</v>
      </c>
      <c r="D6421" s="35">
        <v>102.788002</v>
      </c>
      <c r="E6421" s="32" t="s">
        <v>175</v>
      </c>
      <c r="F6421" s="32" t="s">
        <v>17486</v>
      </c>
      <c r="G6421" s="39" t="s">
        <v>176</v>
      </c>
      <c r="H6421" s="33"/>
      <c r="I6421" s="33"/>
      <c r="J6421" s="33"/>
      <c r="K6421" s="33"/>
      <c r="L6421" s="33"/>
      <c r="M6421" s="33"/>
    </row>
    <row r="6422">
      <c r="A6422" s="32" t="s">
        <v>17487</v>
      </c>
      <c r="B6422" s="32" t="s">
        <v>17488</v>
      </c>
      <c r="C6422" s="35">
        <v>11.222</v>
      </c>
      <c r="D6422" s="35">
        <v>169.852005</v>
      </c>
      <c r="E6422" s="32" t="s">
        <v>1494</v>
      </c>
      <c r="F6422" s="32" t="s">
        <v>17489</v>
      </c>
      <c r="G6422" s="36" t="e">
        <v>#N/A</v>
      </c>
      <c r="H6422" s="33"/>
      <c r="I6422" s="33"/>
      <c r="J6422" s="33"/>
      <c r="K6422" s="33"/>
      <c r="L6422" s="33"/>
      <c r="M6422" s="33"/>
    </row>
    <row r="6423">
      <c r="A6423" s="32" t="s">
        <v>17490</v>
      </c>
      <c r="B6423" s="32" t="s">
        <v>17491</v>
      </c>
      <c r="C6423" s="35">
        <v>34.68099976</v>
      </c>
      <c r="D6423" s="35">
        <v>-90.34670258</v>
      </c>
      <c r="E6423" s="32" t="s">
        <v>180</v>
      </c>
      <c r="F6423" s="32" t="s">
        <v>17492</v>
      </c>
      <c r="G6423" s="39" t="s">
        <v>181</v>
      </c>
      <c r="H6423" s="33"/>
      <c r="I6423" s="33"/>
      <c r="J6423" s="33"/>
      <c r="K6423" s="33"/>
      <c r="L6423" s="33"/>
      <c r="M6423" s="33"/>
    </row>
    <row r="6424">
      <c r="A6424" s="32" t="s">
        <v>17493</v>
      </c>
      <c r="B6424" s="32" t="s">
        <v>17494</v>
      </c>
      <c r="C6424" s="35">
        <v>-28.39909935</v>
      </c>
      <c r="D6424" s="35">
        <v>21.2602005</v>
      </c>
      <c r="E6424" s="32" t="s">
        <v>16</v>
      </c>
      <c r="F6424" s="32" t="s">
        <v>17495</v>
      </c>
      <c r="G6424" s="36" t="e">
        <v>#N/A</v>
      </c>
      <c r="H6424" s="33"/>
      <c r="I6424" s="33"/>
      <c r="J6424" s="33"/>
      <c r="K6424" s="33"/>
      <c r="L6424" s="33"/>
      <c r="M6424" s="33"/>
    </row>
    <row r="6425">
      <c r="A6425" s="32" t="s">
        <v>17496</v>
      </c>
      <c r="B6425" s="32" t="s">
        <v>17497</v>
      </c>
      <c r="C6425" s="35">
        <v>65.99279785</v>
      </c>
      <c r="D6425" s="35">
        <v>-153.7039948</v>
      </c>
      <c r="E6425" s="32" t="s">
        <v>180</v>
      </c>
      <c r="F6425" s="32" t="s">
        <v>17498</v>
      </c>
      <c r="G6425" s="39" t="s">
        <v>181</v>
      </c>
      <c r="H6425" s="33"/>
      <c r="I6425" s="33"/>
      <c r="J6425" s="33"/>
      <c r="K6425" s="33"/>
      <c r="L6425" s="33"/>
      <c r="M6425" s="33"/>
    </row>
    <row r="6426">
      <c r="A6426" s="32" t="s">
        <v>17499</v>
      </c>
      <c r="B6426" s="32" t="s">
        <v>17500</v>
      </c>
      <c r="C6426" s="35">
        <v>12.67990017</v>
      </c>
      <c r="D6426" s="35">
        <v>101.0049973</v>
      </c>
      <c r="E6426" s="32" t="s">
        <v>175</v>
      </c>
      <c r="F6426" s="32" t="s">
        <v>17501</v>
      </c>
      <c r="G6426" s="39" t="s">
        <v>176</v>
      </c>
      <c r="H6426" s="33"/>
      <c r="I6426" s="33"/>
      <c r="J6426" s="33"/>
      <c r="K6426" s="33"/>
      <c r="L6426" s="33"/>
      <c r="M6426" s="33"/>
    </row>
    <row r="6427">
      <c r="A6427" s="32" t="s">
        <v>17502</v>
      </c>
      <c r="B6427" s="32" t="s">
        <v>17503</v>
      </c>
      <c r="C6427" s="35">
        <v>-31.54636318</v>
      </c>
      <c r="D6427" s="35">
        <v>28.6733551</v>
      </c>
      <c r="E6427" s="32" t="s">
        <v>16</v>
      </c>
      <c r="F6427" s="32" t="s">
        <v>17504</v>
      </c>
      <c r="G6427" s="36" t="e">
        <v>#N/A</v>
      </c>
      <c r="H6427" s="33"/>
      <c r="I6427" s="33"/>
      <c r="J6427" s="33"/>
      <c r="K6427" s="33"/>
      <c r="L6427" s="33"/>
      <c r="M6427" s="33"/>
    </row>
    <row r="6428">
      <c r="A6428" s="32" t="s">
        <v>17505</v>
      </c>
      <c r="B6428" s="32" t="s">
        <v>17506</v>
      </c>
      <c r="C6428" s="35">
        <v>-31.920200350000002</v>
      </c>
      <c r="D6428" s="35">
        <v>26.88220024</v>
      </c>
      <c r="E6428" s="32" t="s">
        <v>16</v>
      </c>
      <c r="F6428" s="32" t="s">
        <v>17507</v>
      </c>
      <c r="G6428" s="36" t="e">
        <v>#N/A</v>
      </c>
      <c r="H6428" s="33"/>
      <c r="I6428" s="33"/>
      <c r="J6428" s="33"/>
      <c r="K6428" s="33"/>
      <c r="L6428" s="33"/>
      <c r="M6428" s="33"/>
    </row>
    <row r="6429">
      <c r="A6429" s="32" t="s">
        <v>17508</v>
      </c>
      <c r="B6429" s="32" t="s">
        <v>17509</v>
      </c>
      <c r="C6429" s="35">
        <v>54.63999939</v>
      </c>
      <c r="D6429" s="35">
        <v>52.80170059</v>
      </c>
      <c r="E6429" s="32" t="s">
        <v>2040</v>
      </c>
      <c r="F6429" s="32" t="s">
        <v>17510</v>
      </c>
      <c r="G6429" s="36" t="e">
        <v>#N/A</v>
      </c>
      <c r="H6429" s="33"/>
      <c r="I6429" s="33"/>
      <c r="J6429" s="33"/>
      <c r="K6429" s="33"/>
      <c r="L6429" s="33"/>
      <c r="M6429" s="33"/>
    </row>
    <row r="6430">
      <c r="A6430" s="32" t="s">
        <v>17511</v>
      </c>
      <c r="B6430" s="32" t="s">
        <v>17512</v>
      </c>
      <c r="C6430" s="35">
        <v>51.80780029</v>
      </c>
      <c r="D6430" s="35">
        <v>107.4380035</v>
      </c>
      <c r="E6430" s="32" t="s">
        <v>2040</v>
      </c>
      <c r="F6430" s="32" t="s">
        <v>17513</v>
      </c>
      <c r="G6430" s="36" t="e">
        <v>#N/A</v>
      </c>
      <c r="H6430" s="33"/>
      <c r="I6430" s="33"/>
      <c r="J6430" s="33"/>
      <c r="K6430" s="33"/>
      <c r="L6430" s="33"/>
      <c r="M6430" s="33"/>
    </row>
    <row r="6431">
      <c r="A6431" s="32" t="s">
        <v>17514</v>
      </c>
      <c r="B6431" s="32" t="s">
        <v>17515</v>
      </c>
      <c r="C6431" s="35">
        <v>70.33080292</v>
      </c>
      <c r="D6431" s="35">
        <v>-149.5980072</v>
      </c>
      <c r="E6431" s="32" t="s">
        <v>180</v>
      </c>
      <c r="F6431" s="32" t="s">
        <v>17516</v>
      </c>
      <c r="G6431" s="39" t="s">
        <v>181</v>
      </c>
      <c r="H6431" s="33"/>
      <c r="I6431" s="33"/>
      <c r="J6431" s="33"/>
      <c r="K6431" s="33"/>
      <c r="L6431" s="33"/>
      <c r="M6431" s="33"/>
    </row>
    <row r="6432">
      <c r="A6432" s="32" t="s">
        <v>17517</v>
      </c>
      <c r="B6432" s="32" t="s">
        <v>17518</v>
      </c>
      <c r="C6432" s="35">
        <v>46.66030121</v>
      </c>
      <c r="D6432" s="35">
        <v>113.2850037</v>
      </c>
      <c r="E6432" s="32" t="s">
        <v>2274</v>
      </c>
      <c r="F6432" s="33"/>
      <c r="G6432" s="36" t="e">
        <v>#N/A</v>
      </c>
      <c r="H6432" s="33"/>
      <c r="I6432" s="33"/>
      <c r="J6432" s="33"/>
      <c r="K6432" s="33"/>
      <c r="L6432" s="33"/>
      <c r="M6432" s="33"/>
    </row>
    <row r="6433">
      <c r="A6433" s="32" t="s">
        <v>17519</v>
      </c>
      <c r="B6433" s="32" t="s">
        <v>17520</v>
      </c>
      <c r="C6433" s="35">
        <v>46.88869858</v>
      </c>
      <c r="D6433" s="35">
        <v>142.7180023</v>
      </c>
      <c r="E6433" s="32" t="s">
        <v>2040</v>
      </c>
      <c r="F6433" s="32" t="s">
        <v>17521</v>
      </c>
      <c r="G6433" s="36" t="e">
        <v>#N/A</v>
      </c>
      <c r="H6433" s="33"/>
      <c r="I6433" s="33"/>
      <c r="J6433" s="33"/>
      <c r="K6433" s="33"/>
      <c r="L6433" s="33"/>
      <c r="M6433" s="33"/>
    </row>
    <row r="6434">
      <c r="A6434" s="32" t="s">
        <v>17522</v>
      </c>
      <c r="B6434" s="32" t="s">
        <v>17523</v>
      </c>
      <c r="C6434" s="35">
        <v>29.2112999</v>
      </c>
      <c r="D6434" s="35">
        <v>-99.74359894</v>
      </c>
      <c r="E6434" s="32" t="s">
        <v>180</v>
      </c>
      <c r="F6434" s="32" t="s">
        <v>2383</v>
      </c>
      <c r="G6434" s="39" t="s">
        <v>181</v>
      </c>
      <c r="H6434" s="33"/>
      <c r="I6434" s="33"/>
      <c r="J6434" s="33"/>
      <c r="K6434" s="33"/>
      <c r="L6434" s="33"/>
      <c r="M6434" s="33"/>
    </row>
    <row r="6435">
      <c r="A6435" s="32" t="s">
        <v>17524</v>
      </c>
      <c r="B6435" s="32" t="s">
        <v>17525</v>
      </c>
      <c r="C6435" s="35">
        <v>-20.6406002</v>
      </c>
      <c r="D6435" s="35">
        <v>166.572998</v>
      </c>
      <c r="E6435" s="32" t="s">
        <v>5002</v>
      </c>
      <c r="F6435" s="32" t="s">
        <v>17526</v>
      </c>
      <c r="G6435" s="36" t="e">
        <v>#N/A</v>
      </c>
      <c r="H6435" s="33"/>
      <c r="I6435" s="33"/>
      <c r="J6435" s="33"/>
      <c r="K6435" s="33"/>
      <c r="L6435" s="33"/>
      <c r="M6435" s="33"/>
    </row>
    <row r="6436">
      <c r="A6436" s="32" t="s">
        <v>17527</v>
      </c>
      <c r="B6436" s="32" t="s">
        <v>17528</v>
      </c>
      <c r="C6436" s="35">
        <v>13.7332</v>
      </c>
      <c r="D6436" s="35">
        <v>-60.952599</v>
      </c>
      <c r="E6436" s="32" t="s">
        <v>15772</v>
      </c>
      <c r="F6436" s="32" t="s">
        <v>17529</v>
      </c>
      <c r="G6436" s="36" t="e">
        <v>#N/A</v>
      </c>
      <c r="H6436" s="33"/>
      <c r="I6436" s="33"/>
      <c r="J6436" s="33"/>
      <c r="K6436" s="33"/>
      <c r="L6436" s="33"/>
      <c r="M6436" s="33"/>
    </row>
    <row r="6437">
      <c r="A6437" s="32" t="s">
        <v>17530</v>
      </c>
      <c r="B6437" s="32" t="s">
        <v>17531</v>
      </c>
      <c r="C6437" s="35">
        <v>39.87590027</v>
      </c>
      <c r="D6437" s="35">
        <v>-85.32649994</v>
      </c>
      <c r="E6437" s="32" t="s">
        <v>180</v>
      </c>
      <c r="F6437" s="32" t="s">
        <v>17532</v>
      </c>
      <c r="G6437" s="39" t="s">
        <v>181</v>
      </c>
      <c r="H6437" s="33"/>
      <c r="I6437" s="33"/>
      <c r="J6437" s="33"/>
      <c r="K6437" s="33"/>
      <c r="L6437" s="33"/>
      <c r="M6437" s="33"/>
    </row>
    <row r="6438">
      <c r="A6438" s="32" t="s">
        <v>17533</v>
      </c>
      <c r="B6438" s="32" t="s">
        <v>17534</v>
      </c>
      <c r="C6438" s="35">
        <v>39.932701109999996</v>
      </c>
      <c r="D6438" s="35">
        <v>-83.46199799</v>
      </c>
      <c r="E6438" s="32" t="s">
        <v>180</v>
      </c>
      <c r="F6438" s="32" t="s">
        <v>2298</v>
      </c>
      <c r="G6438" s="39" t="s">
        <v>181</v>
      </c>
      <c r="H6438" s="33"/>
      <c r="I6438" s="33"/>
      <c r="J6438" s="33"/>
      <c r="K6438" s="33"/>
      <c r="L6438" s="33"/>
      <c r="M6438" s="33"/>
    </row>
    <row r="6439">
      <c r="A6439" s="32" t="s">
        <v>17535</v>
      </c>
      <c r="B6439" s="32" t="s">
        <v>17536</v>
      </c>
      <c r="C6439" s="35">
        <v>12.05350018</v>
      </c>
      <c r="D6439" s="35">
        <v>24.95619965</v>
      </c>
      <c r="E6439" s="32" t="s">
        <v>844</v>
      </c>
      <c r="F6439" s="32" t="s">
        <v>17537</v>
      </c>
      <c r="G6439" s="36" t="e">
        <v>#N/A</v>
      </c>
      <c r="H6439" s="33"/>
      <c r="I6439" s="33"/>
      <c r="J6439" s="33"/>
      <c r="K6439" s="33"/>
      <c r="L6439" s="33"/>
      <c r="M6439" s="33"/>
    </row>
    <row r="6440">
      <c r="A6440" s="32" t="s">
        <v>17538</v>
      </c>
      <c r="B6440" s="32" t="s">
        <v>17539</v>
      </c>
      <c r="C6440" s="35">
        <v>38.35971</v>
      </c>
      <c r="D6440" s="35">
        <v>109.590927</v>
      </c>
      <c r="E6440" s="32" t="s">
        <v>205</v>
      </c>
      <c r="F6440" s="32" t="s">
        <v>17540</v>
      </c>
      <c r="G6440" s="39" t="s">
        <v>206</v>
      </c>
      <c r="H6440" s="33"/>
      <c r="I6440" s="33"/>
      <c r="J6440" s="33"/>
      <c r="K6440" s="33"/>
      <c r="L6440" s="33"/>
      <c r="M6440" s="33"/>
    </row>
    <row r="6441">
      <c r="A6441" s="32" t="s">
        <v>17541</v>
      </c>
      <c r="B6441" s="32" t="s">
        <v>17542</v>
      </c>
      <c r="C6441" s="35">
        <v>-20.44630051</v>
      </c>
      <c r="D6441" s="35">
        <v>-66.8483963</v>
      </c>
      <c r="E6441" s="32" t="s">
        <v>323</v>
      </c>
      <c r="F6441" s="32" t="s">
        <v>17543</v>
      </c>
      <c r="G6441" s="36" t="e">
        <v>#N/A</v>
      </c>
      <c r="H6441" s="33"/>
      <c r="I6441" s="33"/>
      <c r="J6441" s="33"/>
      <c r="K6441" s="33"/>
      <c r="L6441" s="33"/>
      <c r="M6441" s="33"/>
    </row>
    <row r="6442">
      <c r="A6442" s="32" t="s">
        <v>17544</v>
      </c>
      <c r="B6442" s="32" t="s">
        <v>17545</v>
      </c>
      <c r="C6442" s="35">
        <v>63.05070114</v>
      </c>
      <c r="D6442" s="35">
        <v>21.7621994</v>
      </c>
      <c r="E6442" s="32" t="s">
        <v>408</v>
      </c>
      <c r="F6442" s="32" t="s">
        <v>17546</v>
      </c>
      <c r="G6442" s="36" t="e">
        <v>#N/A</v>
      </c>
      <c r="H6442" s="33"/>
      <c r="I6442" s="33"/>
      <c r="J6442" s="33"/>
      <c r="K6442" s="33"/>
      <c r="L6442" s="33"/>
      <c r="M6442" s="33"/>
    </row>
    <row r="6443">
      <c r="A6443" s="32" t="s">
        <v>17547</v>
      </c>
      <c r="B6443" s="32" t="s">
        <v>17548</v>
      </c>
      <c r="C6443" s="35">
        <v>30.96780014</v>
      </c>
      <c r="D6443" s="35">
        <v>-83.19300079</v>
      </c>
      <c r="E6443" s="32" t="s">
        <v>180</v>
      </c>
      <c r="F6443" s="32" t="s">
        <v>17549</v>
      </c>
      <c r="G6443" s="39" t="s">
        <v>181</v>
      </c>
      <c r="H6443" s="33"/>
      <c r="I6443" s="33"/>
      <c r="J6443" s="33"/>
      <c r="K6443" s="33"/>
      <c r="L6443" s="33"/>
      <c r="M6443" s="33"/>
    </row>
    <row r="6444">
      <c r="A6444" s="32" t="s">
        <v>17550</v>
      </c>
      <c r="B6444" s="32" t="s">
        <v>17551</v>
      </c>
      <c r="C6444" s="35">
        <v>44.9216</v>
      </c>
      <c r="D6444" s="35">
        <v>4.9699</v>
      </c>
      <c r="E6444" s="32" t="s">
        <v>96</v>
      </c>
      <c r="F6444" s="32" t="s">
        <v>17552</v>
      </c>
      <c r="G6444" s="39" t="s">
        <v>97</v>
      </c>
      <c r="H6444" s="33"/>
      <c r="I6444" s="33"/>
      <c r="J6444" s="33"/>
      <c r="K6444" s="33"/>
      <c r="L6444" s="33"/>
      <c r="M6444" s="33"/>
    </row>
    <row r="6445">
      <c r="A6445" s="32" t="s">
        <v>17553</v>
      </c>
      <c r="B6445" s="32" t="s">
        <v>17554</v>
      </c>
      <c r="C6445" s="35">
        <v>-21.59009933</v>
      </c>
      <c r="D6445" s="35">
        <v>-45.47330093</v>
      </c>
      <c r="E6445" s="32" t="s">
        <v>288</v>
      </c>
      <c r="F6445" s="32" t="s">
        <v>17555</v>
      </c>
      <c r="G6445" s="36" t="e">
        <v>#N/A</v>
      </c>
      <c r="H6445" s="33"/>
      <c r="I6445" s="33"/>
      <c r="J6445" s="33"/>
      <c r="K6445" s="33"/>
      <c r="L6445" s="33"/>
      <c r="M6445" s="33"/>
    </row>
    <row r="6446">
      <c r="A6446" s="32" t="s">
        <v>17556</v>
      </c>
      <c r="B6446" s="32" t="s">
        <v>17557</v>
      </c>
      <c r="C6446" s="35">
        <v>-2.6926</v>
      </c>
      <c r="D6446" s="35">
        <v>141.3028</v>
      </c>
      <c r="E6446" s="32" t="s">
        <v>5289</v>
      </c>
      <c r="F6446" s="32" t="s">
        <v>17558</v>
      </c>
      <c r="G6446" s="36" t="e">
        <v>#N/A</v>
      </c>
      <c r="H6446" s="33"/>
      <c r="I6446" s="33"/>
      <c r="J6446" s="33"/>
      <c r="K6446" s="33"/>
      <c r="L6446" s="33"/>
      <c r="M6446" s="33"/>
    </row>
    <row r="6447">
      <c r="A6447" s="32" t="s">
        <v>17559</v>
      </c>
      <c r="B6447" s="32" t="s">
        <v>17560</v>
      </c>
      <c r="C6447" s="35">
        <v>61.5409</v>
      </c>
      <c r="D6447" s="35">
        <v>-165.6005</v>
      </c>
      <c r="E6447" s="32" t="s">
        <v>180</v>
      </c>
      <c r="F6447" s="32" t="s">
        <v>17561</v>
      </c>
      <c r="G6447" s="39" t="s">
        <v>181</v>
      </c>
      <c r="H6447" s="33"/>
      <c r="I6447" s="33"/>
      <c r="J6447" s="33"/>
      <c r="K6447" s="33"/>
      <c r="L6447" s="33"/>
      <c r="M6447" s="33"/>
    </row>
    <row r="6448">
      <c r="A6448" s="32" t="s">
        <v>17562</v>
      </c>
      <c r="B6448" s="32" t="s">
        <v>17563</v>
      </c>
      <c r="C6448" s="35">
        <v>-13.29650021</v>
      </c>
      <c r="D6448" s="35">
        <v>-38.99240112</v>
      </c>
      <c r="E6448" s="32" t="s">
        <v>288</v>
      </c>
      <c r="F6448" s="32" t="s">
        <v>17564</v>
      </c>
      <c r="G6448" s="36" t="e">
        <v>#N/A</v>
      </c>
      <c r="H6448" s="33"/>
      <c r="I6448" s="33"/>
      <c r="J6448" s="33"/>
      <c r="K6448" s="33"/>
      <c r="L6448" s="33"/>
      <c r="M6448" s="33"/>
    </row>
    <row r="6449">
      <c r="A6449" s="32" t="s">
        <v>17565</v>
      </c>
      <c r="B6449" s="32" t="s">
        <v>17566</v>
      </c>
      <c r="C6449" s="35">
        <v>3.470555556</v>
      </c>
      <c r="D6449" s="35">
        <v>72.83583333</v>
      </c>
      <c r="E6449" s="32" t="s">
        <v>6888</v>
      </c>
      <c r="F6449" s="32" t="s">
        <v>17567</v>
      </c>
      <c r="G6449" s="36" t="e">
        <v>#N/A</v>
      </c>
      <c r="H6449" s="33"/>
      <c r="I6449" s="33"/>
      <c r="J6449" s="33"/>
      <c r="K6449" s="33"/>
      <c r="L6449" s="33"/>
      <c r="M6449" s="33"/>
    </row>
    <row r="6450">
      <c r="A6450" s="32" t="s">
        <v>17568</v>
      </c>
      <c r="B6450" s="32" t="s">
        <v>17569</v>
      </c>
      <c r="C6450" s="35">
        <v>38.46820068</v>
      </c>
      <c r="D6450" s="35">
        <v>43.33229828</v>
      </c>
      <c r="E6450" s="32" t="s">
        <v>133</v>
      </c>
      <c r="F6450" s="32" t="s">
        <v>17570</v>
      </c>
      <c r="G6450" s="39" t="s">
        <v>134</v>
      </c>
      <c r="H6450" s="33"/>
      <c r="I6450" s="33"/>
      <c r="J6450" s="33"/>
      <c r="K6450" s="33"/>
      <c r="L6450" s="33"/>
      <c r="M6450" s="33"/>
    </row>
    <row r="6451">
      <c r="A6451" s="32" t="s">
        <v>17571</v>
      </c>
      <c r="B6451" s="32" t="s">
        <v>17572</v>
      </c>
      <c r="C6451" s="35">
        <v>-7.585559845</v>
      </c>
      <c r="D6451" s="35">
        <v>158.7310028</v>
      </c>
      <c r="E6451" s="32" t="s">
        <v>3666</v>
      </c>
      <c r="F6451" s="32" t="s">
        <v>17573</v>
      </c>
      <c r="G6451" s="36" t="e">
        <v>#N/A</v>
      </c>
      <c r="H6451" s="33"/>
      <c r="I6451" s="33"/>
      <c r="J6451" s="33"/>
      <c r="K6451" s="33"/>
      <c r="L6451" s="33"/>
      <c r="M6451" s="33"/>
    </row>
    <row r="6452">
      <c r="A6452" s="32" t="s">
        <v>17574</v>
      </c>
      <c r="B6452" s="32" t="s">
        <v>17575</v>
      </c>
      <c r="C6452" s="35">
        <v>43.232101</v>
      </c>
      <c r="D6452" s="35">
        <v>27.8251</v>
      </c>
      <c r="E6452" s="32" t="s">
        <v>849</v>
      </c>
      <c r="F6452" s="32" t="s">
        <v>17576</v>
      </c>
      <c r="G6452" s="36" t="e">
        <v>#N/A</v>
      </c>
      <c r="H6452" s="33"/>
      <c r="I6452" s="33"/>
      <c r="J6452" s="33"/>
      <c r="K6452" s="33"/>
      <c r="L6452" s="33"/>
      <c r="M6452" s="33"/>
    </row>
    <row r="6453">
      <c r="A6453" s="32" t="s">
        <v>17577</v>
      </c>
      <c r="B6453" s="32" t="s">
        <v>17578</v>
      </c>
      <c r="C6453" s="35">
        <v>39.813801</v>
      </c>
      <c r="D6453" s="35">
        <v>36.9035</v>
      </c>
      <c r="E6453" s="32" t="s">
        <v>133</v>
      </c>
      <c r="F6453" s="32" t="s">
        <v>17579</v>
      </c>
      <c r="G6453" s="39" t="s">
        <v>134</v>
      </c>
      <c r="H6453" s="33"/>
      <c r="I6453" s="33"/>
      <c r="J6453" s="33"/>
      <c r="K6453" s="33"/>
      <c r="L6453" s="33"/>
      <c r="M6453" s="33"/>
    </row>
    <row r="6454">
      <c r="A6454" s="32" t="s">
        <v>17580</v>
      </c>
      <c r="B6454" s="32" t="s">
        <v>17581</v>
      </c>
      <c r="C6454" s="35">
        <v>-18.58530045</v>
      </c>
      <c r="D6454" s="35">
        <v>-173.9620056</v>
      </c>
      <c r="E6454" s="32" t="s">
        <v>7417</v>
      </c>
      <c r="F6454" s="32" t="s">
        <v>17582</v>
      </c>
      <c r="G6454" s="36" t="e">
        <v>#N/A</v>
      </c>
      <c r="H6454" s="33"/>
      <c r="I6454" s="33"/>
      <c r="J6454" s="33"/>
      <c r="K6454" s="33"/>
      <c r="L6454" s="33"/>
      <c r="M6454" s="33"/>
    </row>
    <row r="6455">
      <c r="A6455" s="32" t="s">
        <v>17583</v>
      </c>
      <c r="B6455" s="32" t="s">
        <v>17584</v>
      </c>
      <c r="C6455" s="35">
        <v>70.35540009</v>
      </c>
      <c r="D6455" s="35">
        <v>31.04490089</v>
      </c>
      <c r="E6455" s="32" t="s">
        <v>343</v>
      </c>
      <c r="F6455" s="32" t="s">
        <v>17585</v>
      </c>
      <c r="G6455" s="36" t="e">
        <v>#N/A</v>
      </c>
      <c r="H6455" s="33"/>
      <c r="I6455" s="33"/>
      <c r="J6455" s="33"/>
      <c r="K6455" s="33"/>
      <c r="L6455" s="33"/>
      <c r="M6455" s="33"/>
    </row>
    <row r="6456">
      <c r="A6456" s="32" t="s">
        <v>17586</v>
      </c>
      <c r="B6456" s="32" t="s">
        <v>17587</v>
      </c>
      <c r="C6456" s="35">
        <v>39.94290161</v>
      </c>
      <c r="D6456" s="35">
        <v>-74.84570313</v>
      </c>
      <c r="E6456" s="32" t="s">
        <v>180</v>
      </c>
      <c r="F6456" s="32" t="s">
        <v>17588</v>
      </c>
      <c r="G6456" s="39" t="s">
        <v>181</v>
      </c>
      <c r="H6456" s="33"/>
      <c r="I6456" s="33"/>
      <c r="J6456" s="33"/>
      <c r="K6456" s="33"/>
      <c r="L6456" s="33"/>
      <c r="M6456" s="33"/>
    </row>
    <row r="6457">
      <c r="A6457" s="32" t="s">
        <v>17589</v>
      </c>
      <c r="B6457" s="32" t="s">
        <v>17590</v>
      </c>
      <c r="C6457" s="35">
        <v>34.73730087</v>
      </c>
      <c r="D6457" s="35">
        <v>-120.5839996</v>
      </c>
      <c r="E6457" s="32" t="s">
        <v>180</v>
      </c>
      <c r="F6457" s="32" t="s">
        <v>11215</v>
      </c>
      <c r="G6457" s="39" t="s">
        <v>181</v>
      </c>
      <c r="H6457" s="33"/>
      <c r="I6457" s="33"/>
      <c r="J6457" s="33"/>
      <c r="K6457" s="33"/>
      <c r="L6457" s="33"/>
      <c r="M6457" s="33"/>
    </row>
    <row r="6458">
      <c r="A6458" s="32" t="s">
        <v>17591</v>
      </c>
      <c r="B6458" s="32" t="s">
        <v>17592</v>
      </c>
      <c r="C6458" s="35">
        <v>45.428902</v>
      </c>
      <c r="D6458" s="35">
        <v>10.3306</v>
      </c>
      <c r="E6458" s="32" t="s">
        <v>103</v>
      </c>
      <c r="F6458" s="32" t="s">
        <v>17593</v>
      </c>
      <c r="G6458" s="39" t="s">
        <v>104</v>
      </c>
      <c r="H6458" s="33"/>
      <c r="I6458" s="33"/>
      <c r="J6458" s="33"/>
      <c r="K6458" s="33"/>
      <c r="L6458" s="33"/>
      <c r="M6458" s="33"/>
    </row>
    <row r="6459">
      <c r="A6459" s="32" t="s">
        <v>17594</v>
      </c>
      <c r="B6459" s="32" t="s">
        <v>17595</v>
      </c>
      <c r="C6459" s="35">
        <v>-17.2689991</v>
      </c>
      <c r="D6459" s="35">
        <v>-178.9759979</v>
      </c>
      <c r="E6459" s="32" t="s">
        <v>9136</v>
      </c>
      <c r="F6459" s="32" t="s">
        <v>17596</v>
      </c>
      <c r="G6459" s="36" t="e">
        <v>#N/A</v>
      </c>
      <c r="H6459" s="33"/>
      <c r="I6459" s="33"/>
      <c r="J6459" s="33"/>
      <c r="K6459" s="33"/>
      <c r="L6459" s="33"/>
      <c r="M6459" s="33"/>
    </row>
    <row r="6460">
      <c r="A6460" s="32" t="s">
        <v>17597</v>
      </c>
      <c r="B6460" s="32" t="s">
        <v>17598</v>
      </c>
      <c r="C6460" s="35">
        <v>57.66279984</v>
      </c>
      <c r="D6460" s="35">
        <v>18.34620094</v>
      </c>
      <c r="E6460" s="32" t="s">
        <v>347</v>
      </c>
      <c r="F6460" s="32" t="s">
        <v>17599</v>
      </c>
      <c r="G6460" s="36" t="e">
        <v>#N/A</v>
      </c>
      <c r="H6460" s="33"/>
      <c r="I6460" s="33"/>
      <c r="J6460" s="33"/>
      <c r="K6460" s="33"/>
      <c r="L6460" s="33"/>
      <c r="M6460" s="33"/>
    </row>
    <row r="6461">
      <c r="A6461" s="32" t="s">
        <v>17600</v>
      </c>
      <c r="B6461" s="32" t="s">
        <v>17601</v>
      </c>
      <c r="C6461" s="35">
        <v>10.08510017</v>
      </c>
      <c r="D6461" s="35">
        <v>105.711998</v>
      </c>
      <c r="E6461" s="32" t="s">
        <v>1913</v>
      </c>
      <c r="F6461" s="32" t="s">
        <v>17602</v>
      </c>
      <c r="G6461" s="36" t="e">
        <v>#N/A</v>
      </c>
      <c r="H6461" s="33"/>
      <c r="I6461" s="33"/>
      <c r="J6461" s="33"/>
      <c r="K6461" s="33"/>
      <c r="L6461" s="33"/>
      <c r="M6461" s="33"/>
    </row>
    <row r="6462">
      <c r="A6462" s="32" t="s">
        <v>17603</v>
      </c>
      <c r="B6462" s="32" t="s">
        <v>17604</v>
      </c>
      <c r="C6462" s="35">
        <v>-16.4021244</v>
      </c>
      <c r="D6462" s="35">
        <v>131.0049744</v>
      </c>
      <c r="E6462" s="32" t="s">
        <v>1968</v>
      </c>
      <c r="F6462" s="32" t="s">
        <v>17605</v>
      </c>
      <c r="G6462" s="36" t="e">
        <v>#N/A</v>
      </c>
      <c r="H6462" s="33"/>
      <c r="I6462" s="33"/>
      <c r="J6462" s="33"/>
      <c r="K6462" s="33"/>
      <c r="L6462" s="33"/>
      <c r="M6462" s="33"/>
    </row>
    <row r="6463">
      <c r="A6463" s="32" t="s">
        <v>17606</v>
      </c>
      <c r="B6463" s="32" t="s">
        <v>17607</v>
      </c>
      <c r="C6463" s="35">
        <v>45.505299</v>
      </c>
      <c r="D6463" s="35">
        <v>12.3519</v>
      </c>
      <c r="E6463" s="32" t="s">
        <v>103</v>
      </c>
      <c r="F6463" s="32" t="s">
        <v>2300</v>
      </c>
      <c r="G6463" s="39" t="s">
        <v>104</v>
      </c>
      <c r="H6463" s="33"/>
      <c r="I6463" s="33"/>
      <c r="J6463" s="33"/>
      <c r="K6463" s="33"/>
      <c r="L6463" s="33"/>
      <c r="M6463" s="33"/>
    </row>
    <row r="6464">
      <c r="A6464" s="32" t="s">
        <v>17608</v>
      </c>
      <c r="B6464" s="32" t="s">
        <v>17609</v>
      </c>
      <c r="C6464" s="35">
        <v>15.40330029</v>
      </c>
      <c r="D6464" s="35">
        <v>108.7060013</v>
      </c>
      <c r="E6464" s="32" t="s">
        <v>1913</v>
      </c>
      <c r="F6464" s="32" t="s">
        <v>17610</v>
      </c>
      <c r="G6464" s="36" t="e">
        <v>#N/A</v>
      </c>
      <c r="H6464" s="33"/>
      <c r="I6464" s="33"/>
      <c r="J6464" s="33"/>
      <c r="K6464" s="33"/>
      <c r="L6464" s="33"/>
      <c r="M6464" s="33"/>
    </row>
    <row r="6465">
      <c r="A6465" s="32" t="s">
        <v>17611</v>
      </c>
      <c r="B6465" s="32" t="s">
        <v>17612</v>
      </c>
      <c r="C6465" s="35">
        <v>-23.00740051</v>
      </c>
      <c r="D6465" s="35">
        <v>-47.1344986</v>
      </c>
      <c r="E6465" s="32" t="s">
        <v>288</v>
      </c>
      <c r="F6465" s="32" t="s">
        <v>6185</v>
      </c>
      <c r="G6465" s="36" t="e">
        <v>#N/A</v>
      </c>
      <c r="H6465" s="33"/>
      <c r="I6465" s="33"/>
      <c r="J6465" s="33"/>
      <c r="K6465" s="33"/>
      <c r="L6465" s="33"/>
      <c r="M6465" s="33"/>
    </row>
    <row r="6466">
      <c r="A6466" s="32" t="s">
        <v>17613</v>
      </c>
      <c r="B6466" s="32" t="s">
        <v>17614</v>
      </c>
      <c r="C6466" s="35">
        <v>8.731829643</v>
      </c>
      <c r="D6466" s="35">
        <v>106.6330032</v>
      </c>
      <c r="E6466" s="32" t="s">
        <v>1913</v>
      </c>
      <c r="F6466" s="32" t="s">
        <v>17615</v>
      </c>
      <c r="G6466" s="36" t="e">
        <v>#N/A</v>
      </c>
      <c r="H6466" s="33"/>
      <c r="I6466" s="33"/>
      <c r="J6466" s="33"/>
      <c r="K6466" s="33"/>
      <c r="L6466" s="33"/>
      <c r="M6466" s="33"/>
    </row>
    <row r="6467">
      <c r="A6467" s="32" t="s">
        <v>17616</v>
      </c>
      <c r="B6467" s="32" t="s">
        <v>17617</v>
      </c>
      <c r="C6467" s="35">
        <v>28.8526001</v>
      </c>
      <c r="D6467" s="35">
        <v>-96.91850281</v>
      </c>
      <c r="E6467" s="32" t="s">
        <v>180</v>
      </c>
      <c r="F6467" s="32" t="s">
        <v>17618</v>
      </c>
      <c r="G6467" s="39" t="s">
        <v>181</v>
      </c>
      <c r="H6467" s="33"/>
      <c r="I6467" s="33"/>
      <c r="J6467" s="33"/>
      <c r="K6467" s="33"/>
      <c r="L6467" s="33"/>
      <c r="M6467" s="33"/>
    </row>
    <row r="6468">
      <c r="A6468" s="32" t="s">
        <v>17619</v>
      </c>
      <c r="B6468" s="32" t="s">
        <v>17620</v>
      </c>
      <c r="C6468" s="35">
        <v>34.59749985</v>
      </c>
      <c r="D6468" s="35">
        <v>-117.3830032</v>
      </c>
      <c r="E6468" s="32" t="s">
        <v>180</v>
      </c>
      <c r="F6468" s="32" t="s">
        <v>17621</v>
      </c>
      <c r="G6468" s="39" t="s">
        <v>181</v>
      </c>
      <c r="H6468" s="33"/>
      <c r="I6468" s="33"/>
      <c r="J6468" s="33"/>
      <c r="K6468" s="33"/>
      <c r="L6468" s="33"/>
      <c r="M6468" s="33"/>
    </row>
    <row r="6469">
      <c r="A6469" s="32" t="s">
        <v>17622</v>
      </c>
      <c r="B6469" s="32" t="s">
        <v>17623</v>
      </c>
      <c r="C6469" s="35">
        <v>29.94029999</v>
      </c>
      <c r="D6469" s="35">
        <v>34.93579865</v>
      </c>
      <c r="E6469" s="32" t="s">
        <v>243</v>
      </c>
      <c r="F6469" s="32" t="s">
        <v>17624</v>
      </c>
      <c r="G6469" s="36" t="e">
        <v>#N/A</v>
      </c>
      <c r="H6469" s="33"/>
      <c r="I6469" s="33"/>
      <c r="J6469" s="33"/>
      <c r="K6469" s="33"/>
      <c r="L6469" s="33"/>
      <c r="M6469" s="33"/>
    </row>
    <row r="6470">
      <c r="A6470" s="32" t="s">
        <v>17625</v>
      </c>
      <c r="B6470" s="32" t="s">
        <v>17626</v>
      </c>
      <c r="C6470" s="35">
        <v>61.0155983</v>
      </c>
      <c r="D6470" s="35">
        <v>9.288060188</v>
      </c>
      <c r="E6470" s="32" t="s">
        <v>343</v>
      </c>
      <c r="F6470" s="32" t="s">
        <v>17627</v>
      </c>
      <c r="G6470" s="36" t="e">
        <v>#N/A</v>
      </c>
      <c r="H6470" s="33"/>
      <c r="I6470" s="33"/>
      <c r="J6470" s="33"/>
      <c r="K6470" s="33"/>
      <c r="L6470" s="33"/>
      <c r="M6470" s="33"/>
    </row>
    <row r="6471">
      <c r="A6471" s="32" t="s">
        <v>17628</v>
      </c>
      <c r="B6471" s="32" t="s">
        <v>17629</v>
      </c>
      <c r="C6471" s="35">
        <v>-14.86279964</v>
      </c>
      <c r="D6471" s="35">
        <v>-40.86309814</v>
      </c>
      <c r="E6471" s="32" t="s">
        <v>288</v>
      </c>
      <c r="F6471" s="32" t="s">
        <v>17630</v>
      </c>
      <c r="G6471" s="36" t="e">
        <v>#N/A</v>
      </c>
      <c r="H6471" s="33"/>
      <c r="I6471" s="33"/>
      <c r="J6471" s="33"/>
      <c r="K6471" s="33"/>
      <c r="L6471" s="33"/>
      <c r="M6471" s="33"/>
    </row>
    <row r="6472">
      <c r="A6472" s="32" t="s">
        <v>17631</v>
      </c>
      <c r="B6472" s="32" t="s">
        <v>17632</v>
      </c>
      <c r="C6472" s="35">
        <v>27.81480026</v>
      </c>
      <c r="D6472" s="35">
        <v>-17.88710022</v>
      </c>
      <c r="E6472" s="32" t="s">
        <v>115</v>
      </c>
      <c r="F6472" s="32" t="s">
        <v>17633</v>
      </c>
      <c r="G6472" s="39" t="s">
        <v>116</v>
      </c>
      <c r="H6472" s="33"/>
      <c r="I6472" s="33"/>
      <c r="J6472" s="33"/>
      <c r="K6472" s="33"/>
      <c r="L6472" s="33"/>
      <c r="M6472" s="33"/>
    </row>
    <row r="6473">
      <c r="A6473" s="32" t="s">
        <v>17634</v>
      </c>
      <c r="B6473" s="32" t="s">
        <v>17635</v>
      </c>
      <c r="C6473" s="35">
        <v>-40.8692</v>
      </c>
      <c r="D6473" s="35">
        <v>-63.0004</v>
      </c>
      <c r="E6473" s="32" t="s">
        <v>296</v>
      </c>
      <c r="F6473" s="32" t="s">
        <v>17636</v>
      </c>
      <c r="G6473" s="36" t="e">
        <v>#N/A</v>
      </c>
      <c r="H6473" s="33"/>
      <c r="I6473" s="33"/>
      <c r="J6473" s="33"/>
      <c r="K6473" s="33"/>
      <c r="L6473" s="33"/>
      <c r="M6473" s="33"/>
    </row>
    <row r="6474">
      <c r="A6474" s="32" t="s">
        <v>17637</v>
      </c>
      <c r="B6474" s="32" t="s">
        <v>17638</v>
      </c>
      <c r="C6474" s="35">
        <v>9.222027779</v>
      </c>
      <c r="D6474" s="35">
        <v>-65.99358368</v>
      </c>
      <c r="E6474" s="32" t="s">
        <v>315</v>
      </c>
      <c r="F6474" s="32" t="s">
        <v>17639</v>
      </c>
      <c r="G6474" s="36" t="e">
        <v>#N/A</v>
      </c>
      <c r="H6474" s="33"/>
      <c r="I6474" s="33"/>
      <c r="J6474" s="33"/>
      <c r="K6474" s="33"/>
      <c r="L6474" s="33"/>
      <c r="M6474" s="33"/>
    </row>
    <row r="6475">
      <c r="A6475" s="32" t="s">
        <v>17640</v>
      </c>
      <c r="B6475" s="32" t="s">
        <v>17641</v>
      </c>
      <c r="C6475" s="35">
        <v>-31.94519997</v>
      </c>
      <c r="D6475" s="35">
        <v>-65.14630127</v>
      </c>
      <c r="E6475" s="32" t="s">
        <v>296</v>
      </c>
      <c r="F6475" s="32" t="s">
        <v>17642</v>
      </c>
      <c r="G6475" s="36" t="e">
        <v>#N/A</v>
      </c>
      <c r="H6475" s="33"/>
      <c r="I6475" s="33"/>
      <c r="J6475" s="33"/>
      <c r="K6475" s="33"/>
      <c r="L6475" s="33"/>
      <c r="M6475" s="33"/>
    </row>
    <row r="6476">
      <c r="A6476" s="32" t="s">
        <v>17643</v>
      </c>
      <c r="B6476" s="32" t="s">
        <v>17644</v>
      </c>
      <c r="C6476" s="35">
        <v>70.06529999</v>
      </c>
      <c r="D6476" s="35">
        <v>29.84469986</v>
      </c>
      <c r="E6476" s="32" t="s">
        <v>343</v>
      </c>
      <c r="F6476" s="32" t="s">
        <v>17645</v>
      </c>
      <c r="G6476" s="36" t="e">
        <v>#N/A</v>
      </c>
      <c r="H6476" s="33"/>
      <c r="I6476" s="33"/>
      <c r="J6476" s="33"/>
      <c r="K6476" s="33"/>
      <c r="L6476" s="33"/>
      <c r="M6476" s="33"/>
    </row>
    <row r="6477">
      <c r="A6477" s="32" t="s">
        <v>17646</v>
      </c>
      <c r="B6477" s="32" t="s">
        <v>17647</v>
      </c>
      <c r="C6477" s="35">
        <v>61.13389969</v>
      </c>
      <c r="D6477" s="35">
        <v>-146.2480011</v>
      </c>
      <c r="E6477" s="32" t="s">
        <v>180</v>
      </c>
      <c r="F6477" s="32" t="s">
        <v>17648</v>
      </c>
      <c r="G6477" s="39" t="s">
        <v>181</v>
      </c>
      <c r="H6477" s="33"/>
      <c r="I6477" s="33"/>
      <c r="J6477" s="33"/>
      <c r="K6477" s="33"/>
      <c r="L6477" s="33"/>
      <c r="M6477" s="33"/>
    </row>
    <row r="6478">
      <c r="A6478" s="32" t="s">
        <v>17649</v>
      </c>
      <c r="B6478" s="32" t="s">
        <v>17650</v>
      </c>
      <c r="C6478" s="35">
        <v>67.00869751</v>
      </c>
      <c r="D6478" s="35">
        <v>-146.3659973</v>
      </c>
      <c r="E6478" s="32" t="s">
        <v>180</v>
      </c>
      <c r="F6478" s="32" t="s">
        <v>17651</v>
      </c>
      <c r="G6478" s="39" t="s">
        <v>181</v>
      </c>
      <c r="H6478" s="33"/>
      <c r="I6478" s="33"/>
      <c r="J6478" s="33"/>
      <c r="K6478" s="33"/>
      <c r="L6478" s="33"/>
      <c r="M6478" s="33"/>
    </row>
    <row r="6479">
      <c r="A6479" s="32" t="s">
        <v>17652</v>
      </c>
      <c r="B6479" s="32" t="s">
        <v>17653</v>
      </c>
      <c r="C6479" s="35">
        <v>40.4408989</v>
      </c>
      <c r="D6479" s="35">
        <v>-109.5100021</v>
      </c>
      <c r="E6479" s="32" t="s">
        <v>180</v>
      </c>
      <c r="F6479" s="32" t="s">
        <v>17654</v>
      </c>
      <c r="G6479" s="39" t="s">
        <v>181</v>
      </c>
      <c r="H6479" s="33"/>
      <c r="I6479" s="33"/>
      <c r="J6479" s="33"/>
      <c r="K6479" s="33"/>
      <c r="L6479" s="33"/>
      <c r="M6479" s="33"/>
    </row>
    <row r="6480">
      <c r="A6480" s="32" t="s">
        <v>17655</v>
      </c>
      <c r="B6480" s="32" t="s">
        <v>17656</v>
      </c>
      <c r="C6480" s="35">
        <v>19.14590073</v>
      </c>
      <c r="D6480" s="35">
        <v>-96.18730164</v>
      </c>
      <c r="E6480" s="32" t="s">
        <v>186</v>
      </c>
      <c r="F6480" s="32" t="s">
        <v>17657</v>
      </c>
      <c r="G6480" s="39" t="s">
        <v>187</v>
      </c>
      <c r="H6480" s="33"/>
      <c r="I6480" s="33"/>
      <c r="J6480" s="33"/>
      <c r="K6480" s="33"/>
      <c r="L6480" s="33"/>
      <c r="M6480" s="33"/>
    </row>
    <row r="6481">
      <c r="A6481" s="32" t="s">
        <v>17658</v>
      </c>
      <c r="B6481" s="32" t="s">
        <v>17659</v>
      </c>
      <c r="C6481" s="35">
        <v>63.42430115</v>
      </c>
      <c r="D6481" s="35">
        <v>-20.27890015</v>
      </c>
      <c r="E6481" s="32" t="s">
        <v>2037</v>
      </c>
      <c r="F6481" s="32" t="s">
        <v>17660</v>
      </c>
      <c r="G6481" s="36" t="e">
        <v>#N/A</v>
      </c>
      <c r="H6481" s="33"/>
      <c r="I6481" s="33"/>
      <c r="J6481" s="33"/>
      <c r="K6481" s="33"/>
      <c r="L6481" s="33"/>
      <c r="M6481" s="33"/>
    </row>
    <row r="6482">
      <c r="A6482" s="32" t="s">
        <v>17661</v>
      </c>
      <c r="B6482" s="32" t="s">
        <v>17662</v>
      </c>
      <c r="C6482" s="35">
        <v>-18.09589958</v>
      </c>
      <c r="D6482" s="35">
        <v>25.8390007</v>
      </c>
      <c r="E6482" s="32" t="s">
        <v>785</v>
      </c>
      <c r="F6482" s="32" t="s">
        <v>17663</v>
      </c>
      <c r="G6482" s="36" t="e">
        <v>#N/A</v>
      </c>
      <c r="H6482" s="33"/>
      <c r="I6482" s="33"/>
      <c r="J6482" s="33"/>
      <c r="K6482" s="33"/>
      <c r="L6482" s="33"/>
      <c r="M6482" s="33"/>
    </row>
    <row r="6483">
      <c r="A6483" s="32" t="s">
        <v>17664</v>
      </c>
      <c r="B6483" s="32" t="s">
        <v>17665</v>
      </c>
      <c r="C6483" s="35">
        <v>16.53039932</v>
      </c>
      <c r="D6483" s="35">
        <v>80.79679871</v>
      </c>
      <c r="E6483" s="32" t="s">
        <v>217</v>
      </c>
      <c r="F6483" s="32" t="s">
        <v>17666</v>
      </c>
      <c r="G6483" s="39" t="s">
        <v>218</v>
      </c>
      <c r="H6483" s="33"/>
      <c r="I6483" s="33"/>
      <c r="J6483" s="33"/>
      <c r="K6483" s="33"/>
      <c r="L6483" s="33"/>
      <c r="M6483" s="33"/>
    </row>
    <row r="6484">
      <c r="A6484" s="32" t="s">
        <v>17667</v>
      </c>
      <c r="B6484" s="32" t="s">
        <v>17668</v>
      </c>
      <c r="C6484" s="35">
        <v>59.28250122</v>
      </c>
      <c r="D6484" s="35">
        <v>39.94440079</v>
      </c>
      <c r="E6484" s="32" t="s">
        <v>2040</v>
      </c>
      <c r="F6484" s="32" t="s">
        <v>17669</v>
      </c>
      <c r="G6484" s="36" t="e">
        <v>#N/A</v>
      </c>
      <c r="H6484" s="33"/>
      <c r="I6484" s="33"/>
      <c r="J6484" s="33"/>
      <c r="K6484" s="33"/>
      <c r="L6484" s="33"/>
      <c r="M6484" s="33"/>
    </row>
    <row r="6485">
      <c r="A6485" s="32" t="s">
        <v>17670</v>
      </c>
      <c r="B6485" s="32" t="s">
        <v>17671</v>
      </c>
      <c r="C6485" s="35">
        <v>42.23180008</v>
      </c>
      <c r="D6485" s="35">
        <v>-8.62677002</v>
      </c>
      <c r="E6485" s="32" t="s">
        <v>115</v>
      </c>
      <c r="F6485" s="32" t="s">
        <v>17672</v>
      </c>
      <c r="G6485" s="39" t="s">
        <v>116</v>
      </c>
      <c r="H6485" s="33"/>
      <c r="I6485" s="33"/>
      <c r="J6485" s="33"/>
      <c r="K6485" s="33"/>
      <c r="L6485" s="33"/>
      <c r="M6485" s="33"/>
    </row>
    <row r="6486">
      <c r="A6486" s="32" t="s">
        <v>17673</v>
      </c>
      <c r="B6486" s="32" t="s">
        <v>17674</v>
      </c>
      <c r="C6486" s="35">
        <v>36.21070099</v>
      </c>
      <c r="D6486" s="35">
        <v>-115.1940002</v>
      </c>
      <c r="E6486" s="32" t="s">
        <v>180</v>
      </c>
      <c r="F6486" s="32" t="s">
        <v>10739</v>
      </c>
      <c r="G6486" s="39" t="s">
        <v>181</v>
      </c>
      <c r="H6486" s="33"/>
      <c r="I6486" s="33"/>
      <c r="J6486" s="33"/>
      <c r="K6486" s="33"/>
      <c r="L6486" s="33"/>
      <c r="M6486" s="33"/>
    </row>
    <row r="6487">
      <c r="A6487" s="32" t="s">
        <v>17675</v>
      </c>
      <c r="B6487" s="32" t="s">
        <v>17676</v>
      </c>
      <c r="C6487" s="35">
        <v>0.978767</v>
      </c>
      <c r="D6487" s="35">
        <v>-76.6056</v>
      </c>
      <c r="E6487" s="32" t="s">
        <v>292</v>
      </c>
      <c r="F6487" s="32" t="s">
        <v>17677</v>
      </c>
      <c r="G6487" s="36" t="e">
        <v>#N/A</v>
      </c>
      <c r="H6487" s="33"/>
      <c r="I6487" s="33"/>
      <c r="J6487" s="33"/>
      <c r="K6487" s="33"/>
      <c r="L6487" s="33"/>
      <c r="M6487" s="33"/>
    </row>
    <row r="6488">
      <c r="A6488" s="32" t="s">
        <v>17678</v>
      </c>
      <c r="B6488" s="32" t="s">
        <v>17679</v>
      </c>
      <c r="C6488" s="35">
        <v>-9.689069748</v>
      </c>
      <c r="D6488" s="35">
        <v>20.43190002</v>
      </c>
      <c r="E6488" s="32" t="s">
        <v>764</v>
      </c>
      <c r="F6488" s="32" t="s">
        <v>17680</v>
      </c>
      <c r="G6488" s="36" t="e">
        <v>#N/A</v>
      </c>
      <c r="H6488" s="33"/>
      <c r="I6488" s="33"/>
      <c r="J6488" s="33"/>
      <c r="K6488" s="33"/>
      <c r="L6488" s="33"/>
      <c r="M6488" s="33"/>
    </row>
    <row r="6489">
      <c r="A6489" s="32" t="s">
        <v>17681</v>
      </c>
      <c r="B6489" s="32" t="s">
        <v>17682</v>
      </c>
      <c r="C6489" s="35">
        <v>64.57910156</v>
      </c>
      <c r="D6489" s="35">
        <v>16.83359909</v>
      </c>
      <c r="E6489" s="32" t="s">
        <v>347</v>
      </c>
      <c r="F6489" s="32" t="s">
        <v>17683</v>
      </c>
      <c r="G6489" s="36" t="e">
        <v>#N/A</v>
      </c>
      <c r="H6489" s="33"/>
      <c r="I6489" s="33"/>
      <c r="J6489" s="33"/>
      <c r="K6489" s="33"/>
      <c r="L6489" s="33"/>
      <c r="M6489" s="33"/>
    </row>
    <row r="6490">
      <c r="A6490" s="32" t="s">
        <v>17684</v>
      </c>
      <c r="B6490" s="32" t="s">
        <v>17685</v>
      </c>
      <c r="C6490" s="35">
        <v>46.16970062</v>
      </c>
      <c r="D6490" s="35">
        <v>3.403739929</v>
      </c>
      <c r="E6490" s="32" t="s">
        <v>96</v>
      </c>
      <c r="F6490" s="32" t="s">
        <v>17686</v>
      </c>
      <c r="G6490" s="39" t="s">
        <v>97</v>
      </c>
      <c r="H6490" s="33"/>
      <c r="I6490" s="33"/>
      <c r="J6490" s="33"/>
      <c r="K6490" s="33"/>
      <c r="L6490" s="33"/>
      <c r="M6490" s="33"/>
    </row>
    <row r="6491">
      <c r="A6491" s="32" t="s">
        <v>17687</v>
      </c>
      <c r="B6491" s="32" t="s">
        <v>17688</v>
      </c>
      <c r="C6491" s="35">
        <v>45.573399</v>
      </c>
      <c r="D6491" s="35">
        <v>11.5295</v>
      </c>
      <c r="E6491" s="32" t="s">
        <v>103</v>
      </c>
      <c r="F6491" s="32" t="s">
        <v>17689</v>
      </c>
      <c r="G6491" s="39" t="s">
        <v>104</v>
      </c>
      <c r="H6491" s="33"/>
      <c r="I6491" s="33"/>
      <c r="J6491" s="33"/>
      <c r="K6491" s="33"/>
      <c r="L6491" s="33"/>
      <c r="M6491" s="33"/>
    </row>
    <row r="6492">
      <c r="A6492" s="32" t="s">
        <v>17690</v>
      </c>
      <c r="B6492" s="32" t="s">
        <v>17691</v>
      </c>
      <c r="C6492" s="35">
        <v>48.11029816</v>
      </c>
      <c r="D6492" s="35">
        <v>16.56970024</v>
      </c>
      <c r="E6492" s="32" t="s">
        <v>1145</v>
      </c>
      <c r="F6492" s="32" t="s">
        <v>17692</v>
      </c>
      <c r="G6492" s="36" t="e">
        <v>#N/A</v>
      </c>
      <c r="H6492" s="33"/>
      <c r="I6492" s="33"/>
      <c r="J6492" s="33"/>
      <c r="K6492" s="33"/>
      <c r="L6492" s="33"/>
      <c r="M6492" s="33"/>
    </row>
    <row r="6493">
      <c r="A6493" s="32" t="s">
        <v>17693</v>
      </c>
      <c r="B6493" s="32" t="s">
        <v>17694</v>
      </c>
      <c r="C6493" s="35">
        <v>8.624138832</v>
      </c>
      <c r="D6493" s="35">
        <v>-71.67266846</v>
      </c>
      <c r="E6493" s="32" t="s">
        <v>315</v>
      </c>
      <c r="F6493" s="32" t="s">
        <v>17695</v>
      </c>
      <c r="G6493" s="36" t="e">
        <v>#N/A</v>
      </c>
      <c r="H6493" s="33"/>
      <c r="I6493" s="33"/>
      <c r="J6493" s="33"/>
      <c r="K6493" s="33"/>
      <c r="L6493" s="33"/>
      <c r="M6493" s="33"/>
    </row>
    <row r="6494">
      <c r="A6494" s="32" t="s">
        <v>17696</v>
      </c>
      <c r="B6494" s="32" t="s">
        <v>17697</v>
      </c>
      <c r="C6494" s="35">
        <v>18.73760033</v>
      </c>
      <c r="D6494" s="35">
        <v>105.6709976</v>
      </c>
      <c r="E6494" s="32" t="s">
        <v>1913</v>
      </c>
      <c r="F6494" s="32" t="s">
        <v>17698</v>
      </c>
      <c r="G6494" s="36" t="e">
        <v>#N/A</v>
      </c>
      <c r="H6494" s="33"/>
      <c r="I6494" s="33"/>
      <c r="J6494" s="33"/>
      <c r="K6494" s="33"/>
      <c r="L6494" s="33"/>
      <c r="M6494" s="33"/>
    </row>
    <row r="6495">
      <c r="A6495" s="32" t="s">
        <v>17699</v>
      </c>
      <c r="B6495" s="32" t="s">
        <v>17700</v>
      </c>
      <c r="C6495" s="35">
        <v>18.44639969</v>
      </c>
      <c r="D6495" s="35">
        <v>-64.42749786</v>
      </c>
      <c r="E6495" s="32" t="s">
        <v>7173</v>
      </c>
      <c r="F6495" s="32" t="s">
        <v>17701</v>
      </c>
      <c r="G6495" s="36" t="e">
        <v>#N/A</v>
      </c>
      <c r="H6495" s="33"/>
      <c r="I6495" s="33"/>
      <c r="J6495" s="33"/>
      <c r="K6495" s="33"/>
      <c r="L6495" s="33"/>
      <c r="M6495" s="33"/>
    </row>
    <row r="6496">
      <c r="A6496" s="32" t="s">
        <v>17702</v>
      </c>
      <c r="B6496" s="32" t="s">
        <v>17703</v>
      </c>
      <c r="C6496" s="35">
        <v>23.7183</v>
      </c>
      <c r="D6496" s="35">
        <v>-15.932</v>
      </c>
      <c r="E6496" s="32" t="s">
        <v>7430</v>
      </c>
      <c r="F6496" s="32" t="s">
        <v>17704</v>
      </c>
      <c r="G6496" s="36" t="e">
        <v>#N/A</v>
      </c>
      <c r="H6496" s="33"/>
      <c r="I6496" s="33"/>
      <c r="J6496" s="33"/>
      <c r="K6496" s="33"/>
      <c r="L6496" s="33"/>
      <c r="M6496" s="33"/>
    </row>
    <row r="6497">
      <c r="A6497" s="32" t="s">
        <v>17705</v>
      </c>
      <c r="B6497" s="32" t="s">
        <v>17706</v>
      </c>
      <c r="C6497" s="35">
        <v>49.242531</v>
      </c>
      <c r="D6497" s="35">
        <v>28.613778</v>
      </c>
      <c r="E6497" s="32" t="s">
        <v>3293</v>
      </c>
      <c r="F6497" s="32" t="s">
        <v>17707</v>
      </c>
      <c r="G6497" s="36" t="e">
        <v>#N/A</v>
      </c>
      <c r="H6497" s="33"/>
      <c r="I6497" s="33"/>
      <c r="J6497" s="33"/>
      <c r="K6497" s="33"/>
      <c r="L6497" s="33"/>
      <c r="M6497" s="33"/>
    </row>
    <row r="6498">
      <c r="A6498" s="32" t="s">
        <v>17708</v>
      </c>
      <c r="B6498" s="32" t="s">
        <v>17709</v>
      </c>
      <c r="C6498" s="35">
        <v>-29.77059937</v>
      </c>
      <c r="D6498" s="35">
        <v>31.0583992</v>
      </c>
      <c r="E6498" s="32" t="s">
        <v>16</v>
      </c>
      <c r="F6498" s="32" t="s">
        <v>6961</v>
      </c>
      <c r="G6498" s="36" t="e">
        <v>#N/A</v>
      </c>
      <c r="H6498" s="33"/>
      <c r="I6498" s="33"/>
      <c r="J6498" s="33"/>
      <c r="K6498" s="33"/>
      <c r="L6498" s="33"/>
      <c r="M6498" s="33"/>
    </row>
    <row r="6499">
      <c r="A6499" s="32" t="s">
        <v>17710</v>
      </c>
      <c r="B6499" s="32" t="s">
        <v>17711</v>
      </c>
      <c r="C6499" s="35">
        <v>36.31869888</v>
      </c>
      <c r="D6499" s="35">
        <v>-119.3929977</v>
      </c>
      <c r="E6499" s="32" t="s">
        <v>180</v>
      </c>
      <c r="F6499" s="32" t="s">
        <v>17712</v>
      </c>
      <c r="G6499" s="39" t="s">
        <v>181</v>
      </c>
      <c r="H6499" s="33"/>
      <c r="I6499" s="33"/>
      <c r="J6499" s="33"/>
      <c r="K6499" s="33"/>
      <c r="L6499" s="33"/>
      <c r="M6499" s="33"/>
    </row>
    <row r="6500">
      <c r="A6500" s="32" t="s">
        <v>17713</v>
      </c>
      <c r="B6500" s="32" t="s">
        <v>17714</v>
      </c>
      <c r="C6500" s="35">
        <v>42.88280106</v>
      </c>
      <c r="D6500" s="35">
        <v>-2.7244699</v>
      </c>
      <c r="E6500" s="32" t="s">
        <v>115</v>
      </c>
      <c r="F6500" s="32" t="s">
        <v>17715</v>
      </c>
      <c r="G6500" s="39" t="s">
        <v>116</v>
      </c>
      <c r="H6500" s="33"/>
      <c r="I6500" s="33"/>
      <c r="J6500" s="33"/>
      <c r="K6500" s="33"/>
      <c r="L6500" s="33"/>
      <c r="M6500" s="33"/>
    </row>
    <row r="6501">
      <c r="A6501" s="32" t="s">
        <v>17716</v>
      </c>
      <c r="B6501" s="32" t="s">
        <v>17717</v>
      </c>
      <c r="C6501" s="35">
        <v>-20.25805664</v>
      </c>
      <c r="D6501" s="35">
        <v>-40.2863884</v>
      </c>
      <c r="E6501" s="32" t="s">
        <v>288</v>
      </c>
      <c r="F6501" s="32" t="s">
        <v>17715</v>
      </c>
      <c r="G6501" s="36" t="e">
        <v>#N/A</v>
      </c>
      <c r="H6501" s="33"/>
      <c r="I6501" s="33"/>
      <c r="J6501" s="33"/>
      <c r="K6501" s="33"/>
      <c r="L6501" s="33"/>
      <c r="M6501" s="33"/>
    </row>
    <row r="6502">
      <c r="A6502" s="32" t="s">
        <v>17718</v>
      </c>
      <c r="B6502" s="32" t="s">
        <v>17719</v>
      </c>
      <c r="C6502" s="35">
        <v>9.958029972</v>
      </c>
      <c r="D6502" s="35">
        <v>105.1323795</v>
      </c>
      <c r="E6502" s="32" t="s">
        <v>1913</v>
      </c>
      <c r="F6502" s="32" t="s">
        <v>17720</v>
      </c>
      <c r="G6502" s="36" t="e">
        <v>#N/A</v>
      </c>
      <c r="H6502" s="33"/>
      <c r="I6502" s="33"/>
      <c r="J6502" s="33"/>
      <c r="K6502" s="33"/>
      <c r="L6502" s="33"/>
      <c r="M6502" s="33"/>
    </row>
    <row r="6503">
      <c r="A6503" s="32" t="s">
        <v>17721</v>
      </c>
      <c r="B6503" s="32" t="s">
        <v>17722</v>
      </c>
      <c r="C6503" s="35">
        <v>55.59149933</v>
      </c>
      <c r="D6503" s="35">
        <v>37.26150131</v>
      </c>
      <c r="E6503" s="32" t="s">
        <v>2040</v>
      </c>
      <c r="F6503" s="32" t="s">
        <v>2653</v>
      </c>
      <c r="G6503" s="36" t="e">
        <v>#N/A</v>
      </c>
      <c r="H6503" s="33"/>
      <c r="I6503" s="33"/>
      <c r="J6503" s="33"/>
      <c r="K6503" s="33"/>
      <c r="L6503" s="33"/>
      <c r="M6503" s="33"/>
    </row>
    <row r="6504">
      <c r="A6504" s="32" t="s">
        <v>17723</v>
      </c>
      <c r="B6504" s="32" t="s">
        <v>17724</v>
      </c>
      <c r="C6504" s="35">
        <v>67.48860168</v>
      </c>
      <c r="D6504" s="35">
        <v>63.99309921</v>
      </c>
      <c r="E6504" s="32" t="s">
        <v>2040</v>
      </c>
      <c r="F6504" s="32" t="s">
        <v>17725</v>
      </c>
      <c r="G6504" s="36" t="e">
        <v>#N/A</v>
      </c>
      <c r="H6504" s="33"/>
      <c r="I6504" s="33"/>
      <c r="J6504" s="33"/>
      <c r="K6504" s="33"/>
      <c r="L6504" s="33"/>
      <c r="M6504" s="33"/>
    </row>
    <row r="6505">
      <c r="A6505" s="32" t="s">
        <v>17726</v>
      </c>
      <c r="B6505" s="32" t="s">
        <v>17727</v>
      </c>
      <c r="C6505" s="35">
        <v>39.48929977</v>
      </c>
      <c r="D6505" s="35">
        <v>-0.481624991</v>
      </c>
      <c r="E6505" s="32" t="s">
        <v>115</v>
      </c>
      <c r="F6505" s="32" t="s">
        <v>17728</v>
      </c>
      <c r="G6505" s="39" t="s">
        <v>116</v>
      </c>
      <c r="H6505" s="33"/>
      <c r="I6505" s="33"/>
      <c r="J6505" s="33"/>
      <c r="K6505" s="33"/>
      <c r="L6505" s="33"/>
      <c r="M6505" s="33"/>
    </row>
    <row r="6506">
      <c r="A6506" s="32" t="s">
        <v>17729</v>
      </c>
      <c r="B6506" s="32" t="s">
        <v>17730</v>
      </c>
      <c r="C6506" s="35">
        <v>30.78249931</v>
      </c>
      <c r="D6506" s="35">
        <v>-83.27670288</v>
      </c>
      <c r="E6506" s="32" t="s">
        <v>180</v>
      </c>
      <c r="F6506" s="32" t="s">
        <v>17549</v>
      </c>
      <c r="G6506" s="39" t="s">
        <v>181</v>
      </c>
      <c r="H6506" s="33"/>
      <c r="I6506" s="33"/>
      <c r="J6506" s="33"/>
      <c r="K6506" s="33"/>
      <c r="L6506" s="33"/>
      <c r="M6506" s="33"/>
    </row>
    <row r="6507">
      <c r="A6507" s="32" t="s">
        <v>17731</v>
      </c>
      <c r="B6507" s="32" t="s">
        <v>17732</v>
      </c>
      <c r="C6507" s="35">
        <v>-37.2354</v>
      </c>
      <c r="D6507" s="35">
        <v>-57.0292</v>
      </c>
      <c r="E6507" s="32" t="s">
        <v>296</v>
      </c>
      <c r="F6507" s="32" t="s">
        <v>17733</v>
      </c>
      <c r="G6507" s="36" t="e">
        <v>#N/A</v>
      </c>
      <c r="H6507" s="33"/>
      <c r="I6507" s="33"/>
      <c r="J6507" s="33"/>
      <c r="K6507" s="33"/>
      <c r="L6507" s="33"/>
      <c r="M6507" s="33"/>
    </row>
    <row r="6508">
      <c r="A6508" s="32" t="s">
        <v>17734</v>
      </c>
      <c r="B6508" s="32" t="s">
        <v>17735</v>
      </c>
      <c r="C6508" s="35">
        <v>-17.69930077</v>
      </c>
      <c r="D6508" s="35">
        <v>168.3200073</v>
      </c>
      <c r="E6508" s="32" t="s">
        <v>4279</v>
      </c>
      <c r="F6508" s="32" t="s">
        <v>17736</v>
      </c>
      <c r="G6508" s="36" t="e">
        <v>#N/A</v>
      </c>
      <c r="H6508" s="33"/>
      <c r="I6508" s="33"/>
      <c r="J6508" s="33"/>
      <c r="K6508" s="33"/>
      <c r="L6508" s="33"/>
      <c r="M6508" s="33"/>
    </row>
    <row r="6509">
      <c r="A6509" s="32" t="s">
        <v>17737</v>
      </c>
      <c r="B6509" s="32" t="s">
        <v>17738</v>
      </c>
      <c r="C6509" s="35">
        <v>47.68209839</v>
      </c>
      <c r="D6509" s="35">
        <v>42.07279968</v>
      </c>
      <c r="E6509" s="32" t="s">
        <v>2040</v>
      </c>
      <c r="F6509" s="33"/>
      <c r="G6509" s="36" t="e">
        <v>#N/A</v>
      </c>
      <c r="H6509" s="33"/>
      <c r="I6509" s="33"/>
      <c r="J6509" s="33"/>
      <c r="K6509" s="33"/>
      <c r="L6509" s="33"/>
      <c r="M6509" s="33"/>
    </row>
    <row r="6510">
      <c r="A6510" s="32" t="s">
        <v>17739</v>
      </c>
      <c r="B6510" s="32" t="s">
        <v>17740</v>
      </c>
      <c r="C6510" s="35">
        <v>41.70610046</v>
      </c>
      <c r="D6510" s="35">
        <v>-4.851940155</v>
      </c>
      <c r="E6510" s="32" t="s">
        <v>115</v>
      </c>
      <c r="F6510" s="32" t="s">
        <v>17741</v>
      </c>
      <c r="G6510" s="39" t="s">
        <v>116</v>
      </c>
      <c r="H6510" s="33"/>
      <c r="I6510" s="33"/>
      <c r="J6510" s="33"/>
      <c r="K6510" s="33"/>
      <c r="L6510" s="33"/>
      <c r="M6510" s="33"/>
    </row>
    <row r="6511">
      <c r="A6511" s="32" t="s">
        <v>17742</v>
      </c>
      <c r="B6511" s="32" t="s">
        <v>17743</v>
      </c>
      <c r="C6511" s="35">
        <v>10.14973259</v>
      </c>
      <c r="D6511" s="35">
        <v>-67.92839813</v>
      </c>
      <c r="E6511" s="32" t="s">
        <v>315</v>
      </c>
      <c r="F6511" s="32" t="s">
        <v>17728</v>
      </c>
      <c r="G6511" s="36" t="e">
        <v>#N/A</v>
      </c>
      <c r="H6511" s="33"/>
      <c r="I6511" s="33"/>
      <c r="J6511" s="33"/>
      <c r="K6511" s="33"/>
      <c r="L6511" s="33"/>
      <c r="M6511" s="33"/>
    </row>
    <row r="6512">
      <c r="A6512" s="32" t="s">
        <v>17744</v>
      </c>
      <c r="B6512" s="32" t="s">
        <v>17745</v>
      </c>
      <c r="C6512" s="35">
        <v>-9.97944355</v>
      </c>
      <c r="D6512" s="35">
        <v>-51.14222336</v>
      </c>
      <c r="E6512" s="32" t="s">
        <v>288</v>
      </c>
      <c r="F6512" s="32" t="s">
        <v>17746</v>
      </c>
      <c r="G6512" s="36" t="e">
        <v>#N/A</v>
      </c>
      <c r="H6512" s="33"/>
      <c r="I6512" s="33"/>
      <c r="J6512" s="33"/>
      <c r="K6512" s="33"/>
      <c r="L6512" s="33"/>
      <c r="M6512" s="33"/>
    </row>
    <row r="6513">
      <c r="A6513" s="32" t="s">
        <v>17747</v>
      </c>
      <c r="B6513" s="32" t="s">
        <v>17748</v>
      </c>
      <c r="C6513" s="35">
        <v>-16.79610062</v>
      </c>
      <c r="D6513" s="35">
        <v>168.177002</v>
      </c>
      <c r="E6513" s="32" t="s">
        <v>4279</v>
      </c>
      <c r="F6513" s="32" t="s">
        <v>17749</v>
      </c>
      <c r="G6513" s="36" t="e">
        <v>#N/A</v>
      </c>
      <c r="H6513" s="33"/>
      <c r="I6513" s="33"/>
      <c r="J6513" s="33"/>
      <c r="K6513" s="33"/>
      <c r="L6513" s="33"/>
      <c r="M6513" s="33"/>
    </row>
    <row r="6514">
      <c r="A6514" s="32" t="s">
        <v>17750</v>
      </c>
      <c r="B6514" s="32" t="s">
        <v>17751</v>
      </c>
      <c r="C6514" s="35">
        <v>56.3810997</v>
      </c>
      <c r="D6514" s="35">
        <v>30.60810089</v>
      </c>
      <c r="E6514" s="32" t="s">
        <v>2040</v>
      </c>
      <c r="F6514" s="32" t="s">
        <v>17752</v>
      </c>
      <c r="G6514" s="36" t="e">
        <v>#N/A</v>
      </c>
      <c r="H6514" s="33"/>
      <c r="I6514" s="33"/>
      <c r="J6514" s="33"/>
      <c r="K6514" s="33"/>
      <c r="L6514" s="33"/>
      <c r="M6514" s="33"/>
    </row>
    <row r="6515">
      <c r="A6515" s="32" t="s">
        <v>17753</v>
      </c>
      <c r="B6515" s="32" t="s">
        <v>17754</v>
      </c>
      <c r="C6515" s="35">
        <v>9.340477943</v>
      </c>
      <c r="D6515" s="35">
        <v>-70.58406067</v>
      </c>
      <c r="E6515" s="32" t="s">
        <v>315</v>
      </c>
      <c r="F6515" s="32" t="s">
        <v>17755</v>
      </c>
      <c r="G6515" s="36" t="e">
        <v>#N/A</v>
      </c>
      <c r="H6515" s="33"/>
      <c r="I6515" s="33"/>
      <c r="J6515" s="33"/>
      <c r="K6515" s="33"/>
      <c r="L6515" s="33"/>
      <c r="M6515" s="33"/>
    </row>
    <row r="6516">
      <c r="A6516" s="32" t="s">
        <v>17756</v>
      </c>
      <c r="B6516" s="32" t="s">
        <v>17757</v>
      </c>
      <c r="C6516" s="35">
        <v>53.24810028</v>
      </c>
      <c r="D6516" s="35">
        <v>-4.535339832</v>
      </c>
      <c r="E6516" s="32" t="s">
        <v>90</v>
      </c>
      <c r="F6516" s="32" t="s">
        <v>17758</v>
      </c>
      <c r="G6516" s="39" t="s">
        <v>91</v>
      </c>
      <c r="H6516" s="33"/>
      <c r="I6516" s="33"/>
      <c r="J6516" s="33"/>
      <c r="K6516" s="33"/>
      <c r="L6516" s="33"/>
      <c r="M6516" s="33"/>
    </row>
    <row r="6517">
      <c r="A6517" s="32" t="s">
        <v>17759</v>
      </c>
      <c r="B6517" s="32" t="s">
        <v>17760</v>
      </c>
      <c r="C6517" s="35">
        <v>-32.3201</v>
      </c>
      <c r="D6517" s="35">
        <v>-63.22663</v>
      </c>
      <c r="E6517" s="32" t="s">
        <v>296</v>
      </c>
      <c r="F6517" s="32" t="s">
        <v>17761</v>
      </c>
      <c r="G6517" s="36" t="e">
        <v>#N/A</v>
      </c>
      <c r="H6517" s="33"/>
      <c r="I6517" s="33"/>
      <c r="J6517" s="33"/>
      <c r="K6517" s="33"/>
      <c r="L6517" s="33"/>
      <c r="M6517" s="33"/>
    </row>
    <row r="6518">
      <c r="A6518" s="32" t="s">
        <v>17762</v>
      </c>
      <c r="B6518" s="32" t="s">
        <v>17763</v>
      </c>
      <c r="C6518" s="35">
        <v>15.70943921</v>
      </c>
      <c r="D6518" s="35">
        <v>106.4106989</v>
      </c>
      <c r="E6518" s="32" t="s">
        <v>1872</v>
      </c>
      <c r="F6518" s="32" t="s">
        <v>17764</v>
      </c>
      <c r="G6518" s="36" t="e">
        <v>#N/A</v>
      </c>
      <c r="H6518" s="33"/>
      <c r="I6518" s="33"/>
      <c r="J6518" s="33"/>
      <c r="K6518" s="33"/>
      <c r="L6518" s="33"/>
      <c r="M6518" s="33"/>
    </row>
    <row r="6519">
      <c r="A6519" s="32" t="s">
        <v>17765</v>
      </c>
      <c r="B6519" s="32" t="s">
        <v>17766</v>
      </c>
      <c r="C6519" s="35">
        <v>27.07159996</v>
      </c>
      <c r="D6519" s="35">
        <v>-82.44029999</v>
      </c>
      <c r="E6519" s="32" t="s">
        <v>180</v>
      </c>
      <c r="F6519" s="32" t="s">
        <v>2300</v>
      </c>
      <c r="G6519" s="39" t="s">
        <v>181</v>
      </c>
      <c r="H6519" s="33"/>
      <c r="I6519" s="33"/>
      <c r="J6519" s="33"/>
      <c r="K6519" s="33"/>
      <c r="L6519" s="33"/>
      <c r="M6519" s="33"/>
    </row>
    <row r="6520">
      <c r="A6520" s="32" t="s">
        <v>17767</v>
      </c>
      <c r="B6520" s="32" t="s">
        <v>17768</v>
      </c>
      <c r="C6520" s="35">
        <v>47.72330093</v>
      </c>
      <c r="D6520" s="35">
        <v>-2.71855998</v>
      </c>
      <c r="E6520" s="32" t="s">
        <v>96</v>
      </c>
      <c r="F6520" s="32" t="s">
        <v>17769</v>
      </c>
      <c r="G6520" s="39" t="s">
        <v>97</v>
      </c>
      <c r="H6520" s="33"/>
      <c r="I6520" s="33"/>
      <c r="J6520" s="33"/>
      <c r="K6520" s="33"/>
      <c r="L6520" s="33"/>
      <c r="M6520" s="33"/>
    </row>
    <row r="6521">
      <c r="A6521" s="32" t="s">
        <v>17770</v>
      </c>
      <c r="B6521" s="32" t="s">
        <v>17771</v>
      </c>
      <c r="C6521" s="35">
        <v>54.63410187</v>
      </c>
      <c r="D6521" s="35">
        <v>25.28580093</v>
      </c>
      <c r="E6521" s="32" t="s">
        <v>2012</v>
      </c>
      <c r="F6521" s="32" t="s">
        <v>17772</v>
      </c>
      <c r="G6521" s="36" t="e">
        <v>#N/A</v>
      </c>
      <c r="H6521" s="33"/>
      <c r="I6521" s="33"/>
      <c r="J6521" s="33"/>
      <c r="K6521" s="33"/>
      <c r="L6521" s="33"/>
      <c r="M6521" s="33"/>
    </row>
    <row r="6522">
      <c r="A6522" s="32" t="s">
        <v>17773</v>
      </c>
      <c r="B6522" s="32" t="s">
        <v>17774</v>
      </c>
      <c r="C6522" s="35">
        <v>25.45240021</v>
      </c>
      <c r="D6522" s="35">
        <v>82.85929871</v>
      </c>
      <c r="E6522" s="32" t="s">
        <v>217</v>
      </c>
      <c r="F6522" s="32" t="s">
        <v>17775</v>
      </c>
      <c r="G6522" s="39" t="s">
        <v>218</v>
      </c>
      <c r="H6522" s="33"/>
      <c r="I6522" s="33"/>
      <c r="J6522" s="33"/>
      <c r="K6522" s="33"/>
      <c r="L6522" s="33"/>
      <c r="M6522" s="33"/>
    </row>
    <row r="6523">
      <c r="A6523" s="32" t="s">
        <v>17776</v>
      </c>
      <c r="B6523" s="32" t="s">
        <v>17777</v>
      </c>
      <c r="C6523" s="35">
        <v>40.86470032</v>
      </c>
      <c r="D6523" s="35">
        <v>-84.60939789</v>
      </c>
      <c r="E6523" s="32" t="s">
        <v>180</v>
      </c>
      <c r="F6523" s="32" t="s">
        <v>17778</v>
      </c>
      <c r="G6523" s="39" t="s">
        <v>181</v>
      </c>
      <c r="H6523" s="33"/>
      <c r="I6523" s="33"/>
      <c r="J6523" s="33"/>
      <c r="K6523" s="33"/>
      <c r="L6523" s="33"/>
      <c r="M6523" s="33"/>
    </row>
    <row r="6524">
      <c r="A6524" s="32" t="s">
        <v>17779</v>
      </c>
      <c r="B6524" s="32" t="s">
        <v>17780</v>
      </c>
      <c r="C6524" s="35">
        <v>-22.01840019</v>
      </c>
      <c r="D6524" s="35">
        <v>35.31330109</v>
      </c>
      <c r="E6524" s="32" t="s">
        <v>767</v>
      </c>
      <c r="F6524" s="32" t="s">
        <v>17781</v>
      </c>
      <c r="G6524" s="36" t="e">
        <v>#N/A</v>
      </c>
      <c r="H6524" s="33"/>
      <c r="I6524" s="33"/>
      <c r="J6524" s="33"/>
      <c r="K6524" s="33"/>
      <c r="L6524" s="33"/>
      <c r="M6524" s="33"/>
    </row>
    <row r="6525">
      <c r="A6525" s="32" t="s">
        <v>17782</v>
      </c>
      <c r="B6525" s="32" t="s">
        <v>17783</v>
      </c>
      <c r="C6525" s="35">
        <v>34.20980072</v>
      </c>
      <c r="D6525" s="35">
        <v>-118.4899979</v>
      </c>
      <c r="E6525" s="32" t="s">
        <v>180</v>
      </c>
      <c r="F6525" s="32" t="s">
        <v>17784</v>
      </c>
      <c r="G6525" s="39" t="s">
        <v>181</v>
      </c>
      <c r="H6525" s="33"/>
      <c r="I6525" s="33"/>
      <c r="J6525" s="33"/>
      <c r="K6525" s="33"/>
      <c r="L6525" s="33"/>
      <c r="M6525" s="33"/>
    </row>
    <row r="6526">
      <c r="A6526" s="32" t="s">
        <v>17785</v>
      </c>
      <c r="B6526" s="32" t="s">
        <v>17786</v>
      </c>
      <c r="C6526" s="35">
        <v>48.78250122</v>
      </c>
      <c r="D6526" s="35">
        <v>44.34550095</v>
      </c>
      <c r="E6526" s="32" t="s">
        <v>2040</v>
      </c>
      <c r="F6526" s="32" t="s">
        <v>17787</v>
      </c>
      <c r="G6526" s="36" t="e">
        <v>#N/A</v>
      </c>
      <c r="H6526" s="33"/>
      <c r="I6526" s="33"/>
      <c r="J6526" s="33"/>
      <c r="K6526" s="33"/>
      <c r="L6526" s="33"/>
      <c r="M6526" s="33"/>
    </row>
    <row r="6527">
      <c r="A6527" s="32" t="s">
        <v>17788</v>
      </c>
      <c r="B6527" s="32" t="s">
        <v>17789</v>
      </c>
      <c r="C6527" s="35">
        <v>-13.37580013</v>
      </c>
      <c r="D6527" s="35">
        <v>50.00279999</v>
      </c>
      <c r="E6527" s="32" t="s">
        <v>384</v>
      </c>
      <c r="F6527" s="32" t="s">
        <v>17790</v>
      </c>
      <c r="G6527" s="36" t="e">
        <v>#N/A</v>
      </c>
      <c r="H6527" s="33"/>
      <c r="I6527" s="33"/>
      <c r="J6527" s="33"/>
      <c r="K6527" s="33"/>
      <c r="L6527" s="33"/>
      <c r="M6527" s="33"/>
    </row>
    <row r="6528">
      <c r="A6528" s="32" t="s">
        <v>17791</v>
      </c>
      <c r="B6528" s="32" t="s">
        <v>17792</v>
      </c>
      <c r="C6528" s="35">
        <v>43.93899918</v>
      </c>
      <c r="D6528" s="35">
        <v>-90.25340271</v>
      </c>
      <c r="E6528" s="32" t="s">
        <v>180</v>
      </c>
      <c r="F6528" s="32" t="s">
        <v>17793</v>
      </c>
      <c r="G6528" s="39" t="s">
        <v>181</v>
      </c>
      <c r="H6528" s="33"/>
      <c r="I6528" s="33"/>
      <c r="J6528" s="33"/>
      <c r="K6528" s="33"/>
      <c r="L6528" s="33"/>
      <c r="M6528" s="33"/>
    </row>
    <row r="6529">
      <c r="A6529" s="32" t="s">
        <v>17794</v>
      </c>
      <c r="B6529" s="32" t="s">
        <v>17795</v>
      </c>
      <c r="C6529" s="35">
        <v>39.21960068</v>
      </c>
      <c r="D6529" s="35">
        <v>22.79430008</v>
      </c>
      <c r="E6529" s="32" t="s">
        <v>339</v>
      </c>
      <c r="F6529" s="32" t="s">
        <v>17796</v>
      </c>
      <c r="G6529" s="36" t="e">
        <v>#N/A</v>
      </c>
      <c r="H6529" s="33"/>
      <c r="I6529" s="33"/>
      <c r="J6529" s="33"/>
      <c r="K6529" s="33"/>
      <c r="L6529" s="33"/>
      <c r="M6529" s="33"/>
    </row>
    <row r="6530">
      <c r="A6530" s="32" t="s">
        <v>17797</v>
      </c>
      <c r="B6530" s="32" t="s">
        <v>17798</v>
      </c>
      <c r="C6530" s="35">
        <v>51.81420135</v>
      </c>
      <c r="D6530" s="35">
        <v>39.229599</v>
      </c>
      <c r="E6530" s="32" t="s">
        <v>2040</v>
      </c>
      <c r="F6530" s="32" t="s">
        <v>17799</v>
      </c>
      <c r="G6530" s="36" t="e">
        <v>#N/A</v>
      </c>
      <c r="H6530" s="33"/>
      <c r="I6530" s="33"/>
      <c r="J6530" s="33"/>
      <c r="K6530" s="33"/>
      <c r="L6530" s="33"/>
      <c r="M6530" s="33"/>
    </row>
    <row r="6531">
      <c r="A6531" s="32" t="s">
        <v>17800</v>
      </c>
      <c r="B6531" s="32" t="s">
        <v>17801</v>
      </c>
      <c r="C6531" s="35">
        <v>34.12310028</v>
      </c>
      <c r="D6531" s="35">
        <v>-84.84870148</v>
      </c>
      <c r="E6531" s="32" t="s">
        <v>180</v>
      </c>
      <c r="F6531" s="32" t="s">
        <v>17802</v>
      </c>
      <c r="G6531" s="39" t="s">
        <v>181</v>
      </c>
      <c r="H6531" s="33"/>
      <c r="I6531" s="33"/>
      <c r="J6531" s="33"/>
      <c r="K6531" s="33"/>
      <c r="L6531" s="33"/>
      <c r="M6531" s="33"/>
    </row>
    <row r="6532">
      <c r="A6532" s="32" t="s">
        <v>17803</v>
      </c>
      <c r="B6532" s="32" t="s">
        <v>17804</v>
      </c>
      <c r="C6532" s="35">
        <v>-17.0435009</v>
      </c>
      <c r="D6532" s="35">
        <v>15.68379974</v>
      </c>
      <c r="E6532" s="32" t="s">
        <v>764</v>
      </c>
      <c r="F6532" s="32" t="s">
        <v>17805</v>
      </c>
      <c r="G6532" s="36" t="e">
        <v>#N/A</v>
      </c>
      <c r="H6532" s="33"/>
      <c r="I6532" s="33"/>
      <c r="J6532" s="33"/>
      <c r="K6532" s="33"/>
      <c r="L6532" s="33"/>
      <c r="M6532" s="33"/>
    </row>
    <row r="6533">
      <c r="A6533" s="32" t="s">
        <v>17806</v>
      </c>
      <c r="B6533" s="32" t="s">
        <v>17807</v>
      </c>
      <c r="C6533" s="35">
        <v>65.72059631</v>
      </c>
      <c r="D6533" s="35">
        <v>-14.85060024</v>
      </c>
      <c r="E6533" s="32" t="s">
        <v>2037</v>
      </c>
      <c r="F6533" s="32" t="s">
        <v>17808</v>
      </c>
      <c r="G6533" s="36" t="e">
        <v>#N/A</v>
      </c>
      <c r="H6533" s="33"/>
      <c r="I6533" s="33"/>
      <c r="J6533" s="33"/>
      <c r="K6533" s="33"/>
      <c r="L6533" s="33"/>
      <c r="M6533" s="33"/>
    </row>
    <row r="6534">
      <c r="A6534" s="32" t="s">
        <v>17809</v>
      </c>
      <c r="B6534" s="32" t="s">
        <v>17810</v>
      </c>
      <c r="C6534" s="35">
        <v>30.4832</v>
      </c>
      <c r="D6534" s="35">
        <v>-86.525398</v>
      </c>
      <c r="E6534" s="32" t="s">
        <v>180</v>
      </c>
      <c r="F6534" s="32" t="s">
        <v>17811</v>
      </c>
      <c r="G6534" s="39" t="s">
        <v>181</v>
      </c>
      <c r="H6534" s="33"/>
      <c r="I6534" s="33"/>
      <c r="J6534" s="33"/>
      <c r="K6534" s="33"/>
      <c r="L6534" s="33"/>
      <c r="M6534" s="33"/>
    </row>
    <row r="6535">
      <c r="A6535" s="32" t="s">
        <v>17812</v>
      </c>
      <c r="B6535" s="32" t="s">
        <v>17813</v>
      </c>
      <c r="C6535" s="35">
        <v>-19.15130043</v>
      </c>
      <c r="D6535" s="35">
        <v>33.42900085</v>
      </c>
      <c r="E6535" s="32" t="s">
        <v>767</v>
      </c>
      <c r="F6535" s="32" t="s">
        <v>17814</v>
      </c>
      <c r="G6535" s="36" t="e">
        <v>#N/A</v>
      </c>
      <c r="H6535" s="33"/>
      <c r="I6535" s="33"/>
      <c r="J6535" s="33"/>
      <c r="K6535" s="33"/>
      <c r="L6535" s="33"/>
      <c r="M6535" s="33"/>
    </row>
    <row r="6536">
      <c r="A6536" s="32" t="s">
        <v>17815</v>
      </c>
      <c r="B6536" s="32" t="s">
        <v>17816</v>
      </c>
      <c r="C6536" s="35">
        <v>41.45399857</v>
      </c>
      <c r="D6536" s="35">
        <v>-87.00710297</v>
      </c>
      <c r="E6536" s="32" t="s">
        <v>180</v>
      </c>
      <c r="F6536" s="32" t="s">
        <v>17817</v>
      </c>
      <c r="G6536" s="39" t="s">
        <v>181</v>
      </c>
      <c r="H6536" s="33"/>
      <c r="I6536" s="33"/>
      <c r="J6536" s="33"/>
      <c r="K6536" s="33"/>
      <c r="L6536" s="33"/>
      <c r="M6536" s="33"/>
    </row>
    <row r="6537">
      <c r="A6537" s="32" t="s">
        <v>17818</v>
      </c>
      <c r="B6537" s="32" t="s">
        <v>17819</v>
      </c>
      <c r="C6537" s="35">
        <v>18.11580086</v>
      </c>
      <c r="D6537" s="35">
        <v>-65.42269897</v>
      </c>
      <c r="E6537" s="32" t="s">
        <v>331</v>
      </c>
      <c r="F6537" s="32" t="s">
        <v>17820</v>
      </c>
      <c r="G6537" s="36" t="e">
        <v>#N/A</v>
      </c>
      <c r="H6537" s="33"/>
      <c r="I6537" s="33"/>
      <c r="J6537" s="33"/>
      <c r="K6537" s="33"/>
      <c r="L6537" s="33"/>
      <c r="M6537" s="33"/>
    </row>
    <row r="6538">
      <c r="A6538" s="32" t="s">
        <v>17821</v>
      </c>
      <c r="B6538" s="32" t="s">
        <v>17822</v>
      </c>
      <c r="C6538" s="35">
        <v>23.03440094</v>
      </c>
      <c r="D6538" s="35">
        <v>-81.43530273</v>
      </c>
      <c r="E6538" s="32" t="s">
        <v>1294</v>
      </c>
      <c r="F6538" s="32" t="s">
        <v>17823</v>
      </c>
      <c r="G6538" s="36" t="e">
        <v>#N/A</v>
      </c>
      <c r="H6538" s="33"/>
      <c r="I6538" s="33"/>
      <c r="J6538" s="33"/>
      <c r="K6538" s="33"/>
      <c r="L6538" s="33"/>
      <c r="M6538" s="33"/>
    </row>
    <row r="6539">
      <c r="A6539" s="32" t="s">
        <v>17824</v>
      </c>
      <c r="B6539" s="32" t="s">
        <v>17825</v>
      </c>
      <c r="C6539" s="35">
        <v>27.65559959</v>
      </c>
      <c r="D6539" s="35">
        <v>-80.41790009</v>
      </c>
      <c r="E6539" s="32" t="s">
        <v>180</v>
      </c>
      <c r="F6539" s="32" t="s">
        <v>17826</v>
      </c>
      <c r="G6539" s="39" t="s">
        <v>181</v>
      </c>
      <c r="H6539" s="33"/>
      <c r="I6539" s="33"/>
      <c r="J6539" s="33"/>
      <c r="K6539" s="33"/>
      <c r="L6539" s="33"/>
      <c r="M6539" s="33"/>
    </row>
    <row r="6540">
      <c r="A6540" s="32" t="s">
        <v>17827</v>
      </c>
      <c r="B6540" s="32" t="s">
        <v>17828</v>
      </c>
      <c r="C6540" s="35">
        <v>13.5763998</v>
      </c>
      <c r="D6540" s="35">
        <v>124.2060013</v>
      </c>
      <c r="E6540" s="32" t="s">
        <v>270</v>
      </c>
      <c r="F6540" s="32" t="s">
        <v>17829</v>
      </c>
      <c r="G6540" s="36" t="e">
        <v>#N/A</v>
      </c>
      <c r="H6540" s="33"/>
      <c r="I6540" s="33"/>
      <c r="J6540" s="33"/>
      <c r="K6540" s="33"/>
      <c r="L6540" s="33"/>
      <c r="M6540" s="33"/>
    </row>
    <row r="6541">
      <c r="A6541" s="32" t="s">
        <v>17830</v>
      </c>
      <c r="B6541" s="32" t="s">
        <v>17831</v>
      </c>
      <c r="C6541" s="35">
        <v>62.17110062</v>
      </c>
      <c r="D6541" s="35">
        <v>27.86860085</v>
      </c>
      <c r="E6541" s="32" t="s">
        <v>408</v>
      </c>
      <c r="F6541" s="32" t="s">
        <v>17832</v>
      </c>
      <c r="G6541" s="36" t="e">
        <v>#N/A</v>
      </c>
      <c r="H6541" s="33"/>
      <c r="I6541" s="33"/>
      <c r="J6541" s="33"/>
      <c r="K6541" s="33"/>
      <c r="L6541" s="33"/>
      <c r="M6541" s="33"/>
    </row>
    <row r="6542">
      <c r="A6542" s="32" t="s">
        <v>17833</v>
      </c>
      <c r="B6542" s="32" t="s">
        <v>17834</v>
      </c>
      <c r="C6542" s="35">
        <v>41.27429962</v>
      </c>
      <c r="D6542" s="35">
        <v>-7.720469952</v>
      </c>
      <c r="E6542" s="32" t="s">
        <v>121</v>
      </c>
      <c r="F6542" s="32" t="s">
        <v>17835</v>
      </c>
      <c r="G6542" s="39" t="s">
        <v>122</v>
      </c>
      <c r="H6542" s="33"/>
      <c r="I6542" s="33"/>
      <c r="J6542" s="33"/>
      <c r="K6542" s="33"/>
      <c r="L6542" s="33"/>
      <c r="M6542" s="33"/>
    </row>
    <row r="6543">
      <c r="A6543" s="32" t="s">
        <v>17836</v>
      </c>
      <c r="B6543" s="32" t="s">
        <v>17837</v>
      </c>
      <c r="C6543" s="35">
        <v>45.395699</v>
      </c>
      <c r="D6543" s="35">
        <v>10.8885</v>
      </c>
      <c r="E6543" s="32" t="s">
        <v>103</v>
      </c>
      <c r="F6543" s="32" t="s">
        <v>17838</v>
      </c>
      <c r="G6543" s="39" t="s">
        <v>104</v>
      </c>
      <c r="H6543" s="33"/>
      <c r="I6543" s="33"/>
      <c r="J6543" s="33"/>
      <c r="K6543" s="33"/>
      <c r="L6543" s="33"/>
      <c r="M6543" s="33"/>
    </row>
    <row r="6544">
      <c r="A6544" s="32" t="s">
        <v>17839</v>
      </c>
      <c r="B6544" s="32" t="s">
        <v>17840</v>
      </c>
      <c r="C6544" s="35">
        <v>-26.98240089</v>
      </c>
      <c r="D6544" s="35">
        <v>24.72879982</v>
      </c>
      <c r="E6544" s="32" t="s">
        <v>16</v>
      </c>
      <c r="F6544" s="32" t="s">
        <v>17841</v>
      </c>
      <c r="G6544" s="36" t="e">
        <v>#N/A</v>
      </c>
      <c r="H6544" s="33"/>
      <c r="I6544" s="33"/>
      <c r="J6544" s="33"/>
      <c r="K6544" s="33"/>
      <c r="L6544" s="33"/>
      <c r="M6544" s="33"/>
    </row>
    <row r="6545">
      <c r="A6545" s="32" t="s">
        <v>17842</v>
      </c>
      <c r="B6545" s="32" t="s">
        <v>17843</v>
      </c>
      <c r="C6545" s="35">
        <v>67.654555</v>
      </c>
      <c r="D6545" s="35">
        <v>12.727257</v>
      </c>
      <c r="E6545" s="32" t="s">
        <v>343</v>
      </c>
      <c r="F6545" s="32" t="s">
        <v>17844</v>
      </c>
      <c r="G6545" s="36" t="e">
        <v>#N/A</v>
      </c>
      <c r="H6545" s="33"/>
      <c r="I6545" s="33"/>
      <c r="J6545" s="33"/>
      <c r="K6545" s="33"/>
      <c r="L6545" s="33"/>
      <c r="M6545" s="33"/>
    </row>
    <row r="6546">
      <c r="A6546" s="32" t="s">
        <v>17845</v>
      </c>
      <c r="B6546" s="32" t="s">
        <v>17846</v>
      </c>
      <c r="C6546" s="35">
        <v>17.99699974</v>
      </c>
      <c r="D6546" s="35">
        <v>-92.81739807</v>
      </c>
      <c r="E6546" s="32" t="s">
        <v>186</v>
      </c>
      <c r="F6546" s="32" t="s">
        <v>17847</v>
      </c>
      <c r="G6546" s="39" t="s">
        <v>187</v>
      </c>
      <c r="H6546" s="33"/>
      <c r="I6546" s="33"/>
      <c r="J6546" s="33"/>
      <c r="K6546" s="33"/>
      <c r="L6546" s="33"/>
      <c r="M6546" s="33"/>
    </row>
    <row r="6547">
      <c r="A6547" s="32" t="s">
        <v>17848</v>
      </c>
      <c r="B6547" s="32" t="s">
        <v>17849</v>
      </c>
      <c r="C6547" s="35">
        <v>48.41740036</v>
      </c>
      <c r="D6547" s="35">
        <v>39.37409973</v>
      </c>
      <c r="E6547" s="32" t="s">
        <v>3293</v>
      </c>
      <c r="F6547" s="32" t="s">
        <v>17850</v>
      </c>
      <c r="G6547" s="36" t="e">
        <v>#N/A</v>
      </c>
      <c r="H6547" s="33"/>
      <c r="I6547" s="33"/>
      <c r="J6547" s="33"/>
      <c r="K6547" s="33"/>
      <c r="L6547" s="33"/>
      <c r="M6547" s="33"/>
    </row>
    <row r="6548">
      <c r="A6548" s="32" t="s">
        <v>17851</v>
      </c>
      <c r="B6548" s="32" t="s">
        <v>17852</v>
      </c>
      <c r="C6548" s="35">
        <v>59.58940125</v>
      </c>
      <c r="D6548" s="35">
        <v>16.63360023</v>
      </c>
      <c r="E6548" s="32" t="s">
        <v>347</v>
      </c>
      <c r="F6548" s="32" t="s">
        <v>17853</v>
      </c>
      <c r="G6548" s="36" t="e">
        <v>#N/A</v>
      </c>
      <c r="H6548" s="33"/>
      <c r="I6548" s="33"/>
      <c r="J6548" s="33"/>
      <c r="K6548" s="33"/>
      <c r="L6548" s="33"/>
      <c r="M6548" s="33"/>
    </row>
    <row r="6549">
      <c r="A6549" s="32" t="s">
        <v>17854</v>
      </c>
      <c r="B6549" s="32" t="s">
        <v>17855</v>
      </c>
      <c r="C6549" s="35">
        <v>55.12649918</v>
      </c>
      <c r="D6549" s="35">
        <v>30.34959984</v>
      </c>
      <c r="E6549" s="32" t="s">
        <v>2097</v>
      </c>
      <c r="F6549" s="32" t="s">
        <v>17856</v>
      </c>
      <c r="G6549" s="36" t="e">
        <v>#N/A</v>
      </c>
      <c r="H6549" s="33"/>
      <c r="I6549" s="33"/>
      <c r="J6549" s="33"/>
      <c r="K6549" s="33"/>
      <c r="L6549" s="33"/>
      <c r="M6549" s="33"/>
    </row>
    <row r="6550">
      <c r="A6550" s="32" t="s">
        <v>17857</v>
      </c>
      <c r="B6550" s="32" t="s">
        <v>17858</v>
      </c>
      <c r="C6550" s="35">
        <v>17.98830032</v>
      </c>
      <c r="D6550" s="35">
        <v>102.5630035</v>
      </c>
      <c r="E6550" s="32" t="s">
        <v>1872</v>
      </c>
      <c r="F6550" s="32" t="s">
        <v>17859</v>
      </c>
      <c r="G6550" s="36" t="e">
        <v>#N/A</v>
      </c>
      <c r="H6550" s="33"/>
      <c r="I6550" s="33"/>
      <c r="J6550" s="33"/>
      <c r="K6550" s="33"/>
      <c r="L6550" s="33"/>
      <c r="M6550" s="33"/>
    </row>
    <row r="6551">
      <c r="A6551" s="32" t="s">
        <v>17860</v>
      </c>
      <c r="B6551" s="32" t="s">
        <v>17861</v>
      </c>
      <c r="C6551" s="35">
        <v>42.85779953</v>
      </c>
      <c r="D6551" s="35">
        <v>-100.5479965</v>
      </c>
      <c r="E6551" s="32" t="s">
        <v>180</v>
      </c>
      <c r="F6551" s="32" t="s">
        <v>17862</v>
      </c>
      <c r="G6551" s="39" t="s">
        <v>181</v>
      </c>
      <c r="H6551" s="33"/>
      <c r="I6551" s="33"/>
      <c r="J6551" s="33"/>
      <c r="K6551" s="33"/>
      <c r="L6551" s="33"/>
      <c r="M6551" s="33"/>
    </row>
    <row r="6552">
      <c r="A6552" s="32" t="s">
        <v>17863</v>
      </c>
      <c r="B6552" s="32" t="s">
        <v>17864</v>
      </c>
      <c r="C6552" s="35">
        <v>57.35779953</v>
      </c>
      <c r="D6552" s="35">
        <v>21.5442009</v>
      </c>
      <c r="E6552" s="32" t="s">
        <v>3184</v>
      </c>
      <c r="F6552" s="32" t="s">
        <v>17865</v>
      </c>
      <c r="G6552" s="36" t="e">
        <v>#N/A</v>
      </c>
      <c r="H6552" s="33"/>
      <c r="I6552" s="33"/>
      <c r="J6552" s="33"/>
      <c r="K6552" s="33"/>
      <c r="L6552" s="33"/>
      <c r="M6552" s="33"/>
    </row>
    <row r="6553">
      <c r="A6553" s="32" t="s">
        <v>17866</v>
      </c>
      <c r="B6553" s="32" t="s">
        <v>17867</v>
      </c>
      <c r="C6553" s="35">
        <v>20.98760033</v>
      </c>
      <c r="D6553" s="35">
        <v>-76.93579865</v>
      </c>
      <c r="E6553" s="32" t="s">
        <v>1294</v>
      </c>
      <c r="F6553" s="32" t="s">
        <v>17868</v>
      </c>
      <c r="G6553" s="36" t="e">
        <v>#N/A</v>
      </c>
      <c r="H6553" s="33"/>
      <c r="I6553" s="33"/>
      <c r="J6553" s="33"/>
      <c r="K6553" s="33"/>
      <c r="L6553" s="33"/>
      <c r="M6553" s="33"/>
    </row>
    <row r="6554">
      <c r="A6554" s="32" t="s">
        <v>17869</v>
      </c>
      <c r="B6554" s="32" t="s">
        <v>17870</v>
      </c>
      <c r="C6554" s="35">
        <v>17.72120094</v>
      </c>
      <c r="D6554" s="35">
        <v>83.22450256</v>
      </c>
      <c r="E6554" s="32" t="s">
        <v>217</v>
      </c>
      <c r="F6554" s="32" t="s">
        <v>17871</v>
      </c>
      <c r="G6554" s="39" t="s">
        <v>218</v>
      </c>
      <c r="H6554" s="33"/>
      <c r="I6554" s="33"/>
      <c r="J6554" s="33"/>
      <c r="K6554" s="33"/>
      <c r="L6554" s="33"/>
      <c r="M6554" s="33"/>
    </row>
    <row r="6555">
      <c r="A6555" s="32" t="s">
        <v>17872</v>
      </c>
      <c r="B6555" s="32" t="s">
        <v>17873</v>
      </c>
      <c r="C6555" s="35">
        <v>10.435</v>
      </c>
      <c r="D6555" s="35">
        <v>-73.2495</v>
      </c>
      <c r="E6555" s="32" t="s">
        <v>292</v>
      </c>
      <c r="F6555" s="32" t="s">
        <v>17874</v>
      </c>
      <c r="G6555" s="36" t="e">
        <v>#N/A</v>
      </c>
      <c r="H6555" s="33"/>
      <c r="I6555" s="33"/>
      <c r="J6555" s="33"/>
      <c r="K6555" s="33"/>
      <c r="L6555" s="33"/>
      <c r="M6555" s="33"/>
    </row>
    <row r="6556">
      <c r="A6556" s="32" t="s">
        <v>17875</v>
      </c>
      <c r="B6556" s="32" t="s">
        <v>17876</v>
      </c>
      <c r="C6556" s="35">
        <v>4.16787</v>
      </c>
      <c r="D6556" s="35">
        <v>-73.6138</v>
      </c>
      <c r="E6556" s="32" t="s">
        <v>292</v>
      </c>
      <c r="F6556" s="32" t="s">
        <v>17877</v>
      </c>
      <c r="G6556" s="36" t="e">
        <v>#N/A</v>
      </c>
      <c r="H6556" s="33"/>
      <c r="I6556" s="33"/>
      <c r="J6556" s="33"/>
      <c r="K6556" s="33"/>
      <c r="L6556" s="33"/>
      <c r="M6556" s="33"/>
    </row>
    <row r="6557">
      <c r="A6557" s="32" t="s">
        <v>17878</v>
      </c>
      <c r="B6557" s="32" t="s">
        <v>17879</v>
      </c>
      <c r="C6557" s="35">
        <v>-17.64480019</v>
      </c>
      <c r="D6557" s="35">
        <v>-63.13539886</v>
      </c>
      <c r="E6557" s="32" t="s">
        <v>323</v>
      </c>
      <c r="F6557" s="32" t="s">
        <v>15226</v>
      </c>
      <c r="G6557" s="36" t="e">
        <v>#N/A</v>
      </c>
      <c r="H6557" s="33"/>
      <c r="I6557" s="33"/>
      <c r="J6557" s="33"/>
      <c r="K6557" s="33"/>
      <c r="L6557" s="33"/>
      <c r="M6557" s="33"/>
    </row>
    <row r="6558">
      <c r="A6558" s="32" t="s">
        <v>17880</v>
      </c>
      <c r="B6558" s="32" t="s">
        <v>17881</v>
      </c>
      <c r="C6558" s="35">
        <v>43.39899826</v>
      </c>
      <c r="D6558" s="35">
        <v>132.147995</v>
      </c>
      <c r="E6558" s="32" t="s">
        <v>2040</v>
      </c>
      <c r="F6558" s="32" t="s">
        <v>17882</v>
      </c>
      <c r="G6558" s="36" t="e">
        <v>#N/A</v>
      </c>
      <c r="H6558" s="33"/>
      <c r="I6558" s="33"/>
      <c r="J6558" s="33"/>
      <c r="K6558" s="33"/>
      <c r="L6558" s="33"/>
      <c r="M6558" s="33"/>
    </row>
    <row r="6559">
      <c r="A6559" s="32" t="s">
        <v>17883</v>
      </c>
      <c r="B6559" s="32" t="s">
        <v>17884</v>
      </c>
      <c r="C6559" s="35">
        <v>26.7234993</v>
      </c>
      <c r="D6559" s="35">
        <v>8.622650146</v>
      </c>
      <c r="E6559" s="32" t="s">
        <v>20</v>
      </c>
      <c r="F6559" s="32" t="s">
        <v>17885</v>
      </c>
      <c r="G6559" s="36" t="e">
        <v>#N/A</v>
      </c>
      <c r="H6559" s="33"/>
      <c r="I6559" s="33"/>
      <c r="J6559" s="33"/>
      <c r="K6559" s="33"/>
      <c r="L6559" s="33"/>
      <c r="M6559" s="33"/>
    </row>
    <row r="6560">
      <c r="A6560" s="32" t="s">
        <v>17886</v>
      </c>
      <c r="B6560" s="32" t="s">
        <v>17887</v>
      </c>
      <c r="C6560" s="35">
        <v>-13.27400017</v>
      </c>
      <c r="D6560" s="35">
        <v>35.2663002</v>
      </c>
      <c r="E6560" s="32" t="s">
        <v>767</v>
      </c>
      <c r="F6560" s="32" t="s">
        <v>17888</v>
      </c>
      <c r="G6560" s="36" t="e">
        <v>#N/A</v>
      </c>
      <c r="H6560" s="33"/>
      <c r="I6560" s="33"/>
      <c r="J6560" s="33"/>
      <c r="K6560" s="33"/>
      <c r="L6560" s="33"/>
      <c r="M6560" s="33"/>
    </row>
    <row r="6561">
      <c r="A6561" s="32" t="s">
        <v>17889</v>
      </c>
      <c r="B6561" s="32" t="s">
        <v>17890</v>
      </c>
      <c r="C6561" s="35">
        <v>16.83320045</v>
      </c>
      <c r="D6561" s="35">
        <v>-25.05529976</v>
      </c>
      <c r="E6561" s="32" t="s">
        <v>5346</v>
      </c>
      <c r="F6561" s="32" t="s">
        <v>17891</v>
      </c>
      <c r="G6561" s="36" t="e">
        <v>#N/A</v>
      </c>
      <c r="H6561" s="33"/>
      <c r="I6561" s="33"/>
      <c r="J6561" s="33"/>
      <c r="K6561" s="33"/>
      <c r="L6561" s="33"/>
      <c r="M6561" s="33"/>
    </row>
    <row r="6562">
      <c r="A6562" s="32" t="s">
        <v>17892</v>
      </c>
      <c r="B6562" s="32" t="s">
        <v>17893</v>
      </c>
      <c r="C6562" s="35">
        <v>56.92910004</v>
      </c>
      <c r="D6562" s="35">
        <v>14.72799969</v>
      </c>
      <c r="E6562" s="32" t="s">
        <v>347</v>
      </c>
      <c r="F6562" s="32" t="s">
        <v>17894</v>
      </c>
      <c r="G6562" s="36" t="e">
        <v>#N/A</v>
      </c>
      <c r="H6562" s="33"/>
      <c r="I6562" s="33"/>
      <c r="J6562" s="33"/>
      <c r="K6562" s="33"/>
      <c r="L6562" s="33"/>
      <c r="M6562" s="33"/>
    </row>
    <row r="6563">
      <c r="A6563" s="32" t="s">
        <v>17895</v>
      </c>
      <c r="B6563" s="32" t="s">
        <v>17896</v>
      </c>
      <c r="C6563" s="35">
        <v>63.75666809</v>
      </c>
      <c r="D6563" s="35">
        <v>121.6933365</v>
      </c>
      <c r="E6563" s="32" t="s">
        <v>2040</v>
      </c>
      <c r="F6563" s="32" t="s">
        <v>17897</v>
      </c>
      <c r="G6563" s="36" t="e">
        <v>#N/A</v>
      </c>
      <c r="H6563" s="33"/>
      <c r="I6563" s="33"/>
      <c r="J6563" s="33"/>
      <c r="K6563" s="33"/>
      <c r="L6563" s="33"/>
      <c r="M6563" s="33"/>
    </row>
    <row r="6564">
      <c r="A6564" s="32" t="s">
        <v>17898</v>
      </c>
      <c r="B6564" s="32" t="s">
        <v>17899</v>
      </c>
      <c r="C6564" s="35">
        <v>41.351898</v>
      </c>
      <c r="D6564" s="35">
        <v>-89.153099</v>
      </c>
      <c r="E6564" s="32" t="s">
        <v>180</v>
      </c>
      <c r="F6564" s="32" t="s">
        <v>307</v>
      </c>
      <c r="G6564" s="39" t="s">
        <v>181</v>
      </c>
      <c r="H6564" s="33"/>
      <c r="I6564" s="33"/>
      <c r="J6564" s="33"/>
      <c r="K6564" s="33"/>
      <c r="L6564" s="33"/>
      <c r="M6564" s="33"/>
    </row>
    <row r="6565">
      <c r="A6565" s="32" t="s">
        <v>17900</v>
      </c>
      <c r="B6565" s="32" t="s">
        <v>17901</v>
      </c>
      <c r="C6565" s="35">
        <v>36.59579849</v>
      </c>
      <c r="D6565" s="35">
        <v>-78.56009674</v>
      </c>
      <c r="E6565" s="32" t="s">
        <v>139</v>
      </c>
      <c r="F6565" s="32" t="s">
        <v>5967</v>
      </c>
      <c r="G6565" s="39" t="s">
        <v>140</v>
      </c>
      <c r="H6565" s="33"/>
      <c r="I6565" s="33"/>
      <c r="J6565" s="33"/>
      <c r="K6565" s="33"/>
      <c r="L6565" s="33"/>
      <c r="M6565" s="33"/>
    </row>
    <row r="6566">
      <c r="A6566" s="32" t="s">
        <v>17902</v>
      </c>
      <c r="B6566" s="32" t="s">
        <v>17903</v>
      </c>
      <c r="C6566" s="35">
        <v>65.622593</v>
      </c>
      <c r="D6566" s="35">
        <v>-168.095</v>
      </c>
      <c r="E6566" s="32" t="s">
        <v>180</v>
      </c>
      <c r="F6566" s="32" t="s">
        <v>17904</v>
      </c>
      <c r="G6566" s="39" t="s">
        <v>181</v>
      </c>
      <c r="H6566" s="33"/>
      <c r="I6566" s="33"/>
      <c r="J6566" s="33"/>
      <c r="K6566" s="33"/>
      <c r="L6566" s="33"/>
      <c r="M6566" s="33"/>
    </row>
    <row r="6567">
      <c r="A6567" s="32" t="s">
        <v>17905</v>
      </c>
      <c r="B6567" s="32" t="s">
        <v>17906</v>
      </c>
      <c r="C6567" s="35">
        <v>-39.96220016</v>
      </c>
      <c r="D6567" s="35">
        <v>175.0249939</v>
      </c>
      <c r="E6567" s="32" t="s">
        <v>1328</v>
      </c>
      <c r="F6567" s="32" t="s">
        <v>17907</v>
      </c>
      <c r="G6567" s="36" t="e">
        <v>#N/A</v>
      </c>
      <c r="H6567" s="33"/>
      <c r="I6567" s="33"/>
      <c r="J6567" s="33"/>
      <c r="K6567" s="33"/>
      <c r="L6567" s="33"/>
      <c r="M6567" s="33"/>
    </row>
    <row r="6568">
      <c r="A6568" s="32" t="s">
        <v>17908</v>
      </c>
      <c r="B6568" s="32" t="s">
        <v>17909</v>
      </c>
      <c r="C6568" s="35">
        <v>-14.8987999</v>
      </c>
      <c r="D6568" s="35">
        <v>47.9939003</v>
      </c>
      <c r="E6568" s="32" t="s">
        <v>384</v>
      </c>
      <c r="F6568" s="32" t="s">
        <v>17910</v>
      </c>
      <c r="G6568" s="36" t="e">
        <v>#N/A</v>
      </c>
      <c r="H6568" s="33"/>
      <c r="I6568" s="33"/>
      <c r="J6568" s="33"/>
      <c r="K6568" s="33"/>
      <c r="L6568" s="33"/>
      <c r="M6568" s="33"/>
    </row>
    <row r="6569">
      <c r="A6569" s="32" t="s">
        <v>17911</v>
      </c>
      <c r="B6569" s="32" t="s">
        <v>17912</v>
      </c>
      <c r="C6569" s="35">
        <v>37.94020081</v>
      </c>
      <c r="D6569" s="35">
        <v>-75.46640015</v>
      </c>
      <c r="E6569" s="32" t="s">
        <v>180</v>
      </c>
      <c r="F6569" s="32" t="s">
        <v>17913</v>
      </c>
      <c r="G6569" s="39" t="s">
        <v>181</v>
      </c>
      <c r="H6569" s="33"/>
      <c r="I6569" s="33"/>
      <c r="J6569" s="33"/>
      <c r="K6569" s="33"/>
      <c r="L6569" s="33"/>
      <c r="M6569" s="33"/>
    </row>
    <row r="6570">
      <c r="A6570" s="32" t="s">
        <v>17914</v>
      </c>
      <c r="B6570" s="32" t="s">
        <v>17915</v>
      </c>
      <c r="C6570" s="35">
        <v>-17.79537761</v>
      </c>
      <c r="D6570" s="35">
        <v>48.44258308</v>
      </c>
      <c r="E6570" s="32" t="s">
        <v>384</v>
      </c>
      <c r="F6570" s="32" t="s">
        <v>17916</v>
      </c>
      <c r="G6570" s="36" t="e">
        <v>#N/A</v>
      </c>
      <c r="H6570" s="33"/>
      <c r="I6570" s="33"/>
      <c r="J6570" s="33"/>
      <c r="K6570" s="33"/>
      <c r="L6570" s="33"/>
      <c r="M6570" s="33"/>
    </row>
    <row r="6571">
      <c r="A6571" s="32" t="s">
        <v>17917</v>
      </c>
      <c r="B6571" s="32" t="s">
        <v>17918</v>
      </c>
      <c r="C6571" s="35">
        <v>-18.70127324</v>
      </c>
      <c r="D6571" s="35">
        <v>44.61492062</v>
      </c>
      <c r="E6571" s="32" t="s">
        <v>384</v>
      </c>
      <c r="F6571" s="32" t="s">
        <v>17919</v>
      </c>
      <c r="G6571" s="36" t="e">
        <v>#N/A</v>
      </c>
      <c r="H6571" s="33"/>
      <c r="I6571" s="33"/>
      <c r="J6571" s="33"/>
      <c r="K6571" s="33"/>
      <c r="L6571" s="33"/>
      <c r="M6571" s="33"/>
    </row>
    <row r="6572">
      <c r="A6572" s="32" t="s">
        <v>17920</v>
      </c>
      <c r="B6572" s="32" t="s">
        <v>17921</v>
      </c>
      <c r="C6572" s="35">
        <v>-3.235</v>
      </c>
      <c r="D6572" s="35">
        <v>140.994</v>
      </c>
      <c r="E6572" s="32" t="s">
        <v>280</v>
      </c>
      <c r="F6572" s="32" t="s">
        <v>17922</v>
      </c>
      <c r="G6572" s="36" t="e">
        <v>#N/A</v>
      </c>
      <c r="H6572" s="33"/>
      <c r="I6572" s="33"/>
      <c r="J6572" s="33"/>
      <c r="K6572" s="33"/>
      <c r="L6572" s="33"/>
      <c r="M6572" s="33"/>
    </row>
    <row r="6573">
      <c r="A6573" s="32" t="s">
        <v>17923</v>
      </c>
      <c r="B6573" s="32" t="s">
        <v>17924</v>
      </c>
      <c r="C6573" s="35">
        <v>52.18719864</v>
      </c>
      <c r="D6573" s="35">
        <v>-7.086959839</v>
      </c>
      <c r="E6573" s="32" t="s">
        <v>199</v>
      </c>
      <c r="F6573" s="32" t="s">
        <v>17925</v>
      </c>
      <c r="G6573" s="39" t="s">
        <v>200</v>
      </c>
      <c r="H6573" s="33"/>
      <c r="I6573" s="33"/>
      <c r="J6573" s="33"/>
      <c r="K6573" s="33"/>
      <c r="L6573" s="33"/>
      <c r="M6573" s="33"/>
    </row>
    <row r="6574">
      <c r="A6574" s="32" t="s">
        <v>17926</v>
      </c>
      <c r="B6574" s="32" t="s">
        <v>17927</v>
      </c>
      <c r="C6574" s="35">
        <v>52.16569901</v>
      </c>
      <c r="D6574" s="35">
        <v>20.96710014</v>
      </c>
      <c r="E6574" s="32" t="s">
        <v>192</v>
      </c>
      <c r="F6574" s="32" t="s">
        <v>554</v>
      </c>
      <c r="G6574" s="39" t="s">
        <v>193</v>
      </c>
      <c r="H6574" s="33"/>
      <c r="I6574" s="33"/>
      <c r="J6574" s="33"/>
      <c r="K6574" s="33"/>
      <c r="L6574" s="33"/>
      <c r="M6574" s="33"/>
    </row>
    <row r="6575">
      <c r="A6575" s="32" t="s">
        <v>17928</v>
      </c>
      <c r="B6575" s="32" t="s">
        <v>17929</v>
      </c>
      <c r="C6575" s="35">
        <v>-5.643300056</v>
      </c>
      <c r="D6575" s="35">
        <v>143.8950043</v>
      </c>
      <c r="E6575" s="32" t="s">
        <v>5289</v>
      </c>
      <c r="F6575" s="32" t="s">
        <v>17930</v>
      </c>
      <c r="G6575" s="36" t="e">
        <v>#N/A</v>
      </c>
      <c r="H6575" s="33"/>
      <c r="I6575" s="33"/>
      <c r="J6575" s="33"/>
      <c r="K6575" s="33"/>
      <c r="L6575" s="33"/>
      <c r="M6575" s="33"/>
    </row>
    <row r="6576">
      <c r="A6576" s="32" t="s">
        <v>17931</v>
      </c>
      <c r="B6576" s="32" t="s">
        <v>17932</v>
      </c>
      <c r="C6576" s="35">
        <v>66.36219788</v>
      </c>
      <c r="D6576" s="35">
        <v>-147.4069977</v>
      </c>
      <c r="E6576" s="32" t="s">
        <v>180</v>
      </c>
      <c r="F6576" s="32" t="s">
        <v>17933</v>
      </c>
      <c r="G6576" s="39" t="s">
        <v>181</v>
      </c>
      <c r="H6576" s="33"/>
      <c r="I6576" s="33"/>
      <c r="J6576" s="33"/>
      <c r="K6576" s="33"/>
      <c r="L6576" s="33"/>
      <c r="M6576" s="33"/>
    </row>
    <row r="6577">
      <c r="A6577" s="32" t="s">
        <v>17934</v>
      </c>
      <c r="B6577" s="32" t="s">
        <v>17935</v>
      </c>
      <c r="C6577" s="35">
        <v>40.03939819</v>
      </c>
      <c r="D6577" s="35">
        <v>-105.2259979</v>
      </c>
      <c r="E6577" s="32" t="s">
        <v>180</v>
      </c>
      <c r="F6577" s="32" t="s">
        <v>17936</v>
      </c>
      <c r="G6577" s="39" t="s">
        <v>181</v>
      </c>
      <c r="H6577" s="33"/>
      <c r="I6577" s="33"/>
      <c r="J6577" s="33"/>
      <c r="K6577" s="33"/>
      <c r="L6577" s="33"/>
      <c r="M6577" s="33"/>
    </row>
    <row r="6578">
      <c r="A6578" s="32" t="s">
        <v>17937</v>
      </c>
      <c r="B6578" s="32" t="s">
        <v>17938</v>
      </c>
      <c r="C6578" s="35">
        <v>41.29719925</v>
      </c>
      <c r="D6578" s="35">
        <v>-75.85119629</v>
      </c>
      <c r="E6578" s="32" t="s">
        <v>180</v>
      </c>
      <c r="F6578" s="32" t="s">
        <v>17939</v>
      </c>
      <c r="G6578" s="39" t="s">
        <v>181</v>
      </c>
      <c r="H6578" s="33"/>
      <c r="I6578" s="33"/>
      <c r="J6578" s="33"/>
      <c r="K6578" s="33"/>
      <c r="L6578" s="33"/>
      <c r="M6578" s="33"/>
    </row>
    <row r="6579">
      <c r="A6579" s="32" t="s">
        <v>17940</v>
      </c>
      <c r="B6579" s="32" t="s">
        <v>17941</v>
      </c>
      <c r="C6579" s="35">
        <v>-42.93280029</v>
      </c>
      <c r="D6579" s="35">
        <v>-72.69909668</v>
      </c>
      <c r="E6579" s="32" t="s">
        <v>300</v>
      </c>
      <c r="F6579" s="32" t="s">
        <v>17942</v>
      </c>
      <c r="G6579" s="36" t="e">
        <v>#N/A</v>
      </c>
      <c r="H6579" s="33"/>
      <c r="I6579" s="33"/>
      <c r="J6579" s="33"/>
      <c r="K6579" s="33"/>
      <c r="L6579" s="33"/>
      <c r="M6579" s="33"/>
    </row>
    <row r="6580">
      <c r="A6580" s="32" t="s">
        <v>17943</v>
      </c>
      <c r="B6580" s="32" t="s">
        <v>17944</v>
      </c>
      <c r="C6580" s="35">
        <v>-22.4799</v>
      </c>
      <c r="D6580" s="35">
        <v>17.4709</v>
      </c>
      <c r="E6580" s="32" t="s">
        <v>3193</v>
      </c>
      <c r="F6580" s="32" t="s">
        <v>7358</v>
      </c>
      <c r="G6580" s="36" t="e">
        <v>#N/A</v>
      </c>
      <c r="H6580" s="33"/>
      <c r="I6580" s="33"/>
      <c r="J6580" s="33"/>
      <c r="K6580" s="33"/>
      <c r="L6580" s="33"/>
      <c r="M6580" s="33"/>
    </row>
    <row r="6581">
      <c r="A6581" s="32" t="s">
        <v>17945</v>
      </c>
      <c r="B6581" s="32" t="s">
        <v>17946</v>
      </c>
      <c r="C6581" s="35">
        <v>33.98289871</v>
      </c>
      <c r="D6581" s="35">
        <v>-83.66739655</v>
      </c>
      <c r="E6581" s="32" t="s">
        <v>180</v>
      </c>
      <c r="F6581" s="32" t="s">
        <v>17947</v>
      </c>
      <c r="G6581" s="39" t="s">
        <v>181</v>
      </c>
      <c r="H6581" s="33"/>
      <c r="I6581" s="33"/>
      <c r="J6581" s="33"/>
      <c r="K6581" s="33"/>
      <c r="L6581" s="33"/>
      <c r="M6581" s="33"/>
    </row>
    <row r="6582">
      <c r="A6582" s="32" t="s">
        <v>17948</v>
      </c>
      <c r="B6582" s="32" t="s">
        <v>17949</v>
      </c>
      <c r="C6582" s="35">
        <v>32.591667</v>
      </c>
      <c r="D6582" s="35">
        <v>110.907778</v>
      </c>
      <c r="E6582" s="32" t="s">
        <v>205</v>
      </c>
      <c r="F6582" s="32" t="s">
        <v>17950</v>
      </c>
      <c r="G6582" s="39" t="s">
        <v>206</v>
      </c>
      <c r="H6582" s="33"/>
      <c r="I6582" s="33"/>
      <c r="J6582" s="33"/>
      <c r="K6582" s="33"/>
      <c r="L6582" s="33"/>
      <c r="M6582" s="33"/>
    </row>
    <row r="6583">
      <c r="A6583" s="32" t="s">
        <v>17951</v>
      </c>
      <c r="B6583" s="32" t="s">
        <v>17952</v>
      </c>
      <c r="C6583" s="35">
        <v>36.646702</v>
      </c>
      <c r="D6583" s="35">
        <v>119.119003</v>
      </c>
      <c r="E6583" s="32" t="s">
        <v>205</v>
      </c>
      <c r="F6583" s="32" t="s">
        <v>17953</v>
      </c>
      <c r="G6583" s="39" t="s">
        <v>206</v>
      </c>
      <c r="H6583" s="33"/>
      <c r="I6583" s="33"/>
      <c r="J6583" s="33"/>
      <c r="K6583" s="33"/>
      <c r="L6583" s="33"/>
      <c r="M6583" s="33"/>
    </row>
    <row r="6584">
      <c r="A6584" s="32" t="s">
        <v>17954</v>
      </c>
      <c r="B6584" s="32" t="s">
        <v>17955</v>
      </c>
      <c r="C6584" s="35">
        <v>37.18709946</v>
      </c>
      <c r="D6584" s="35">
        <v>122.2289963</v>
      </c>
      <c r="E6584" s="32" t="s">
        <v>205</v>
      </c>
      <c r="F6584" s="32" t="s">
        <v>17956</v>
      </c>
      <c r="G6584" s="39" t="s">
        <v>206</v>
      </c>
      <c r="H6584" s="33"/>
      <c r="I6584" s="33"/>
      <c r="J6584" s="33"/>
      <c r="K6584" s="33"/>
      <c r="L6584" s="33"/>
      <c r="M6584" s="33"/>
    </row>
    <row r="6585">
      <c r="A6585" s="32" t="s">
        <v>17957</v>
      </c>
      <c r="B6585" s="32" t="s">
        <v>17958</v>
      </c>
      <c r="C6585" s="35">
        <v>-12.67860031</v>
      </c>
      <c r="D6585" s="35">
        <v>141.9250031</v>
      </c>
      <c r="E6585" s="32" t="s">
        <v>1968</v>
      </c>
      <c r="F6585" s="32" t="s">
        <v>17959</v>
      </c>
      <c r="G6585" s="36" t="e">
        <v>#N/A</v>
      </c>
      <c r="H6585" s="33"/>
      <c r="I6585" s="33"/>
      <c r="J6585" s="33"/>
      <c r="K6585" s="33"/>
      <c r="L6585" s="33"/>
      <c r="M6585" s="33"/>
    </row>
    <row r="6586">
      <c r="A6586" s="32" t="s">
        <v>17960</v>
      </c>
      <c r="B6586" s="32" t="s">
        <v>17961</v>
      </c>
      <c r="C6586" s="35">
        <v>-27.99682451</v>
      </c>
      <c r="D6586" s="35">
        <v>26.66333389</v>
      </c>
      <c r="E6586" s="32" t="s">
        <v>16</v>
      </c>
      <c r="F6586" s="32" t="s">
        <v>17962</v>
      </c>
      <c r="G6586" s="36" t="e">
        <v>#N/A</v>
      </c>
      <c r="H6586" s="33"/>
      <c r="I6586" s="33"/>
      <c r="J6586" s="33"/>
      <c r="K6586" s="33"/>
      <c r="L6586" s="33"/>
      <c r="M6586" s="33"/>
    </row>
    <row r="6587">
      <c r="A6587" s="32" t="s">
        <v>17963</v>
      </c>
      <c r="B6587" s="32" t="s">
        <v>17964</v>
      </c>
      <c r="C6587" s="35">
        <v>-21.4416008</v>
      </c>
      <c r="D6587" s="35">
        <v>47.11169815</v>
      </c>
      <c r="E6587" s="32" t="s">
        <v>384</v>
      </c>
      <c r="F6587" s="32" t="s">
        <v>17965</v>
      </c>
      <c r="G6587" s="36" t="e">
        <v>#N/A</v>
      </c>
      <c r="H6587" s="33"/>
      <c r="I6587" s="33"/>
      <c r="J6587" s="33"/>
      <c r="K6587" s="33"/>
      <c r="L6587" s="33"/>
      <c r="M6587" s="33"/>
    </row>
    <row r="6588">
      <c r="A6588" s="32" t="s">
        <v>17966</v>
      </c>
      <c r="B6588" s="32" t="s">
        <v>17967</v>
      </c>
      <c r="C6588" s="35">
        <v>47.28549957</v>
      </c>
      <c r="D6588" s="35">
        <v>-68.31279755</v>
      </c>
      <c r="E6588" s="32" t="s">
        <v>180</v>
      </c>
      <c r="F6588" s="32" t="s">
        <v>17968</v>
      </c>
      <c r="G6588" s="39" t="s">
        <v>181</v>
      </c>
      <c r="H6588" s="33"/>
      <c r="I6588" s="33"/>
      <c r="J6588" s="33"/>
      <c r="K6588" s="33"/>
      <c r="L6588" s="33"/>
      <c r="M6588" s="33"/>
    </row>
    <row r="6589">
      <c r="A6589" s="32" t="s">
        <v>17969</v>
      </c>
      <c r="B6589" s="32" t="s">
        <v>17970</v>
      </c>
      <c r="C6589" s="35">
        <v>-35.16529846</v>
      </c>
      <c r="D6589" s="35">
        <v>147.4660034</v>
      </c>
      <c r="E6589" s="32" t="s">
        <v>1968</v>
      </c>
      <c r="F6589" s="32" t="s">
        <v>17971</v>
      </c>
      <c r="G6589" s="36" t="e">
        <v>#N/A</v>
      </c>
      <c r="H6589" s="33"/>
      <c r="I6589" s="33"/>
      <c r="J6589" s="33"/>
      <c r="K6589" s="33"/>
      <c r="L6589" s="33"/>
      <c r="M6589" s="33"/>
    </row>
    <row r="6590">
      <c r="A6590" s="32" t="s">
        <v>17972</v>
      </c>
      <c r="B6590" s="32" t="s">
        <v>17973</v>
      </c>
      <c r="C6590" s="35">
        <v>-30.03280067</v>
      </c>
      <c r="D6590" s="35">
        <v>148.1260071</v>
      </c>
      <c r="E6590" s="32" t="s">
        <v>1968</v>
      </c>
      <c r="F6590" s="32" t="s">
        <v>17974</v>
      </c>
      <c r="G6590" s="36" t="e">
        <v>#N/A</v>
      </c>
      <c r="H6590" s="33"/>
      <c r="I6590" s="33"/>
      <c r="J6590" s="33"/>
      <c r="K6590" s="33"/>
      <c r="L6590" s="33"/>
      <c r="M6590" s="33"/>
    </row>
    <row r="6591">
      <c r="A6591" s="32" t="s">
        <v>17975</v>
      </c>
      <c r="B6591" s="32" t="s">
        <v>17976</v>
      </c>
      <c r="C6591" s="35">
        <v>-9.669219971</v>
      </c>
      <c r="D6591" s="35">
        <v>120.302002</v>
      </c>
      <c r="E6591" s="32" t="s">
        <v>280</v>
      </c>
      <c r="F6591" s="32" t="s">
        <v>17977</v>
      </c>
      <c r="G6591" s="36" t="e">
        <v>#N/A</v>
      </c>
      <c r="H6591" s="33"/>
      <c r="I6591" s="33"/>
      <c r="J6591" s="33"/>
      <c r="K6591" s="33"/>
      <c r="L6591" s="33"/>
      <c r="M6591" s="33"/>
    </row>
    <row r="6592">
      <c r="A6592" s="32" t="s">
        <v>17978</v>
      </c>
      <c r="B6592" s="32" t="s">
        <v>17979</v>
      </c>
      <c r="C6592" s="35">
        <v>-36.41579819</v>
      </c>
      <c r="D6592" s="35">
        <v>146.3070068</v>
      </c>
      <c r="E6592" s="32" t="s">
        <v>1968</v>
      </c>
      <c r="F6592" s="33"/>
      <c r="G6592" s="36" t="e">
        <v>#N/A</v>
      </c>
      <c r="H6592" s="33"/>
      <c r="I6592" s="33"/>
      <c r="J6592" s="33"/>
      <c r="K6592" s="33"/>
      <c r="L6592" s="33"/>
      <c r="M6592" s="33"/>
    </row>
    <row r="6593">
      <c r="A6593" s="32" t="s">
        <v>17980</v>
      </c>
      <c r="B6593" s="32" t="s">
        <v>17981</v>
      </c>
      <c r="C6593" s="35">
        <v>21.80269814</v>
      </c>
      <c r="D6593" s="35">
        <v>31.52157784</v>
      </c>
      <c r="E6593" s="32" t="s">
        <v>844</v>
      </c>
      <c r="F6593" s="32" t="s">
        <v>17982</v>
      </c>
      <c r="G6593" s="36" t="e">
        <v>#N/A</v>
      </c>
      <c r="H6593" s="33"/>
      <c r="I6593" s="33"/>
      <c r="J6593" s="33"/>
      <c r="K6593" s="33"/>
      <c r="L6593" s="33"/>
      <c r="M6593" s="33"/>
    </row>
    <row r="6594">
      <c r="A6594" s="32" t="s">
        <v>17983</v>
      </c>
      <c r="B6594" s="32" t="s">
        <v>17984</v>
      </c>
      <c r="C6594" s="35">
        <v>-37.92060089</v>
      </c>
      <c r="D6594" s="35">
        <v>176.9140015</v>
      </c>
      <c r="E6594" s="32" t="s">
        <v>1328</v>
      </c>
      <c r="F6594" s="32" t="s">
        <v>17985</v>
      </c>
      <c r="G6594" s="36" t="e">
        <v>#N/A</v>
      </c>
      <c r="H6594" s="33"/>
      <c r="I6594" s="33"/>
      <c r="J6594" s="33"/>
      <c r="K6594" s="33"/>
      <c r="L6594" s="33"/>
      <c r="M6594" s="33"/>
    </row>
    <row r="6595">
      <c r="A6595" s="32" t="s">
        <v>17986</v>
      </c>
      <c r="B6595" s="32" t="s">
        <v>17987</v>
      </c>
      <c r="C6595" s="35">
        <v>34.25930023</v>
      </c>
      <c r="D6595" s="35">
        <v>-118.413002</v>
      </c>
      <c r="E6595" s="32" t="s">
        <v>180</v>
      </c>
      <c r="F6595" s="32" t="s">
        <v>10748</v>
      </c>
      <c r="G6595" s="39" t="s">
        <v>181</v>
      </c>
      <c r="H6595" s="33"/>
      <c r="I6595" s="33"/>
      <c r="J6595" s="33"/>
      <c r="K6595" s="33"/>
      <c r="L6595" s="33"/>
      <c r="M6595" s="33"/>
    </row>
    <row r="6596">
      <c r="A6596" s="32" t="s">
        <v>17988</v>
      </c>
      <c r="B6596" s="32" t="s">
        <v>17989</v>
      </c>
      <c r="C6596" s="35">
        <v>31.3906</v>
      </c>
      <c r="D6596" s="35">
        <v>118.408997</v>
      </c>
      <c r="E6596" s="32" t="s">
        <v>205</v>
      </c>
      <c r="F6596" s="32" t="s">
        <v>17990</v>
      </c>
      <c r="G6596" s="39" t="s">
        <v>206</v>
      </c>
      <c r="H6596" s="33"/>
      <c r="I6596" s="33"/>
      <c r="J6596" s="33"/>
      <c r="K6596" s="33"/>
      <c r="L6596" s="33"/>
      <c r="M6596" s="33"/>
    </row>
    <row r="6597">
      <c r="A6597" s="32" t="s">
        <v>17991</v>
      </c>
      <c r="B6597" s="32" t="s">
        <v>17992</v>
      </c>
      <c r="C6597" s="35">
        <v>58.45890045</v>
      </c>
      <c r="D6597" s="35">
        <v>-3.093060017</v>
      </c>
      <c r="E6597" s="32" t="s">
        <v>90</v>
      </c>
      <c r="F6597" s="32" t="s">
        <v>17993</v>
      </c>
      <c r="G6597" s="39" t="s">
        <v>91</v>
      </c>
      <c r="H6597" s="33"/>
      <c r="I6597" s="33"/>
      <c r="J6597" s="33"/>
      <c r="K6597" s="33"/>
      <c r="L6597" s="33"/>
      <c r="M6597" s="33"/>
    </row>
    <row r="6598">
      <c r="A6598" s="32" t="s">
        <v>17994</v>
      </c>
      <c r="B6598" s="32" t="s">
        <v>17995</v>
      </c>
      <c r="C6598" s="35">
        <v>-1.321720004</v>
      </c>
      <c r="D6598" s="35">
        <v>36.81480026</v>
      </c>
      <c r="E6598" s="32" t="s">
        <v>21</v>
      </c>
      <c r="F6598" s="32" t="s">
        <v>827</v>
      </c>
      <c r="G6598" s="36" t="e">
        <v>#N/A</v>
      </c>
      <c r="H6598" s="33"/>
      <c r="I6598" s="33"/>
      <c r="J6598" s="33"/>
      <c r="K6598" s="33"/>
      <c r="L6598" s="33"/>
      <c r="M6598" s="33"/>
    </row>
    <row r="6599">
      <c r="A6599" s="32" t="s">
        <v>17996</v>
      </c>
      <c r="B6599" s="32" t="s">
        <v>17997</v>
      </c>
      <c r="C6599" s="35">
        <v>-22.36359978</v>
      </c>
      <c r="D6599" s="35">
        <v>143.0859985</v>
      </c>
      <c r="E6599" s="32" t="s">
        <v>1968</v>
      </c>
      <c r="F6599" s="32" t="s">
        <v>17998</v>
      </c>
      <c r="G6599" s="36" t="e">
        <v>#N/A</v>
      </c>
      <c r="H6599" s="33"/>
      <c r="I6599" s="33"/>
      <c r="J6599" s="33"/>
      <c r="K6599" s="33"/>
      <c r="L6599" s="33"/>
      <c r="M6599" s="33"/>
    </row>
    <row r="6600">
      <c r="A6600" s="32" t="s">
        <v>17999</v>
      </c>
      <c r="B6600" s="32" t="s">
        <v>18000</v>
      </c>
      <c r="C6600" s="35">
        <v>-31.52639961</v>
      </c>
      <c r="D6600" s="35">
        <v>143.375</v>
      </c>
      <c r="E6600" s="32" t="s">
        <v>1968</v>
      </c>
      <c r="F6600" s="32" t="s">
        <v>18001</v>
      </c>
      <c r="G6600" s="36" t="e">
        <v>#N/A</v>
      </c>
      <c r="H6600" s="33"/>
      <c r="I6600" s="33"/>
      <c r="J6600" s="33"/>
      <c r="K6600" s="33"/>
      <c r="L6600" s="33"/>
      <c r="M6600" s="33"/>
    </row>
    <row r="6601">
      <c r="A6601" s="32" t="s">
        <v>18002</v>
      </c>
      <c r="B6601" s="32" t="s">
        <v>18003</v>
      </c>
      <c r="C6601" s="35">
        <v>34.74110031</v>
      </c>
      <c r="D6601" s="35">
        <v>-118.2190018</v>
      </c>
      <c r="E6601" s="32" t="s">
        <v>180</v>
      </c>
      <c r="F6601" s="32" t="s">
        <v>11168</v>
      </c>
      <c r="G6601" s="39" t="s">
        <v>181</v>
      </c>
      <c r="H6601" s="33"/>
      <c r="I6601" s="33"/>
      <c r="J6601" s="33"/>
      <c r="K6601" s="33"/>
      <c r="L6601" s="33"/>
      <c r="M6601" s="33"/>
    </row>
    <row r="6602">
      <c r="A6602" s="32" t="s">
        <v>18004</v>
      </c>
      <c r="B6602" s="32" t="s">
        <v>18005</v>
      </c>
      <c r="C6602" s="35">
        <v>1.733240008</v>
      </c>
      <c r="D6602" s="35">
        <v>40.09159851</v>
      </c>
      <c r="E6602" s="32" t="s">
        <v>21</v>
      </c>
      <c r="F6602" s="32" t="s">
        <v>18006</v>
      </c>
      <c r="G6602" s="36" t="e">
        <v>#N/A</v>
      </c>
      <c r="H6602" s="33"/>
      <c r="I6602" s="33"/>
      <c r="J6602" s="33"/>
      <c r="K6602" s="33"/>
      <c r="L6602" s="33"/>
      <c r="M6602" s="33"/>
    </row>
    <row r="6603">
      <c r="A6603" s="32" t="s">
        <v>18007</v>
      </c>
      <c r="B6603" s="32" t="s">
        <v>18008</v>
      </c>
      <c r="C6603" s="35">
        <v>37.43809891</v>
      </c>
      <c r="D6603" s="35">
        <v>127.9599991</v>
      </c>
      <c r="E6603" s="32" t="s">
        <v>151</v>
      </c>
      <c r="F6603" s="32" t="s">
        <v>18009</v>
      </c>
      <c r="G6603" s="39" t="s">
        <v>152</v>
      </c>
      <c r="H6603" s="33"/>
      <c r="I6603" s="33"/>
      <c r="J6603" s="33"/>
      <c r="K6603" s="33"/>
      <c r="L6603" s="33"/>
      <c r="M6603" s="33"/>
    </row>
    <row r="6604">
      <c r="A6604" s="32" t="s">
        <v>18010</v>
      </c>
      <c r="B6604" s="32" t="s">
        <v>18011</v>
      </c>
      <c r="C6604" s="35">
        <v>-44.72219849</v>
      </c>
      <c r="D6604" s="35">
        <v>169.2460022</v>
      </c>
      <c r="E6604" s="32" t="s">
        <v>1328</v>
      </c>
      <c r="F6604" s="32" t="s">
        <v>18012</v>
      </c>
      <c r="G6604" s="36" t="e">
        <v>#N/A</v>
      </c>
      <c r="H6604" s="33"/>
      <c r="I6604" s="33"/>
      <c r="J6604" s="33"/>
      <c r="K6604" s="33"/>
      <c r="L6604" s="33"/>
      <c r="M6604" s="33"/>
    </row>
    <row r="6605">
      <c r="A6605" s="32" t="s">
        <v>18013</v>
      </c>
      <c r="B6605" s="32" t="s">
        <v>18014</v>
      </c>
      <c r="C6605" s="35">
        <v>-36.32109833</v>
      </c>
      <c r="D6605" s="35">
        <v>142.4190063</v>
      </c>
      <c r="E6605" s="32" t="s">
        <v>1968</v>
      </c>
      <c r="F6605" s="33"/>
      <c r="G6605" s="36" t="e">
        <v>#N/A</v>
      </c>
      <c r="H6605" s="33"/>
      <c r="I6605" s="33"/>
      <c r="J6605" s="33"/>
      <c r="K6605" s="33"/>
      <c r="L6605" s="33"/>
      <c r="M6605" s="33"/>
    </row>
    <row r="6606">
      <c r="A6606" s="32" t="s">
        <v>18015</v>
      </c>
      <c r="B6606" s="32" t="s">
        <v>18016</v>
      </c>
      <c r="C6606" s="35">
        <v>45.40420151</v>
      </c>
      <c r="D6606" s="35">
        <v>141.8009949</v>
      </c>
      <c r="E6606" s="32" t="s">
        <v>170</v>
      </c>
      <c r="F6606" s="32" t="s">
        <v>18017</v>
      </c>
      <c r="G6606" s="39" t="s">
        <v>171</v>
      </c>
      <c r="H6606" s="33"/>
      <c r="I6606" s="33"/>
      <c r="J6606" s="33"/>
      <c r="K6606" s="33"/>
      <c r="L6606" s="33"/>
      <c r="M6606" s="33"/>
    </row>
    <row r="6607">
      <c r="A6607" s="32" t="s">
        <v>18018</v>
      </c>
      <c r="B6607" s="32" t="s">
        <v>18019</v>
      </c>
      <c r="C6607" s="35">
        <v>59.2826004</v>
      </c>
      <c r="D6607" s="35">
        <v>-158.6179962</v>
      </c>
      <c r="E6607" s="32" t="s">
        <v>180</v>
      </c>
      <c r="F6607" s="32" t="s">
        <v>18020</v>
      </c>
      <c r="G6607" s="39" t="s">
        <v>181</v>
      </c>
      <c r="H6607" s="33"/>
      <c r="I6607" s="33"/>
      <c r="J6607" s="33"/>
      <c r="K6607" s="33"/>
      <c r="L6607" s="33"/>
      <c r="M6607" s="33"/>
    </row>
    <row r="6608">
      <c r="A6608" s="32" t="s">
        <v>18021</v>
      </c>
      <c r="B6608" s="32" t="s">
        <v>18022</v>
      </c>
      <c r="C6608" s="35">
        <v>19.9205</v>
      </c>
      <c r="D6608" s="35">
        <v>-155.8607</v>
      </c>
      <c r="E6608" s="32" t="s">
        <v>180</v>
      </c>
      <c r="F6608" s="32" t="s">
        <v>18023</v>
      </c>
      <c r="G6608" s="39" t="s">
        <v>181</v>
      </c>
      <c r="H6608" s="33"/>
      <c r="I6608" s="33"/>
      <c r="J6608" s="33"/>
      <c r="K6608" s="33"/>
      <c r="L6608" s="33"/>
      <c r="M6608" s="33"/>
    </row>
    <row r="6609">
      <c r="A6609" s="32" t="s">
        <v>18024</v>
      </c>
      <c r="B6609" s="32" t="s">
        <v>18025</v>
      </c>
      <c r="C6609" s="35">
        <v>-18.62989998</v>
      </c>
      <c r="D6609" s="35">
        <v>27.02099991</v>
      </c>
      <c r="E6609" s="32" t="s">
        <v>785</v>
      </c>
      <c r="F6609" s="32" t="s">
        <v>18026</v>
      </c>
      <c r="G6609" s="36" t="e">
        <v>#N/A</v>
      </c>
      <c r="H6609" s="33"/>
      <c r="I6609" s="33"/>
      <c r="J6609" s="33"/>
      <c r="K6609" s="33"/>
      <c r="L6609" s="33"/>
      <c r="M6609" s="33"/>
    </row>
    <row r="6610">
      <c r="A6610" s="32" t="s">
        <v>18027</v>
      </c>
      <c r="B6610" s="32" t="s">
        <v>18028</v>
      </c>
      <c r="C6610" s="35">
        <v>27.26670074</v>
      </c>
      <c r="D6610" s="35">
        <v>-78.39969635</v>
      </c>
      <c r="E6610" s="32" t="s">
        <v>319</v>
      </c>
      <c r="F6610" s="32" t="s">
        <v>18029</v>
      </c>
      <c r="G6610" s="36" t="e">
        <v>#N/A</v>
      </c>
      <c r="H6610" s="33"/>
      <c r="I6610" s="33"/>
      <c r="J6610" s="33"/>
      <c r="K6610" s="33"/>
      <c r="L6610" s="33"/>
      <c r="M6610" s="33"/>
    </row>
    <row r="6611">
      <c r="A6611" s="32" t="s">
        <v>18030</v>
      </c>
      <c r="B6611" s="32" t="s">
        <v>18031</v>
      </c>
      <c r="C6611" s="35">
        <v>-41.32720184</v>
      </c>
      <c r="D6611" s="35">
        <v>174.8049927</v>
      </c>
      <c r="E6611" s="32" t="s">
        <v>1328</v>
      </c>
      <c r="F6611" s="32" t="s">
        <v>7146</v>
      </c>
      <c r="G6611" s="36" t="e">
        <v>#N/A</v>
      </c>
      <c r="H6611" s="33"/>
      <c r="I6611" s="33"/>
      <c r="J6611" s="33"/>
      <c r="K6611" s="33"/>
      <c r="L6611" s="33"/>
      <c r="M6611" s="33"/>
    </row>
    <row r="6612">
      <c r="A6612" s="32" t="s">
        <v>18032</v>
      </c>
      <c r="B6612" s="32" t="s">
        <v>18033</v>
      </c>
      <c r="C6612" s="35">
        <v>-15.4119997</v>
      </c>
      <c r="D6612" s="35">
        <v>167.6909943</v>
      </c>
      <c r="E6612" s="32" t="s">
        <v>4279</v>
      </c>
      <c r="F6612" s="32" t="s">
        <v>18034</v>
      </c>
      <c r="G6612" s="36" t="e">
        <v>#N/A</v>
      </c>
      <c r="H6612" s="33"/>
      <c r="I6612" s="33"/>
      <c r="J6612" s="33"/>
      <c r="K6612" s="33"/>
      <c r="L6612" s="33"/>
      <c r="M6612" s="33"/>
    </row>
    <row r="6613">
      <c r="A6613" s="32" t="s">
        <v>18035</v>
      </c>
      <c r="B6613" s="32" t="s">
        <v>18036</v>
      </c>
      <c r="C6613" s="35">
        <v>66.60009766</v>
      </c>
      <c r="D6613" s="35">
        <v>-159.9859924</v>
      </c>
      <c r="E6613" s="32" t="s">
        <v>180</v>
      </c>
      <c r="F6613" s="32" t="s">
        <v>18037</v>
      </c>
      <c r="G6613" s="39" t="s">
        <v>181</v>
      </c>
      <c r="H6613" s="33"/>
      <c r="I6613" s="33"/>
      <c r="J6613" s="33"/>
      <c r="K6613" s="33"/>
      <c r="L6613" s="33"/>
      <c r="M6613" s="33"/>
    </row>
    <row r="6614">
      <c r="A6614" s="32" t="s">
        <v>18038</v>
      </c>
      <c r="B6614" s="32" t="s">
        <v>18039</v>
      </c>
      <c r="C6614" s="35">
        <v>-13.23830032</v>
      </c>
      <c r="D6614" s="35">
        <v>-176.1990051</v>
      </c>
      <c r="E6614" s="32" t="s">
        <v>7855</v>
      </c>
      <c r="F6614" s="32" t="s">
        <v>18040</v>
      </c>
      <c r="G6614" s="36" t="e">
        <v>#N/A</v>
      </c>
      <c r="H6614" s="33"/>
      <c r="I6614" s="33"/>
      <c r="J6614" s="33"/>
      <c r="K6614" s="33"/>
      <c r="L6614" s="33"/>
      <c r="M6614" s="33"/>
    </row>
    <row r="6615">
      <c r="A6615" s="32" t="s">
        <v>18041</v>
      </c>
      <c r="B6615" s="32" t="s">
        <v>18042</v>
      </c>
      <c r="C6615" s="35">
        <v>-15.83304941</v>
      </c>
      <c r="D6615" s="35">
        <v>48.83328438</v>
      </c>
      <c r="E6615" s="32" t="s">
        <v>384</v>
      </c>
      <c r="F6615" s="32" t="s">
        <v>18043</v>
      </c>
      <c r="G6615" s="36" t="e">
        <v>#N/A</v>
      </c>
      <c r="H6615" s="33"/>
      <c r="I6615" s="33"/>
      <c r="J6615" s="33"/>
      <c r="K6615" s="33"/>
      <c r="L6615" s="33"/>
      <c r="M6615" s="33"/>
    </row>
    <row r="6616">
      <c r="A6616" s="32" t="s">
        <v>18044</v>
      </c>
      <c r="B6616" s="32" t="s">
        <v>18045</v>
      </c>
      <c r="C6616" s="35">
        <v>-38.29529953</v>
      </c>
      <c r="D6616" s="35">
        <v>142.4470062</v>
      </c>
      <c r="E6616" s="32" t="s">
        <v>1968</v>
      </c>
      <c r="F6616" s="32" t="s">
        <v>18046</v>
      </c>
      <c r="G6616" s="36" t="e">
        <v>#N/A</v>
      </c>
      <c r="H6616" s="33"/>
      <c r="I6616" s="33"/>
      <c r="J6616" s="33"/>
      <c r="K6616" s="33"/>
      <c r="L6616" s="33"/>
      <c r="M6616" s="33"/>
    </row>
    <row r="6617">
      <c r="A6617" s="32" t="s">
        <v>18047</v>
      </c>
      <c r="B6617" s="32" t="s">
        <v>18048</v>
      </c>
      <c r="C6617" s="35">
        <v>40.89659882</v>
      </c>
      <c r="D6617" s="35">
        <v>-117.8059998</v>
      </c>
      <c r="E6617" s="32" t="s">
        <v>180</v>
      </c>
      <c r="F6617" s="32" t="s">
        <v>18049</v>
      </c>
      <c r="G6617" s="39" t="s">
        <v>181</v>
      </c>
      <c r="H6617" s="33"/>
      <c r="I6617" s="33"/>
      <c r="J6617" s="33"/>
      <c r="K6617" s="33"/>
      <c r="L6617" s="33"/>
      <c r="M6617" s="33"/>
    </row>
    <row r="6618">
      <c r="A6618" s="32" t="s">
        <v>18050</v>
      </c>
      <c r="B6618" s="32" t="s">
        <v>18051</v>
      </c>
      <c r="C6618" s="35">
        <v>-27.28639984</v>
      </c>
      <c r="D6618" s="35">
        <v>120.5550003</v>
      </c>
      <c r="E6618" s="32" t="s">
        <v>1968</v>
      </c>
      <c r="F6618" s="32" t="s">
        <v>18052</v>
      </c>
      <c r="G6618" s="36" t="e">
        <v>#N/A</v>
      </c>
      <c r="H6618" s="33"/>
      <c r="I6618" s="33"/>
      <c r="J6618" s="33"/>
      <c r="K6618" s="33"/>
      <c r="L6618" s="33"/>
      <c r="M6618" s="33"/>
    </row>
    <row r="6619">
      <c r="A6619" s="32" t="s">
        <v>18053</v>
      </c>
      <c r="B6619" s="32" t="s">
        <v>18054</v>
      </c>
      <c r="C6619" s="35">
        <v>36.3689003</v>
      </c>
      <c r="D6619" s="35">
        <v>-92.47049713</v>
      </c>
      <c r="E6619" s="32" t="s">
        <v>180</v>
      </c>
      <c r="F6619" s="32" t="s">
        <v>12453</v>
      </c>
      <c r="G6619" s="39" t="s">
        <v>181</v>
      </c>
      <c r="H6619" s="33"/>
      <c r="I6619" s="33"/>
      <c r="J6619" s="33"/>
      <c r="K6619" s="33"/>
      <c r="L6619" s="33"/>
      <c r="M6619" s="33"/>
    </row>
    <row r="6620">
      <c r="A6620" s="32" t="s">
        <v>18055</v>
      </c>
      <c r="B6620" s="32" t="s">
        <v>18056</v>
      </c>
      <c r="C6620" s="35">
        <v>52.4510994</v>
      </c>
      <c r="D6620" s="35">
        <v>20.65180016</v>
      </c>
      <c r="E6620" s="32" t="s">
        <v>192</v>
      </c>
      <c r="F6620" s="32" t="s">
        <v>554</v>
      </c>
      <c r="G6620" s="39" t="s">
        <v>193</v>
      </c>
      <c r="H6620" s="33"/>
      <c r="I6620" s="33"/>
      <c r="J6620" s="33"/>
      <c r="K6620" s="33"/>
      <c r="L6620" s="33"/>
      <c r="M6620" s="33"/>
    </row>
    <row r="6621">
      <c r="A6621" s="32" t="s">
        <v>18057</v>
      </c>
      <c r="B6621" s="32" t="s">
        <v>18058</v>
      </c>
      <c r="C6621" s="35">
        <v>-15.43669987</v>
      </c>
      <c r="D6621" s="35">
        <v>49.68830109</v>
      </c>
      <c r="E6621" s="32" t="s">
        <v>384</v>
      </c>
      <c r="F6621" s="32" t="s">
        <v>18059</v>
      </c>
      <c r="G6621" s="36" t="e">
        <v>#N/A</v>
      </c>
      <c r="H6621" s="33"/>
      <c r="I6621" s="33"/>
      <c r="J6621" s="33"/>
      <c r="K6621" s="33"/>
      <c r="L6621" s="33"/>
      <c r="M6621" s="33"/>
    </row>
    <row r="6622">
      <c r="A6622" s="32" t="s">
        <v>18060</v>
      </c>
      <c r="B6622" s="32" t="s">
        <v>18061</v>
      </c>
      <c r="C6622" s="35">
        <v>64.68920136</v>
      </c>
      <c r="D6622" s="35">
        <v>-163.4129944</v>
      </c>
      <c r="E6622" s="32" t="s">
        <v>180</v>
      </c>
      <c r="F6622" s="32" t="s">
        <v>18062</v>
      </c>
      <c r="G6622" s="39" t="s">
        <v>181</v>
      </c>
      <c r="H6622" s="33"/>
      <c r="I6622" s="33"/>
      <c r="J6622" s="33"/>
      <c r="K6622" s="33"/>
      <c r="L6622" s="33"/>
      <c r="M6622" s="33"/>
    </row>
    <row r="6623">
      <c r="A6623" s="32" t="s">
        <v>18063</v>
      </c>
      <c r="B6623" s="32" t="s">
        <v>18064</v>
      </c>
      <c r="C6623" s="35">
        <v>-16.07226934</v>
      </c>
      <c r="D6623" s="35">
        <v>47.64416456</v>
      </c>
      <c r="E6623" s="32" t="s">
        <v>384</v>
      </c>
      <c r="F6623" s="32" t="s">
        <v>18065</v>
      </c>
      <c r="G6623" s="36" t="e">
        <v>#N/A</v>
      </c>
      <c r="H6623" s="33"/>
      <c r="I6623" s="33"/>
      <c r="J6623" s="33"/>
      <c r="K6623" s="33"/>
      <c r="L6623" s="33"/>
      <c r="M6623" s="33"/>
    </row>
    <row r="6624">
      <c r="A6624" s="32" t="s">
        <v>18066</v>
      </c>
      <c r="B6624" s="32" t="s">
        <v>18067</v>
      </c>
      <c r="C6624" s="35">
        <v>-16.16390038</v>
      </c>
      <c r="D6624" s="35">
        <v>49.7737999</v>
      </c>
      <c r="E6624" s="32" t="s">
        <v>384</v>
      </c>
      <c r="F6624" s="32" t="s">
        <v>18068</v>
      </c>
      <c r="G6624" s="36" t="e">
        <v>#N/A</v>
      </c>
      <c r="H6624" s="33"/>
      <c r="I6624" s="33"/>
      <c r="J6624" s="33"/>
      <c r="K6624" s="33"/>
      <c r="L6624" s="33"/>
      <c r="M6624" s="33"/>
    </row>
    <row r="6625">
      <c r="A6625" s="32" t="s">
        <v>18069</v>
      </c>
      <c r="B6625" s="32" t="s">
        <v>18070</v>
      </c>
      <c r="C6625" s="35">
        <v>-4.102509975</v>
      </c>
      <c r="D6625" s="35">
        <v>138.9570007</v>
      </c>
      <c r="E6625" s="32" t="s">
        <v>280</v>
      </c>
      <c r="F6625" s="32" t="s">
        <v>18071</v>
      </c>
      <c r="G6625" s="36" t="e">
        <v>#N/A</v>
      </c>
      <c r="H6625" s="33"/>
      <c r="I6625" s="33"/>
      <c r="J6625" s="33"/>
      <c r="K6625" s="33"/>
      <c r="L6625" s="33"/>
      <c r="M6625" s="33"/>
    </row>
    <row r="6626">
      <c r="A6626" s="32" t="s">
        <v>18072</v>
      </c>
      <c r="B6626" s="32" t="s">
        <v>18073</v>
      </c>
      <c r="C6626" s="35">
        <v>60.69029999</v>
      </c>
      <c r="D6626" s="35">
        <v>-161.9790039</v>
      </c>
      <c r="E6626" s="32" t="s">
        <v>180</v>
      </c>
      <c r="F6626" s="32" t="s">
        <v>18074</v>
      </c>
      <c r="G6626" s="39" t="s">
        <v>181</v>
      </c>
      <c r="H6626" s="33"/>
      <c r="I6626" s="33"/>
      <c r="J6626" s="33"/>
      <c r="K6626" s="33"/>
      <c r="L6626" s="33"/>
      <c r="M6626" s="33"/>
    </row>
    <row r="6627">
      <c r="A6627" s="32" t="s">
        <v>18075</v>
      </c>
      <c r="B6627" s="32" t="s">
        <v>18076</v>
      </c>
      <c r="C6627" s="35">
        <v>52.89390182</v>
      </c>
      <c r="D6627" s="35">
        <v>-89.28919983</v>
      </c>
      <c r="E6627" s="32" t="s">
        <v>94</v>
      </c>
      <c r="F6627" s="32" t="s">
        <v>18077</v>
      </c>
      <c r="G6627" s="36" t="e">
        <v>#N/A</v>
      </c>
      <c r="H6627" s="33"/>
      <c r="I6627" s="33"/>
      <c r="J6627" s="33"/>
      <c r="K6627" s="33"/>
      <c r="L6627" s="33"/>
      <c r="M6627" s="33"/>
    </row>
    <row r="6628">
      <c r="A6628" s="32" t="s">
        <v>18078</v>
      </c>
      <c r="B6628" s="32" t="s">
        <v>18079</v>
      </c>
      <c r="C6628" s="35">
        <v>13.5848999</v>
      </c>
      <c r="D6628" s="35">
        <v>123.2699966</v>
      </c>
      <c r="E6628" s="32" t="s">
        <v>270</v>
      </c>
      <c r="F6628" s="32" t="s">
        <v>18080</v>
      </c>
      <c r="G6628" s="36" t="e">
        <v>#N/A</v>
      </c>
      <c r="H6628" s="33"/>
      <c r="I6628" s="33"/>
      <c r="J6628" s="33"/>
      <c r="K6628" s="33"/>
      <c r="L6628" s="33"/>
      <c r="M6628" s="33"/>
    </row>
    <row r="6629">
      <c r="A6629" s="32" t="s">
        <v>18081</v>
      </c>
      <c r="B6629" s="32" t="s">
        <v>18082</v>
      </c>
      <c r="C6629" s="35">
        <v>-25.41309929</v>
      </c>
      <c r="D6629" s="35">
        <v>142.6670074</v>
      </c>
      <c r="E6629" s="32" t="s">
        <v>1968</v>
      </c>
      <c r="F6629" s="32" t="s">
        <v>18083</v>
      </c>
      <c r="G6629" s="36" t="e">
        <v>#N/A</v>
      </c>
      <c r="H6629" s="33"/>
      <c r="I6629" s="33"/>
      <c r="J6629" s="33"/>
      <c r="K6629" s="33"/>
      <c r="L6629" s="33"/>
      <c r="M6629" s="33"/>
    </row>
    <row r="6630">
      <c r="A6630" s="32" t="s">
        <v>18084</v>
      </c>
      <c r="B6630" s="32" t="s">
        <v>18085</v>
      </c>
      <c r="C6630" s="35">
        <v>26.2194</v>
      </c>
      <c r="D6630" s="35">
        <v>68.390099</v>
      </c>
      <c r="E6630" s="32" t="s">
        <v>1470</v>
      </c>
      <c r="F6630" s="32" t="s">
        <v>18086</v>
      </c>
      <c r="G6630" s="36" t="e">
        <v>#N/A</v>
      </c>
      <c r="H6630" s="33"/>
      <c r="I6630" s="33"/>
      <c r="J6630" s="33"/>
      <c r="K6630" s="33"/>
      <c r="L6630" s="33"/>
      <c r="M6630" s="33"/>
    </row>
    <row r="6631">
      <c r="A6631" s="32" t="s">
        <v>18087</v>
      </c>
      <c r="B6631" s="32" t="s">
        <v>18088</v>
      </c>
      <c r="C6631" s="35">
        <v>27.91220093</v>
      </c>
      <c r="D6631" s="35">
        <v>120.8519974</v>
      </c>
      <c r="E6631" s="32" t="s">
        <v>205</v>
      </c>
      <c r="F6631" s="32" t="s">
        <v>18089</v>
      </c>
      <c r="G6631" s="39" t="s">
        <v>206</v>
      </c>
      <c r="H6631" s="33"/>
      <c r="I6631" s="33"/>
      <c r="J6631" s="33"/>
      <c r="K6631" s="33"/>
      <c r="L6631" s="33"/>
      <c r="M6631" s="33"/>
    </row>
    <row r="6632">
      <c r="A6632" s="32" t="s">
        <v>18090</v>
      </c>
      <c r="B6632" s="32" t="s">
        <v>18091</v>
      </c>
      <c r="C6632" s="35">
        <v>51.4491</v>
      </c>
      <c r="D6632" s="35">
        <v>4.34203</v>
      </c>
      <c r="E6632" s="32" t="s">
        <v>127</v>
      </c>
      <c r="F6632" s="32" t="s">
        <v>18092</v>
      </c>
      <c r="G6632" s="39" t="s">
        <v>128</v>
      </c>
      <c r="H6632" s="33"/>
      <c r="I6632" s="33"/>
      <c r="J6632" s="33"/>
      <c r="K6632" s="33"/>
      <c r="L6632" s="33"/>
      <c r="M6632" s="33"/>
    </row>
    <row r="6633">
      <c r="A6633" s="32" t="s">
        <v>18093</v>
      </c>
      <c r="B6633" s="32" t="s">
        <v>18094</v>
      </c>
      <c r="C6633" s="35">
        <v>-34.56110001</v>
      </c>
      <c r="D6633" s="35">
        <v>150.7890015</v>
      </c>
      <c r="E6633" s="32" t="s">
        <v>1968</v>
      </c>
      <c r="F6633" s="32" t="s">
        <v>18095</v>
      </c>
      <c r="G6633" s="36" t="e">
        <v>#N/A</v>
      </c>
      <c r="H6633" s="33"/>
      <c r="I6633" s="33"/>
      <c r="J6633" s="33"/>
      <c r="K6633" s="33"/>
      <c r="L6633" s="33"/>
      <c r="M6633" s="33"/>
    </row>
    <row r="6634">
      <c r="A6634" s="32" t="s">
        <v>18096</v>
      </c>
      <c r="B6634" s="32" t="s">
        <v>18097</v>
      </c>
      <c r="C6634" s="35">
        <v>39.166801</v>
      </c>
      <c r="D6634" s="35">
        <v>127.486</v>
      </c>
      <c r="E6634" s="32" t="s">
        <v>3364</v>
      </c>
      <c r="F6634" s="32" t="s">
        <v>18098</v>
      </c>
      <c r="G6634" s="36" t="e">
        <v>#N/A</v>
      </c>
      <c r="H6634" s="33"/>
      <c r="I6634" s="33"/>
      <c r="J6634" s="33"/>
      <c r="K6634" s="33"/>
      <c r="L6634" s="33"/>
      <c r="M6634" s="33"/>
    </row>
    <row r="6635">
      <c r="A6635" s="32" t="s">
        <v>18099</v>
      </c>
      <c r="B6635" s="32" t="s">
        <v>18100</v>
      </c>
      <c r="C6635" s="35">
        <v>23.36737251</v>
      </c>
      <c r="D6635" s="35">
        <v>119.5027771</v>
      </c>
      <c r="E6635" s="32" t="s">
        <v>1497</v>
      </c>
      <c r="F6635" s="32" t="s">
        <v>18101</v>
      </c>
      <c r="G6635" s="36" t="e">
        <v>#N/A</v>
      </c>
      <c r="H6635" s="33"/>
      <c r="I6635" s="33"/>
      <c r="J6635" s="33"/>
      <c r="K6635" s="33"/>
      <c r="L6635" s="33"/>
      <c r="M6635" s="33"/>
    </row>
    <row r="6636">
      <c r="A6636" s="32" t="s">
        <v>18102</v>
      </c>
      <c r="B6636" s="32" t="s">
        <v>18103</v>
      </c>
      <c r="C6636" s="35">
        <v>-15.58428647</v>
      </c>
      <c r="D6636" s="35">
        <v>47.62358665</v>
      </c>
      <c r="E6636" s="32" t="s">
        <v>384</v>
      </c>
      <c r="F6636" s="32" t="s">
        <v>18104</v>
      </c>
      <c r="G6636" s="36" t="e">
        <v>#N/A</v>
      </c>
      <c r="H6636" s="33"/>
      <c r="I6636" s="33"/>
      <c r="J6636" s="33"/>
      <c r="K6636" s="33"/>
      <c r="L6636" s="33"/>
      <c r="M6636" s="33"/>
    </row>
    <row r="6637">
      <c r="A6637" s="32" t="s">
        <v>18105</v>
      </c>
      <c r="B6637" s="32" t="s">
        <v>18106</v>
      </c>
      <c r="C6637" s="35">
        <v>49.52059937</v>
      </c>
      <c r="D6637" s="35">
        <v>-113.9970016</v>
      </c>
      <c r="E6637" s="32" t="s">
        <v>94</v>
      </c>
      <c r="F6637" s="32" t="s">
        <v>18107</v>
      </c>
      <c r="G6637" s="36" t="e">
        <v>#N/A</v>
      </c>
      <c r="H6637" s="33"/>
      <c r="I6637" s="33"/>
      <c r="J6637" s="33"/>
      <c r="K6637" s="33"/>
      <c r="L6637" s="33"/>
      <c r="M6637" s="33"/>
    </row>
    <row r="6638">
      <c r="A6638" s="32" t="s">
        <v>18108</v>
      </c>
      <c r="B6638" s="32" t="s">
        <v>18109</v>
      </c>
      <c r="C6638" s="35">
        <v>-53.25370026</v>
      </c>
      <c r="D6638" s="35">
        <v>-70.31919861</v>
      </c>
      <c r="E6638" s="32" t="s">
        <v>300</v>
      </c>
      <c r="F6638" s="32" t="s">
        <v>18110</v>
      </c>
      <c r="G6638" s="36" t="e">
        <v>#N/A</v>
      </c>
      <c r="H6638" s="33"/>
      <c r="I6638" s="33"/>
      <c r="J6638" s="33"/>
      <c r="K6638" s="33"/>
      <c r="L6638" s="33"/>
      <c r="M6638" s="33"/>
    </row>
    <row r="6639">
      <c r="A6639" s="32" t="s">
        <v>18111</v>
      </c>
      <c r="B6639" s="32" t="s">
        <v>18112</v>
      </c>
      <c r="C6639" s="35">
        <v>-54.93109894</v>
      </c>
      <c r="D6639" s="35">
        <v>-67.626297</v>
      </c>
      <c r="E6639" s="32" t="s">
        <v>300</v>
      </c>
      <c r="F6639" s="32" t="s">
        <v>18113</v>
      </c>
      <c r="G6639" s="36" t="e">
        <v>#N/A</v>
      </c>
      <c r="H6639" s="33"/>
      <c r="I6639" s="33"/>
      <c r="J6639" s="33"/>
      <c r="K6639" s="33"/>
      <c r="L6639" s="33"/>
      <c r="M6639" s="33"/>
    </row>
    <row r="6640">
      <c r="A6640" s="32" t="s">
        <v>18114</v>
      </c>
      <c r="B6640" s="32" t="s">
        <v>18115</v>
      </c>
      <c r="C6640" s="35">
        <v>32.64009857</v>
      </c>
      <c r="D6640" s="35">
        <v>-83.59190369</v>
      </c>
      <c r="E6640" s="32" t="s">
        <v>180</v>
      </c>
      <c r="F6640" s="32" t="s">
        <v>11667</v>
      </c>
      <c r="G6640" s="39" t="s">
        <v>181</v>
      </c>
      <c r="H6640" s="33"/>
      <c r="I6640" s="33"/>
      <c r="J6640" s="33"/>
      <c r="K6640" s="33"/>
      <c r="L6640" s="33"/>
      <c r="M6640" s="33"/>
    </row>
    <row r="6641">
      <c r="A6641" s="32" t="s">
        <v>18116</v>
      </c>
      <c r="B6641" s="32" t="s">
        <v>18117</v>
      </c>
      <c r="C6641" s="35">
        <v>-35.7682991</v>
      </c>
      <c r="D6641" s="35">
        <v>174.3650055</v>
      </c>
      <c r="E6641" s="32" t="s">
        <v>1328</v>
      </c>
      <c r="F6641" s="32" t="s">
        <v>18118</v>
      </c>
      <c r="G6641" s="36" t="e">
        <v>#N/A</v>
      </c>
      <c r="H6641" s="33"/>
      <c r="I6641" s="33"/>
      <c r="J6641" s="33"/>
      <c r="K6641" s="33"/>
      <c r="L6641" s="33"/>
      <c r="M6641" s="33"/>
    </row>
    <row r="6642">
      <c r="A6642" s="32" t="s">
        <v>18119</v>
      </c>
      <c r="B6642" s="32" t="s">
        <v>18120</v>
      </c>
      <c r="C6642" s="35">
        <v>56.48429871</v>
      </c>
      <c r="D6642" s="35">
        <v>-132.3699951</v>
      </c>
      <c r="E6642" s="32" t="s">
        <v>180</v>
      </c>
      <c r="F6642" s="32" t="s">
        <v>18121</v>
      </c>
      <c r="G6642" s="39" t="s">
        <v>181</v>
      </c>
      <c r="H6642" s="33"/>
      <c r="I6642" s="33"/>
      <c r="J6642" s="33"/>
      <c r="K6642" s="33"/>
      <c r="L6642" s="33"/>
      <c r="M6642" s="33"/>
    </row>
    <row r="6643">
      <c r="A6643" s="32" t="s">
        <v>18122</v>
      </c>
      <c r="B6643" s="32" t="s">
        <v>18123</v>
      </c>
      <c r="C6643" s="35">
        <v>40.0155983</v>
      </c>
      <c r="D6643" s="35">
        <v>-74.59169769</v>
      </c>
      <c r="E6643" s="32" t="s">
        <v>180</v>
      </c>
      <c r="F6643" s="32" t="s">
        <v>18124</v>
      </c>
      <c r="G6643" s="39" t="s">
        <v>181</v>
      </c>
      <c r="H6643" s="33"/>
      <c r="I6643" s="33"/>
      <c r="J6643" s="33"/>
      <c r="K6643" s="33"/>
      <c r="L6643" s="33"/>
      <c r="M6643" s="33"/>
    </row>
    <row r="6644">
      <c r="A6644" s="32" t="s">
        <v>18125</v>
      </c>
      <c r="B6644" s="32" t="s">
        <v>18126</v>
      </c>
      <c r="C6644" s="35">
        <v>43.96569824</v>
      </c>
      <c r="D6644" s="35">
        <v>-107.9509964</v>
      </c>
      <c r="E6644" s="32" t="s">
        <v>180</v>
      </c>
      <c r="F6644" s="32" t="s">
        <v>18127</v>
      </c>
      <c r="G6644" s="39" t="s">
        <v>181</v>
      </c>
      <c r="H6644" s="33"/>
      <c r="I6644" s="33"/>
      <c r="J6644" s="33"/>
      <c r="K6644" s="33"/>
      <c r="L6644" s="33"/>
      <c r="M6644" s="33"/>
    </row>
    <row r="6645">
      <c r="A6645" s="32" t="s">
        <v>18128</v>
      </c>
      <c r="B6645" s="32" t="s">
        <v>18129</v>
      </c>
      <c r="C6645" s="35">
        <v>51.10269928</v>
      </c>
      <c r="D6645" s="35">
        <v>16.88579941</v>
      </c>
      <c r="E6645" s="32" t="s">
        <v>192</v>
      </c>
      <c r="F6645" s="32" t="s">
        <v>18130</v>
      </c>
      <c r="G6645" s="39" t="s">
        <v>193</v>
      </c>
      <c r="H6645" s="33"/>
      <c r="I6645" s="33"/>
      <c r="J6645" s="33"/>
      <c r="K6645" s="33"/>
      <c r="L6645" s="33"/>
      <c r="M6645" s="33"/>
    </row>
    <row r="6646">
      <c r="A6646" s="32" t="s">
        <v>18131</v>
      </c>
      <c r="B6646" s="32" t="s">
        <v>18132</v>
      </c>
      <c r="C6646" s="35">
        <v>59.35029984</v>
      </c>
      <c r="D6646" s="35">
        <v>-2.950000048</v>
      </c>
      <c r="E6646" s="32" t="s">
        <v>90</v>
      </c>
      <c r="F6646" s="32" t="s">
        <v>18133</v>
      </c>
      <c r="G6646" s="39" t="s">
        <v>91</v>
      </c>
      <c r="H6646" s="33"/>
      <c r="I6646" s="33"/>
      <c r="J6646" s="33"/>
      <c r="K6646" s="33"/>
      <c r="L6646" s="33"/>
      <c r="M6646" s="33"/>
    </row>
    <row r="6647">
      <c r="A6647" s="32" t="s">
        <v>18134</v>
      </c>
      <c r="B6647" s="32" t="s">
        <v>18135</v>
      </c>
      <c r="C6647" s="35">
        <v>6.254489899</v>
      </c>
      <c r="D6647" s="35">
        <v>81.23519897</v>
      </c>
      <c r="E6647" s="32" t="s">
        <v>1829</v>
      </c>
      <c r="F6647" s="32" t="s">
        <v>18136</v>
      </c>
      <c r="G6647" s="36" t="e">
        <v>#N/A</v>
      </c>
      <c r="H6647" s="33"/>
      <c r="I6647" s="33"/>
      <c r="J6647" s="33"/>
      <c r="K6647" s="33"/>
      <c r="L6647" s="33"/>
      <c r="M6647" s="33"/>
    </row>
    <row r="6648">
      <c r="A6648" s="32" t="s">
        <v>18137</v>
      </c>
      <c r="B6648" s="32" t="s">
        <v>18138</v>
      </c>
      <c r="C6648" s="35">
        <v>32.34149933</v>
      </c>
      <c r="D6648" s="35">
        <v>-106.4029999</v>
      </c>
      <c r="E6648" s="32" t="s">
        <v>180</v>
      </c>
      <c r="F6648" s="32" t="s">
        <v>18139</v>
      </c>
      <c r="G6648" s="39" t="s">
        <v>181</v>
      </c>
      <c r="H6648" s="33"/>
      <c r="I6648" s="33"/>
      <c r="J6648" s="33"/>
      <c r="K6648" s="33"/>
      <c r="L6648" s="33"/>
      <c r="M6648" s="33"/>
    </row>
    <row r="6649">
      <c r="A6649" s="32" t="s">
        <v>18140</v>
      </c>
      <c r="B6649" s="32" t="s">
        <v>18141</v>
      </c>
      <c r="C6649" s="35">
        <v>58.70339966</v>
      </c>
      <c r="D6649" s="35">
        <v>-157.0079956</v>
      </c>
      <c r="E6649" s="32" t="s">
        <v>180</v>
      </c>
      <c r="F6649" s="32" t="s">
        <v>18142</v>
      </c>
      <c r="G6649" s="39" t="s">
        <v>181</v>
      </c>
      <c r="H6649" s="33"/>
      <c r="I6649" s="33"/>
      <c r="J6649" s="33"/>
      <c r="K6649" s="33"/>
      <c r="L6649" s="33"/>
      <c r="M6649" s="33"/>
    </row>
    <row r="6650">
      <c r="A6650" s="32" t="s">
        <v>18143</v>
      </c>
      <c r="B6650" s="32" t="s">
        <v>18144</v>
      </c>
      <c r="C6650" s="35">
        <v>14.73919964</v>
      </c>
      <c r="D6650" s="35">
        <v>-83.9693985</v>
      </c>
      <c r="E6650" s="32" t="s">
        <v>1260</v>
      </c>
      <c r="F6650" s="32" t="s">
        <v>18145</v>
      </c>
      <c r="G6650" s="36" t="e">
        <v>#N/A</v>
      </c>
      <c r="H6650" s="33"/>
      <c r="I6650" s="33"/>
      <c r="J6650" s="33"/>
      <c r="K6650" s="33"/>
      <c r="L6650" s="33"/>
      <c r="M6650" s="33"/>
    </row>
    <row r="6651">
      <c r="A6651" s="32" t="s">
        <v>18146</v>
      </c>
      <c r="B6651" s="32" t="s">
        <v>18147</v>
      </c>
      <c r="C6651" s="35">
        <v>-2.721</v>
      </c>
      <c r="D6651" s="35">
        <v>134.5061</v>
      </c>
      <c r="E6651" s="32" t="s">
        <v>280</v>
      </c>
      <c r="F6651" s="32" t="s">
        <v>18148</v>
      </c>
      <c r="G6651" s="36" t="e">
        <v>#N/A</v>
      </c>
      <c r="H6651" s="33"/>
      <c r="I6651" s="33"/>
      <c r="J6651" s="33"/>
      <c r="K6651" s="33"/>
      <c r="L6651" s="33"/>
      <c r="M6651" s="33"/>
    </row>
    <row r="6652">
      <c r="A6652" s="32" t="s">
        <v>18149</v>
      </c>
      <c r="B6652" s="32" t="s">
        <v>18150</v>
      </c>
      <c r="C6652" s="35">
        <v>41.34960175</v>
      </c>
      <c r="D6652" s="35">
        <v>-71.80339813</v>
      </c>
      <c r="E6652" s="32" t="s">
        <v>180</v>
      </c>
      <c r="F6652" s="32" t="s">
        <v>18151</v>
      </c>
      <c r="G6652" s="39" t="s">
        <v>181</v>
      </c>
      <c r="H6652" s="33"/>
      <c r="I6652" s="33"/>
      <c r="J6652" s="33"/>
      <c r="K6652" s="33"/>
      <c r="L6652" s="33"/>
      <c r="M6652" s="33"/>
    </row>
    <row r="6653">
      <c r="A6653" s="32" t="s">
        <v>18152</v>
      </c>
      <c r="B6653" s="32" t="s">
        <v>18153</v>
      </c>
      <c r="C6653" s="35">
        <v>-20.27611</v>
      </c>
      <c r="D6653" s="35">
        <v>148.755</v>
      </c>
      <c r="E6653" s="32" t="s">
        <v>1968</v>
      </c>
      <c r="F6653" s="32" t="s">
        <v>18154</v>
      </c>
      <c r="G6653" s="36" t="e">
        <v>#N/A</v>
      </c>
      <c r="H6653" s="33"/>
      <c r="I6653" s="33"/>
      <c r="J6653" s="33"/>
      <c r="K6653" s="33"/>
      <c r="L6653" s="33"/>
      <c r="M6653" s="33"/>
    </row>
    <row r="6654">
      <c r="A6654" s="32" t="s">
        <v>18155</v>
      </c>
      <c r="B6654" s="32" t="s">
        <v>18156</v>
      </c>
      <c r="C6654" s="35">
        <v>-41.73809814</v>
      </c>
      <c r="D6654" s="35">
        <v>171.5809937</v>
      </c>
      <c r="E6654" s="32" t="s">
        <v>1328</v>
      </c>
      <c r="F6654" s="32" t="s">
        <v>18157</v>
      </c>
      <c r="G6654" s="36" t="e">
        <v>#N/A</v>
      </c>
      <c r="H6654" s="33"/>
      <c r="I6654" s="33"/>
      <c r="J6654" s="33"/>
      <c r="K6654" s="33"/>
      <c r="L6654" s="33"/>
      <c r="M6654" s="33"/>
    </row>
    <row r="6655">
      <c r="A6655" s="32" t="s">
        <v>18158</v>
      </c>
      <c r="B6655" s="32" t="s">
        <v>18159</v>
      </c>
      <c r="C6655" s="35">
        <v>-17.47610092</v>
      </c>
      <c r="D6655" s="35">
        <v>43.97280121</v>
      </c>
      <c r="E6655" s="32" t="s">
        <v>384</v>
      </c>
      <c r="F6655" s="32" t="s">
        <v>18160</v>
      </c>
      <c r="G6655" s="36" t="e">
        <v>#N/A</v>
      </c>
      <c r="H6655" s="33"/>
      <c r="I6655" s="33"/>
      <c r="J6655" s="33"/>
      <c r="K6655" s="33"/>
      <c r="L6655" s="33"/>
      <c r="M6655" s="33"/>
    </row>
    <row r="6656">
      <c r="A6656" s="32" t="s">
        <v>18161</v>
      </c>
      <c r="B6656" s="32" t="s">
        <v>18162</v>
      </c>
      <c r="C6656" s="35">
        <v>-27.558333</v>
      </c>
      <c r="D6656" s="35">
        <v>151.793333</v>
      </c>
      <c r="E6656" s="32" t="s">
        <v>1968</v>
      </c>
      <c r="F6656" s="32" t="s">
        <v>17172</v>
      </c>
      <c r="G6656" s="36" t="e">
        <v>#N/A</v>
      </c>
      <c r="H6656" s="33"/>
      <c r="I6656" s="33"/>
      <c r="J6656" s="33"/>
      <c r="K6656" s="33"/>
      <c r="L6656" s="33"/>
      <c r="M6656" s="33"/>
    </row>
    <row r="6657">
      <c r="A6657" s="32" t="s">
        <v>18163</v>
      </c>
      <c r="B6657" s="32" t="s">
        <v>18164</v>
      </c>
      <c r="C6657" s="35">
        <v>67.56610107</v>
      </c>
      <c r="D6657" s="35">
        <v>-162.9750061</v>
      </c>
      <c r="E6657" s="32" t="s">
        <v>180</v>
      </c>
      <c r="F6657" s="32" t="s">
        <v>18165</v>
      </c>
      <c r="G6657" s="39" t="s">
        <v>181</v>
      </c>
      <c r="H6657" s="33"/>
      <c r="I6657" s="33"/>
      <c r="J6657" s="33"/>
      <c r="K6657" s="33"/>
      <c r="L6657" s="33"/>
      <c r="M6657" s="33"/>
    </row>
    <row r="6658">
      <c r="A6658" s="32" t="s">
        <v>18166</v>
      </c>
      <c r="B6658" s="32" t="s">
        <v>18167</v>
      </c>
      <c r="C6658" s="35">
        <v>53.16619873</v>
      </c>
      <c r="D6658" s="35">
        <v>-0.523810983</v>
      </c>
      <c r="E6658" s="32" t="s">
        <v>90</v>
      </c>
      <c r="F6658" s="32" t="s">
        <v>18168</v>
      </c>
      <c r="G6658" s="39" t="s">
        <v>91</v>
      </c>
      <c r="H6658" s="33"/>
      <c r="I6658" s="33"/>
      <c r="J6658" s="33"/>
      <c r="K6658" s="33"/>
      <c r="L6658" s="33"/>
      <c r="M6658" s="33"/>
    </row>
    <row r="6659">
      <c r="A6659" s="32" t="s">
        <v>18169</v>
      </c>
      <c r="B6659" s="32" t="s">
        <v>18170</v>
      </c>
      <c r="C6659" s="35">
        <v>-18.75967656</v>
      </c>
      <c r="D6659" s="35">
        <v>46.05406523</v>
      </c>
      <c r="E6659" s="32" t="s">
        <v>384</v>
      </c>
      <c r="F6659" s="32" t="s">
        <v>18171</v>
      </c>
      <c r="G6659" s="36" t="e">
        <v>#N/A</v>
      </c>
      <c r="H6659" s="33"/>
      <c r="I6659" s="33"/>
      <c r="J6659" s="33"/>
      <c r="K6659" s="33"/>
      <c r="L6659" s="33"/>
      <c r="M6659" s="33"/>
    </row>
    <row r="6660">
      <c r="A6660" s="32" t="s">
        <v>18172</v>
      </c>
      <c r="B6660" s="32" t="s">
        <v>18173</v>
      </c>
      <c r="C6660" s="35">
        <v>-36.83169937</v>
      </c>
      <c r="D6660" s="35">
        <v>175.6790009</v>
      </c>
      <c r="E6660" s="32" t="s">
        <v>1328</v>
      </c>
      <c r="F6660" s="32" t="s">
        <v>18174</v>
      </c>
      <c r="G6660" s="36" t="e">
        <v>#N/A</v>
      </c>
      <c r="H6660" s="33"/>
      <c r="I6660" s="33"/>
      <c r="J6660" s="33"/>
      <c r="K6660" s="33"/>
      <c r="L6660" s="33"/>
      <c r="M6660" s="33"/>
    </row>
    <row r="6661">
      <c r="A6661" s="32" t="s">
        <v>18175</v>
      </c>
      <c r="B6661" s="32" t="s">
        <v>18176</v>
      </c>
      <c r="C6661" s="35">
        <v>39.7934</v>
      </c>
      <c r="D6661" s="35">
        <v>106.7993</v>
      </c>
      <c r="E6661" s="32" t="s">
        <v>205</v>
      </c>
      <c r="F6661" s="32" t="s">
        <v>18177</v>
      </c>
      <c r="G6661" s="39" t="s">
        <v>206</v>
      </c>
      <c r="H6661" s="33"/>
      <c r="I6661" s="33"/>
      <c r="J6661" s="33"/>
      <c r="K6661" s="33"/>
      <c r="L6661" s="33"/>
      <c r="M6661" s="33"/>
    </row>
    <row r="6662">
      <c r="A6662" s="32" t="s">
        <v>18178</v>
      </c>
      <c r="B6662" s="32" t="s">
        <v>18179</v>
      </c>
      <c r="C6662" s="35">
        <v>30.78380013</v>
      </c>
      <c r="D6662" s="35">
        <v>114.2080002</v>
      </c>
      <c r="E6662" s="32" t="s">
        <v>205</v>
      </c>
      <c r="F6662" s="32" t="s">
        <v>18180</v>
      </c>
      <c r="G6662" s="39" t="s">
        <v>206</v>
      </c>
      <c r="H6662" s="33"/>
      <c r="I6662" s="33"/>
      <c r="J6662" s="33"/>
      <c r="K6662" s="33"/>
      <c r="L6662" s="33"/>
      <c r="M6662" s="33"/>
    </row>
    <row r="6663">
      <c r="A6663" s="32" t="s">
        <v>18181</v>
      </c>
      <c r="B6663" s="32" t="s">
        <v>18182</v>
      </c>
      <c r="C6663" s="35">
        <v>-26.62919998</v>
      </c>
      <c r="D6663" s="35">
        <v>120.2210007</v>
      </c>
      <c r="E6663" s="32" t="s">
        <v>1968</v>
      </c>
      <c r="F6663" s="32" t="s">
        <v>18183</v>
      </c>
      <c r="G6663" s="36" t="e">
        <v>#N/A</v>
      </c>
      <c r="H6663" s="33"/>
      <c r="I6663" s="33"/>
      <c r="J6663" s="33"/>
      <c r="K6663" s="33"/>
      <c r="L6663" s="33"/>
      <c r="M6663" s="33"/>
    </row>
    <row r="6664">
      <c r="A6664" s="32" t="s">
        <v>18184</v>
      </c>
      <c r="B6664" s="32" t="s">
        <v>18185</v>
      </c>
      <c r="C6664" s="35">
        <v>27.7019</v>
      </c>
      <c r="D6664" s="35">
        <v>118.000999</v>
      </c>
      <c r="E6664" s="32" t="s">
        <v>205</v>
      </c>
      <c r="F6664" s="32" t="s">
        <v>18186</v>
      </c>
      <c r="G6664" s="39" t="s">
        <v>206</v>
      </c>
      <c r="H6664" s="33"/>
      <c r="I6664" s="33"/>
      <c r="J6664" s="33"/>
      <c r="K6664" s="33"/>
      <c r="L6664" s="33"/>
      <c r="M6664" s="33"/>
    </row>
    <row r="6665">
      <c r="A6665" s="32" t="s">
        <v>18187</v>
      </c>
      <c r="B6665" s="32" t="s">
        <v>18188</v>
      </c>
      <c r="C6665" s="35">
        <v>7.725830078</v>
      </c>
      <c r="D6665" s="35">
        <v>27.97500038</v>
      </c>
      <c r="E6665" s="32" t="s">
        <v>844</v>
      </c>
      <c r="F6665" s="32" t="s">
        <v>18189</v>
      </c>
      <c r="G6665" s="36" t="e">
        <v>#N/A</v>
      </c>
      <c r="H6665" s="33"/>
      <c r="I6665" s="33"/>
      <c r="J6665" s="33"/>
      <c r="K6665" s="33"/>
      <c r="L6665" s="33"/>
      <c r="M6665" s="33"/>
    </row>
    <row r="6666">
      <c r="A6666" s="32" t="s">
        <v>18190</v>
      </c>
      <c r="B6666" s="32" t="s">
        <v>18191</v>
      </c>
      <c r="C6666" s="35">
        <v>31.49440002</v>
      </c>
      <c r="D6666" s="35">
        <v>120.4290009</v>
      </c>
      <c r="E6666" s="32" t="s">
        <v>205</v>
      </c>
      <c r="F6666" s="32" t="s">
        <v>18192</v>
      </c>
      <c r="G6666" s="39" t="s">
        <v>206</v>
      </c>
      <c r="H6666" s="33"/>
      <c r="I6666" s="33"/>
      <c r="J6666" s="33"/>
      <c r="K6666" s="33"/>
      <c r="L6666" s="33"/>
      <c r="M6666" s="33"/>
    </row>
    <row r="6667">
      <c r="A6667" s="32" t="s">
        <v>18193</v>
      </c>
      <c r="B6667" s="32" t="s">
        <v>18194</v>
      </c>
      <c r="C6667" s="35">
        <v>23.456699</v>
      </c>
      <c r="D6667" s="35">
        <v>111.248001</v>
      </c>
      <c r="E6667" s="32" t="s">
        <v>205</v>
      </c>
      <c r="F6667" s="32" t="s">
        <v>18195</v>
      </c>
      <c r="G6667" s="39" t="s">
        <v>206</v>
      </c>
      <c r="H6667" s="33"/>
      <c r="I6667" s="33"/>
      <c r="J6667" s="33"/>
      <c r="K6667" s="33"/>
      <c r="L6667" s="33"/>
      <c r="M6667" s="33"/>
    </row>
    <row r="6668">
      <c r="A6668" s="32" t="s">
        <v>18196</v>
      </c>
      <c r="B6668" s="32" t="s">
        <v>18197</v>
      </c>
      <c r="C6668" s="35">
        <v>-22.97990036</v>
      </c>
      <c r="D6668" s="35">
        <v>14.64529991</v>
      </c>
      <c r="E6668" s="32" t="s">
        <v>3193</v>
      </c>
      <c r="F6668" s="32" t="s">
        <v>18198</v>
      </c>
      <c r="G6668" s="36" t="e">
        <v>#N/A</v>
      </c>
      <c r="H6668" s="33"/>
      <c r="I6668" s="33"/>
      <c r="J6668" s="33"/>
      <c r="K6668" s="33"/>
      <c r="L6668" s="33"/>
      <c r="M6668" s="33"/>
    </row>
    <row r="6669">
      <c r="A6669" s="32" t="s">
        <v>18199</v>
      </c>
      <c r="B6669" s="32" t="s">
        <v>18200</v>
      </c>
      <c r="C6669" s="35">
        <v>36.93569946</v>
      </c>
      <c r="D6669" s="35">
        <v>-121.7900009</v>
      </c>
      <c r="E6669" s="32" t="s">
        <v>180</v>
      </c>
      <c r="F6669" s="32" t="s">
        <v>18201</v>
      </c>
      <c r="G6669" s="39" t="s">
        <v>181</v>
      </c>
      <c r="H6669" s="33"/>
      <c r="I6669" s="33"/>
      <c r="J6669" s="33"/>
      <c r="K6669" s="33"/>
      <c r="L6669" s="33"/>
      <c r="M6669" s="33"/>
    </row>
    <row r="6670">
      <c r="A6670" s="32" t="s">
        <v>18202</v>
      </c>
      <c r="B6670" s="32" t="s">
        <v>18203</v>
      </c>
      <c r="C6670" s="35">
        <v>-22.11969948</v>
      </c>
      <c r="D6670" s="35">
        <v>48.02170181</v>
      </c>
      <c r="E6670" s="32" t="s">
        <v>384</v>
      </c>
      <c r="F6670" s="32" t="s">
        <v>18204</v>
      </c>
      <c r="G6670" s="36" t="e">
        <v>#N/A</v>
      </c>
      <c r="H6670" s="33"/>
      <c r="I6670" s="33"/>
      <c r="J6670" s="33"/>
      <c r="K6670" s="33"/>
      <c r="L6670" s="33"/>
      <c r="M6670" s="33"/>
    </row>
    <row r="6671">
      <c r="A6671" s="32" t="s">
        <v>18205</v>
      </c>
      <c r="B6671" s="32" t="s">
        <v>18206</v>
      </c>
      <c r="C6671" s="35">
        <v>53.50222015</v>
      </c>
      <c r="D6671" s="35">
        <v>8.052222252</v>
      </c>
      <c r="E6671" s="32" t="s">
        <v>109</v>
      </c>
      <c r="F6671" s="32" t="s">
        <v>18207</v>
      </c>
      <c r="G6671" s="39" t="s">
        <v>110</v>
      </c>
      <c r="H6671" s="33"/>
      <c r="I6671" s="33"/>
      <c r="J6671" s="33"/>
      <c r="K6671" s="33"/>
      <c r="L6671" s="33"/>
      <c r="M6671" s="33"/>
    </row>
    <row r="6672">
      <c r="A6672" s="32" t="s">
        <v>18208</v>
      </c>
      <c r="B6672" s="32" t="s">
        <v>18209</v>
      </c>
      <c r="C6672" s="35">
        <v>61.57170105</v>
      </c>
      <c r="D6672" s="35">
        <v>-149.5399933</v>
      </c>
      <c r="E6672" s="32" t="s">
        <v>180</v>
      </c>
      <c r="F6672" s="32" t="s">
        <v>18210</v>
      </c>
      <c r="G6672" s="39" t="s">
        <v>181</v>
      </c>
      <c r="H6672" s="33"/>
      <c r="I6672" s="33"/>
      <c r="J6672" s="33"/>
      <c r="K6672" s="33"/>
      <c r="L6672" s="33"/>
      <c r="M6672" s="33"/>
    </row>
    <row r="6673">
      <c r="A6673" s="32" t="s">
        <v>18211</v>
      </c>
      <c r="B6673" s="32" t="s">
        <v>18212</v>
      </c>
      <c r="C6673" s="35">
        <v>39.00849915</v>
      </c>
      <c r="D6673" s="35">
        <v>-74.90830231</v>
      </c>
      <c r="E6673" s="32" t="s">
        <v>180</v>
      </c>
      <c r="F6673" s="32" t="s">
        <v>18213</v>
      </c>
      <c r="G6673" s="39" t="s">
        <v>181</v>
      </c>
      <c r="H6673" s="33"/>
      <c r="I6673" s="33"/>
      <c r="J6673" s="33"/>
      <c r="K6673" s="33"/>
      <c r="L6673" s="33"/>
      <c r="M6673" s="33"/>
    </row>
    <row r="6674">
      <c r="A6674" s="32" t="s">
        <v>18214</v>
      </c>
      <c r="B6674" s="32" t="s">
        <v>18215</v>
      </c>
      <c r="C6674" s="35">
        <v>-3.583830118</v>
      </c>
      <c r="D6674" s="35">
        <v>143.6690063</v>
      </c>
      <c r="E6674" s="32" t="s">
        <v>5289</v>
      </c>
      <c r="F6674" s="32" t="s">
        <v>18216</v>
      </c>
      <c r="G6674" s="36" t="e">
        <v>#N/A</v>
      </c>
      <c r="H6674" s="33"/>
      <c r="I6674" s="33"/>
      <c r="J6674" s="33"/>
      <c r="K6674" s="33"/>
      <c r="L6674" s="33"/>
      <c r="M6674" s="33"/>
    </row>
    <row r="6675">
      <c r="A6675" s="32" t="s">
        <v>18217</v>
      </c>
      <c r="B6675" s="32" t="s">
        <v>18218</v>
      </c>
      <c r="C6675" s="35">
        <v>36.438</v>
      </c>
      <c r="D6675" s="35">
        <v>-99.5226667</v>
      </c>
      <c r="E6675" s="32" t="s">
        <v>180</v>
      </c>
      <c r="F6675" s="32" t="s">
        <v>18219</v>
      </c>
      <c r="G6675" s="39" t="s">
        <v>181</v>
      </c>
      <c r="H6675" s="33"/>
      <c r="I6675" s="33"/>
      <c r="J6675" s="33"/>
      <c r="K6675" s="33"/>
      <c r="L6675" s="33"/>
      <c r="M6675" s="33"/>
    </row>
    <row r="6676">
      <c r="A6676" s="32" t="s">
        <v>18220</v>
      </c>
      <c r="B6676" s="32" t="s">
        <v>18221</v>
      </c>
      <c r="C6676" s="35">
        <v>-33.93719864</v>
      </c>
      <c r="D6676" s="35">
        <v>147.1909943</v>
      </c>
      <c r="E6676" s="32" t="s">
        <v>1968</v>
      </c>
      <c r="F6676" s="32" t="s">
        <v>18222</v>
      </c>
      <c r="G6676" s="36" t="e">
        <v>#N/A</v>
      </c>
      <c r="H6676" s="33"/>
      <c r="I6676" s="33"/>
      <c r="J6676" s="33"/>
      <c r="K6676" s="33"/>
      <c r="L6676" s="33"/>
      <c r="M6676" s="33"/>
    </row>
    <row r="6677">
      <c r="A6677" s="32" t="s">
        <v>18223</v>
      </c>
      <c r="B6677" s="32" t="s">
        <v>18224</v>
      </c>
      <c r="C6677" s="35">
        <v>30.8017</v>
      </c>
      <c r="D6677" s="35">
        <v>108.433</v>
      </c>
      <c r="E6677" s="32" t="s">
        <v>205</v>
      </c>
      <c r="F6677" s="32" t="s">
        <v>18225</v>
      </c>
      <c r="G6677" s="39" t="s">
        <v>206</v>
      </c>
      <c r="H6677" s="33"/>
      <c r="I6677" s="33"/>
      <c r="J6677" s="33"/>
      <c r="K6677" s="33"/>
      <c r="L6677" s="33"/>
      <c r="M6677" s="33"/>
    </row>
    <row r="6678">
      <c r="A6678" s="32" t="s">
        <v>18226</v>
      </c>
      <c r="B6678" s="32" t="s">
        <v>18227</v>
      </c>
      <c r="C6678" s="35">
        <v>-33.05889893</v>
      </c>
      <c r="D6678" s="35">
        <v>137.5140076</v>
      </c>
      <c r="E6678" s="32" t="s">
        <v>1968</v>
      </c>
      <c r="F6678" s="32" t="s">
        <v>18228</v>
      </c>
      <c r="G6678" s="36" t="e">
        <v>#N/A</v>
      </c>
      <c r="H6678" s="33"/>
      <c r="I6678" s="33"/>
      <c r="J6678" s="33"/>
      <c r="K6678" s="33"/>
      <c r="L6678" s="33"/>
      <c r="M6678" s="33"/>
    </row>
    <row r="6679">
      <c r="A6679" s="32" t="s">
        <v>18229</v>
      </c>
      <c r="B6679" s="32" t="s">
        <v>18230</v>
      </c>
      <c r="C6679" s="35">
        <v>8.610469818</v>
      </c>
      <c r="D6679" s="35">
        <v>-11.04539967</v>
      </c>
      <c r="E6679" s="32" t="s">
        <v>5250</v>
      </c>
      <c r="F6679" s="32" t="s">
        <v>18231</v>
      </c>
      <c r="G6679" s="36" t="e">
        <v>#N/A</v>
      </c>
      <c r="H6679" s="33"/>
      <c r="I6679" s="33"/>
      <c r="J6679" s="33"/>
      <c r="K6679" s="33"/>
      <c r="L6679" s="33"/>
      <c r="M6679" s="33"/>
    </row>
    <row r="6680">
      <c r="A6680" s="32" t="s">
        <v>18232</v>
      </c>
      <c r="B6680" s="32" t="s">
        <v>18233</v>
      </c>
      <c r="C6680" s="35">
        <v>44.68840027</v>
      </c>
      <c r="D6680" s="35">
        <v>-111.1179962</v>
      </c>
      <c r="E6680" s="32" t="s">
        <v>180</v>
      </c>
      <c r="F6680" s="32" t="s">
        <v>18234</v>
      </c>
      <c r="G6680" s="39" t="s">
        <v>181</v>
      </c>
      <c r="H6680" s="33"/>
      <c r="I6680" s="33"/>
      <c r="J6680" s="33"/>
      <c r="K6680" s="33"/>
      <c r="L6680" s="33"/>
      <c r="M6680" s="33"/>
    </row>
    <row r="6681">
      <c r="A6681" s="32" t="s">
        <v>18235</v>
      </c>
      <c r="B6681" s="32" t="s">
        <v>18236</v>
      </c>
      <c r="C6681" s="35">
        <v>44.596401</v>
      </c>
      <c r="D6681" s="35">
        <v>-1.11083</v>
      </c>
      <c r="E6681" s="32" t="s">
        <v>96</v>
      </c>
      <c r="F6681" s="32" t="s">
        <v>18237</v>
      </c>
      <c r="G6681" s="39" t="s">
        <v>97</v>
      </c>
      <c r="H6681" s="33"/>
      <c r="I6681" s="33"/>
      <c r="J6681" s="33"/>
      <c r="K6681" s="33"/>
      <c r="L6681" s="33"/>
      <c r="M6681" s="33"/>
    </row>
    <row r="6682">
      <c r="A6682" s="32" t="s">
        <v>18238</v>
      </c>
      <c r="B6682" s="32" t="s">
        <v>18239</v>
      </c>
      <c r="C6682" s="35">
        <v>-27.13419914</v>
      </c>
      <c r="D6682" s="35">
        <v>-52.65660095</v>
      </c>
      <c r="E6682" s="32" t="s">
        <v>288</v>
      </c>
      <c r="F6682" s="32" t="s">
        <v>18240</v>
      </c>
      <c r="G6682" s="36" t="e">
        <v>#N/A</v>
      </c>
      <c r="H6682" s="33"/>
      <c r="I6682" s="33"/>
      <c r="J6682" s="33"/>
      <c r="K6682" s="33"/>
      <c r="L6682" s="33"/>
      <c r="M6682" s="33"/>
    </row>
    <row r="6683">
      <c r="A6683" s="32" t="s">
        <v>18241</v>
      </c>
      <c r="B6683" s="32" t="s">
        <v>18242</v>
      </c>
      <c r="C6683" s="35">
        <v>3.61361</v>
      </c>
      <c r="D6683" s="35">
        <v>-53.204201</v>
      </c>
      <c r="E6683" s="32" t="s">
        <v>1754</v>
      </c>
      <c r="F6683" s="32" t="s">
        <v>18243</v>
      </c>
      <c r="G6683" s="36" t="e">
        <v>#N/A</v>
      </c>
      <c r="H6683" s="33"/>
      <c r="I6683" s="33"/>
      <c r="J6683" s="33"/>
      <c r="K6683" s="33"/>
      <c r="L6683" s="33"/>
      <c r="M6683" s="33"/>
    </row>
    <row r="6684">
      <c r="A6684" s="32" t="s">
        <v>18244</v>
      </c>
      <c r="B6684" s="32" t="s">
        <v>18245</v>
      </c>
      <c r="C6684" s="35">
        <v>53.96559906</v>
      </c>
      <c r="D6684" s="35">
        <v>-91.02719879</v>
      </c>
      <c r="E6684" s="32" t="s">
        <v>94</v>
      </c>
      <c r="F6684" s="32" t="s">
        <v>18246</v>
      </c>
      <c r="G6684" s="36" t="e">
        <v>#N/A</v>
      </c>
      <c r="H6684" s="33"/>
      <c r="I6684" s="33"/>
      <c r="J6684" s="33"/>
      <c r="K6684" s="33"/>
      <c r="L6684" s="33"/>
      <c r="M6684" s="33"/>
    </row>
    <row r="6685">
      <c r="A6685" s="32" t="s">
        <v>18247</v>
      </c>
      <c r="B6685" s="32" t="s">
        <v>18248</v>
      </c>
      <c r="C6685" s="35">
        <v>32.89810181</v>
      </c>
      <c r="D6685" s="35">
        <v>59.26610184</v>
      </c>
      <c r="E6685" s="32" t="s">
        <v>1378</v>
      </c>
      <c r="F6685" s="32" t="s">
        <v>18249</v>
      </c>
      <c r="G6685" s="36" t="e">
        <v>#N/A</v>
      </c>
      <c r="H6685" s="33"/>
      <c r="I6685" s="33"/>
      <c r="J6685" s="33"/>
      <c r="K6685" s="33"/>
      <c r="L6685" s="33"/>
      <c r="M6685" s="33"/>
    </row>
    <row r="6686">
      <c r="A6686" s="32" t="s">
        <v>18250</v>
      </c>
      <c r="B6686" s="32" t="s">
        <v>18251</v>
      </c>
      <c r="C6686" s="35">
        <v>46.20090103</v>
      </c>
      <c r="D6686" s="35">
        <v>5.292029858</v>
      </c>
      <c r="E6686" s="32" t="s">
        <v>96</v>
      </c>
      <c r="F6686" s="32" t="s">
        <v>18252</v>
      </c>
      <c r="G6686" s="39" t="s">
        <v>97</v>
      </c>
      <c r="H6686" s="33"/>
      <c r="I6686" s="33"/>
      <c r="J6686" s="33"/>
      <c r="K6686" s="33"/>
      <c r="L6686" s="33"/>
      <c r="M6686" s="33"/>
    </row>
    <row r="6687">
      <c r="A6687" s="32" t="s">
        <v>18253</v>
      </c>
      <c r="B6687" s="32" t="s">
        <v>18254</v>
      </c>
      <c r="C6687" s="35">
        <v>46.8260994</v>
      </c>
      <c r="D6687" s="35">
        <v>4.817629814</v>
      </c>
      <c r="E6687" s="32" t="s">
        <v>96</v>
      </c>
      <c r="F6687" s="32" t="s">
        <v>18255</v>
      </c>
      <c r="G6687" s="39" t="s">
        <v>97</v>
      </c>
      <c r="H6687" s="33"/>
      <c r="I6687" s="33"/>
      <c r="J6687" s="33"/>
      <c r="K6687" s="33"/>
      <c r="L6687" s="33"/>
      <c r="M6687" s="33"/>
    </row>
    <row r="6688">
      <c r="A6688" s="32" t="s">
        <v>18256</v>
      </c>
      <c r="B6688" s="32" t="s">
        <v>18257</v>
      </c>
      <c r="C6688" s="35">
        <v>-10.45059967</v>
      </c>
      <c r="D6688" s="35">
        <v>105.6900024</v>
      </c>
      <c r="E6688" s="32" t="s">
        <v>18258</v>
      </c>
      <c r="F6688" s="32" t="s">
        <v>18258</v>
      </c>
      <c r="G6688" s="36" t="e">
        <v>#N/A</v>
      </c>
      <c r="H6688" s="33"/>
      <c r="I6688" s="33"/>
      <c r="J6688" s="33"/>
      <c r="K6688" s="33"/>
      <c r="L6688" s="33"/>
      <c r="M6688" s="33"/>
    </row>
    <row r="6689">
      <c r="A6689" s="32" t="s">
        <v>18259</v>
      </c>
      <c r="B6689" s="32" t="s">
        <v>18260</v>
      </c>
      <c r="C6689" s="35">
        <v>48.77610016</v>
      </c>
      <c r="D6689" s="35">
        <v>4.184490204</v>
      </c>
      <c r="E6689" s="32" t="s">
        <v>96</v>
      </c>
      <c r="F6689" s="32" t="s">
        <v>18261</v>
      </c>
      <c r="G6689" s="39" t="s">
        <v>97</v>
      </c>
      <c r="H6689" s="33"/>
      <c r="I6689" s="33"/>
      <c r="J6689" s="33"/>
      <c r="K6689" s="33"/>
      <c r="L6689" s="33"/>
      <c r="M6689" s="33"/>
    </row>
    <row r="6690">
      <c r="A6690" s="32" t="s">
        <v>18262</v>
      </c>
      <c r="B6690" s="32" t="s">
        <v>18263</v>
      </c>
      <c r="C6690" s="35">
        <v>29.4673996</v>
      </c>
      <c r="D6690" s="35">
        <v>-81.20629883</v>
      </c>
      <c r="E6690" s="32" t="s">
        <v>180</v>
      </c>
      <c r="F6690" s="32" t="s">
        <v>3068</v>
      </c>
      <c r="G6690" s="39" t="s">
        <v>181</v>
      </c>
      <c r="H6690" s="33"/>
      <c r="I6690" s="33"/>
      <c r="J6690" s="33"/>
      <c r="K6690" s="33"/>
      <c r="L6690" s="33"/>
      <c r="M6690" s="33"/>
    </row>
    <row r="6691">
      <c r="A6691" s="32" t="s">
        <v>18264</v>
      </c>
      <c r="B6691" s="32" t="s">
        <v>18265</v>
      </c>
      <c r="C6691" s="35">
        <v>32.1506</v>
      </c>
      <c r="D6691" s="35">
        <v>112.291</v>
      </c>
      <c r="E6691" s="32" t="s">
        <v>205</v>
      </c>
      <c r="F6691" s="32" t="s">
        <v>18266</v>
      </c>
      <c r="G6691" s="39" t="s">
        <v>206</v>
      </c>
      <c r="H6691" s="33"/>
      <c r="I6691" s="33"/>
      <c r="J6691" s="33"/>
      <c r="K6691" s="33"/>
      <c r="L6691" s="33"/>
      <c r="M6691" s="33"/>
    </row>
    <row r="6692">
      <c r="A6692" s="32" t="s">
        <v>18267</v>
      </c>
      <c r="B6692" s="32" t="s">
        <v>18268</v>
      </c>
      <c r="C6692" s="35">
        <v>53.53527832</v>
      </c>
      <c r="D6692" s="35">
        <v>9.83555603</v>
      </c>
      <c r="E6692" s="32" t="s">
        <v>109</v>
      </c>
      <c r="F6692" s="32" t="s">
        <v>8538</v>
      </c>
      <c r="G6692" s="39" t="s">
        <v>110</v>
      </c>
      <c r="H6692" s="33"/>
      <c r="I6692" s="33"/>
      <c r="J6692" s="33"/>
      <c r="K6692" s="33"/>
      <c r="L6692" s="33"/>
      <c r="M6692" s="33"/>
    </row>
    <row r="6693">
      <c r="A6693" s="32" t="s">
        <v>18269</v>
      </c>
      <c r="B6693" s="32" t="s">
        <v>18270</v>
      </c>
      <c r="C6693" s="35">
        <v>-16.7553997</v>
      </c>
      <c r="D6693" s="35">
        <v>14.96529961</v>
      </c>
      <c r="E6693" s="32" t="s">
        <v>764</v>
      </c>
      <c r="F6693" s="32" t="s">
        <v>18271</v>
      </c>
      <c r="G6693" s="36" t="e">
        <v>#N/A</v>
      </c>
      <c r="H6693" s="33"/>
      <c r="I6693" s="33"/>
      <c r="J6693" s="33"/>
      <c r="K6693" s="33"/>
      <c r="L6693" s="33"/>
      <c r="M6693" s="33"/>
    </row>
    <row r="6694">
      <c r="A6694" s="32" t="s">
        <v>18272</v>
      </c>
      <c r="B6694" s="32" t="s">
        <v>18273</v>
      </c>
      <c r="C6694" s="35">
        <v>58.71139908</v>
      </c>
      <c r="D6694" s="35">
        <v>-65.99279785</v>
      </c>
      <c r="E6694" s="32" t="s">
        <v>94</v>
      </c>
      <c r="F6694" s="32" t="s">
        <v>18274</v>
      </c>
      <c r="G6694" s="36" t="e">
        <v>#N/A</v>
      </c>
      <c r="H6694" s="33"/>
      <c r="I6694" s="33"/>
      <c r="J6694" s="33"/>
      <c r="K6694" s="33"/>
      <c r="L6694" s="33"/>
      <c r="M6694" s="33"/>
    </row>
    <row r="6695">
      <c r="A6695" s="32" t="s">
        <v>18275</v>
      </c>
      <c r="B6695" s="32" t="s">
        <v>18276</v>
      </c>
      <c r="C6695" s="35">
        <v>27.9890995</v>
      </c>
      <c r="D6695" s="35">
        <v>102.1839981</v>
      </c>
      <c r="E6695" s="32" t="s">
        <v>205</v>
      </c>
      <c r="F6695" s="32" t="s">
        <v>18277</v>
      </c>
      <c r="G6695" s="39" t="s">
        <v>206</v>
      </c>
      <c r="H6695" s="33"/>
      <c r="I6695" s="33"/>
      <c r="J6695" s="33"/>
      <c r="K6695" s="33"/>
      <c r="L6695" s="33"/>
      <c r="M6695" s="33"/>
    </row>
    <row r="6696">
      <c r="A6696" s="32" t="s">
        <v>18278</v>
      </c>
      <c r="B6696" s="32" t="s">
        <v>18279</v>
      </c>
      <c r="C6696" s="35">
        <v>28.93479919</v>
      </c>
      <c r="D6696" s="35">
        <v>47.79190063</v>
      </c>
      <c r="E6696" s="32" t="s">
        <v>233</v>
      </c>
      <c r="F6696" s="32" t="s">
        <v>18280</v>
      </c>
      <c r="G6696" s="36" t="e">
        <v>#N/A</v>
      </c>
      <c r="H6696" s="33"/>
      <c r="I6696" s="33"/>
      <c r="J6696" s="33"/>
      <c r="K6696" s="33"/>
      <c r="L6696" s="33"/>
      <c r="M6696" s="33"/>
    </row>
    <row r="6697">
      <c r="A6697" s="32" t="s">
        <v>18281</v>
      </c>
      <c r="B6697" s="32" t="s">
        <v>18282</v>
      </c>
      <c r="C6697" s="35">
        <v>43.91559982</v>
      </c>
      <c r="D6697" s="35">
        <v>115.9639969</v>
      </c>
      <c r="E6697" s="32" t="s">
        <v>205</v>
      </c>
      <c r="F6697" s="32" t="s">
        <v>18283</v>
      </c>
      <c r="G6697" s="39" t="s">
        <v>206</v>
      </c>
      <c r="H6697" s="33"/>
      <c r="I6697" s="33"/>
      <c r="J6697" s="33"/>
      <c r="K6697" s="33"/>
      <c r="L6697" s="33"/>
      <c r="M6697" s="33"/>
    </row>
    <row r="6698">
      <c r="A6698" s="32" t="s">
        <v>18284</v>
      </c>
      <c r="B6698" s="32" t="s">
        <v>18285</v>
      </c>
      <c r="C6698" s="35">
        <v>34.44710159</v>
      </c>
      <c r="D6698" s="35">
        <v>108.7519989</v>
      </c>
      <c r="E6698" s="32" t="s">
        <v>205</v>
      </c>
      <c r="F6698" s="32" t="s">
        <v>18286</v>
      </c>
      <c r="G6698" s="39" t="s">
        <v>206</v>
      </c>
      <c r="H6698" s="33"/>
      <c r="I6698" s="33"/>
      <c r="J6698" s="33"/>
      <c r="K6698" s="33"/>
      <c r="L6698" s="33"/>
      <c r="M6698" s="33"/>
    </row>
    <row r="6699">
      <c r="A6699" s="32" t="s">
        <v>18287</v>
      </c>
      <c r="B6699" s="32" t="s">
        <v>18288</v>
      </c>
      <c r="C6699" s="35">
        <v>19.45000076</v>
      </c>
      <c r="D6699" s="35">
        <v>103.1579971</v>
      </c>
      <c r="E6699" s="32" t="s">
        <v>1872</v>
      </c>
      <c r="F6699" s="32" t="s">
        <v>18289</v>
      </c>
      <c r="G6699" s="36" t="e">
        <v>#N/A</v>
      </c>
      <c r="H6699" s="33"/>
      <c r="I6699" s="33"/>
      <c r="J6699" s="33"/>
      <c r="K6699" s="33"/>
      <c r="L6699" s="33"/>
      <c r="M6699" s="33"/>
    </row>
    <row r="6700">
      <c r="A6700" s="32" t="s">
        <v>18290</v>
      </c>
      <c r="B6700" s="32" t="s">
        <v>18291</v>
      </c>
      <c r="C6700" s="35">
        <v>53.52470016</v>
      </c>
      <c r="D6700" s="35">
        <v>-88.64279938</v>
      </c>
      <c r="E6700" s="32" t="s">
        <v>94</v>
      </c>
      <c r="F6700" s="32" t="s">
        <v>18292</v>
      </c>
      <c r="G6700" s="36" t="e">
        <v>#N/A</v>
      </c>
      <c r="H6700" s="33"/>
      <c r="I6700" s="33"/>
      <c r="J6700" s="33"/>
      <c r="K6700" s="33"/>
      <c r="L6700" s="33"/>
      <c r="M6700" s="33"/>
    </row>
    <row r="6701">
      <c r="A6701" s="32" t="s">
        <v>18293</v>
      </c>
      <c r="B6701" s="32" t="s">
        <v>18294</v>
      </c>
      <c r="C6701" s="35">
        <v>58.61750031</v>
      </c>
      <c r="D6701" s="35">
        <v>-101.4690018</v>
      </c>
      <c r="E6701" s="32" t="s">
        <v>94</v>
      </c>
      <c r="F6701" s="32" t="s">
        <v>18295</v>
      </c>
      <c r="G6701" s="36" t="e">
        <v>#N/A</v>
      </c>
      <c r="H6701" s="33"/>
      <c r="I6701" s="33"/>
      <c r="J6701" s="33"/>
      <c r="K6701" s="33"/>
      <c r="L6701" s="33"/>
      <c r="M6701" s="33"/>
    </row>
    <row r="6702">
      <c r="A6702" s="32" t="s">
        <v>18296</v>
      </c>
      <c r="B6702" s="32" t="s">
        <v>18297</v>
      </c>
      <c r="C6702" s="35">
        <v>16.05080032</v>
      </c>
      <c r="D6702" s="35">
        <v>-16.46319962</v>
      </c>
      <c r="E6702" s="32" t="s">
        <v>5407</v>
      </c>
      <c r="F6702" s="32" t="s">
        <v>16085</v>
      </c>
      <c r="G6702" s="36" t="e">
        <v>#N/A</v>
      </c>
      <c r="H6702" s="33"/>
      <c r="I6702" s="33"/>
      <c r="J6702" s="33"/>
      <c r="K6702" s="33"/>
      <c r="L6702" s="33"/>
      <c r="M6702" s="33"/>
    </row>
    <row r="6703">
      <c r="A6703" s="32" t="s">
        <v>18298</v>
      </c>
      <c r="B6703" s="32" t="s">
        <v>18299</v>
      </c>
      <c r="C6703" s="35">
        <v>-37.59830093</v>
      </c>
      <c r="D6703" s="35">
        <v>149.7200012</v>
      </c>
      <c r="E6703" s="32" t="s">
        <v>1968</v>
      </c>
      <c r="F6703" s="32" t="s">
        <v>18300</v>
      </c>
      <c r="G6703" s="36" t="e">
        <v>#N/A</v>
      </c>
      <c r="H6703" s="33"/>
      <c r="I6703" s="33"/>
      <c r="J6703" s="33"/>
      <c r="K6703" s="33"/>
      <c r="L6703" s="33"/>
      <c r="M6703" s="33"/>
    </row>
    <row r="6704">
      <c r="A6704" s="32" t="s">
        <v>18301</v>
      </c>
      <c r="B6704" s="32" t="s">
        <v>18302</v>
      </c>
      <c r="C6704" s="35">
        <v>-14.4368</v>
      </c>
      <c r="D6704" s="35">
        <v>-146.0700073</v>
      </c>
      <c r="E6704" s="32" t="s">
        <v>1325</v>
      </c>
      <c r="F6704" s="32" t="s">
        <v>18303</v>
      </c>
      <c r="G6704" s="36" t="e">
        <v>#N/A</v>
      </c>
      <c r="H6704" s="33"/>
      <c r="I6704" s="33"/>
      <c r="J6704" s="33"/>
      <c r="K6704" s="33"/>
      <c r="L6704" s="33"/>
      <c r="M6704" s="33"/>
    </row>
    <row r="6705">
      <c r="A6705" s="32" t="s">
        <v>18304</v>
      </c>
      <c r="B6705" s="32" t="s">
        <v>18305</v>
      </c>
      <c r="C6705" s="35">
        <v>24.54400063</v>
      </c>
      <c r="D6705" s="35">
        <v>118.1279984</v>
      </c>
      <c r="E6705" s="32" t="s">
        <v>205</v>
      </c>
      <c r="F6705" s="32" t="s">
        <v>18306</v>
      </c>
      <c r="G6705" s="39" t="s">
        <v>206</v>
      </c>
      <c r="H6705" s="33"/>
      <c r="I6705" s="33"/>
      <c r="J6705" s="33"/>
      <c r="K6705" s="33"/>
      <c r="L6705" s="33"/>
      <c r="M6705" s="33"/>
    </row>
    <row r="6706">
      <c r="A6706" s="32" t="s">
        <v>18307</v>
      </c>
      <c r="B6706" s="32" t="s">
        <v>18308</v>
      </c>
      <c r="C6706" s="35">
        <v>28.46759987</v>
      </c>
      <c r="D6706" s="35">
        <v>-80.56659698</v>
      </c>
      <c r="E6706" s="32" t="s">
        <v>180</v>
      </c>
      <c r="F6706" s="32" t="s">
        <v>18309</v>
      </c>
      <c r="G6706" s="39" t="s">
        <v>181</v>
      </c>
      <c r="H6706" s="33"/>
      <c r="I6706" s="33"/>
      <c r="J6706" s="33"/>
      <c r="K6706" s="33"/>
      <c r="L6706" s="33"/>
      <c r="M6706" s="33"/>
    </row>
    <row r="6707">
      <c r="A6707" s="32" t="s">
        <v>18310</v>
      </c>
      <c r="B6707" s="32" t="s">
        <v>18311</v>
      </c>
      <c r="C6707" s="35">
        <v>-2.299170017</v>
      </c>
      <c r="D6707" s="35">
        <v>-78.1207962</v>
      </c>
      <c r="E6707" s="32" t="s">
        <v>311</v>
      </c>
      <c r="F6707" s="32" t="s">
        <v>18312</v>
      </c>
      <c r="G6707" s="36" t="e">
        <v>#N/A</v>
      </c>
      <c r="H6707" s="33"/>
      <c r="I6707" s="33"/>
      <c r="J6707" s="33"/>
      <c r="K6707" s="33"/>
      <c r="L6707" s="33"/>
      <c r="M6707" s="33"/>
    </row>
    <row r="6708">
      <c r="A6708" s="32" t="s">
        <v>18313</v>
      </c>
      <c r="B6708" s="32" t="s">
        <v>18314</v>
      </c>
      <c r="C6708" s="35">
        <v>46.534599299999996</v>
      </c>
      <c r="D6708" s="35">
        <v>3.423719883</v>
      </c>
      <c r="E6708" s="32" t="s">
        <v>96</v>
      </c>
      <c r="F6708" s="32" t="s">
        <v>18315</v>
      </c>
      <c r="G6708" s="39" t="s">
        <v>97</v>
      </c>
      <c r="H6708" s="33"/>
      <c r="I6708" s="33"/>
      <c r="J6708" s="33"/>
      <c r="K6708" s="33"/>
      <c r="L6708" s="33"/>
      <c r="M6708" s="33"/>
    </row>
    <row r="6709">
      <c r="A6709" s="32" t="s">
        <v>18316</v>
      </c>
      <c r="B6709" s="32" t="s">
        <v>18317</v>
      </c>
      <c r="C6709" s="35">
        <v>-9.901109695</v>
      </c>
      <c r="D6709" s="35">
        <v>142.776001</v>
      </c>
      <c r="E6709" s="32" t="s">
        <v>1968</v>
      </c>
      <c r="F6709" s="32" t="s">
        <v>18318</v>
      </c>
      <c r="G6709" s="36" t="e">
        <v>#N/A</v>
      </c>
      <c r="H6709" s="33"/>
      <c r="I6709" s="33"/>
      <c r="J6709" s="33"/>
      <c r="K6709" s="33"/>
      <c r="L6709" s="33"/>
      <c r="M6709" s="33"/>
    </row>
    <row r="6710">
      <c r="A6710" s="32" t="s">
        <v>18319</v>
      </c>
      <c r="B6710" s="32" t="s">
        <v>18320</v>
      </c>
      <c r="C6710" s="35">
        <v>36.281898</v>
      </c>
      <c r="D6710" s="35">
        <v>-94.306801</v>
      </c>
      <c r="E6710" s="32" t="s">
        <v>180</v>
      </c>
      <c r="F6710" s="32" t="s">
        <v>18321</v>
      </c>
      <c r="G6710" s="39" t="s">
        <v>181</v>
      </c>
      <c r="H6710" s="33"/>
      <c r="I6710" s="33"/>
      <c r="J6710" s="33"/>
      <c r="K6710" s="33"/>
      <c r="L6710" s="33"/>
      <c r="M6710" s="33"/>
    </row>
    <row r="6711">
      <c r="A6711" s="32" t="s">
        <v>18322</v>
      </c>
      <c r="B6711" s="32" t="s">
        <v>18323</v>
      </c>
      <c r="C6711" s="35">
        <v>36.5275</v>
      </c>
      <c r="D6711" s="35">
        <v>102.042999</v>
      </c>
      <c r="E6711" s="32" t="s">
        <v>205</v>
      </c>
      <c r="F6711" s="32" t="s">
        <v>18324</v>
      </c>
      <c r="G6711" s="39" t="s">
        <v>206</v>
      </c>
      <c r="H6711" s="33"/>
      <c r="I6711" s="33"/>
      <c r="J6711" s="33"/>
      <c r="K6711" s="33"/>
      <c r="L6711" s="33"/>
      <c r="M6711" s="33"/>
    </row>
    <row r="6712">
      <c r="A6712" s="32" t="s">
        <v>18325</v>
      </c>
      <c r="B6712" s="32" t="s">
        <v>18326</v>
      </c>
      <c r="C6712" s="35">
        <v>55.74919891</v>
      </c>
      <c r="D6712" s="35">
        <v>-101.2659988</v>
      </c>
      <c r="E6712" s="32" t="s">
        <v>94</v>
      </c>
      <c r="F6712" s="32" t="s">
        <v>18327</v>
      </c>
      <c r="G6712" s="36" t="e">
        <v>#N/A</v>
      </c>
      <c r="H6712" s="33"/>
      <c r="I6712" s="33"/>
      <c r="J6712" s="33"/>
      <c r="K6712" s="33"/>
      <c r="L6712" s="33"/>
      <c r="M6712" s="33"/>
    </row>
    <row r="6713">
      <c r="A6713" s="32" t="s">
        <v>18328</v>
      </c>
      <c r="B6713" s="32" t="s">
        <v>18329</v>
      </c>
      <c r="C6713" s="35">
        <v>14.3824</v>
      </c>
      <c r="D6713" s="35">
        <v>-87.621201</v>
      </c>
      <c r="E6713" s="32" t="s">
        <v>1245</v>
      </c>
      <c r="F6713" s="32" t="s">
        <v>18330</v>
      </c>
      <c r="G6713" s="36" t="e">
        <v>#N/A</v>
      </c>
      <c r="H6713" s="33"/>
      <c r="I6713" s="33"/>
      <c r="J6713" s="33"/>
      <c r="K6713" s="33"/>
      <c r="L6713" s="33"/>
      <c r="M6713" s="33"/>
    </row>
    <row r="6714">
      <c r="A6714" s="32" t="s">
        <v>18331</v>
      </c>
      <c r="B6714" s="32" t="s">
        <v>18332</v>
      </c>
      <c r="C6714" s="35">
        <v>52.99652588</v>
      </c>
      <c r="D6714" s="35">
        <v>-97.27419376</v>
      </c>
      <c r="E6714" s="32" t="s">
        <v>94</v>
      </c>
      <c r="F6714" s="32" t="s">
        <v>18333</v>
      </c>
      <c r="G6714" s="36" t="e">
        <v>#N/A</v>
      </c>
      <c r="H6714" s="33"/>
      <c r="I6714" s="33"/>
      <c r="J6714" s="33"/>
      <c r="K6714" s="33"/>
      <c r="L6714" s="33"/>
      <c r="M6714" s="33"/>
    </row>
    <row r="6715">
      <c r="A6715" s="32" t="s">
        <v>18334</v>
      </c>
      <c r="B6715" s="32" t="s">
        <v>18335</v>
      </c>
      <c r="C6715" s="35">
        <v>9.443160057</v>
      </c>
      <c r="D6715" s="35">
        <v>-84.12979889</v>
      </c>
      <c r="E6715" s="32" t="s">
        <v>1267</v>
      </c>
      <c r="F6715" s="32" t="s">
        <v>18336</v>
      </c>
      <c r="G6715" s="36" t="e">
        <v>#N/A</v>
      </c>
      <c r="H6715" s="33"/>
      <c r="I6715" s="33"/>
      <c r="J6715" s="33"/>
      <c r="K6715" s="33"/>
      <c r="L6715" s="33"/>
      <c r="M6715" s="33"/>
    </row>
    <row r="6716">
      <c r="A6716" s="32" t="s">
        <v>18337</v>
      </c>
      <c r="B6716" s="32" t="s">
        <v>18338</v>
      </c>
      <c r="C6716" s="35">
        <v>61.97060013</v>
      </c>
      <c r="D6716" s="35">
        <v>-132.4230042</v>
      </c>
      <c r="E6716" s="32" t="s">
        <v>94</v>
      </c>
      <c r="F6716" s="32" t="s">
        <v>18339</v>
      </c>
      <c r="G6716" s="36" t="e">
        <v>#N/A</v>
      </c>
      <c r="H6716" s="33"/>
      <c r="I6716" s="33"/>
      <c r="J6716" s="33"/>
      <c r="K6716" s="33"/>
      <c r="L6716" s="33"/>
      <c r="M6716" s="33"/>
    </row>
    <row r="6717">
      <c r="A6717" s="32" t="s">
        <v>18340</v>
      </c>
      <c r="B6717" s="32" t="s">
        <v>18341</v>
      </c>
      <c r="C6717" s="35">
        <v>36.74459839</v>
      </c>
      <c r="D6717" s="35">
        <v>-6.060110092</v>
      </c>
      <c r="E6717" s="32" t="s">
        <v>115</v>
      </c>
      <c r="F6717" s="32" t="s">
        <v>18342</v>
      </c>
      <c r="G6717" s="39" t="s">
        <v>116</v>
      </c>
      <c r="H6717" s="33"/>
      <c r="I6717" s="33"/>
      <c r="J6717" s="33"/>
      <c r="K6717" s="33"/>
      <c r="L6717" s="33"/>
      <c r="M6717" s="33"/>
    </row>
    <row r="6718">
      <c r="A6718" s="32" t="s">
        <v>18343</v>
      </c>
      <c r="B6718" s="32" t="s">
        <v>18344</v>
      </c>
      <c r="C6718" s="35">
        <v>24.283611</v>
      </c>
      <c r="D6718" s="35">
        <v>52.580278</v>
      </c>
      <c r="E6718" s="32" t="s">
        <v>139</v>
      </c>
      <c r="F6718" s="32" t="s">
        <v>18345</v>
      </c>
      <c r="G6718" s="39" t="s">
        <v>140</v>
      </c>
      <c r="H6718" s="33"/>
      <c r="I6718" s="33"/>
      <c r="J6718" s="33"/>
      <c r="K6718" s="33"/>
      <c r="L6718" s="33"/>
      <c r="M6718" s="33"/>
    </row>
    <row r="6719">
      <c r="A6719" s="32" t="s">
        <v>18346</v>
      </c>
      <c r="B6719" s="32" t="s">
        <v>18347</v>
      </c>
      <c r="C6719" s="35">
        <v>21.51569939</v>
      </c>
      <c r="D6719" s="35">
        <v>-71.52850342</v>
      </c>
      <c r="E6719" s="32" t="s">
        <v>7978</v>
      </c>
      <c r="F6719" s="32" t="s">
        <v>18348</v>
      </c>
      <c r="G6719" s="36" t="e">
        <v>#N/A</v>
      </c>
      <c r="H6719" s="33"/>
      <c r="I6719" s="33"/>
      <c r="J6719" s="33"/>
      <c r="K6719" s="33"/>
      <c r="L6719" s="33"/>
      <c r="M6719" s="33"/>
    </row>
    <row r="6720">
      <c r="A6720" s="32" t="s">
        <v>18349</v>
      </c>
      <c r="B6720" s="32" t="s">
        <v>18350</v>
      </c>
      <c r="C6720" s="35">
        <v>56.7928009</v>
      </c>
      <c r="D6720" s="35">
        <v>-98.90720367</v>
      </c>
      <c r="E6720" s="32" t="s">
        <v>94</v>
      </c>
      <c r="F6720" s="32" t="s">
        <v>18351</v>
      </c>
      <c r="G6720" s="36" t="e">
        <v>#N/A</v>
      </c>
      <c r="H6720" s="33"/>
      <c r="I6720" s="33"/>
      <c r="J6720" s="33"/>
      <c r="K6720" s="33"/>
      <c r="L6720" s="33"/>
      <c r="M6720" s="33"/>
    </row>
    <row r="6721">
      <c r="A6721" s="32" t="s">
        <v>18352</v>
      </c>
      <c r="B6721" s="32" t="s">
        <v>18353</v>
      </c>
      <c r="C6721" s="35">
        <v>1.416949987</v>
      </c>
      <c r="D6721" s="35">
        <v>103.8679962</v>
      </c>
      <c r="E6721" s="32" t="s">
        <v>157</v>
      </c>
      <c r="F6721" s="32" t="s">
        <v>157</v>
      </c>
      <c r="G6721" s="39" t="s">
        <v>158</v>
      </c>
      <c r="H6721" s="33"/>
      <c r="I6721" s="33"/>
      <c r="J6721" s="33"/>
      <c r="K6721" s="33"/>
      <c r="L6721" s="33"/>
      <c r="M6721" s="33"/>
    </row>
    <row r="6722">
      <c r="A6722" s="32" t="s">
        <v>18354</v>
      </c>
      <c r="B6722" s="32" t="s">
        <v>18355</v>
      </c>
      <c r="C6722" s="35">
        <v>-27.9864006</v>
      </c>
      <c r="D6722" s="35">
        <v>143.8110046</v>
      </c>
      <c r="E6722" s="32" t="s">
        <v>1968</v>
      </c>
      <c r="F6722" s="32" t="s">
        <v>18356</v>
      </c>
      <c r="G6722" s="36" t="e">
        <v>#N/A</v>
      </c>
      <c r="H6722" s="33"/>
      <c r="I6722" s="33"/>
      <c r="J6722" s="33"/>
      <c r="K6722" s="33"/>
      <c r="L6722" s="33"/>
      <c r="M6722" s="33"/>
    </row>
    <row r="6723">
      <c r="A6723" s="32" t="s">
        <v>18357</v>
      </c>
      <c r="B6723" s="32" t="s">
        <v>18358</v>
      </c>
      <c r="C6723" s="35">
        <v>58.7061</v>
      </c>
      <c r="D6723" s="35">
        <v>-98.512199</v>
      </c>
      <c r="E6723" s="32" t="s">
        <v>94</v>
      </c>
      <c r="F6723" s="32" t="s">
        <v>18359</v>
      </c>
      <c r="G6723" s="36" t="e">
        <v>#N/A</v>
      </c>
      <c r="H6723" s="33"/>
      <c r="I6723" s="33"/>
      <c r="J6723" s="33"/>
      <c r="K6723" s="33"/>
      <c r="L6723" s="33"/>
      <c r="M6723" s="33"/>
    </row>
    <row r="6724">
      <c r="A6724" s="32" t="s">
        <v>18360</v>
      </c>
      <c r="B6724" s="32" t="s">
        <v>18361</v>
      </c>
      <c r="C6724" s="35">
        <v>-25.80170059</v>
      </c>
      <c r="D6724" s="35">
        <v>149.8999939</v>
      </c>
      <c r="E6724" s="32" t="s">
        <v>1968</v>
      </c>
      <c r="F6724" s="32" t="s">
        <v>18362</v>
      </c>
      <c r="G6724" s="36" t="e">
        <v>#N/A</v>
      </c>
      <c r="H6724" s="33"/>
      <c r="I6724" s="33"/>
      <c r="J6724" s="33"/>
      <c r="K6724" s="33"/>
      <c r="L6724" s="33"/>
      <c r="M6724" s="33"/>
    </row>
    <row r="6725">
      <c r="A6725" s="32" t="s">
        <v>18363</v>
      </c>
      <c r="B6725" s="32" t="s">
        <v>18364</v>
      </c>
      <c r="C6725" s="35">
        <v>34.059056</v>
      </c>
      <c r="D6725" s="35">
        <v>117.555278</v>
      </c>
      <c r="E6725" s="32" t="s">
        <v>205</v>
      </c>
      <c r="F6725" s="32" t="s">
        <v>18365</v>
      </c>
      <c r="G6725" s="39" t="s">
        <v>206</v>
      </c>
      <c r="H6725" s="33"/>
      <c r="I6725" s="33"/>
      <c r="J6725" s="33"/>
      <c r="K6725" s="33"/>
      <c r="L6725" s="33"/>
      <c r="M6725" s="33"/>
    </row>
    <row r="6726">
      <c r="A6726" s="32" t="s">
        <v>18366</v>
      </c>
      <c r="B6726" s="32" t="s">
        <v>18367</v>
      </c>
      <c r="C6726" s="35">
        <v>45.919983</v>
      </c>
      <c r="D6726" s="35">
        <v>4.634931</v>
      </c>
      <c r="E6726" s="32" t="s">
        <v>96</v>
      </c>
      <c r="F6726" s="32" t="s">
        <v>18368</v>
      </c>
      <c r="G6726" s="39" t="s">
        <v>97</v>
      </c>
      <c r="H6726" s="33"/>
      <c r="I6726" s="33"/>
      <c r="J6726" s="33"/>
      <c r="K6726" s="33"/>
      <c r="L6726" s="33"/>
      <c r="M6726" s="33"/>
    </row>
    <row r="6727">
      <c r="A6727" s="32" t="s">
        <v>18369</v>
      </c>
      <c r="B6727" s="32" t="s">
        <v>18370</v>
      </c>
      <c r="C6727" s="35">
        <v>24.70980072</v>
      </c>
      <c r="D6727" s="35">
        <v>46.72520065</v>
      </c>
      <c r="E6727" s="32" t="s">
        <v>223</v>
      </c>
      <c r="F6727" s="32" t="s">
        <v>15143</v>
      </c>
      <c r="G6727" s="36" t="e">
        <v>#N/A</v>
      </c>
      <c r="H6727" s="33"/>
      <c r="I6727" s="33"/>
      <c r="J6727" s="33"/>
      <c r="K6727" s="33"/>
      <c r="L6727" s="33"/>
      <c r="M6727" s="33"/>
    </row>
    <row r="6728">
      <c r="A6728" s="32" t="s">
        <v>18371</v>
      </c>
      <c r="B6728" s="32" t="s">
        <v>18372</v>
      </c>
      <c r="C6728" s="35">
        <v>-9.092816</v>
      </c>
      <c r="D6728" s="35">
        <v>159.21841</v>
      </c>
      <c r="E6728" s="32" t="s">
        <v>3666</v>
      </c>
      <c r="F6728" s="32" t="s">
        <v>18373</v>
      </c>
      <c r="G6728" s="36" t="e">
        <v>#N/A</v>
      </c>
      <c r="H6728" s="33"/>
      <c r="I6728" s="33"/>
      <c r="J6728" s="33"/>
      <c r="K6728" s="33"/>
      <c r="L6728" s="33"/>
      <c r="M6728" s="33"/>
    </row>
    <row r="6729">
      <c r="A6729" s="32" t="s">
        <v>18374</v>
      </c>
      <c r="B6729" s="32" t="s">
        <v>18375</v>
      </c>
      <c r="C6729" s="35">
        <v>15.30000019</v>
      </c>
      <c r="D6729" s="35">
        <v>97.86699677</v>
      </c>
      <c r="E6729" s="32" t="s">
        <v>1918</v>
      </c>
      <c r="F6729" s="32" t="s">
        <v>18376</v>
      </c>
      <c r="G6729" s="36" t="e">
        <v>#N/A</v>
      </c>
      <c r="H6729" s="33"/>
      <c r="I6729" s="33"/>
      <c r="J6729" s="33"/>
      <c r="K6729" s="33"/>
      <c r="L6729" s="33"/>
      <c r="M6729" s="33"/>
    </row>
    <row r="6730">
      <c r="A6730" s="32" t="s">
        <v>18377</v>
      </c>
      <c r="B6730" s="32" t="s">
        <v>18378</v>
      </c>
      <c r="C6730" s="35">
        <v>52.45249939</v>
      </c>
      <c r="D6730" s="35">
        <v>-125.3030014</v>
      </c>
      <c r="E6730" s="32" t="s">
        <v>94</v>
      </c>
      <c r="F6730" s="32" t="s">
        <v>18379</v>
      </c>
      <c r="G6730" s="36" t="e">
        <v>#N/A</v>
      </c>
      <c r="H6730" s="33"/>
      <c r="I6730" s="33"/>
      <c r="J6730" s="33"/>
      <c r="K6730" s="33"/>
      <c r="L6730" s="33"/>
      <c r="M6730" s="33"/>
    </row>
    <row r="6731">
      <c r="A6731" s="32" t="s">
        <v>18380</v>
      </c>
      <c r="B6731" s="32" t="s">
        <v>18381</v>
      </c>
      <c r="C6731" s="35">
        <v>73.00589225</v>
      </c>
      <c r="D6731" s="35">
        <v>-85.0325489</v>
      </c>
      <c r="E6731" s="32" t="s">
        <v>94</v>
      </c>
      <c r="F6731" s="32" t="s">
        <v>18382</v>
      </c>
      <c r="G6731" s="36" t="e">
        <v>#N/A</v>
      </c>
      <c r="H6731" s="33"/>
      <c r="I6731" s="33"/>
      <c r="J6731" s="33"/>
      <c r="K6731" s="33"/>
      <c r="L6731" s="33"/>
      <c r="M6731" s="33"/>
    </row>
    <row r="6732">
      <c r="A6732" s="32" t="s">
        <v>18383</v>
      </c>
      <c r="B6732" s="32" t="s">
        <v>18384</v>
      </c>
      <c r="C6732" s="35">
        <v>51.72719955</v>
      </c>
      <c r="D6732" s="35">
        <v>-91.82440186</v>
      </c>
      <c r="E6732" s="32" t="s">
        <v>94</v>
      </c>
      <c r="F6732" s="32" t="s">
        <v>18385</v>
      </c>
      <c r="G6732" s="36" t="e">
        <v>#N/A</v>
      </c>
      <c r="H6732" s="33"/>
      <c r="I6732" s="33"/>
      <c r="J6732" s="33"/>
      <c r="K6732" s="33"/>
      <c r="L6732" s="33"/>
      <c r="M6732" s="33"/>
    </row>
    <row r="6733">
      <c r="A6733" s="32" t="s">
        <v>18386</v>
      </c>
      <c r="B6733" s="32" t="s">
        <v>18387</v>
      </c>
      <c r="C6733" s="35">
        <v>48.65420151</v>
      </c>
      <c r="D6733" s="35">
        <v>-93.43969727</v>
      </c>
      <c r="E6733" s="32" t="s">
        <v>94</v>
      </c>
      <c r="F6733" s="32" t="s">
        <v>18388</v>
      </c>
      <c r="G6733" s="36" t="e">
        <v>#N/A</v>
      </c>
      <c r="H6733" s="33"/>
      <c r="I6733" s="33"/>
      <c r="J6733" s="33"/>
      <c r="K6733" s="33"/>
      <c r="L6733" s="33"/>
      <c r="M6733" s="33"/>
    </row>
    <row r="6734">
      <c r="A6734" s="32" t="s">
        <v>18389</v>
      </c>
      <c r="B6734" s="32" t="s">
        <v>18390</v>
      </c>
      <c r="C6734" s="35">
        <v>53.75469971</v>
      </c>
      <c r="D6734" s="35">
        <v>-73.6753006</v>
      </c>
      <c r="E6734" s="32" t="s">
        <v>94</v>
      </c>
      <c r="F6734" s="32" t="s">
        <v>18391</v>
      </c>
      <c r="G6734" s="36" t="e">
        <v>#N/A</v>
      </c>
      <c r="H6734" s="33"/>
      <c r="I6734" s="33"/>
      <c r="J6734" s="33"/>
      <c r="K6734" s="33"/>
      <c r="L6734" s="33"/>
      <c r="M6734" s="33"/>
    </row>
    <row r="6735">
      <c r="A6735" s="32" t="s">
        <v>18392</v>
      </c>
      <c r="B6735" s="32" t="s">
        <v>18393</v>
      </c>
      <c r="C6735" s="35">
        <v>59.50329971</v>
      </c>
      <c r="D6735" s="35">
        <v>-139.6600037</v>
      </c>
      <c r="E6735" s="32" t="s">
        <v>180</v>
      </c>
      <c r="F6735" s="32" t="s">
        <v>18394</v>
      </c>
      <c r="G6735" s="39" t="s">
        <v>181</v>
      </c>
      <c r="H6735" s="33"/>
      <c r="I6735" s="33"/>
      <c r="J6735" s="33"/>
      <c r="K6735" s="33"/>
      <c r="L6735" s="33"/>
      <c r="M6735" s="33"/>
    </row>
    <row r="6736">
      <c r="A6736" s="32" t="s">
        <v>18395</v>
      </c>
      <c r="B6736" s="32" t="s">
        <v>18396</v>
      </c>
      <c r="C6736" s="35">
        <v>50.5821991</v>
      </c>
      <c r="D6736" s="35">
        <v>-126.9160004</v>
      </c>
      <c r="E6736" s="32" t="s">
        <v>94</v>
      </c>
      <c r="F6736" s="32" t="s">
        <v>18397</v>
      </c>
      <c r="G6736" s="36" t="e">
        <v>#N/A</v>
      </c>
      <c r="H6736" s="33"/>
      <c r="I6736" s="33"/>
      <c r="J6736" s="33"/>
      <c r="K6736" s="33"/>
      <c r="L6736" s="33"/>
      <c r="M6736" s="33"/>
    </row>
    <row r="6737">
      <c r="A6737" s="32" t="s">
        <v>18398</v>
      </c>
      <c r="B6737" s="32" t="s">
        <v>18399</v>
      </c>
      <c r="C6737" s="35">
        <v>46.48500061</v>
      </c>
      <c r="D6737" s="35">
        <v>-84.50939941</v>
      </c>
      <c r="E6737" s="32" t="s">
        <v>94</v>
      </c>
      <c r="F6737" s="32" t="s">
        <v>18400</v>
      </c>
      <c r="G6737" s="36" t="e">
        <v>#N/A</v>
      </c>
      <c r="H6737" s="33"/>
      <c r="I6737" s="33"/>
      <c r="J6737" s="33"/>
      <c r="K6737" s="33"/>
      <c r="L6737" s="33"/>
      <c r="M6737" s="33"/>
    </row>
    <row r="6738">
      <c r="A6738" s="32" t="s">
        <v>18401</v>
      </c>
      <c r="B6738" s="32" t="s">
        <v>18402</v>
      </c>
      <c r="C6738" s="35">
        <v>3.83604002</v>
      </c>
      <c r="D6738" s="35">
        <v>11.52350044</v>
      </c>
      <c r="E6738" s="32" t="s">
        <v>32</v>
      </c>
      <c r="F6738" s="32" t="s">
        <v>13041</v>
      </c>
      <c r="G6738" s="36" t="e">
        <v>#N/A</v>
      </c>
      <c r="H6738" s="33"/>
      <c r="I6738" s="33"/>
      <c r="J6738" s="33"/>
      <c r="K6738" s="33"/>
      <c r="L6738" s="33"/>
      <c r="M6738" s="33"/>
    </row>
    <row r="6739">
      <c r="A6739" s="32" t="s">
        <v>18403</v>
      </c>
      <c r="B6739" s="32" t="s">
        <v>18404</v>
      </c>
      <c r="C6739" s="35">
        <v>9.49891</v>
      </c>
      <c r="D6739" s="35">
        <v>138.082993</v>
      </c>
      <c r="E6739" s="32" t="s">
        <v>10468</v>
      </c>
      <c r="F6739" s="32" t="s">
        <v>18405</v>
      </c>
      <c r="G6739" s="36" t="e">
        <v>#N/A</v>
      </c>
      <c r="H6739" s="33"/>
      <c r="I6739" s="33"/>
      <c r="J6739" s="33"/>
      <c r="K6739" s="33"/>
      <c r="L6739" s="33"/>
      <c r="M6739" s="33"/>
    </row>
    <row r="6740">
      <c r="A6740" s="32" t="s">
        <v>18406</v>
      </c>
      <c r="B6740" s="32" t="s">
        <v>18407</v>
      </c>
      <c r="C6740" s="35">
        <v>52.92750168</v>
      </c>
      <c r="D6740" s="35">
        <v>-82.43190002</v>
      </c>
      <c r="E6740" s="32" t="s">
        <v>94</v>
      </c>
      <c r="F6740" s="32" t="s">
        <v>18408</v>
      </c>
      <c r="G6740" s="36" t="e">
        <v>#N/A</v>
      </c>
      <c r="H6740" s="33"/>
      <c r="I6740" s="33"/>
      <c r="J6740" s="33"/>
      <c r="K6740" s="33"/>
      <c r="L6740" s="33"/>
      <c r="M6740" s="33"/>
    </row>
    <row r="6741">
      <c r="A6741" s="32" t="s">
        <v>18409</v>
      </c>
      <c r="B6741" s="32" t="s">
        <v>18410</v>
      </c>
      <c r="C6741" s="35">
        <v>50.0564003</v>
      </c>
      <c r="D6741" s="35">
        <v>-97.03250122</v>
      </c>
      <c r="E6741" s="32" t="s">
        <v>94</v>
      </c>
      <c r="F6741" s="32" t="s">
        <v>18411</v>
      </c>
      <c r="G6741" s="36" t="e">
        <v>#N/A</v>
      </c>
      <c r="H6741" s="33"/>
      <c r="I6741" s="33"/>
      <c r="J6741" s="33"/>
      <c r="K6741" s="33"/>
      <c r="L6741" s="33"/>
      <c r="M6741" s="33"/>
    </row>
    <row r="6742">
      <c r="A6742" s="32" t="s">
        <v>18412</v>
      </c>
      <c r="B6742" s="32" t="s">
        <v>18413</v>
      </c>
      <c r="C6742" s="35">
        <v>44.63970184</v>
      </c>
      <c r="D6742" s="35">
        <v>-63.49940109</v>
      </c>
      <c r="E6742" s="32" t="s">
        <v>94</v>
      </c>
      <c r="F6742" s="32" t="s">
        <v>18414</v>
      </c>
      <c r="G6742" s="36" t="e">
        <v>#N/A</v>
      </c>
      <c r="H6742" s="33"/>
      <c r="I6742" s="33"/>
      <c r="J6742" s="33"/>
      <c r="K6742" s="33"/>
      <c r="L6742" s="33"/>
      <c r="M6742" s="33"/>
    </row>
    <row r="6743">
      <c r="A6743" s="32" t="s">
        <v>18415</v>
      </c>
      <c r="B6743" s="32" t="s">
        <v>18416</v>
      </c>
      <c r="C6743" s="35">
        <v>53.8492012</v>
      </c>
      <c r="D6743" s="35">
        <v>-89.57939911</v>
      </c>
      <c r="E6743" s="32" t="s">
        <v>94</v>
      </c>
      <c r="F6743" s="32" t="s">
        <v>18417</v>
      </c>
      <c r="G6743" s="36" t="e">
        <v>#N/A</v>
      </c>
      <c r="H6743" s="33"/>
      <c r="I6743" s="33"/>
      <c r="J6743" s="33"/>
      <c r="K6743" s="33"/>
      <c r="L6743" s="33"/>
      <c r="M6743" s="33"/>
    </row>
    <row r="6744">
      <c r="A6744" s="32" t="s">
        <v>18418</v>
      </c>
      <c r="B6744" s="32" t="s">
        <v>18419</v>
      </c>
      <c r="C6744" s="35">
        <v>51.39189911</v>
      </c>
      <c r="D6744" s="35">
        <v>-56.08309937</v>
      </c>
      <c r="E6744" s="32" t="s">
        <v>94</v>
      </c>
      <c r="F6744" s="32" t="s">
        <v>18420</v>
      </c>
      <c r="G6744" s="36" t="e">
        <v>#N/A</v>
      </c>
      <c r="H6744" s="33"/>
      <c r="I6744" s="33"/>
      <c r="J6744" s="33"/>
      <c r="K6744" s="33"/>
      <c r="L6744" s="33"/>
      <c r="M6744" s="33"/>
    </row>
    <row r="6745">
      <c r="A6745" s="32" t="s">
        <v>18421</v>
      </c>
      <c r="B6745" s="32" t="s">
        <v>18422</v>
      </c>
      <c r="C6745" s="35">
        <v>49.079833</v>
      </c>
      <c r="D6745" s="35">
        <v>-125.775583</v>
      </c>
      <c r="E6745" s="32" t="s">
        <v>94</v>
      </c>
      <c r="F6745" s="32" t="s">
        <v>18423</v>
      </c>
      <c r="G6745" s="36" t="e">
        <v>#N/A</v>
      </c>
      <c r="H6745" s="33"/>
      <c r="I6745" s="33"/>
      <c r="J6745" s="33"/>
      <c r="K6745" s="33"/>
      <c r="L6745" s="33"/>
      <c r="M6745" s="33"/>
    </row>
    <row r="6746">
      <c r="A6746" s="32" t="s">
        <v>18424</v>
      </c>
      <c r="B6746" s="32" t="s">
        <v>18425</v>
      </c>
      <c r="C6746" s="35">
        <v>51.20734047</v>
      </c>
      <c r="D6746" s="35">
        <v>-115.5418611</v>
      </c>
      <c r="E6746" s="32" t="s">
        <v>94</v>
      </c>
      <c r="F6746" s="32" t="s">
        <v>18426</v>
      </c>
      <c r="G6746" s="36" t="e">
        <v>#N/A</v>
      </c>
      <c r="H6746" s="33"/>
      <c r="I6746" s="33"/>
      <c r="J6746" s="33"/>
      <c r="K6746" s="33"/>
      <c r="L6746" s="33"/>
      <c r="M6746" s="33"/>
    </row>
    <row r="6747">
      <c r="A6747" s="32" t="s">
        <v>18427</v>
      </c>
      <c r="B6747" s="32" t="s">
        <v>18428</v>
      </c>
      <c r="C6747" s="35">
        <v>68.534401</v>
      </c>
      <c r="D6747" s="35">
        <v>-89.808098</v>
      </c>
      <c r="E6747" s="32" t="s">
        <v>94</v>
      </c>
      <c r="F6747" s="32" t="s">
        <v>18429</v>
      </c>
      <c r="G6747" s="36" t="e">
        <v>#N/A</v>
      </c>
      <c r="H6747" s="33"/>
      <c r="I6747" s="33"/>
      <c r="J6747" s="33"/>
      <c r="K6747" s="33"/>
      <c r="L6747" s="33"/>
      <c r="M6747" s="33"/>
    </row>
    <row r="6748">
      <c r="A6748" s="32" t="s">
        <v>18430</v>
      </c>
      <c r="B6748" s="32" t="s">
        <v>18431</v>
      </c>
      <c r="C6748" s="35">
        <v>49.13249969</v>
      </c>
      <c r="D6748" s="35">
        <v>-68.20439911</v>
      </c>
      <c r="E6748" s="32" t="s">
        <v>94</v>
      </c>
      <c r="F6748" s="32" t="s">
        <v>18432</v>
      </c>
      <c r="G6748" s="36" t="e">
        <v>#N/A</v>
      </c>
      <c r="H6748" s="33"/>
      <c r="I6748" s="33"/>
      <c r="J6748" s="33"/>
      <c r="K6748" s="33"/>
      <c r="L6748" s="33"/>
      <c r="M6748" s="33"/>
    </row>
    <row r="6749">
      <c r="A6749" s="32" t="s">
        <v>18433</v>
      </c>
      <c r="B6749" s="32" t="s">
        <v>18434</v>
      </c>
      <c r="C6749" s="35">
        <v>59.56140137</v>
      </c>
      <c r="D6749" s="35">
        <v>-108.4810028</v>
      </c>
      <c r="E6749" s="32" t="s">
        <v>94</v>
      </c>
      <c r="F6749" s="32" t="s">
        <v>18435</v>
      </c>
      <c r="G6749" s="36" t="e">
        <v>#N/A</v>
      </c>
      <c r="H6749" s="33"/>
      <c r="I6749" s="33"/>
      <c r="J6749" s="33"/>
      <c r="K6749" s="33"/>
      <c r="L6749" s="33"/>
      <c r="M6749" s="33"/>
    </row>
    <row r="6750">
      <c r="A6750" s="32" t="s">
        <v>18436</v>
      </c>
      <c r="B6750" s="32" t="s">
        <v>18437</v>
      </c>
      <c r="C6750" s="35">
        <v>48.33060074</v>
      </c>
      <c r="D6750" s="35">
        <v>-70.99639893</v>
      </c>
      <c r="E6750" s="32" t="s">
        <v>94</v>
      </c>
      <c r="F6750" s="32" t="s">
        <v>18438</v>
      </c>
      <c r="G6750" s="36" t="e">
        <v>#N/A</v>
      </c>
      <c r="H6750" s="33"/>
      <c r="I6750" s="33"/>
      <c r="J6750" s="33"/>
      <c r="K6750" s="33"/>
      <c r="L6750" s="33"/>
      <c r="M6750" s="33"/>
    </row>
    <row r="6751">
      <c r="A6751" s="32" t="s">
        <v>18439</v>
      </c>
      <c r="B6751" s="32" t="s">
        <v>18440</v>
      </c>
      <c r="C6751" s="35">
        <v>53.4693985</v>
      </c>
      <c r="D6751" s="35">
        <v>-55.78499985</v>
      </c>
      <c r="E6751" s="32" t="s">
        <v>94</v>
      </c>
      <c r="F6751" s="32" t="s">
        <v>18441</v>
      </c>
      <c r="G6751" s="36" t="e">
        <v>#N/A</v>
      </c>
      <c r="H6751" s="33"/>
      <c r="I6751" s="33"/>
      <c r="J6751" s="33"/>
      <c r="K6751" s="33"/>
      <c r="L6751" s="33"/>
      <c r="M6751" s="33"/>
    </row>
    <row r="6752">
      <c r="A6752" s="32" t="s">
        <v>18442</v>
      </c>
      <c r="B6752" s="32" t="s">
        <v>18443</v>
      </c>
      <c r="C6752" s="35">
        <v>64.29889679</v>
      </c>
      <c r="D6752" s="35">
        <v>-96.07779694</v>
      </c>
      <c r="E6752" s="32" t="s">
        <v>94</v>
      </c>
      <c r="F6752" s="32" t="s">
        <v>18444</v>
      </c>
      <c r="G6752" s="36" t="e">
        <v>#N/A</v>
      </c>
      <c r="H6752" s="33"/>
      <c r="I6752" s="33"/>
      <c r="J6752" s="33"/>
      <c r="K6752" s="33"/>
      <c r="L6752" s="33"/>
      <c r="M6752" s="33"/>
    </row>
    <row r="6753">
      <c r="A6753" s="32" t="s">
        <v>18445</v>
      </c>
      <c r="B6753" s="32" t="s">
        <v>18446</v>
      </c>
      <c r="C6753" s="35">
        <v>49.95080185</v>
      </c>
      <c r="D6753" s="35">
        <v>-125.2710037</v>
      </c>
      <c r="E6753" s="32" t="s">
        <v>94</v>
      </c>
      <c r="F6753" s="32" t="s">
        <v>18447</v>
      </c>
      <c r="G6753" s="36" t="e">
        <v>#N/A</v>
      </c>
      <c r="H6753" s="33"/>
      <c r="I6753" s="33"/>
      <c r="J6753" s="33"/>
      <c r="K6753" s="33"/>
      <c r="L6753" s="33"/>
      <c r="M6753" s="33"/>
    </row>
    <row r="6754">
      <c r="A6754" s="32" t="s">
        <v>18448</v>
      </c>
      <c r="B6754" s="32" t="s">
        <v>18449</v>
      </c>
      <c r="C6754" s="35">
        <v>56.96670151</v>
      </c>
      <c r="D6754" s="35">
        <v>-130.25</v>
      </c>
      <c r="E6754" s="32" t="s">
        <v>94</v>
      </c>
      <c r="F6754" s="32" t="s">
        <v>18450</v>
      </c>
      <c r="G6754" s="36" t="e">
        <v>#N/A</v>
      </c>
      <c r="H6754" s="33"/>
      <c r="I6754" s="33"/>
      <c r="J6754" s="33"/>
      <c r="K6754" s="33"/>
      <c r="L6754" s="33"/>
      <c r="M6754" s="33"/>
    </row>
    <row r="6755">
      <c r="A6755" s="32" t="s">
        <v>18451</v>
      </c>
      <c r="B6755" s="32" t="s">
        <v>18452</v>
      </c>
      <c r="C6755" s="35">
        <v>28.80055556</v>
      </c>
      <c r="D6755" s="35">
        <v>104.545</v>
      </c>
      <c r="E6755" s="32" t="s">
        <v>205</v>
      </c>
      <c r="F6755" s="32" t="s">
        <v>18453</v>
      </c>
      <c r="G6755" s="39" t="s">
        <v>206</v>
      </c>
      <c r="H6755" s="33"/>
      <c r="I6755" s="33"/>
      <c r="J6755" s="33"/>
      <c r="K6755" s="33"/>
      <c r="L6755" s="33"/>
      <c r="M6755" s="33"/>
    </row>
    <row r="6756">
      <c r="A6756" s="32" t="s">
        <v>18454</v>
      </c>
      <c r="B6756" s="32" t="s">
        <v>18455</v>
      </c>
      <c r="C6756" s="35">
        <v>49.91</v>
      </c>
      <c r="D6756" s="35">
        <v>-99.951897</v>
      </c>
      <c r="E6756" s="32" t="s">
        <v>94</v>
      </c>
      <c r="F6756" s="32" t="s">
        <v>18456</v>
      </c>
      <c r="G6756" s="36" t="e">
        <v>#N/A</v>
      </c>
      <c r="H6756" s="33"/>
      <c r="I6756" s="33"/>
      <c r="J6756" s="33"/>
      <c r="K6756" s="33"/>
      <c r="L6756" s="33"/>
      <c r="M6756" s="33"/>
    </row>
    <row r="6757">
      <c r="A6757" s="32" t="s">
        <v>18457</v>
      </c>
      <c r="B6757" s="32" t="s">
        <v>18458</v>
      </c>
      <c r="C6757" s="35">
        <v>57.8894</v>
      </c>
      <c r="D6757" s="35">
        <v>-101.679001</v>
      </c>
      <c r="E6757" s="32" t="s">
        <v>94</v>
      </c>
      <c r="F6757" s="32" t="s">
        <v>18459</v>
      </c>
      <c r="G6757" s="36" t="e">
        <v>#N/A</v>
      </c>
      <c r="H6757" s="33"/>
      <c r="I6757" s="33"/>
      <c r="J6757" s="33"/>
      <c r="K6757" s="33"/>
      <c r="L6757" s="33"/>
      <c r="M6757" s="33"/>
    </row>
    <row r="6758">
      <c r="A6758" s="32" t="s">
        <v>18460</v>
      </c>
      <c r="B6758" s="32" t="s">
        <v>18461</v>
      </c>
      <c r="C6758" s="35">
        <v>53.33250046</v>
      </c>
      <c r="D6758" s="35">
        <v>-104.0080032</v>
      </c>
      <c r="E6758" s="32" t="s">
        <v>94</v>
      </c>
      <c r="F6758" s="32" t="s">
        <v>18462</v>
      </c>
      <c r="G6758" s="36" t="e">
        <v>#N/A</v>
      </c>
      <c r="H6758" s="33"/>
      <c r="I6758" s="33"/>
      <c r="J6758" s="33"/>
      <c r="K6758" s="33"/>
      <c r="L6758" s="33"/>
      <c r="M6758" s="33"/>
    </row>
    <row r="6759">
      <c r="A6759" s="32" t="s">
        <v>18463</v>
      </c>
      <c r="B6759" s="32" t="s">
        <v>18464</v>
      </c>
      <c r="C6759" s="35">
        <v>52.358898</v>
      </c>
      <c r="D6759" s="35">
        <v>-97.018303</v>
      </c>
      <c r="E6759" s="32" t="s">
        <v>94</v>
      </c>
      <c r="F6759" s="32" t="s">
        <v>18465</v>
      </c>
      <c r="G6759" s="36" t="e">
        <v>#N/A</v>
      </c>
      <c r="H6759" s="33"/>
      <c r="I6759" s="33"/>
      <c r="J6759" s="33"/>
      <c r="K6759" s="33"/>
      <c r="L6759" s="33"/>
      <c r="M6759" s="33"/>
    </row>
    <row r="6760">
      <c r="A6760" s="32" t="s">
        <v>18466</v>
      </c>
      <c r="B6760" s="32" t="s">
        <v>18467</v>
      </c>
      <c r="C6760" s="35">
        <v>48.75</v>
      </c>
      <c r="D6760" s="35">
        <v>-123.2330017</v>
      </c>
      <c r="E6760" s="32" t="s">
        <v>94</v>
      </c>
      <c r="F6760" s="32" t="s">
        <v>18468</v>
      </c>
      <c r="G6760" s="36" t="e">
        <v>#N/A</v>
      </c>
      <c r="H6760" s="33"/>
      <c r="I6760" s="33"/>
      <c r="J6760" s="33"/>
      <c r="K6760" s="33"/>
      <c r="L6760" s="33"/>
      <c r="M6760" s="33"/>
    </row>
    <row r="6761">
      <c r="A6761" s="32" t="s">
        <v>18469</v>
      </c>
      <c r="B6761" s="32" t="s">
        <v>18470</v>
      </c>
      <c r="C6761" s="35">
        <v>51.4435997</v>
      </c>
      <c r="D6761" s="35">
        <v>-57.18529892</v>
      </c>
      <c r="E6761" s="32" t="s">
        <v>94</v>
      </c>
      <c r="F6761" s="32" t="s">
        <v>18471</v>
      </c>
      <c r="G6761" s="36" t="e">
        <v>#N/A</v>
      </c>
      <c r="H6761" s="33"/>
      <c r="I6761" s="33"/>
      <c r="J6761" s="33"/>
      <c r="K6761" s="33"/>
      <c r="L6761" s="33"/>
      <c r="M6761" s="33"/>
    </row>
    <row r="6762">
      <c r="A6762" s="32" t="s">
        <v>18472</v>
      </c>
      <c r="B6762" s="32" t="s">
        <v>18473</v>
      </c>
      <c r="C6762" s="35">
        <v>54.304199</v>
      </c>
      <c r="D6762" s="35">
        <v>-110.744003</v>
      </c>
      <c r="E6762" s="32" t="s">
        <v>94</v>
      </c>
      <c r="F6762" s="32" t="s">
        <v>18474</v>
      </c>
      <c r="G6762" s="36" t="e">
        <v>#N/A</v>
      </c>
      <c r="H6762" s="33"/>
      <c r="I6762" s="33"/>
      <c r="J6762" s="33"/>
      <c r="K6762" s="33"/>
      <c r="L6762" s="33"/>
      <c r="M6762" s="33"/>
    </row>
    <row r="6763">
      <c r="A6763" s="32" t="s">
        <v>18475</v>
      </c>
      <c r="B6763" s="32" t="s">
        <v>18476</v>
      </c>
      <c r="C6763" s="35">
        <v>69.10810089</v>
      </c>
      <c r="D6763" s="35">
        <v>-105.1380005</v>
      </c>
      <c r="E6763" s="32" t="s">
        <v>94</v>
      </c>
      <c r="F6763" s="32" t="s">
        <v>18477</v>
      </c>
      <c r="G6763" s="36" t="e">
        <v>#N/A</v>
      </c>
      <c r="H6763" s="33"/>
      <c r="I6763" s="33"/>
      <c r="J6763" s="33"/>
      <c r="K6763" s="33"/>
      <c r="L6763" s="33"/>
      <c r="M6763" s="33"/>
    </row>
    <row r="6764">
      <c r="A6764" s="32" t="s">
        <v>18478</v>
      </c>
      <c r="B6764" s="32" t="s">
        <v>18479</v>
      </c>
      <c r="C6764" s="35">
        <v>45.09280014</v>
      </c>
      <c r="D6764" s="35">
        <v>-74.56330109</v>
      </c>
      <c r="E6764" s="32" t="s">
        <v>94</v>
      </c>
      <c r="F6764" s="32" t="s">
        <v>18480</v>
      </c>
      <c r="G6764" s="36" t="e">
        <v>#N/A</v>
      </c>
      <c r="H6764" s="33"/>
      <c r="I6764" s="33"/>
      <c r="J6764" s="33"/>
      <c r="K6764" s="33"/>
      <c r="L6764" s="33"/>
      <c r="M6764" s="33"/>
    </row>
    <row r="6765">
      <c r="A6765" s="32" t="s">
        <v>18481</v>
      </c>
      <c r="B6765" s="32" t="s">
        <v>18482</v>
      </c>
      <c r="C6765" s="35">
        <v>49.05497022</v>
      </c>
      <c r="D6765" s="35">
        <v>-123.8698626</v>
      </c>
      <c r="E6765" s="32" t="s">
        <v>94</v>
      </c>
      <c r="F6765" s="32" t="s">
        <v>18483</v>
      </c>
      <c r="G6765" s="36" t="e">
        <v>#N/A</v>
      </c>
      <c r="H6765" s="33"/>
      <c r="I6765" s="33"/>
      <c r="J6765" s="33"/>
      <c r="K6765" s="33"/>
      <c r="L6765" s="33"/>
      <c r="M6765" s="33"/>
    </row>
    <row r="6766">
      <c r="A6766" s="32" t="s">
        <v>18484</v>
      </c>
      <c r="B6766" s="32" t="s">
        <v>18485</v>
      </c>
      <c r="C6766" s="35">
        <v>43.285599</v>
      </c>
      <c r="D6766" s="35">
        <v>-81.508301</v>
      </c>
      <c r="E6766" s="32" t="s">
        <v>94</v>
      </c>
      <c r="F6766" s="32" t="s">
        <v>18486</v>
      </c>
      <c r="G6766" s="36" t="e">
        <v>#N/A</v>
      </c>
      <c r="H6766" s="33"/>
      <c r="I6766" s="33"/>
      <c r="J6766" s="33"/>
      <c r="K6766" s="33"/>
      <c r="L6766" s="33"/>
      <c r="M6766" s="33"/>
    </row>
    <row r="6767">
      <c r="A6767" s="32" t="s">
        <v>18487</v>
      </c>
      <c r="B6767" s="32" t="s">
        <v>18488</v>
      </c>
      <c r="C6767" s="35">
        <v>49.29639816</v>
      </c>
      <c r="D6767" s="35">
        <v>-117.6320038</v>
      </c>
      <c r="E6767" s="32" t="s">
        <v>94</v>
      </c>
      <c r="F6767" s="32" t="s">
        <v>18489</v>
      </c>
      <c r="G6767" s="36" t="e">
        <v>#N/A</v>
      </c>
      <c r="H6767" s="33"/>
      <c r="I6767" s="33"/>
      <c r="J6767" s="33"/>
      <c r="K6767" s="33"/>
      <c r="L6767" s="33"/>
      <c r="M6767" s="33"/>
    </row>
    <row r="6768">
      <c r="A6768" s="32" t="s">
        <v>18490</v>
      </c>
      <c r="B6768" s="32" t="s">
        <v>18491</v>
      </c>
      <c r="C6768" s="35">
        <v>47.007801</v>
      </c>
      <c r="D6768" s="35">
        <v>-65.449203</v>
      </c>
      <c r="E6768" s="32" t="s">
        <v>94</v>
      </c>
      <c r="F6768" s="32" t="s">
        <v>18492</v>
      </c>
      <c r="G6768" s="36" t="e">
        <v>#N/A</v>
      </c>
      <c r="H6768" s="33"/>
      <c r="I6768" s="33"/>
      <c r="J6768" s="33"/>
      <c r="K6768" s="33"/>
      <c r="L6768" s="33"/>
      <c r="M6768" s="33"/>
    </row>
    <row r="6769">
      <c r="A6769" s="32" t="s">
        <v>18493</v>
      </c>
      <c r="B6769" s="32" t="s">
        <v>18494</v>
      </c>
      <c r="C6769" s="35">
        <v>67.0392</v>
      </c>
      <c r="D6769" s="35">
        <v>-126.08</v>
      </c>
      <c r="E6769" s="32" t="s">
        <v>94</v>
      </c>
      <c r="F6769" s="32" t="s">
        <v>18495</v>
      </c>
      <c r="G6769" s="36" t="e">
        <v>#N/A</v>
      </c>
      <c r="H6769" s="33"/>
      <c r="I6769" s="33"/>
      <c r="J6769" s="33"/>
      <c r="K6769" s="33"/>
      <c r="L6769" s="33"/>
      <c r="M6769" s="33"/>
    </row>
    <row r="6770">
      <c r="A6770" s="32" t="s">
        <v>18496</v>
      </c>
      <c r="B6770" s="32" t="s">
        <v>18497</v>
      </c>
      <c r="C6770" s="35">
        <v>47.990799</v>
      </c>
      <c r="D6770" s="35">
        <v>-66.330299</v>
      </c>
      <c r="E6770" s="32" t="s">
        <v>94</v>
      </c>
      <c r="F6770" s="32" t="s">
        <v>18498</v>
      </c>
      <c r="G6770" s="36" t="e">
        <v>#N/A</v>
      </c>
      <c r="H6770" s="33"/>
      <c r="I6770" s="33"/>
      <c r="J6770" s="33"/>
      <c r="K6770" s="33"/>
      <c r="L6770" s="33"/>
      <c r="M6770" s="33"/>
    </row>
    <row r="6771">
      <c r="A6771" s="32" t="s">
        <v>18499</v>
      </c>
      <c r="B6771" s="32" t="s">
        <v>18500</v>
      </c>
      <c r="C6771" s="35">
        <v>43.19169998</v>
      </c>
      <c r="D6771" s="35">
        <v>-79.17169952</v>
      </c>
      <c r="E6771" s="32" t="s">
        <v>94</v>
      </c>
      <c r="F6771" s="32" t="s">
        <v>18501</v>
      </c>
      <c r="G6771" s="36" t="e">
        <v>#N/A</v>
      </c>
      <c r="H6771" s="33"/>
      <c r="I6771" s="33"/>
      <c r="J6771" s="33"/>
      <c r="K6771" s="33"/>
      <c r="L6771" s="33"/>
      <c r="M6771" s="33"/>
    </row>
    <row r="6772">
      <c r="A6772" s="32" t="s">
        <v>18502</v>
      </c>
      <c r="B6772" s="32" t="s">
        <v>10977</v>
      </c>
      <c r="C6772" s="35">
        <v>49.10559845</v>
      </c>
      <c r="D6772" s="35">
        <v>-81.01360321</v>
      </c>
      <c r="E6772" s="32" t="s">
        <v>94</v>
      </c>
      <c r="F6772" s="32" t="s">
        <v>10978</v>
      </c>
      <c r="G6772" s="36" t="e">
        <v>#N/A</v>
      </c>
      <c r="H6772" s="33"/>
      <c r="I6772" s="33"/>
      <c r="J6772" s="33"/>
      <c r="K6772" s="33"/>
      <c r="L6772" s="33"/>
      <c r="M6772" s="33"/>
    </row>
    <row r="6773">
      <c r="A6773" s="32" t="s">
        <v>18503</v>
      </c>
      <c r="B6773" s="32" t="s">
        <v>18504</v>
      </c>
      <c r="C6773" s="35">
        <v>67.8167038</v>
      </c>
      <c r="D6773" s="35">
        <v>-115.1439972</v>
      </c>
      <c r="E6773" s="32" t="s">
        <v>94</v>
      </c>
      <c r="F6773" s="32" t="s">
        <v>18505</v>
      </c>
      <c r="G6773" s="36" t="e">
        <v>#N/A</v>
      </c>
      <c r="H6773" s="33"/>
      <c r="I6773" s="33"/>
      <c r="J6773" s="33"/>
      <c r="K6773" s="33"/>
      <c r="L6773" s="33"/>
      <c r="M6773" s="33"/>
    </row>
    <row r="6774">
      <c r="A6774" s="32" t="s">
        <v>18506</v>
      </c>
      <c r="B6774" s="32" t="s">
        <v>18507</v>
      </c>
      <c r="C6774" s="35">
        <v>52.11669922</v>
      </c>
      <c r="D6774" s="35">
        <v>-119.2829971</v>
      </c>
      <c r="E6774" s="32" t="s">
        <v>94</v>
      </c>
      <c r="F6774" s="32" t="s">
        <v>18508</v>
      </c>
      <c r="G6774" s="36" t="e">
        <v>#N/A</v>
      </c>
      <c r="H6774" s="33"/>
      <c r="I6774" s="33"/>
      <c r="J6774" s="33"/>
      <c r="K6774" s="33"/>
      <c r="L6774" s="33"/>
      <c r="M6774" s="33"/>
    </row>
    <row r="6775">
      <c r="A6775" s="32" t="s">
        <v>18509</v>
      </c>
      <c r="B6775" s="32" t="s">
        <v>18510</v>
      </c>
      <c r="C6775" s="35">
        <v>55.68719864</v>
      </c>
      <c r="D6775" s="35">
        <v>-121.6269989</v>
      </c>
      <c r="E6775" s="32" t="s">
        <v>94</v>
      </c>
      <c r="F6775" s="32" t="s">
        <v>18511</v>
      </c>
      <c r="G6775" s="36" t="e">
        <v>#N/A</v>
      </c>
      <c r="H6775" s="33"/>
      <c r="I6775" s="33"/>
      <c r="J6775" s="33"/>
      <c r="K6775" s="33"/>
      <c r="L6775" s="33"/>
      <c r="M6775" s="33"/>
    </row>
    <row r="6776">
      <c r="A6776" s="32" t="s">
        <v>18512</v>
      </c>
      <c r="B6776" s="32" t="s">
        <v>18513</v>
      </c>
      <c r="C6776" s="35">
        <v>54.61059952</v>
      </c>
      <c r="D6776" s="35">
        <v>-97.76080322</v>
      </c>
      <c r="E6776" s="32" t="s">
        <v>94</v>
      </c>
      <c r="F6776" s="32" t="s">
        <v>18514</v>
      </c>
      <c r="G6776" s="36" t="e">
        <v>#N/A</v>
      </c>
      <c r="H6776" s="33"/>
      <c r="I6776" s="33"/>
      <c r="J6776" s="33"/>
      <c r="K6776" s="33"/>
      <c r="L6776" s="33"/>
      <c r="M6776" s="33"/>
    </row>
    <row r="6777">
      <c r="A6777" s="32" t="s">
        <v>18515</v>
      </c>
      <c r="B6777" s="32" t="s">
        <v>18516</v>
      </c>
      <c r="C6777" s="35">
        <v>63.34690094</v>
      </c>
      <c r="D6777" s="35">
        <v>-90.73110199</v>
      </c>
      <c r="E6777" s="32" t="s">
        <v>94</v>
      </c>
      <c r="F6777" s="32" t="s">
        <v>18517</v>
      </c>
      <c r="G6777" s="36" t="e">
        <v>#N/A</v>
      </c>
      <c r="H6777" s="33"/>
      <c r="I6777" s="33"/>
      <c r="J6777" s="33"/>
      <c r="K6777" s="33"/>
      <c r="L6777" s="33"/>
      <c r="M6777" s="33"/>
    </row>
    <row r="6778">
      <c r="A6778" s="32" t="s">
        <v>18518</v>
      </c>
      <c r="B6778" s="32" t="s">
        <v>18519</v>
      </c>
      <c r="C6778" s="35">
        <v>52.07500076</v>
      </c>
      <c r="D6778" s="35">
        <v>-111.4449997</v>
      </c>
      <c r="E6778" s="32" t="s">
        <v>94</v>
      </c>
      <c r="F6778" s="32" t="s">
        <v>18520</v>
      </c>
      <c r="G6778" s="36" t="e">
        <v>#N/A</v>
      </c>
      <c r="H6778" s="33"/>
      <c r="I6778" s="33"/>
      <c r="J6778" s="33"/>
      <c r="K6778" s="33"/>
      <c r="L6778" s="33"/>
      <c r="M6778" s="33"/>
    </row>
    <row r="6779">
      <c r="A6779" s="32" t="s">
        <v>18521</v>
      </c>
      <c r="B6779" s="32" t="s">
        <v>18522</v>
      </c>
      <c r="C6779" s="35">
        <v>35.116391</v>
      </c>
      <c r="D6779" s="35">
        <v>111.0313889</v>
      </c>
      <c r="E6779" s="32" t="s">
        <v>205</v>
      </c>
      <c r="F6779" s="32" t="s">
        <v>18523</v>
      </c>
      <c r="G6779" s="39" t="s">
        <v>206</v>
      </c>
      <c r="H6779" s="33"/>
      <c r="I6779" s="33"/>
      <c r="J6779" s="33"/>
      <c r="K6779" s="33"/>
      <c r="L6779" s="33"/>
      <c r="M6779" s="33"/>
    </row>
    <row r="6780">
      <c r="A6780" s="32" t="s">
        <v>18524</v>
      </c>
      <c r="B6780" s="32" t="s">
        <v>18525</v>
      </c>
      <c r="C6780" s="35">
        <v>49.15280151</v>
      </c>
      <c r="D6780" s="35">
        <v>-121.939003</v>
      </c>
      <c r="E6780" s="32" t="s">
        <v>94</v>
      </c>
      <c r="F6780" s="32" t="s">
        <v>18526</v>
      </c>
      <c r="G6780" s="36" t="e">
        <v>#N/A</v>
      </c>
      <c r="H6780" s="33"/>
      <c r="I6780" s="33"/>
      <c r="J6780" s="33"/>
      <c r="K6780" s="33"/>
      <c r="L6780" s="33"/>
      <c r="M6780" s="33"/>
    </row>
    <row r="6781">
      <c r="A6781" s="32" t="s">
        <v>18527</v>
      </c>
      <c r="B6781" s="32" t="s">
        <v>18528</v>
      </c>
      <c r="C6781" s="35">
        <v>70.48609924</v>
      </c>
      <c r="D6781" s="35">
        <v>-68.51670074</v>
      </c>
      <c r="E6781" s="32" t="s">
        <v>94</v>
      </c>
      <c r="F6781" s="32" t="s">
        <v>18529</v>
      </c>
      <c r="G6781" s="36" t="e">
        <v>#N/A</v>
      </c>
      <c r="H6781" s="33"/>
      <c r="I6781" s="33"/>
      <c r="J6781" s="33"/>
      <c r="K6781" s="33"/>
      <c r="L6781" s="33"/>
      <c r="M6781" s="33"/>
    </row>
    <row r="6782">
      <c r="A6782" s="32" t="s">
        <v>18530</v>
      </c>
      <c r="B6782" s="32" t="s">
        <v>18531</v>
      </c>
      <c r="C6782" s="35">
        <v>64.04309845</v>
      </c>
      <c r="D6782" s="35">
        <v>-139.128006</v>
      </c>
      <c r="E6782" s="32" t="s">
        <v>94</v>
      </c>
      <c r="F6782" s="32" t="s">
        <v>18532</v>
      </c>
      <c r="G6782" s="36" t="e">
        <v>#N/A</v>
      </c>
      <c r="H6782" s="33"/>
      <c r="I6782" s="33"/>
      <c r="J6782" s="33"/>
      <c r="K6782" s="33"/>
      <c r="L6782" s="33"/>
      <c r="M6782" s="33"/>
    </row>
    <row r="6783">
      <c r="A6783" s="32" t="s">
        <v>18533</v>
      </c>
      <c r="B6783" s="32" t="s">
        <v>18534</v>
      </c>
      <c r="C6783" s="35">
        <v>61.37110138</v>
      </c>
      <c r="D6783" s="35">
        <v>-139.0410004</v>
      </c>
      <c r="E6783" s="32" t="s">
        <v>94</v>
      </c>
      <c r="F6783" s="32" t="s">
        <v>18535</v>
      </c>
      <c r="G6783" s="36" t="e">
        <v>#N/A</v>
      </c>
      <c r="H6783" s="33"/>
      <c r="I6783" s="33"/>
      <c r="J6783" s="33"/>
      <c r="K6783" s="33"/>
      <c r="L6783" s="33"/>
      <c r="M6783" s="33"/>
    </row>
    <row r="6784">
      <c r="A6784" s="32" t="s">
        <v>18536</v>
      </c>
      <c r="B6784" s="32" t="s">
        <v>18537</v>
      </c>
      <c r="C6784" s="35">
        <v>49.4681015</v>
      </c>
      <c r="D6784" s="35">
        <v>-120.5110016</v>
      </c>
      <c r="E6784" s="32" t="s">
        <v>94</v>
      </c>
      <c r="F6784" s="32" t="s">
        <v>14160</v>
      </c>
      <c r="G6784" s="36" t="e">
        <v>#N/A</v>
      </c>
      <c r="H6784" s="33"/>
      <c r="I6784" s="33"/>
      <c r="J6784" s="33"/>
      <c r="K6784" s="33"/>
      <c r="L6784" s="33"/>
      <c r="M6784" s="33"/>
    </row>
    <row r="6785">
      <c r="A6785" s="32" t="s">
        <v>18538</v>
      </c>
      <c r="B6785" s="32" t="s">
        <v>18539</v>
      </c>
      <c r="C6785" s="35">
        <v>49.21080017</v>
      </c>
      <c r="D6785" s="35">
        <v>-57.39139938</v>
      </c>
      <c r="E6785" s="32" t="s">
        <v>94</v>
      </c>
      <c r="F6785" s="32" t="s">
        <v>18540</v>
      </c>
      <c r="G6785" s="36" t="e">
        <v>#N/A</v>
      </c>
      <c r="H6785" s="33"/>
      <c r="I6785" s="33"/>
      <c r="J6785" s="33"/>
      <c r="K6785" s="33"/>
      <c r="L6785" s="33"/>
      <c r="M6785" s="33"/>
    </row>
    <row r="6786">
      <c r="A6786" s="32" t="s">
        <v>18541</v>
      </c>
      <c r="B6786" s="32" t="s">
        <v>18542</v>
      </c>
      <c r="C6786" s="35">
        <v>44.54584504</v>
      </c>
      <c r="D6786" s="35">
        <v>-65.78542471</v>
      </c>
      <c r="E6786" s="32" t="s">
        <v>94</v>
      </c>
      <c r="F6786" s="32" t="s">
        <v>18543</v>
      </c>
      <c r="G6786" s="36" t="e">
        <v>#N/A</v>
      </c>
      <c r="H6786" s="33"/>
      <c r="I6786" s="33"/>
      <c r="J6786" s="33"/>
      <c r="K6786" s="33"/>
      <c r="L6786" s="33"/>
      <c r="M6786" s="33"/>
    </row>
    <row r="6787">
      <c r="A6787" s="32" t="s">
        <v>18544</v>
      </c>
      <c r="B6787" s="32" t="s">
        <v>18545</v>
      </c>
      <c r="C6787" s="35">
        <v>58.42219925</v>
      </c>
      <c r="D6787" s="35">
        <v>-130.0319977</v>
      </c>
      <c r="E6787" s="32" t="s">
        <v>94</v>
      </c>
      <c r="F6787" s="32" t="s">
        <v>18546</v>
      </c>
      <c r="G6787" s="36" t="e">
        <v>#N/A</v>
      </c>
      <c r="H6787" s="33"/>
      <c r="I6787" s="33"/>
      <c r="J6787" s="33"/>
      <c r="K6787" s="33"/>
      <c r="L6787" s="33"/>
      <c r="M6787" s="33"/>
    </row>
    <row r="6788">
      <c r="A6788" s="32" t="s">
        <v>18547</v>
      </c>
      <c r="B6788" s="32" t="s">
        <v>18548</v>
      </c>
      <c r="C6788" s="35">
        <v>51.10079956</v>
      </c>
      <c r="D6788" s="35">
        <v>-100.052002</v>
      </c>
      <c r="E6788" s="32" t="s">
        <v>94</v>
      </c>
      <c r="F6788" s="32" t="s">
        <v>18549</v>
      </c>
      <c r="G6788" s="36" t="e">
        <v>#N/A</v>
      </c>
      <c r="H6788" s="33"/>
      <c r="I6788" s="33"/>
      <c r="J6788" s="33"/>
      <c r="K6788" s="33"/>
      <c r="L6788" s="33"/>
      <c r="M6788" s="33"/>
    </row>
    <row r="6789">
      <c r="A6789" s="32" t="s">
        <v>18550</v>
      </c>
      <c r="B6789" s="32" t="s">
        <v>18551</v>
      </c>
      <c r="C6789" s="35">
        <v>48.7784996</v>
      </c>
      <c r="D6789" s="35">
        <v>-72.375</v>
      </c>
      <c r="E6789" s="32" t="s">
        <v>94</v>
      </c>
      <c r="F6789" s="32" t="s">
        <v>18552</v>
      </c>
      <c r="G6789" s="36" t="e">
        <v>#N/A</v>
      </c>
      <c r="H6789" s="33"/>
      <c r="I6789" s="33"/>
      <c r="J6789" s="33"/>
      <c r="K6789" s="33"/>
      <c r="L6789" s="33"/>
      <c r="M6789" s="33"/>
    </row>
    <row r="6790">
      <c r="A6790" s="32" t="s">
        <v>18553</v>
      </c>
      <c r="B6790" s="32" t="s">
        <v>18554</v>
      </c>
      <c r="C6790" s="35">
        <v>56.54919815</v>
      </c>
      <c r="D6790" s="35">
        <v>-61.68030167</v>
      </c>
      <c r="E6790" s="32" t="s">
        <v>94</v>
      </c>
      <c r="F6790" s="32" t="s">
        <v>18555</v>
      </c>
      <c r="G6790" s="36" t="e">
        <v>#N/A</v>
      </c>
      <c r="H6790" s="33"/>
      <c r="I6790" s="33"/>
      <c r="J6790" s="33"/>
      <c r="K6790" s="33"/>
      <c r="L6790" s="33"/>
      <c r="M6790" s="33"/>
    </row>
    <row r="6791">
      <c r="A6791" s="32" t="s">
        <v>18556</v>
      </c>
      <c r="B6791" s="32" t="s">
        <v>18557</v>
      </c>
      <c r="C6791" s="35">
        <v>55.74229813</v>
      </c>
      <c r="D6791" s="35">
        <v>-120.1829987</v>
      </c>
      <c r="E6791" s="32" t="s">
        <v>94</v>
      </c>
      <c r="F6791" s="32" t="s">
        <v>18558</v>
      </c>
      <c r="G6791" s="36" t="e">
        <v>#N/A</v>
      </c>
      <c r="H6791" s="33"/>
      <c r="I6791" s="33"/>
      <c r="J6791" s="33"/>
      <c r="K6791" s="33"/>
      <c r="L6791" s="33"/>
      <c r="M6791" s="33"/>
    </row>
    <row r="6792">
      <c r="A6792" s="32" t="s">
        <v>18559</v>
      </c>
      <c r="B6792" s="32" t="s">
        <v>18560</v>
      </c>
      <c r="C6792" s="35">
        <v>49.07419968</v>
      </c>
      <c r="D6792" s="35">
        <v>-123.012001</v>
      </c>
      <c r="E6792" s="32" t="s">
        <v>94</v>
      </c>
      <c r="F6792" s="32" t="s">
        <v>18561</v>
      </c>
      <c r="G6792" s="36" t="e">
        <v>#N/A</v>
      </c>
      <c r="H6792" s="33"/>
      <c r="I6792" s="33"/>
      <c r="J6792" s="33"/>
      <c r="K6792" s="33"/>
      <c r="L6792" s="33"/>
      <c r="M6792" s="33"/>
    </row>
    <row r="6793">
      <c r="A6793" s="32" t="s">
        <v>18562</v>
      </c>
      <c r="B6793" s="32" t="s">
        <v>18563</v>
      </c>
      <c r="C6793" s="35">
        <v>36.63190079</v>
      </c>
      <c r="D6793" s="35">
        <v>128.3549957</v>
      </c>
      <c r="E6793" s="32" t="s">
        <v>151</v>
      </c>
      <c r="F6793" s="32" t="s">
        <v>18564</v>
      </c>
      <c r="G6793" s="39" t="s">
        <v>152</v>
      </c>
      <c r="H6793" s="33"/>
      <c r="I6793" s="33"/>
      <c r="J6793" s="33"/>
      <c r="K6793" s="33"/>
      <c r="L6793" s="33"/>
      <c r="M6793" s="33"/>
    </row>
    <row r="6794">
      <c r="A6794" s="32" t="s">
        <v>18565</v>
      </c>
      <c r="B6794" s="32" t="s">
        <v>18566</v>
      </c>
      <c r="C6794" s="35">
        <v>44.68330002</v>
      </c>
      <c r="D6794" s="35">
        <v>-79.92829895</v>
      </c>
      <c r="E6794" s="32" t="s">
        <v>94</v>
      </c>
      <c r="F6794" s="32" t="s">
        <v>11553</v>
      </c>
      <c r="G6794" s="36" t="e">
        <v>#N/A</v>
      </c>
      <c r="H6794" s="33"/>
      <c r="I6794" s="33"/>
      <c r="J6794" s="33"/>
      <c r="K6794" s="33"/>
      <c r="L6794" s="33"/>
      <c r="M6794" s="33"/>
    </row>
    <row r="6795">
      <c r="A6795" s="32" t="s">
        <v>18567</v>
      </c>
      <c r="B6795" s="32" t="s">
        <v>18568</v>
      </c>
      <c r="C6795" s="35">
        <v>53.30970001</v>
      </c>
      <c r="D6795" s="35">
        <v>-113.5800018</v>
      </c>
      <c r="E6795" s="32" t="s">
        <v>94</v>
      </c>
      <c r="F6795" s="32" t="s">
        <v>18569</v>
      </c>
      <c r="G6795" s="36" t="e">
        <v>#N/A</v>
      </c>
      <c r="H6795" s="33"/>
      <c r="I6795" s="33"/>
      <c r="J6795" s="33"/>
      <c r="K6795" s="33"/>
      <c r="L6795" s="33"/>
      <c r="M6795" s="33"/>
    </row>
    <row r="6796">
      <c r="A6796" s="32" t="s">
        <v>18570</v>
      </c>
      <c r="B6796" s="32" t="s">
        <v>18571</v>
      </c>
      <c r="C6796" s="35">
        <v>40.25519943</v>
      </c>
      <c r="D6796" s="35">
        <v>29.56259918</v>
      </c>
      <c r="E6796" s="32" t="s">
        <v>133</v>
      </c>
      <c r="F6796" s="32" t="s">
        <v>18572</v>
      </c>
      <c r="G6796" s="39" t="s">
        <v>134</v>
      </c>
      <c r="H6796" s="33"/>
      <c r="I6796" s="33"/>
      <c r="J6796" s="33"/>
      <c r="K6796" s="33"/>
      <c r="L6796" s="33"/>
      <c r="M6796" s="33"/>
    </row>
    <row r="6797">
      <c r="A6797" s="32" t="s">
        <v>18573</v>
      </c>
      <c r="B6797" s="32" t="s">
        <v>18574</v>
      </c>
      <c r="C6797" s="35">
        <v>61.09420013</v>
      </c>
      <c r="D6797" s="35">
        <v>-94.07080078</v>
      </c>
      <c r="E6797" s="32" t="s">
        <v>94</v>
      </c>
      <c r="F6797" s="32" t="s">
        <v>18575</v>
      </c>
      <c r="G6797" s="36" t="e">
        <v>#N/A</v>
      </c>
      <c r="H6797" s="33"/>
      <c r="I6797" s="33"/>
      <c r="J6797" s="33"/>
      <c r="K6797" s="33"/>
      <c r="L6797" s="33"/>
      <c r="M6797" s="33"/>
    </row>
    <row r="6798">
      <c r="A6798" s="32" t="s">
        <v>18576</v>
      </c>
      <c r="B6798" s="32" t="s">
        <v>18577</v>
      </c>
      <c r="C6798" s="35">
        <v>46.35139847</v>
      </c>
      <c r="D6798" s="35">
        <v>-82.56140137</v>
      </c>
      <c r="E6798" s="32" t="s">
        <v>94</v>
      </c>
      <c r="F6798" s="32" t="s">
        <v>18578</v>
      </c>
      <c r="G6798" s="36" t="e">
        <v>#N/A</v>
      </c>
      <c r="H6798" s="33"/>
      <c r="I6798" s="33"/>
      <c r="J6798" s="33"/>
      <c r="K6798" s="33"/>
      <c r="L6798" s="33"/>
      <c r="M6798" s="33"/>
    </row>
    <row r="6799">
      <c r="A6799" s="32" t="s">
        <v>18579</v>
      </c>
      <c r="B6799" s="32" t="s">
        <v>18580</v>
      </c>
      <c r="C6799" s="35">
        <v>45.84280014</v>
      </c>
      <c r="D6799" s="35">
        <v>-81.85810089</v>
      </c>
      <c r="E6799" s="32" t="s">
        <v>94</v>
      </c>
      <c r="F6799" s="32" t="s">
        <v>18581</v>
      </c>
      <c r="G6799" s="36" t="e">
        <v>#N/A</v>
      </c>
      <c r="H6799" s="33"/>
      <c r="I6799" s="33"/>
      <c r="J6799" s="33"/>
      <c r="K6799" s="33"/>
      <c r="L6799" s="33"/>
      <c r="M6799" s="33"/>
    </row>
    <row r="6800">
      <c r="A6800" s="32" t="s">
        <v>18582</v>
      </c>
      <c r="B6800" s="32" t="s">
        <v>18583</v>
      </c>
      <c r="C6800" s="35">
        <v>49.21030045</v>
      </c>
      <c r="D6800" s="35">
        <v>-102.9660034</v>
      </c>
      <c r="E6800" s="32" t="s">
        <v>94</v>
      </c>
      <c r="F6800" s="32" t="s">
        <v>18584</v>
      </c>
      <c r="G6800" s="36" t="e">
        <v>#N/A</v>
      </c>
      <c r="H6800" s="33"/>
      <c r="I6800" s="33"/>
      <c r="J6800" s="33"/>
      <c r="K6800" s="33"/>
      <c r="L6800" s="33"/>
      <c r="M6800" s="33"/>
    </row>
    <row r="6801">
      <c r="A6801" s="32" t="s">
        <v>18585</v>
      </c>
      <c r="B6801" s="32" t="s">
        <v>18586</v>
      </c>
      <c r="C6801" s="35">
        <v>51.00939941</v>
      </c>
      <c r="D6801" s="35">
        <v>-2.638819933</v>
      </c>
      <c r="E6801" s="32" t="s">
        <v>90</v>
      </c>
      <c r="F6801" s="32" t="s">
        <v>18587</v>
      </c>
      <c r="G6801" s="39" t="s">
        <v>91</v>
      </c>
      <c r="H6801" s="33"/>
      <c r="I6801" s="33"/>
      <c r="J6801" s="33"/>
      <c r="K6801" s="33"/>
      <c r="L6801" s="33"/>
      <c r="M6801" s="33"/>
    </row>
    <row r="6802">
      <c r="A6802" s="32" t="s">
        <v>18588</v>
      </c>
      <c r="B6802" s="32" t="s">
        <v>18589</v>
      </c>
      <c r="C6802" s="35">
        <v>56.01890182</v>
      </c>
      <c r="D6802" s="35">
        <v>-87.67610168</v>
      </c>
      <c r="E6802" s="32" t="s">
        <v>94</v>
      </c>
      <c r="F6802" s="32" t="s">
        <v>18590</v>
      </c>
      <c r="G6802" s="36" t="e">
        <v>#N/A</v>
      </c>
      <c r="H6802" s="33"/>
      <c r="I6802" s="33"/>
      <c r="J6802" s="33"/>
      <c r="K6802" s="33"/>
      <c r="L6802" s="33"/>
      <c r="M6802" s="33"/>
    </row>
    <row r="6803">
      <c r="A6803" s="32" t="s">
        <v>18591</v>
      </c>
      <c r="B6803" s="32" t="s">
        <v>18592</v>
      </c>
      <c r="C6803" s="35">
        <v>30.70050049</v>
      </c>
      <c r="D6803" s="35">
        <v>51.54510117</v>
      </c>
      <c r="E6803" s="32" t="s">
        <v>1378</v>
      </c>
      <c r="F6803" s="32" t="s">
        <v>18593</v>
      </c>
      <c r="G6803" s="36" t="e">
        <v>#N/A</v>
      </c>
      <c r="H6803" s="33"/>
      <c r="I6803" s="33"/>
      <c r="J6803" s="33"/>
      <c r="K6803" s="33"/>
      <c r="L6803" s="33"/>
      <c r="M6803" s="33"/>
    </row>
    <row r="6804">
      <c r="A6804" s="32" t="s">
        <v>18594</v>
      </c>
      <c r="B6804" s="32" t="s">
        <v>18595</v>
      </c>
      <c r="C6804" s="35">
        <v>53.57889938</v>
      </c>
      <c r="D6804" s="35">
        <v>-116.4649963</v>
      </c>
      <c r="E6804" s="32" t="s">
        <v>94</v>
      </c>
      <c r="F6804" s="32" t="s">
        <v>18596</v>
      </c>
      <c r="G6804" s="36" t="e">
        <v>#N/A</v>
      </c>
      <c r="H6804" s="33"/>
      <c r="I6804" s="33"/>
      <c r="J6804" s="33"/>
      <c r="K6804" s="33"/>
      <c r="L6804" s="33"/>
      <c r="M6804" s="33"/>
    </row>
    <row r="6805">
      <c r="A6805" s="32" t="s">
        <v>18597</v>
      </c>
      <c r="B6805" s="32" t="s">
        <v>18598</v>
      </c>
      <c r="C6805" s="35">
        <v>79.99469757</v>
      </c>
      <c r="D6805" s="35">
        <v>-85.81420136</v>
      </c>
      <c r="E6805" s="32" t="s">
        <v>94</v>
      </c>
      <c r="F6805" s="32" t="s">
        <v>7183</v>
      </c>
      <c r="G6805" s="36" t="e">
        <v>#N/A</v>
      </c>
      <c r="H6805" s="33"/>
      <c r="I6805" s="33"/>
      <c r="J6805" s="33"/>
      <c r="K6805" s="33"/>
      <c r="L6805" s="33"/>
      <c r="M6805" s="33"/>
    </row>
    <row r="6806">
      <c r="A6806" s="32" t="s">
        <v>18599</v>
      </c>
      <c r="B6806" s="32" t="s">
        <v>18600</v>
      </c>
      <c r="C6806" s="35">
        <v>68.30419922</v>
      </c>
      <c r="D6806" s="35">
        <v>-133.4830017</v>
      </c>
      <c r="E6806" s="32" t="s">
        <v>94</v>
      </c>
      <c r="F6806" s="32" t="s">
        <v>18601</v>
      </c>
      <c r="G6806" s="36" t="e">
        <v>#N/A</v>
      </c>
      <c r="H6806" s="33"/>
      <c r="I6806" s="33"/>
      <c r="J6806" s="33"/>
      <c r="K6806" s="33"/>
      <c r="L6806" s="33"/>
      <c r="M6806" s="33"/>
    </row>
    <row r="6807">
      <c r="A6807" s="32" t="s">
        <v>18602</v>
      </c>
      <c r="B6807" s="32" t="s">
        <v>18603</v>
      </c>
      <c r="C6807" s="35">
        <v>48.56389999</v>
      </c>
      <c r="D6807" s="35">
        <v>-78.24970245</v>
      </c>
      <c r="E6807" s="32" t="s">
        <v>94</v>
      </c>
      <c r="F6807" s="32" t="s">
        <v>18604</v>
      </c>
      <c r="G6807" s="36" t="e">
        <v>#N/A</v>
      </c>
      <c r="H6807" s="33"/>
      <c r="I6807" s="33"/>
      <c r="J6807" s="33"/>
      <c r="K6807" s="33"/>
      <c r="L6807" s="33"/>
      <c r="M6807" s="33"/>
    </row>
    <row r="6808">
      <c r="A6808" s="32" t="s">
        <v>18605</v>
      </c>
      <c r="B6808" s="32" t="s">
        <v>18606</v>
      </c>
      <c r="C6808" s="35">
        <v>52.20140076</v>
      </c>
      <c r="D6808" s="35">
        <v>-81.69689941</v>
      </c>
      <c r="E6808" s="32" t="s">
        <v>94</v>
      </c>
      <c r="F6808" s="32" t="s">
        <v>18607</v>
      </c>
      <c r="G6808" s="36" t="e">
        <v>#N/A</v>
      </c>
      <c r="H6808" s="33"/>
      <c r="I6808" s="33"/>
      <c r="J6808" s="33"/>
      <c r="K6808" s="33"/>
      <c r="L6808" s="33"/>
      <c r="M6808" s="33"/>
    </row>
    <row r="6809">
      <c r="A6809" s="32" t="s">
        <v>18608</v>
      </c>
      <c r="B6809" s="32" t="s">
        <v>18609</v>
      </c>
      <c r="C6809" s="35">
        <v>63.75640106</v>
      </c>
      <c r="D6809" s="35">
        <v>-68.55580139</v>
      </c>
      <c r="E6809" s="32" t="s">
        <v>94</v>
      </c>
      <c r="F6809" s="32" t="s">
        <v>18610</v>
      </c>
      <c r="G6809" s="36" t="e">
        <v>#N/A</v>
      </c>
      <c r="H6809" s="33"/>
      <c r="I6809" s="33"/>
      <c r="J6809" s="33"/>
      <c r="K6809" s="33"/>
      <c r="L6809" s="33"/>
      <c r="M6809" s="33"/>
    </row>
    <row r="6810">
      <c r="A6810" s="32" t="s">
        <v>18611</v>
      </c>
      <c r="B6810" s="32" t="s">
        <v>18612</v>
      </c>
      <c r="C6810" s="35">
        <v>45.8689003</v>
      </c>
      <c r="D6810" s="35">
        <v>-66.53720093</v>
      </c>
      <c r="E6810" s="32" t="s">
        <v>94</v>
      </c>
      <c r="F6810" s="32" t="s">
        <v>18613</v>
      </c>
      <c r="G6810" s="36" t="e">
        <v>#N/A</v>
      </c>
      <c r="H6810" s="33"/>
      <c r="I6810" s="33"/>
      <c r="J6810" s="33"/>
      <c r="K6810" s="33"/>
      <c r="L6810" s="33"/>
      <c r="M6810" s="33"/>
    </row>
    <row r="6811">
      <c r="A6811" s="32" t="s">
        <v>18614</v>
      </c>
      <c r="B6811" s="32" t="s">
        <v>18615</v>
      </c>
      <c r="C6811" s="35">
        <v>43.13140106</v>
      </c>
      <c r="D6811" s="35">
        <v>-80.34249878</v>
      </c>
      <c r="E6811" s="32" t="s">
        <v>94</v>
      </c>
      <c r="F6811" s="32" t="s">
        <v>18616</v>
      </c>
      <c r="G6811" s="36" t="e">
        <v>#N/A</v>
      </c>
      <c r="H6811" s="33"/>
      <c r="I6811" s="33"/>
      <c r="J6811" s="33"/>
      <c r="K6811" s="33"/>
      <c r="L6811" s="33"/>
      <c r="M6811" s="33"/>
    </row>
    <row r="6812">
      <c r="A6812" s="32" t="s">
        <v>18617</v>
      </c>
      <c r="B6812" s="32" t="s">
        <v>18618</v>
      </c>
      <c r="C6812" s="35">
        <v>51.56190109</v>
      </c>
      <c r="D6812" s="35">
        <v>-87.90779877</v>
      </c>
      <c r="E6812" s="32" t="s">
        <v>94</v>
      </c>
      <c r="F6812" s="32" t="s">
        <v>18619</v>
      </c>
      <c r="G6812" s="36" t="e">
        <v>#N/A</v>
      </c>
      <c r="H6812" s="33"/>
      <c r="I6812" s="33"/>
      <c r="J6812" s="33"/>
      <c r="K6812" s="33"/>
      <c r="L6812" s="33"/>
      <c r="M6812" s="33"/>
    </row>
    <row r="6813">
      <c r="A6813" s="32" t="s">
        <v>18620</v>
      </c>
      <c r="B6813" s="32" t="s">
        <v>18621</v>
      </c>
      <c r="C6813" s="35">
        <v>64.190804</v>
      </c>
      <c r="D6813" s="35">
        <v>-114.077002</v>
      </c>
      <c r="E6813" s="32" t="s">
        <v>94</v>
      </c>
      <c r="F6813" s="32" t="s">
        <v>18622</v>
      </c>
      <c r="G6813" s="36" t="e">
        <v>#N/A</v>
      </c>
      <c r="H6813" s="33"/>
      <c r="I6813" s="33"/>
      <c r="J6813" s="33"/>
      <c r="K6813" s="33"/>
      <c r="L6813" s="33"/>
      <c r="M6813" s="33"/>
    </row>
    <row r="6814">
      <c r="A6814" s="32" t="s">
        <v>18623</v>
      </c>
      <c r="B6814" s="32" t="s">
        <v>18624</v>
      </c>
      <c r="C6814" s="35">
        <v>54.67810059</v>
      </c>
      <c r="D6814" s="35">
        <v>-101.6819992</v>
      </c>
      <c r="E6814" s="32" t="s">
        <v>94</v>
      </c>
      <c r="F6814" s="32" t="s">
        <v>18625</v>
      </c>
      <c r="G6814" s="36" t="e">
        <v>#N/A</v>
      </c>
      <c r="H6814" s="33"/>
      <c r="I6814" s="33"/>
      <c r="J6814" s="33"/>
      <c r="K6814" s="33"/>
      <c r="L6814" s="33"/>
      <c r="M6814" s="33"/>
    </row>
    <row r="6815">
      <c r="A6815" s="32" t="s">
        <v>18626</v>
      </c>
      <c r="B6815" s="32" t="s">
        <v>18627</v>
      </c>
      <c r="C6815" s="35">
        <v>61.18080139</v>
      </c>
      <c r="D6815" s="35">
        <v>-113.6900024</v>
      </c>
      <c r="E6815" s="32" t="s">
        <v>94</v>
      </c>
      <c r="F6815" s="32" t="s">
        <v>18628</v>
      </c>
      <c r="G6815" s="36" t="e">
        <v>#N/A</v>
      </c>
      <c r="H6815" s="33"/>
      <c r="I6815" s="33"/>
      <c r="J6815" s="33"/>
      <c r="K6815" s="33"/>
      <c r="L6815" s="33"/>
      <c r="M6815" s="33"/>
    </row>
    <row r="6816">
      <c r="A6816" s="32" t="s">
        <v>18629</v>
      </c>
      <c r="B6816" s="32" t="s">
        <v>18630</v>
      </c>
      <c r="C6816" s="35">
        <v>61.7602005</v>
      </c>
      <c r="D6816" s="35">
        <v>-121.2369995</v>
      </c>
      <c r="E6816" s="32" t="s">
        <v>94</v>
      </c>
      <c r="F6816" s="32" t="s">
        <v>18631</v>
      </c>
      <c r="G6816" s="36" t="e">
        <v>#N/A</v>
      </c>
      <c r="H6816" s="33"/>
      <c r="I6816" s="33"/>
      <c r="J6816" s="33"/>
      <c r="K6816" s="33"/>
      <c r="L6816" s="33"/>
      <c r="M6816" s="33"/>
    </row>
    <row r="6817">
      <c r="A6817" s="32" t="s">
        <v>18632</v>
      </c>
      <c r="B6817" s="32" t="s">
        <v>18633</v>
      </c>
      <c r="C6817" s="35">
        <v>52.37279892</v>
      </c>
      <c r="D6817" s="35">
        <v>-55.6739006</v>
      </c>
      <c r="E6817" s="32" t="s">
        <v>94</v>
      </c>
      <c r="F6817" s="32" t="s">
        <v>18634</v>
      </c>
      <c r="G6817" s="36" t="e">
        <v>#N/A</v>
      </c>
      <c r="H6817" s="33"/>
      <c r="I6817" s="33"/>
      <c r="J6817" s="33"/>
      <c r="K6817" s="33"/>
      <c r="L6817" s="33"/>
      <c r="M6817" s="33"/>
    </row>
    <row r="6818">
      <c r="A6818" s="32" t="s">
        <v>18635</v>
      </c>
      <c r="B6818" s="32" t="s">
        <v>18636</v>
      </c>
      <c r="C6818" s="35">
        <v>49.69419861</v>
      </c>
      <c r="D6818" s="35">
        <v>-124.5179977</v>
      </c>
      <c r="E6818" s="32" t="s">
        <v>94</v>
      </c>
      <c r="F6818" s="32" t="s">
        <v>18637</v>
      </c>
      <c r="G6818" s="36" t="e">
        <v>#N/A</v>
      </c>
      <c r="H6818" s="33"/>
      <c r="I6818" s="33"/>
      <c r="J6818" s="33"/>
      <c r="K6818" s="33"/>
      <c r="L6818" s="33"/>
      <c r="M6818" s="33"/>
    </row>
    <row r="6819">
      <c r="A6819" s="32" t="s">
        <v>18638</v>
      </c>
      <c r="B6819" s="32" t="s">
        <v>18639</v>
      </c>
      <c r="C6819" s="35">
        <v>43.76689911</v>
      </c>
      <c r="D6819" s="35">
        <v>-81.71060181</v>
      </c>
      <c r="E6819" s="32" t="s">
        <v>94</v>
      </c>
      <c r="F6819" s="32" t="s">
        <v>18640</v>
      </c>
      <c r="G6819" s="36" t="e">
        <v>#N/A</v>
      </c>
      <c r="H6819" s="33"/>
      <c r="I6819" s="33"/>
      <c r="J6819" s="33"/>
      <c r="K6819" s="33"/>
      <c r="L6819" s="33"/>
      <c r="M6819" s="33"/>
    </row>
    <row r="6820">
      <c r="A6820" s="32" t="s">
        <v>18641</v>
      </c>
      <c r="B6820" s="32" t="s">
        <v>18642</v>
      </c>
      <c r="C6820" s="35">
        <v>51.299196</v>
      </c>
      <c r="D6820" s="35">
        <v>-116.982002</v>
      </c>
      <c r="E6820" s="32" t="s">
        <v>94</v>
      </c>
      <c r="F6820" s="32" t="s">
        <v>18643</v>
      </c>
      <c r="G6820" s="36" t="e">
        <v>#N/A</v>
      </c>
      <c r="H6820" s="33"/>
      <c r="I6820" s="33"/>
      <c r="J6820" s="33"/>
      <c r="K6820" s="33"/>
      <c r="L6820" s="33"/>
      <c r="M6820" s="33"/>
    </row>
    <row r="6821">
      <c r="A6821" s="32" t="s">
        <v>18644</v>
      </c>
      <c r="B6821" s="32" t="s">
        <v>18645</v>
      </c>
      <c r="C6821" s="35">
        <v>48.8545</v>
      </c>
      <c r="D6821" s="35">
        <v>-123.4969</v>
      </c>
      <c r="E6821" s="32" t="s">
        <v>94</v>
      </c>
      <c r="F6821" s="32" t="s">
        <v>18646</v>
      </c>
      <c r="G6821" s="36" t="e">
        <v>#N/A</v>
      </c>
      <c r="H6821" s="33"/>
      <c r="I6821" s="33"/>
      <c r="J6821" s="33"/>
      <c r="K6821" s="33"/>
      <c r="L6821" s="33"/>
      <c r="M6821" s="33"/>
    </row>
    <row r="6822">
      <c r="A6822" s="32" t="s">
        <v>18647</v>
      </c>
      <c r="B6822" s="32" t="s">
        <v>18648</v>
      </c>
      <c r="C6822" s="35">
        <v>66.24079895</v>
      </c>
      <c r="D6822" s="35">
        <v>-128.651001</v>
      </c>
      <c r="E6822" s="32" t="s">
        <v>94</v>
      </c>
      <c r="F6822" s="32" t="s">
        <v>18649</v>
      </c>
      <c r="G6822" s="36" t="e">
        <v>#N/A</v>
      </c>
      <c r="H6822" s="33"/>
      <c r="I6822" s="33"/>
      <c r="J6822" s="33"/>
      <c r="K6822" s="33"/>
      <c r="L6822" s="33"/>
      <c r="M6822" s="33"/>
    </row>
    <row r="6823">
      <c r="A6823" s="32" t="s">
        <v>18650</v>
      </c>
      <c r="B6823" s="32" t="s">
        <v>18651</v>
      </c>
      <c r="C6823" s="35">
        <v>35.49219894</v>
      </c>
      <c r="D6823" s="35">
        <v>133.2359924</v>
      </c>
      <c r="E6823" s="32" t="s">
        <v>170</v>
      </c>
      <c r="F6823" s="32" t="s">
        <v>18652</v>
      </c>
      <c r="G6823" s="39" t="s">
        <v>171</v>
      </c>
      <c r="H6823" s="33"/>
      <c r="I6823" s="33"/>
      <c r="J6823" s="33"/>
      <c r="K6823" s="33"/>
      <c r="L6823" s="33"/>
      <c r="M6823" s="33"/>
    </row>
    <row r="6824">
      <c r="A6824" s="32" t="s">
        <v>18653</v>
      </c>
      <c r="B6824" s="32" t="s">
        <v>18654</v>
      </c>
      <c r="C6824" s="35">
        <v>44.22529984</v>
      </c>
      <c r="D6824" s="35">
        <v>-76.59690094</v>
      </c>
      <c r="E6824" s="32" t="s">
        <v>94</v>
      </c>
      <c r="F6824" s="32" t="s">
        <v>10181</v>
      </c>
      <c r="G6824" s="36" t="e">
        <v>#N/A</v>
      </c>
      <c r="H6824" s="33"/>
      <c r="I6824" s="33"/>
      <c r="J6824" s="33"/>
      <c r="K6824" s="33"/>
      <c r="L6824" s="33"/>
      <c r="M6824" s="33"/>
    </row>
    <row r="6825">
      <c r="A6825" s="32" t="s">
        <v>18655</v>
      </c>
      <c r="B6825" s="32" t="s">
        <v>18656</v>
      </c>
      <c r="C6825" s="35">
        <v>53.62530136</v>
      </c>
      <c r="D6825" s="35">
        <v>-77.70420074</v>
      </c>
      <c r="E6825" s="32" t="s">
        <v>94</v>
      </c>
      <c r="F6825" s="32" t="s">
        <v>18657</v>
      </c>
      <c r="G6825" s="36" t="e">
        <v>#N/A</v>
      </c>
      <c r="H6825" s="33"/>
      <c r="I6825" s="33"/>
      <c r="J6825" s="33"/>
      <c r="K6825" s="33"/>
      <c r="L6825" s="33"/>
      <c r="M6825" s="33"/>
    </row>
    <row r="6826">
      <c r="A6826" s="32" t="s">
        <v>18658</v>
      </c>
      <c r="B6826" s="32" t="s">
        <v>18659</v>
      </c>
      <c r="C6826" s="35">
        <v>50.62810135</v>
      </c>
      <c r="D6826" s="35">
        <v>-97.04329681</v>
      </c>
      <c r="E6826" s="32" t="s">
        <v>94</v>
      </c>
      <c r="F6826" s="32" t="s">
        <v>18660</v>
      </c>
      <c r="G6826" s="36" t="e">
        <v>#N/A</v>
      </c>
      <c r="H6826" s="33"/>
      <c r="I6826" s="33"/>
      <c r="J6826" s="33"/>
      <c r="K6826" s="33"/>
      <c r="L6826" s="33"/>
      <c r="M6826" s="33"/>
    </row>
    <row r="6827">
      <c r="A6827" s="32" t="s">
        <v>18661</v>
      </c>
      <c r="B6827" s="32" t="s">
        <v>18662</v>
      </c>
      <c r="C6827" s="35">
        <v>54.55889893</v>
      </c>
      <c r="D6827" s="35">
        <v>-94.49140167</v>
      </c>
      <c r="E6827" s="32" t="s">
        <v>94</v>
      </c>
      <c r="F6827" s="32" t="s">
        <v>18663</v>
      </c>
      <c r="G6827" s="36" t="e">
        <v>#N/A</v>
      </c>
      <c r="H6827" s="33"/>
      <c r="I6827" s="33"/>
      <c r="J6827" s="33"/>
      <c r="K6827" s="33"/>
      <c r="L6827" s="33"/>
      <c r="M6827" s="33"/>
    </row>
    <row r="6828">
      <c r="A6828" s="32" t="s">
        <v>18664</v>
      </c>
      <c r="B6828" s="32" t="s">
        <v>18665</v>
      </c>
      <c r="C6828" s="35">
        <v>48.77529907</v>
      </c>
      <c r="D6828" s="35">
        <v>-64.47859955</v>
      </c>
      <c r="E6828" s="32" t="s">
        <v>94</v>
      </c>
      <c r="F6828" s="32" t="s">
        <v>18666</v>
      </c>
      <c r="G6828" s="36" t="e">
        <v>#N/A</v>
      </c>
      <c r="H6828" s="33"/>
      <c r="I6828" s="33"/>
      <c r="J6828" s="33"/>
      <c r="K6828" s="33"/>
      <c r="L6828" s="33"/>
      <c r="M6828" s="33"/>
    </row>
    <row r="6829">
      <c r="A6829" s="32" t="s">
        <v>18667</v>
      </c>
      <c r="B6829" s="32" t="s">
        <v>18668</v>
      </c>
      <c r="C6829" s="35">
        <v>49.77830124</v>
      </c>
      <c r="D6829" s="35">
        <v>-86.93939972</v>
      </c>
      <c r="E6829" s="32" t="s">
        <v>94</v>
      </c>
      <c r="F6829" s="32" t="s">
        <v>8012</v>
      </c>
      <c r="G6829" s="36" t="e">
        <v>#N/A</v>
      </c>
      <c r="H6829" s="33"/>
      <c r="I6829" s="33"/>
      <c r="J6829" s="33"/>
      <c r="K6829" s="33"/>
      <c r="L6829" s="33"/>
      <c r="M6829" s="33"/>
    </row>
    <row r="6830">
      <c r="A6830" s="32" t="s">
        <v>18669</v>
      </c>
      <c r="B6830" s="32" t="s">
        <v>18670</v>
      </c>
      <c r="C6830" s="35">
        <v>47.42470169</v>
      </c>
      <c r="D6830" s="35">
        <v>-61.77809906</v>
      </c>
      <c r="E6830" s="32" t="s">
        <v>94</v>
      </c>
      <c r="F6830" s="32" t="s">
        <v>18671</v>
      </c>
      <c r="G6830" s="36" t="e">
        <v>#N/A</v>
      </c>
      <c r="H6830" s="33"/>
      <c r="I6830" s="33"/>
      <c r="J6830" s="33"/>
      <c r="K6830" s="33"/>
      <c r="L6830" s="33"/>
      <c r="M6830" s="33"/>
    </row>
    <row r="6831">
      <c r="A6831" s="32" t="s">
        <v>18672</v>
      </c>
      <c r="B6831" s="32" t="s">
        <v>18673</v>
      </c>
      <c r="C6831" s="35">
        <v>69.36470032</v>
      </c>
      <c r="D6831" s="35">
        <v>-81.81610107</v>
      </c>
      <c r="E6831" s="32" t="s">
        <v>94</v>
      </c>
      <c r="F6831" s="32" t="s">
        <v>18674</v>
      </c>
      <c r="G6831" s="36" t="e">
        <v>#N/A</v>
      </c>
      <c r="H6831" s="33"/>
      <c r="I6831" s="33"/>
      <c r="J6831" s="33"/>
      <c r="K6831" s="33"/>
      <c r="L6831" s="33"/>
      <c r="M6831" s="33"/>
    </row>
    <row r="6832">
      <c r="A6832" s="32" t="s">
        <v>18675</v>
      </c>
      <c r="B6832" s="32" t="s">
        <v>18676</v>
      </c>
      <c r="C6832" s="35">
        <v>50.2818985</v>
      </c>
      <c r="D6832" s="35">
        <v>-63.6114006</v>
      </c>
      <c r="E6832" s="32" t="s">
        <v>94</v>
      </c>
      <c r="F6832" s="32" t="s">
        <v>18677</v>
      </c>
      <c r="G6832" s="36" t="e">
        <v>#N/A</v>
      </c>
      <c r="H6832" s="33"/>
      <c r="I6832" s="33"/>
      <c r="J6832" s="33"/>
      <c r="K6832" s="33"/>
      <c r="L6832" s="33"/>
      <c r="M6832" s="33"/>
    </row>
    <row r="6833">
      <c r="A6833" s="32" t="s">
        <v>18678</v>
      </c>
      <c r="B6833" s="32" t="s">
        <v>18679</v>
      </c>
      <c r="C6833" s="35">
        <v>55.2818985</v>
      </c>
      <c r="D6833" s="35">
        <v>-77.76529694</v>
      </c>
      <c r="E6833" s="32" t="s">
        <v>94</v>
      </c>
      <c r="F6833" s="32" t="s">
        <v>18680</v>
      </c>
      <c r="G6833" s="36" t="e">
        <v>#N/A</v>
      </c>
      <c r="H6833" s="33"/>
      <c r="I6833" s="33"/>
      <c r="J6833" s="33"/>
      <c r="K6833" s="33"/>
      <c r="L6833" s="33"/>
      <c r="M6833" s="33"/>
    </row>
    <row r="6834">
      <c r="A6834" s="32" t="s">
        <v>18681</v>
      </c>
      <c r="B6834" s="32" t="s">
        <v>18682</v>
      </c>
      <c r="C6834" s="35">
        <v>56.35749817</v>
      </c>
      <c r="D6834" s="35">
        <v>-94.71060181</v>
      </c>
      <c r="E6834" s="32" t="s">
        <v>94</v>
      </c>
      <c r="F6834" s="32" t="s">
        <v>18683</v>
      </c>
      <c r="G6834" s="36" t="e">
        <v>#N/A</v>
      </c>
      <c r="H6834" s="33"/>
      <c r="I6834" s="33"/>
      <c r="J6834" s="33"/>
      <c r="K6834" s="33"/>
      <c r="L6834" s="33"/>
      <c r="M6834" s="33"/>
    </row>
    <row r="6835">
      <c r="A6835" s="32" t="s">
        <v>18684</v>
      </c>
      <c r="B6835" s="32" t="s">
        <v>18685</v>
      </c>
      <c r="C6835" s="35">
        <v>76.42610168</v>
      </c>
      <c r="D6835" s="35">
        <v>-82.90920258</v>
      </c>
      <c r="E6835" s="32" t="s">
        <v>94</v>
      </c>
      <c r="F6835" s="32" t="s">
        <v>18686</v>
      </c>
      <c r="G6835" s="36" t="e">
        <v>#N/A</v>
      </c>
      <c r="H6835" s="33"/>
      <c r="I6835" s="33"/>
      <c r="J6835" s="33"/>
      <c r="K6835" s="33"/>
      <c r="L6835" s="33"/>
      <c r="M6835" s="33"/>
    </row>
    <row r="6836">
      <c r="A6836" s="32" t="s">
        <v>18687</v>
      </c>
      <c r="B6836" s="32" t="s">
        <v>18688</v>
      </c>
      <c r="C6836" s="35">
        <v>52.52809906</v>
      </c>
      <c r="D6836" s="35">
        <v>-56.28609848</v>
      </c>
      <c r="E6836" s="32" t="s">
        <v>94</v>
      </c>
      <c r="F6836" s="32" t="s">
        <v>18689</v>
      </c>
      <c r="G6836" s="36" t="e">
        <v>#N/A</v>
      </c>
      <c r="H6836" s="33"/>
      <c r="I6836" s="33"/>
      <c r="J6836" s="33"/>
      <c r="K6836" s="33"/>
      <c r="L6836" s="33"/>
      <c r="M6836" s="33"/>
    </row>
    <row r="6837">
      <c r="A6837" s="32" t="s">
        <v>18690</v>
      </c>
      <c r="B6837" s="32" t="s">
        <v>18691</v>
      </c>
      <c r="C6837" s="35">
        <v>52.81669998</v>
      </c>
      <c r="D6837" s="35">
        <v>-102.310997</v>
      </c>
      <c r="E6837" s="32" t="s">
        <v>94</v>
      </c>
      <c r="F6837" s="32" t="s">
        <v>18692</v>
      </c>
      <c r="G6837" s="36" t="e">
        <v>#N/A</v>
      </c>
      <c r="H6837" s="33"/>
      <c r="I6837" s="33"/>
      <c r="J6837" s="33"/>
      <c r="K6837" s="33"/>
      <c r="L6837" s="33"/>
      <c r="M6837" s="33"/>
    </row>
    <row r="6838">
      <c r="A6838" s="32" t="s">
        <v>18693</v>
      </c>
      <c r="B6838" s="32" t="s">
        <v>18694</v>
      </c>
      <c r="C6838" s="35">
        <v>49.83169937</v>
      </c>
      <c r="D6838" s="35">
        <v>-92.74420166</v>
      </c>
      <c r="E6838" s="32" t="s">
        <v>94</v>
      </c>
      <c r="F6838" s="32" t="s">
        <v>18695</v>
      </c>
      <c r="G6838" s="36" t="e">
        <v>#N/A</v>
      </c>
      <c r="H6838" s="33"/>
      <c r="I6838" s="33"/>
      <c r="J6838" s="33"/>
      <c r="K6838" s="33"/>
      <c r="L6838" s="33"/>
      <c r="M6838" s="33"/>
    </row>
    <row r="6839">
      <c r="A6839" s="32" t="s">
        <v>18696</v>
      </c>
      <c r="B6839" s="32" t="s">
        <v>18697</v>
      </c>
      <c r="C6839" s="35">
        <v>49.36830139</v>
      </c>
      <c r="D6839" s="35">
        <v>-121.4980011</v>
      </c>
      <c r="E6839" s="32" t="s">
        <v>94</v>
      </c>
      <c r="F6839" s="32" t="s">
        <v>18698</v>
      </c>
      <c r="G6839" s="36" t="e">
        <v>#N/A</v>
      </c>
      <c r="H6839" s="33"/>
      <c r="I6839" s="33"/>
      <c r="J6839" s="33"/>
      <c r="K6839" s="33"/>
      <c r="L6839" s="33"/>
      <c r="M6839" s="33"/>
    </row>
    <row r="6840">
      <c r="A6840" s="32" t="s">
        <v>18699</v>
      </c>
      <c r="B6840" s="32" t="s">
        <v>18700</v>
      </c>
      <c r="C6840" s="35">
        <v>49.71419907</v>
      </c>
      <c r="D6840" s="35">
        <v>-83.68609619</v>
      </c>
      <c r="E6840" s="32" t="s">
        <v>94</v>
      </c>
      <c r="F6840" s="32" t="s">
        <v>18701</v>
      </c>
      <c r="G6840" s="36" t="e">
        <v>#N/A</v>
      </c>
      <c r="H6840" s="33"/>
      <c r="I6840" s="33"/>
      <c r="J6840" s="33"/>
      <c r="K6840" s="33"/>
      <c r="L6840" s="33"/>
      <c r="M6840" s="33"/>
    </row>
    <row r="6841">
      <c r="A6841" s="32" t="s">
        <v>18702</v>
      </c>
      <c r="B6841" s="32" t="s">
        <v>18703</v>
      </c>
      <c r="C6841" s="35">
        <v>70.76280212</v>
      </c>
      <c r="D6841" s="35">
        <v>-117.8059998</v>
      </c>
      <c r="E6841" s="32" t="s">
        <v>94</v>
      </c>
      <c r="F6841" s="32" t="s">
        <v>18704</v>
      </c>
      <c r="G6841" s="36" t="e">
        <v>#N/A</v>
      </c>
      <c r="H6841" s="33"/>
      <c r="I6841" s="33"/>
      <c r="J6841" s="33"/>
      <c r="K6841" s="33"/>
      <c r="L6841" s="33"/>
      <c r="M6841" s="33"/>
    </row>
    <row r="6842">
      <c r="A6842" s="32" t="s">
        <v>18705</v>
      </c>
      <c r="B6842" s="32" t="s">
        <v>18706</v>
      </c>
      <c r="C6842" s="35">
        <v>68.63559723</v>
      </c>
      <c r="D6842" s="35">
        <v>-95.84970093</v>
      </c>
      <c r="E6842" s="32" t="s">
        <v>94</v>
      </c>
      <c r="F6842" s="32" t="s">
        <v>18707</v>
      </c>
      <c r="G6842" s="36" t="e">
        <v>#N/A</v>
      </c>
      <c r="H6842" s="33"/>
      <c r="I6842" s="33"/>
      <c r="J6842" s="33"/>
      <c r="K6842" s="33"/>
      <c r="L6842" s="33"/>
      <c r="M6842" s="33"/>
    </row>
    <row r="6843">
      <c r="A6843" s="32" t="s">
        <v>18708</v>
      </c>
      <c r="B6843" s="32" t="s">
        <v>18709</v>
      </c>
      <c r="C6843" s="35">
        <v>43.17359924</v>
      </c>
      <c r="D6843" s="35">
        <v>-79.93499756</v>
      </c>
      <c r="E6843" s="32" t="s">
        <v>94</v>
      </c>
      <c r="F6843" s="32" t="s">
        <v>2683</v>
      </c>
      <c r="G6843" s="36" t="e">
        <v>#N/A</v>
      </c>
      <c r="H6843" s="33"/>
      <c r="I6843" s="33"/>
      <c r="J6843" s="33"/>
      <c r="K6843" s="33"/>
      <c r="L6843" s="33"/>
      <c r="M6843" s="33"/>
    </row>
    <row r="6844">
      <c r="A6844" s="32" t="s">
        <v>18710</v>
      </c>
      <c r="B6844" s="32" t="s">
        <v>18711</v>
      </c>
      <c r="C6844" s="35">
        <v>49.19309998</v>
      </c>
      <c r="D6844" s="35">
        <v>-84.7589035</v>
      </c>
      <c r="E6844" s="32" t="s">
        <v>94</v>
      </c>
      <c r="F6844" s="32" t="s">
        <v>18712</v>
      </c>
      <c r="G6844" s="36" t="e">
        <v>#N/A</v>
      </c>
      <c r="H6844" s="33"/>
      <c r="I6844" s="33"/>
      <c r="J6844" s="33"/>
      <c r="K6844" s="33"/>
      <c r="L6844" s="33"/>
      <c r="M6844" s="33"/>
    </row>
    <row r="6845">
      <c r="A6845" s="32" t="s">
        <v>18713</v>
      </c>
      <c r="B6845" s="32" t="s">
        <v>18714</v>
      </c>
      <c r="C6845" s="35">
        <v>55.44829941</v>
      </c>
      <c r="D6845" s="35">
        <v>-60.22859955</v>
      </c>
      <c r="E6845" s="32" t="s">
        <v>94</v>
      </c>
      <c r="F6845" s="32" t="s">
        <v>18715</v>
      </c>
      <c r="G6845" s="36" t="e">
        <v>#N/A</v>
      </c>
      <c r="H6845" s="33"/>
      <c r="I6845" s="33"/>
      <c r="J6845" s="33"/>
      <c r="K6845" s="33"/>
      <c r="L6845" s="33"/>
      <c r="M6845" s="33"/>
    </row>
    <row r="6846">
      <c r="A6846" s="32" t="s">
        <v>18716</v>
      </c>
      <c r="B6846" s="32" t="s">
        <v>18717</v>
      </c>
      <c r="C6846" s="35">
        <v>52.11330032</v>
      </c>
      <c r="D6846" s="35">
        <v>-94.25559998</v>
      </c>
      <c r="E6846" s="32" t="s">
        <v>94</v>
      </c>
      <c r="F6846" s="32" t="s">
        <v>18718</v>
      </c>
      <c r="G6846" s="36" t="e">
        <v>#N/A</v>
      </c>
      <c r="H6846" s="33"/>
      <c r="I6846" s="33"/>
      <c r="J6846" s="33"/>
      <c r="K6846" s="33"/>
      <c r="L6846" s="33"/>
      <c r="M6846" s="33"/>
    </row>
    <row r="6847">
      <c r="A6847" s="32" t="s">
        <v>18719</v>
      </c>
      <c r="B6847" s="32" t="s">
        <v>18720</v>
      </c>
      <c r="C6847" s="35">
        <v>50.46889877</v>
      </c>
      <c r="D6847" s="35">
        <v>-59.63669968</v>
      </c>
      <c r="E6847" s="32" t="s">
        <v>94</v>
      </c>
      <c r="F6847" s="32" t="s">
        <v>18721</v>
      </c>
      <c r="G6847" s="36" t="e">
        <v>#N/A</v>
      </c>
      <c r="H6847" s="33"/>
      <c r="I6847" s="33"/>
      <c r="J6847" s="33"/>
      <c r="K6847" s="33"/>
      <c r="L6847" s="33"/>
      <c r="M6847" s="33"/>
    </row>
    <row r="6848">
      <c r="A6848" s="32" t="s">
        <v>18722</v>
      </c>
      <c r="B6848" s="32" t="s">
        <v>18723</v>
      </c>
      <c r="C6848" s="35">
        <v>60.78919983</v>
      </c>
      <c r="D6848" s="35">
        <v>-137.5460052</v>
      </c>
      <c r="E6848" s="32" t="s">
        <v>94</v>
      </c>
      <c r="F6848" s="32" t="s">
        <v>18724</v>
      </c>
      <c r="G6848" s="36" t="e">
        <v>#N/A</v>
      </c>
      <c r="H6848" s="33"/>
      <c r="I6848" s="33"/>
      <c r="J6848" s="33"/>
      <c r="K6848" s="33"/>
      <c r="L6848" s="33"/>
      <c r="M6848" s="33"/>
    </row>
    <row r="6849">
      <c r="A6849" s="32" t="s">
        <v>18725</v>
      </c>
      <c r="B6849" s="32" t="s">
        <v>18726</v>
      </c>
      <c r="C6849" s="35">
        <v>45.51750183</v>
      </c>
      <c r="D6849" s="35">
        <v>-73.41690063</v>
      </c>
      <c r="E6849" s="32" t="s">
        <v>94</v>
      </c>
      <c r="F6849" s="32" t="s">
        <v>18727</v>
      </c>
      <c r="G6849" s="36" t="e">
        <v>#N/A</v>
      </c>
      <c r="H6849" s="33"/>
      <c r="I6849" s="33"/>
      <c r="J6849" s="33"/>
      <c r="K6849" s="33"/>
      <c r="L6849" s="33"/>
      <c r="M6849" s="33"/>
    </row>
    <row r="6850">
      <c r="A6850" s="32" t="s">
        <v>18728</v>
      </c>
      <c r="B6850" s="32" t="s">
        <v>18729</v>
      </c>
      <c r="C6850" s="35">
        <v>60.83969879</v>
      </c>
      <c r="D6850" s="35">
        <v>-115.7829971</v>
      </c>
      <c r="E6850" s="32" t="s">
        <v>94</v>
      </c>
      <c r="F6850" s="32" t="s">
        <v>18730</v>
      </c>
      <c r="G6850" s="36" t="e">
        <v>#N/A</v>
      </c>
      <c r="H6850" s="33"/>
      <c r="I6850" s="33"/>
      <c r="J6850" s="33"/>
      <c r="K6850" s="33"/>
      <c r="L6850" s="33"/>
      <c r="M6850" s="33"/>
    </row>
    <row r="6851">
      <c r="A6851" s="32" t="s">
        <v>18731</v>
      </c>
      <c r="B6851" s="32" t="s">
        <v>18732</v>
      </c>
      <c r="C6851" s="35">
        <v>44.88079834</v>
      </c>
      <c r="D6851" s="35">
        <v>-63.50859833</v>
      </c>
      <c r="E6851" s="32" t="s">
        <v>94</v>
      </c>
      <c r="F6851" s="32" t="s">
        <v>18414</v>
      </c>
      <c r="G6851" s="36" t="e">
        <v>#N/A</v>
      </c>
      <c r="H6851" s="33"/>
      <c r="I6851" s="33"/>
      <c r="J6851" s="33"/>
      <c r="K6851" s="33"/>
      <c r="L6851" s="33"/>
      <c r="M6851" s="33"/>
    </row>
    <row r="6852">
      <c r="A6852" s="32" t="s">
        <v>18733</v>
      </c>
      <c r="B6852" s="32" t="s">
        <v>18734</v>
      </c>
      <c r="C6852" s="35">
        <v>48.77389908</v>
      </c>
      <c r="D6852" s="35">
        <v>-91.63860321</v>
      </c>
      <c r="E6852" s="32" t="s">
        <v>94</v>
      </c>
      <c r="F6852" s="32" t="s">
        <v>18735</v>
      </c>
      <c r="G6852" s="36" t="e">
        <v>#N/A</v>
      </c>
      <c r="H6852" s="33"/>
      <c r="I6852" s="33"/>
      <c r="J6852" s="33"/>
      <c r="K6852" s="33"/>
      <c r="L6852" s="33"/>
      <c r="M6852" s="33"/>
    </row>
    <row r="6853">
      <c r="A6853" s="32" t="s">
        <v>18736</v>
      </c>
      <c r="B6853" s="32" t="s">
        <v>18737</v>
      </c>
      <c r="C6853" s="35">
        <v>27.8025</v>
      </c>
      <c r="D6853" s="35">
        <v>114.3062</v>
      </c>
      <c r="E6853" s="32" t="s">
        <v>205</v>
      </c>
      <c r="F6853" s="32" t="s">
        <v>18738</v>
      </c>
      <c r="G6853" s="39" t="s">
        <v>206</v>
      </c>
      <c r="H6853" s="33"/>
      <c r="I6853" s="33"/>
      <c r="J6853" s="33"/>
      <c r="K6853" s="33"/>
      <c r="L6853" s="33"/>
      <c r="M6853" s="33"/>
    </row>
    <row r="6854">
      <c r="A6854" s="32" t="s">
        <v>18739</v>
      </c>
      <c r="B6854" s="32" t="s">
        <v>18740</v>
      </c>
      <c r="C6854" s="35">
        <v>47.3106</v>
      </c>
      <c r="D6854" s="35">
        <v>119.9117</v>
      </c>
      <c r="E6854" s="32" t="s">
        <v>205</v>
      </c>
      <c r="F6854" s="32" t="s">
        <v>18741</v>
      </c>
      <c r="G6854" s="39" t="s">
        <v>206</v>
      </c>
      <c r="H6854" s="33"/>
      <c r="I6854" s="33"/>
      <c r="J6854" s="33"/>
      <c r="K6854" s="33"/>
      <c r="L6854" s="33"/>
      <c r="M6854" s="33"/>
    </row>
    <row r="6855">
      <c r="A6855" s="32" t="s">
        <v>18742</v>
      </c>
      <c r="B6855" s="32" t="s">
        <v>18743</v>
      </c>
      <c r="C6855" s="35">
        <v>51.21170044</v>
      </c>
      <c r="D6855" s="35">
        <v>-58.65829849</v>
      </c>
      <c r="E6855" s="32" t="s">
        <v>94</v>
      </c>
      <c r="F6855" s="32" t="s">
        <v>18744</v>
      </c>
      <c r="G6855" s="36" t="e">
        <v>#N/A</v>
      </c>
      <c r="H6855" s="33"/>
      <c r="I6855" s="33"/>
      <c r="J6855" s="33"/>
      <c r="K6855" s="33"/>
      <c r="L6855" s="33"/>
      <c r="M6855" s="33"/>
    </row>
    <row r="6856">
      <c r="A6856" s="32" t="s">
        <v>18745</v>
      </c>
      <c r="B6856" s="32" t="s">
        <v>18746</v>
      </c>
      <c r="C6856" s="35">
        <v>30.55655</v>
      </c>
      <c r="D6856" s="35">
        <v>111.479988</v>
      </c>
      <c r="E6856" s="32" t="s">
        <v>205</v>
      </c>
      <c r="F6856" s="32" t="s">
        <v>18747</v>
      </c>
      <c r="G6856" s="39" t="s">
        <v>206</v>
      </c>
      <c r="H6856" s="33"/>
      <c r="I6856" s="33"/>
      <c r="J6856" s="33"/>
      <c r="K6856" s="33"/>
      <c r="L6856" s="33"/>
      <c r="M6856" s="33"/>
    </row>
    <row r="6857">
      <c r="A6857" s="32" t="s">
        <v>18748</v>
      </c>
      <c r="B6857" s="32" t="s">
        <v>18749</v>
      </c>
      <c r="C6857" s="35">
        <v>62.41730118</v>
      </c>
      <c r="D6857" s="35">
        <v>-77.9253006</v>
      </c>
      <c r="E6857" s="32" t="s">
        <v>94</v>
      </c>
      <c r="F6857" s="32" t="s">
        <v>18750</v>
      </c>
      <c r="G6857" s="36" t="e">
        <v>#N/A</v>
      </c>
      <c r="H6857" s="33"/>
      <c r="I6857" s="33"/>
      <c r="J6857" s="33"/>
      <c r="K6857" s="33"/>
      <c r="L6857" s="33"/>
      <c r="M6857" s="33"/>
    </row>
    <row r="6858">
      <c r="A6858" s="32" t="s">
        <v>18751</v>
      </c>
      <c r="B6858" s="32" t="s">
        <v>18752</v>
      </c>
      <c r="C6858" s="35">
        <v>43.955799</v>
      </c>
      <c r="D6858" s="35">
        <v>81.330299</v>
      </c>
      <c r="E6858" s="32" t="s">
        <v>205</v>
      </c>
      <c r="F6858" s="32" t="s">
        <v>18753</v>
      </c>
      <c r="G6858" s="39" t="s">
        <v>206</v>
      </c>
      <c r="H6858" s="33"/>
      <c r="I6858" s="33"/>
      <c r="J6858" s="33"/>
      <c r="K6858" s="33"/>
      <c r="L6858" s="33"/>
      <c r="M6858" s="33"/>
    </row>
    <row r="6859">
      <c r="A6859" s="32" t="s">
        <v>18754</v>
      </c>
      <c r="B6859" s="32" t="s">
        <v>18755</v>
      </c>
      <c r="C6859" s="35">
        <v>72.6832962</v>
      </c>
      <c r="D6859" s="35">
        <v>-77.96669769</v>
      </c>
      <c r="E6859" s="32" t="s">
        <v>94</v>
      </c>
      <c r="F6859" s="32" t="s">
        <v>18756</v>
      </c>
      <c r="G6859" s="36" t="e">
        <v>#N/A</v>
      </c>
      <c r="H6859" s="33"/>
      <c r="I6859" s="33"/>
      <c r="J6859" s="33"/>
      <c r="K6859" s="33"/>
      <c r="L6859" s="33"/>
      <c r="M6859" s="33"/>
    </row>
    <row r="6860">
      <c r="A6860" s="32" t="s">
        <v>18757</v>
      </c>
      <c r="B6860" s="32" t="s">
        <v>18758</v>
      </c>
      <c r="C6860" s="35">
        <v>42.23789978</v>
      </c>
      <c r="D6860" s="35">
        <v>-83.53040314</v>
      </c>
      <c r="E6860" s="32" t="s">
        <v>180</v>
      </c>
      <c r="F6860" s="32" t="s">
        <v>6621</v>
      </c>
      <c r="G6860" s="39" t="s">
        <v>181</v>
      </c>
      <c r="H6860" s="33"/>
      <c r="I6860" s="33"/>
      <c r="J6860" s="33"/>
      <c r="K6860" s="33"/>
      <c r="L6860" s="33"/>
      <c r="M6860" s="33"/>
    </row>
    <row r="6861">
      <c r="A6861" s="32" t="s">
        <v>18759</v>
      </c>
      <c r="B6861" s="32" t="s">
        <v>18760</v>
      </c>
      <c r="C6861" s="35">
        <v>53.85720062</v>
      </c>
      <c r="D6861" s="35">
        <v>-94.6536026</v>
      </c>
      <c r="E6861" s="32" t="s">
        <v>94</v>
      </c>
      <c r="F6861" s="32" t="s">
        <v>18761</v>
      </c>
      <c r="G6861" s="36" t="e">
        <v>#N/A</v>
      </c>
      <c r="H6861" s="33"/>
      <c r="I6861" s="33"/>
      <c r="J6861" s="33"/>
      <c r="K6861" s="33"/>
      <c r="L6861" s="33"/>
      <c r="M6861" s="33"/>
    </row>
    <row r="6862">
      <c r="A6862" s="32" t="s">
        <v>18762</v>
      </c>
      <c r="B6862" s="32" t="s">
        <v>18763</v>
      </c>
      <c r="C6862" s="35">
        <v>29.34469986</v>
      </c>
      <c r="D6862" s="35">
        <v>120.0319977</v>
      </c>
      <c r="E6862" s="32" t="s">
        <v>205</v>
      </c>
      <c r="F6862" s="32" t="s">
        <v>18764</v>
      </c>
      <c r="G6862" s="39" t="s">
        <v>206</v>
      </c>
      <c r="H6862" s="33"/>
      <c r="I6862" s="33"/>
      <c r="J6862" s="33"/>
      <c r="K6862" s="33"/>
      <c r="L6862" s="33"/>
      <c r="M6862" s="33"/>
    </row>
    <row r="6863">
      <c r="A6863" s="32" t="s">
        <v>18765</v>
      </c>
      <c r="B6863" s="32" t="s">
        <v>18766</v>
      </c>
      <c r="C6863" s="35">
        <v>60.2358017</v>
      </c>
      <c r="D6863" s="35">
        <v>-123.4690018</v>
      </c>
      <c r="E6863" s="32" t="s">
        <v>94</v>
      </c>
      <c r="F6863" s="32" t="s">
        <v>18767</v>
      </c>
      <c r="G6863" s="36" t="e">
        <v>#N/A</v>
      </c>
      <c r="H6863" s="33"/>
      <c r="I6863" s="33"/>
      <c r="J6863" s="33"/>
      <c r="K6863" s="33"/>
      <c r="L6863" s="33"/>
      <c r="M6863" s="33"/>
    </row>
    <row r="6864">
      <c r="A6864" s="32" t="s">
        <v>18768</v>
      </c>
      <c r="B6864" s="32" t="s">
        <v>18769</v>
      </c>
      <c r="C6864" s="35">
        <v>54.39720154</v>
      </c>
      <c r="D6864" s="35">
        <v>-124.2630005</v>
      </c>
      <c r="E6864" s="32" t="s">
        <v>94</v>
      </c>
      <c r="F6864" s="32" t="s">
        <v>18770</v>
      </c>
      <c r="G6864" s="36" t="e">
        <v>#N/A</v>
      </c>
      <c r="H6864" s="33"/>
      <c r="I6864" s="33"/>
      <c r="J6864" s="33"/>
      <c r="K6864" s="33"/>
      <c r="L6864" s="33"/>
      <c r="M6864" s="33"/>
    </row>
    <row r="6865">
      <c r="A6865" s="32" t="s">
        <v>18771</v>
      </c>
      <c r="B6865" s="32" t="s">
        <v>18772</v>
      </c>
      <c r="C6865" s="35">
        <v>45.29439926</v>
      </c>
      <c r="D6865" s="35">
        <v>-73.28109741</v>
      </c>
      <c r="E6865" s="32" t="s">
        <v>94</v>
      </c>
      <c r="F6865" s="32" t="s">
        <v>18773</v>
      </c>
      <c r="G6865" s="36" t="e">
        <v>#N/A</v>
      </c>
      <c r="H6865" s="33"/>
      <c r="I6865" s="33"/>
      <c r="J6865" s="33"/>
      <c r="K6865" s="33"/>
      <c r="L6865" s="33"/>
      <c r="M6865" s="33"/>
    </row>
    <row r="6866">
      <c r="A6866" s="32" t="s">
        <v>18774</v>
      </c>
      <c r="B6866" s="32" t="s">
        <v>18775</v>
      </c>
      <c r="C6866" s="35">
        <v>48.5442009</v>
      </c>
      <c r="D6866" s="35">
        <v>-58.54999924</v>
      </c>
      <c r="E6866" s="32" t="s">
        <v>94</v>
      </c>
      <c r="F6866" s="32" t="s">
        <v>2908</v>
      </c>
      <c r="G6866" s="36" t="e">
        <v>#N/A</v>
      </c>
      <c r="H6866" s="33"/>
      <c r="I6866" s="33"/>
      <c r="J6866" s="33"/>
      <c r="K6866" s="33"/>
      <c r="L6866" s="33"/>
      <c r="M6866" s="33"/>
    </row>
    <row r="6867">
      <c r="A6867" s="32" t="s">
        <v>18776</v>
      </c>
      <c r="B6867" s="32" t="s">
        <v>18777</v>
      </c>
      <c r="C6867" s="35">
        <v>50.70220184</v>
      </c>
      <c r="D6867" s="35">
        <v>-120.4440002</v>
      </c>
      <c r="E6867" s="32" t="s">
        <v>94</v>
      </c>
      <c r="F6867" s="32" t="s">
        <v>2960</v>
      </c>
      <c r="G6867" s="36" t="e">
        <v>#N/A</v>
      </c>
      <c r="H6867" s="33"/>
      <c r="I6867" s="33"/>
      <c r="J6867" s="33"/>
      <c r="K6867" s="33"/>
      <c r="L6867" s="33"/>
      <c r="M6867" s="33"/>
    </row>
    <row r="6868">
      <c r="A6868" s="32" t="s">
        <v>18778</v>
      </c>
      <c r="B6868" s="32" t="s">
        <v>18779</v>
      </c>
      <c r="C6868" s="35">
        <v>43.46080017</v>
      </c>
      <c r="D6868" s="35">
        <v>-80.37860107</v>
      </c>
      <c r="E6868" s="32" t="s">
        <v>94</v>
      </c>
      <c r="F6868" s="32" t="s">
        <v>3893</v>
      </c>
      <c r="G6868" s="36" t="e">
        <v>#N/A</v>
      </c>
      <c r="H6868" s="33"/>
      <c r="I6868" s="33"/>
      <c r="J6868" s="33"/>
      <c r="K6868" s="33"/>
      <c r="L6868" s="33"/>
      <c r="M6868" s="33"/>
    </row>
    <row r="6869">
      <c r="A6869" s="32" t="s">
        <v>18780</v>
      </c>
      <c r="B6869" s="32" t="s">
        <v>18781</v>
      </c>
      <c r="C6869" s="35">
        <v>60.02719879</v>
      </c>
      <c r="D6869" s="35">
        <v>-69.99919891</v>
      </c>
      <c r="E6869" s="32" t="s">
        <v>94</v>
      </c>
      <c r="F6869" s="32" t="s">
        <v>18782</v>
      </c>
      <c r="G6869" s="36" t="e">
        <v>#N/A</v>
      </c>
      <c r="H6869" s="33"/>
      <c r="I6869" s="33"/>
      <c r="J6869" s="33"/>
      <c r="K6869" s="33"/>
      <c r="L6869" s="33"/>
      <c r="M6869" s="33"/>
    </row>
    <row r="6870">
      <c r="A6870" s="32" t="s">
        <v>18783</v>
      </c>
      <c r="B6870" s="32" t="s">
        <v>18784</v>
      </c>
      <c r="C6870" s="35">
        <v>40.542524</v>
      </c>
      <c r="D6870" s="35">
        <v>122.3586</v>
      </c>
      <c r="E6870" s="32" t="s">
        <v>205</v>
      </c>
      <c r="F6870" s="32" t="s">
        <v>18785</v>
      </c>
      <c r="G6870" s="39" t="s">
        <v>206</v>
      </c>
      <c r="H6870" s="33"/>
      <c r="I6870" s="33"/>
      <c r="J6870" s="33"/>
      <c r="K6870" s="33"/>
      <c r="L6870" s="33"/>
      <c r="M6870" s="33"/>
    </row>
    <row r="6871">
      <c r="A6871" s="32" t="s">
        <v>18786</v>
      </c>
      <c r="B6871" s="32" t="s">
        <v>18787</v>
      </c>
      <c r="C6871" s="35">
        <v>57.2560997</v>
      </c>
      <c r="D6871" s="35">
        <v>-105.6179962</v>
      </c>
      <c r="E6871" s="32" t="s">
        <v>94</v>
      </c>
      <c r="F6871" s="32" t="s">
        <v>18788</v>
      </c>
      <c r="G6871" s="36" t="e">
        <v>#N/A</v>
      </c>
      <c r="H6871" s="33"/>
      <c r="I6871" s="33"/>
      <c r="J6871" s="33"/>
      <c r="K6871" s="33"/>
      <c r="L6871" s="33"/>
      <c r="M6871" s="33"/>
    </row>
    <row r="6872">
      <c r="A6872" s="32" t="s">
        <v>18789</v>
      </c>
      <c r="B6872" s="32" t="s">
        <v>18790</v>
      </c>
      <c r="C6872" s="35">
        <v>54.80530167</v>
      </c>
      <c r="D6872" s="35">
        <v>-66.80529785</v>
      </c>
      <c r="E6872" s="32" t="s">
        <v>94</v>
      </c>
      <c r="F6872" s="32" t="s">
        <v>18791</v>
      </c>
      <c r="G6872" s="36" t="e">
        <v>#N/A</v>
      </c>
      <c r="H6872" s="33"/>
      <c r="I6872" s="33"/>
      <c r="J6872" s="33"/>
      <c r="K6872" s="33"/>
      <c r="L6872" s="33"/>
      <c r="M6872" s="33"/>
    </row>
    <row r="6873">
      <c r="A6873" s="32" t="s">
        <v>18792</v>
      </c>
      <c r="B6873" s="32" t="s">
        <v>18793</v>
      </c>
      <c r="C6873" s="35">
        <v>46.56819916</v>
      </c>
      <c r="D6873" s="35">
        <v>-120.5439987</v>
      </c>
      <c r="E6873" s="32" t="s">
        <v>180</v>
      </c>
      <c r="F6873" s="32" t="s">
        <v>18794</v>
      </c>
      <c r="G6873" s="39" t="s">
        <v>181</v>
      </c>
      <c r="H6873" s="33"/>
      <c r="I6873" s="33"/>
      <c r="J6873" s="33"/>
      <c r="K6873" s="33"/>
      <c r="L6873" s="33"/>
      <c r="M6873" s="33"/>
    </row>
    <row r="6874">
      <c r="A6874" s="32" t="s">
        <v>18795</v>
      </c>
      <c r="B6874" s="32" t="s">
        <v>18796</v>
      </c>
      <c r="C6874" s="35">
        <v>42.91669846</v>
      </c>
      <c r="D6874" s="35">
        <v>-97.3859024</v>
      </c>
      <c r="E6874" s="32" t="s">
        <v>180</v>
      </c>
      <c r="F6874" s="32" t="s">
        <v>18797</v>
      </c>
      <c r="G6874" s="39" t="s">
        <v>181</v>
      </c>
      <c r="H6874" s="33"/>
      <c r="I6874" s="33"/>
      <c r="J6874" s="33"/>
      <c r="K6874" s="33"/>
      <c r="L6874" s="33"/>
      <c r="M6874" s="33"/>
    </row>
    <row r="6875">
      <c r="A6875" s="32" t="s">
        <v>18798</v>
      </c>
      <c r="B6875" s="32" t="s">
        <v>18799</v>
      </c>
      <c r="C6875" s="35">
        <v>37.5497</v>
      </c>
      <c r="D6875" s="35">
        <v>44.2381</v>
      </c>
      <c r="E6875" s="32" t="s">
        <v>133</v>
      </c>
      <c r="F6875" s="32" t="s">
        <v>18800</v>
      </c>
      <c r="G6875" s="39" t="s">
        <v>134</v>
      </c>
      <c r="H6875" s="33"/>
      <c r="I6875" s="33"/>
      <c r="J6875" s="33"/>
      <c r="K6875" s="33"/>
      <c r="L6875" s="33"/>
      <c r="M6875" s="33"/>
    </row>
    <row r="6876">
      <c r="A6876" s="32" t="s">
        <v>18801</v>
      </c>
      <c r="B6876" s="32" t="s">
        <v>18802</v>
      </c>
      <c r="C6876" s="35">
        <v>51.47330093</v>
      </c>
      <c r="D6876" s="35">
        <v>-78.75830078</v>
      </c>
      <c r="E6876" s="32" t="s">
        <v>94</v>
      </c>
      <c r="F6876" s="32" t="s">
        <v>18803</v>
      </c>
      <c r="G6876" s="36" t="e">
        <v>#N/A</v>
      </c>
      <c r="H6876" s="33"/>
      <c r="I6876" s="33"/>
      <c r="J6876" s="33"/>
      <c r="K6876" s="33"/>
      <c r="L6876" s="33"/>
      <c r="M6876" s="33"/>
    </row>
    <row r="6877">
      <c r="A6877" s="32" t="s">
        <v>18804</v>
      </c>
      <c r="B6877" s="32" t="s">
        <v>18805</v>
      </c>
      <c r="C6877" s="35">
        <v>62.09329987</v>
      </c>
      <c r="D6877" s="35">
        <v>129.7709961</v>
      </c>
      <c r="E6877" s="32" t="s">
        <v>2040</v>
      </c>
      <c r="F6877" s="32" t="s">
        <v>2709</v>
      </c>
      <c r="G6877" s="36" t="e">
        <v>#N/A</v>
      </c>
      <c r="H6877" s="33"/>
      <c r="I6877" s="33"/>
      <c r="J6877" s="33"/>
      <c r="K6877" s="33"/>
      <c r="L6877" s="33"/>
      <c r="M6877" s="33"/>
    </row>
    <row r="6878">
      <c r="A6878" s="32" t="s">
        <v>18806</v>
      </c>
      <c r="B6878" s="32" t="s">
        <v>18807</v>
      </c>
      <c r="C6878" s="35">
        <v>53.80559921</v>
      </c>
      <c r="D6878" s="35">
        <v>-78.91690063</v>
      </c>
      <c r="E6878" s="32" t="s">
        <v>94</v>
      </c>
      <c r="F6878" s="32" t="s">
        <v>18808</v>
      </c>
      <c r="G6878" s="36" t="e">
        <v>#N/A</v>
      </c>
      <c r="H6878" s="33"/>
      <c r="I6878" s="33"/>
      <c r="J6878" s="33"/>
      <c r="K6878" s="33"/>
      <c r="L6878" s="33"/>
      <c r="M6878" s="33"/>
    </row>
    <row r="6879">
      <c r="A6879" s="32" t="s">
        <v>18809</v>
      </c>
      <c r="B6879" s="32" t="s">
        <v>18810</v>
      </c>
      <c r="C6879" s="35">
        <v>48.21030045</v>
      </c>
      <c r="D6879" s="35">
        <v>-79.98139954</v>
      </c>
      <c r="E6879" s="32" t="s">
        <v>94</v>
      </c>
      <c r="F6879" s="32" t="s">
        <v>18811</v>
      </c>
      <c r="G6879" s="36" t="e">
        <v>#N/A</v>
      </c>
      <c r="H6879" s="33"/>
      <c r="I6879" s="33"/>
      <c r="J6879" s="33"/>
      <c r="K6879" s="33"/>
      <c r="L6879" s="33"/>
      <c r="M6879" s="33"/>
    </row>
    <row r="6880">
      <c r="A6880" s="32" t="s">
        <v>18812</v>
      </c>
      <c r="B6880" s="32" t="s">
        <v>18813</v>
      </c>
      <c r="C6880" s="35">
        <v>51.51750183</v>
      </c>
      <c r="D6880" s="35">
        <v>-109.1809998</v>
      </c>
      <c r="E6880" s="32" t="s">
        <v>94</v>
      </c>
      <c r="F6880" s="32" t="s">
        <v>18814</v>
      </c>
      <c r="G6880" s="36" t="e">
        <v>#N/A</v>
      </c>
      <c r="H6880" s="33"/>
      <c r="I6880" s="33"/>
      <c r="J6880" s="33"/>
      <c r="K6880" s="33"/>
      <c r="L6880" s="33"/>
      <c r="M6880" s="33"/>
    </row>
    <row r="6881">
      <c r="A6881" s="32" t="s">
        <v>18815</v>
      </c>
      <c r="B6881" s="32" t="s">
        <v>18816</v>
      </c>
      <c r="C6881" s="35">
        <v>43.86220169</v>
      </c>
      <c r="D6881" s="35">
        <v>-79.37000275</v>
      </c>
      <c r="E6881" s="32" t="s">
        <v>94</v>
      </c>
      <c r="F6881" s="32" t="s">
        <v>18817</v>
      </c>
      <c r="G6881" s="36" t="e">
        <v>#N/A</v>
      </c>
      <c r="H6881" s="33"/>
      <c r="I6881" s="33"/>
      <c r="J6881" s="33"/>
      <c r="K6881" s="33"/>
      <c r="L6881" s="33"/>
      <c r="M6881" s="33"/>
    </row>
    <row r="6882">
      <c r="A6882" s="32" t="s">
        <v>18818</v>
      </c>
      <c r="B6882" s="32" t="s">
        <v>18819</v>
      </c>
      <c r="C6882" s="35">
        <v>62.84999847</v>
      </c>
      <c r="D6882" s="35">
        <v>-69.88330078</v>
      </c>
      <c r="E6882" s="32" t="s">
        <v>94</v>
      </c>
      <c r="F6882" s="32" t="s">
        <v>18820</v>
      </c>
      <c r="G6882" s="36" t="e">
        <v>#N/A</v>
      </c>
      <c r="H6882" s="33"/>
      <c r="I6882" s="33"/>
      <c r="J6882" s="33"/>
      <c r="K6882" s="33"/>
      <c r="L6882" s="33"/>
      <c r="M6882" s="33"/>
    </row>
    <row r="6883">
      <c r="A6883" s="32" t="s">
        <v>18821</v>
      </c>
      <c r="B6883" s="32" t="s">
        <v>18822</v>
      </c>
      <c r="C6883" s="35">
        <v>47.81999969</v>
      </c>
      <c r="D6883" s="35">
        <v>-83.34670258</v>
      </c>
      <c r="E6883" s="32" t="s">
        <v>94</v>
      </c>
      <c r="F6883" s="32" t="s">
        <v>18823</v>
      </c>
      <c r="G6883" s="36" t="e">
        <v>#N/A</v>
      </c>
      <c r="H6883" s="33"/>
      <c r="I6883" s="33"/>
      <c r="J6883" s="33"/>
      <c r="K6883" s="33"/>
      <c r="L6883" s="33"/>
      <c r="M6883" s="33"/>
    </row>
    <row r="6884">
      <c r="A6884" s="32" t="s">
        <v>18824</v>
      </c>
      <c r="B6884" s="32" t="s">
        <v>18825</v>
      </c>
      <c r="C6884" s="35">
        <v>63.13169861</v>
      </c>
      <c r="D6884" s="35">
        <v>-117.2460022</v>
      </c>
      <c r="E6884" s="32" t="s">
        <v>94</v>
      </c>
      <c r="F6884" s="32" t="s">
        <v>18826</v>
      </c>
      <c r="G6884" s="36" t="e">
        <v>#N/A</v>
      </c>
      <c r="H6884" s="33"/>
      <c r="I6884" s="33"/>
      <c r="J6884" s="33"/>
      <c r="K6884" s="33"/>
      <c r="L6884" s="33"/>
      <c r="M6884" s="33"/>
    </row>
    <row r="6885">
      <c r="A6885" s="32" t="s">
        <v>18827</v>
      </c>
      <c r="B6885" s="32" t="s">
        <v>18828</v>
      </c>
      <c r="C6885" s="35">
        <v>52.1955986</v>
      </c>
      <c r="D6885" s="35">
        <v>-87.93419647</v>
      </c>
      <c r="E6885" s="32" t="s">
        <v>94</v>
      </c>
      <c r="F6885" s="32" t="s">
        <v>18829</v>
      </c>
      <c r="G6885" s="36" t="e">
        <v>#N/A</v>
      </c>
      <c r="H6885" s="33"/>
      <c r="I6885" s="33"/>
      <c r="J6885" s="33"/>
      <c r="K6885" s="33"/>
      <c r="L6885" s="33"/>
      <c r="M6885" s="33"/>
    </row>
    <row r="6886">
      <c r="A6886" s="32" t="s">
        <v>18830</v>
      </c>
      <c r="B6886" s="32" t="s">
        <v>18831</v>
      </c>
      <c r="C6886" s="35">
        <v>54.12530136</v>
      </c>
      <c r="D6886" s="35">
        <v>-108.5230026</v>
      </c>
      <c r="E6886" s="32" t="s">
        <v>94</v>
      </c>
      <c r="F6886" s="32" t="s">
        <v>18832</v>
      </c>
      <c r="G6886" s="36" t="e">
        <v>#N/A</v>
      </c>
      <c r="H6886" s="33"/>
      <c r="I6886" s="33"/>
      <c r="J6886" s="33"/>
      <c r="K6886" s="33"/>
      <c r="L6886" s="33"/>
      <c r="M6886" s="33"/>
    </row>
    <row r="6887">
      <c r="A6887" s="32" t="s">
        <v>18833</v>
      </c>
      <c r="B6887" s="32" t="s">
        <v>18834</v>
      </c>
      <c r="C6887" s="35">
        <v>44.48529816</v>
      </c>
      <c r="D6887" s="35">
        <v>-79.55560303</v>
      </c>
      <c r="E6887" s="32" t="s">
        <v>94</v>
      </c>
      <c r="F6887" s="32" t="s">
        <v>18835</v>
      </c>
      <c r="G6887" s="36" t="e">
        <v>#N/A</v>
      </c>
      <c r="H6887" s="33"/>
      <c r="I6887" s="33"/>
      <c r="J6887" s="33"/>
      <c r="K6887" s="33"/>
      <c r="L6887" s="33"/>
      <c r="M6887" s="33"/>
    </row>
    <row r="6888">
      <c r="A6888" s="32" t="s">
        <v>18836</v>
      </c>
      <c r="B6888" s="32" t="s">
        <v>18837</v>
      </c>
      <c r="C6888" s="35">
        <v>53.30920029</v>
      </c>
      <c r="D6888" s="35">
        <v>-110.072998</v>
      </c>
      <c r="E6888" s="32" t="s">
        <v>94</v>
      </c>
      <c r="F6888" s="32" t="s">
        <v>18838</v>
      </c>
      <c r="G6888" s="36" t="e">
        <v>#N/A</v>
      </c>
      <c r="H6888" s="33"/>
      <c r="I6888" s="33"/>
      <c r="J6888" s="33"/>
      <c r="K6888" s="33"/>
      <c r="L6888" s="33"/>
      <c r="M6888" s="33"/>
    </row>
    <row r="6889">
      <c r="A6889" s="32" t="s">
        <v>18839</v>
      </c>
      <c r="B6889" s="32" t="s">
        <v>18840</v>
      </c>
      <c r="C6889" s="35">
        <v>56.51330185</v>
      </c>
      <c r="D6889" s="35">
        <v>-99.98529816</v>
      </c>
      <c r="E6889" s="32" t="s">
        <v>94</v>
      </c>
      <c r="F6889" s="32" t="s">
        <v>18841</v>
      </c>
      <c r="G6889" s="36" t="e">
        <v>#N/A</v>
      </c>
      <c r="H6889" s="33"/>
      <c r="I6889" s="33"/>
      <c r="J6889" s="33"/>
      <c r="K6889" s="33"/>
      <c r="L6889" s="33"/>
      <c r="M6889" s="33"/>
    </row>
    <row r="6890">
      <c r="A6890" s="32" t="s">
        <v>18842</v>
      </c>
      <c r="B6890" s="32" t="s">
        <v>18843</v>
      </c>
      <c r="C6890" s="35">
        <v>82.51779938</v>
      </c>
      <c r="D6890" s="35">
        <v>-62.2806015</v>
      </c>
      <c r="E6890" s="32" t="s">
        <v>94</v>
      </c>
      <c r="F6890" s="32" t="s">
        <v>18844</v>
      </c>
      <c r="G6890" s="36" t="e">
        <v>#N/A</v>
      </c>
      <c r="H6890" s="33"/>
      <c r="I6890" s="33"/>
      <c r="J6890" s="33"/>
      <c r="K6890" s="33"/>
      <c r="L6890" s="33"/>
      <c r="M6890" s="33"/>
    </row>
    <row r="6891">
      <c r="A6891" s="32" t="s">
        <v>18845</v>
      </c>
      <c r="B6891" s="32" t="s">
        <v>18846</v>
      </c>
      <c r="C6891" s="35">
        <v>49.95610046</v>
      </c>
      <c r="D6891" s="35">
        <v>-119.3779984</v>
      </c>
      <c r="E6891" s="32" t="s">
        <v>94</v>
      </c>
      <c r="F6891" s="32" t="s">
        <v>18847</v>
      </c>
      <c r="G6891" s="36" t="e">
        <v>#N/A</v>
      </c>
      <c r="H6891" s="33"/>
      <c r="I6891" s="33"/>
      <c r="J6891" s="33"/>
      <c r="K6891" s="33"/>
      <c r="L6891" s="33"/>
      <c r="M6891" s="33"/>
    </row>
    <row r="6892">
      <c r="A6892" s="32" t="s">
        <v>18848</v>
      </c>
      <c r="B6892" s="32" t="s">
        <v>18849</v>
      </c>
      <c r="C6892" s="35">
        <v>63.61640167</v>
      </c>
      <c r="D6892" s="35">
        <v>-135.8679962</v>
      </c>
      <c r="E6892" s="32" t="s">
        <v>94</v>
      </c>
      <c r="F6892" s="32" t="s">
        <v>18850</v>
      </c>
      <c r="G6892" s="36" t="e">
        <v>#N/A</v>
      </c>
      <c r="H6892" s="33"/>
      <c r="I6892" s="33"/>
      <c r="J6892" s="33"/>
      <c r="K6892" s="33"/>
      <c r="L6892" s="33"/>
      <c r="M6892" s="33"/>
    </row>
    <row r="6893">
      <c r="A6893" s="32" t="s">
        <v>18851</v>
      </c>
      <c r="B6893" s="32" t="s">
        <v>18852</v>
      </c>
      <c r="C6893" s="35">
        <v>48.85689926</v>
      </c>
      <c r="D6893" s="35">
        <v>-67.45330048</v>
      </c>
      <c r="E6893" s="32" t="s">
        <v>94</v>
      </c>
      <c r="F6893" s="32" t="s">
        <v>18853</v>
      </c>
      <c r="G6893" s="36" t="e">
        <v>#N/A</v>
      </c>
      <c r="H6893" s="33"/>
      <c r="I6893" s="33"/>
      <c r="J6893" s="33"/>
      <c r="K6893" s="33"/>
      <c r="L6893" s="33"/>
      <c r="M6893" s="33"/>
    </row>
    <row r="6894">
      <c r="A6894" s="32" t="s">
        <v>18854</v>
      </c>
      <c r="B6894" s="32" t="s">
        <v>18855</v>
      </c>
      <c r="C6894" s="35">
        <v>49.08390045</v>
      </c>
      <c r="D6894" s="35">
        <v>-85.86060333</v>
      </c>
      <c r="E6894" s="32" t="s">
        <v>94</v>
      </c>
      <c r="F6894" s="32" t="s">
        <v>18856</v>
      </c>
      <c r="G6894" s="36" t="e">
        <v>#N/A</v>
      </c>
      <c r="H6894" s="33"/>
      <c r="I6894" s="33"/>
      <c r="J6894" s="33"/>
      <c r="K6894" s="33"/>
      <c r="L6894" s="33"/>
      <c r="M6894" s="33"/>
    </row>
    <row r="6895">
      <c r="A6895" s="32" t="s">
        <v>18857</v>
      </c>
      <c r="B6895" s="32" t="s">
        <v>18858</v>
      </c>
      <c r="C6895" s="35">
        <v>52.30279922</v>
      </c>
      <c r="D6895" s="35">
        <v>-55.84719849</v>
      </c>
      <c r="E6895" s="32" t="s">
        <v>94</v>
      </c>
      <c r="F6895" s="32" t="s">
        <v>18859</v>
      </c>
      <c r="G6895" s="36" t="e">
        <v>#N/A</v>
      </c>
      <c r="H6895" s="33"/>
      <c r="I6895" s="33"/>
      <c r="J6895" s="33"/>
      <c r="K6895" s="33"/>
      <c r="L6895" s="33"/>
      <c r="M6895" s="33"/>
    </row>
    <row r="6896">
      <c r="A6896" s="32" t="s">
        <v>18860</v>
      </c>
      <c r="B6896" s="32" t="s">
        <v>18861</v>
      </c>
      <c r="C6896" s="35">
        <v>50.33029938</v>
      </c>
      <c r="D6896" s="35">
        <v>-105.5589981</v>
      </c>
      <c r="E6896" s="32" t="s">
        <v>94</v>
      </c>
      <c r="F6896" s="32" t="s">
        <v>18862</v>
      </c>
      <c r="G6896" s="36" t="e">
        <v>#N/A</v>
      </c>
      <c r="H6896" s="33"/>
      <c r="I6896" s="33"/>
      <c r="J6896" s="33"/>
      <c r="K6896" s="33"/>
      <c r="L6896" s="33"/>
      <c r="M6896" s="33"/>
    </row>
    <row r="6897">
      <c r="A6897" s="32" t="s">
        <v>18863</v>
      </c>
      <c r="B6897" s="32" t="s">
        <v>18864</v>
      </c>
      <c r="C6897" s="35">
        <v>47.59749985</v>
      </c>
      <c r="D6897" s="35">
        <v>-70.22389984</v>
      </c>
      <c r="E6897" s="32" t="s">
        <v>94</v>
      </c>
      <c r="F6897" s="32" t="s">
        <v>18865</v>
      </c>
      <c r="G6897" s="36" t="e">
        <v>#N/A</v>
      </c>
      <c r="H6897" s="33"/>
      <c r="I6897" s="33"/>
      <c r="J6897" s="33"/>
      <c r="K6897" s="33"/>
      <c r="L6897" s="33"/>
      <c r="M6897" s="33"/>
    </row>
    <row r="6898">
      <c r="A6898" s="32" t="s">
        <v>18866</v>
      </c>
      <c r="B6898" s="32" t="s">
        <v>18867</v>
      </c>
      <c r="C6898" s="35">
        <v>56.65330124</v>
      </c>
      <c r="D6898" s="35">
        <v>-111.2220001</v>
      </c>
      <c r="E6898" s="32" t="s">
        <v>94</v>
      </c>
      <c r="F6898" s="32" t="s">
        <v>18868</v>
      </c>
      <c r="G6898" s="36" t="e">
        <v>#N/A</v>
      </c>
      <c r="H6898" s="33"/>
      <c r="I6898" s="33"/>
      <c r="J6898" s="33"/>
      <c r="K6898" s="33"/>
      <c r="L6898" s="33"/>
      <c r="M6898" s="33"/>
    </row>
    <row r="6899">
      <c r="A6899" s="32" t="s">
        <v>18869</v>
      </c>
      <c r="B6899" s="32" t="s">
        <v>18870</v>
      </c>
      <c r="C6899" s="35">
        <v>55.07690048</v>
      </c>
      <c r="D6899" s="35">
        <v>-59.18640137</v>
      </c>
      <c r="E6899" s="32" t="s">
        <v>94</v>
      </c>
      <c r="F6899" s="32" t="s">
        <v>18871</v>
      </c>
      <c r="G6899" s="36" t="e">
        <v>#N/A</v>
      </c>
      <c r="H6899" s="33"/>
      <c r="I6899" s="33"/>
      <c r="J6899" s="33"/>
      <c r="K6899" s="33"/>
      <c r="L6899" s="33"/>
      <c r="M6899" s="33"/>
    </row>
    <row r="6900">
      <c r="A6900" s="32" t="s">
        <v>18872</v>
      </c>
      <c r="B6900" s="32" t="s">
        <v>18873</v>
      </c>
      <c r="C6900" s="35">
        <v>51.29109955</v>
      </c>
      <c r="D6900" s="35">
        <v>-80.60780334</v>
      </c>
      <c r="E6900" s="32" t="s">
        <v>94</v>
      </c>
      <c r="F6900" s="32" t="s">
        <v>18874</v>
      </c>
      <c r="G6900" s="36" t="e">
        <v>#N/A</v>
      </c>
      <c r="H6900" s="33"/>
      <c r="I6900" s="33"/>
      <c r="J6900" s="33"/>
      <c r="K6900" s="33"/>
      <c r="L6900" s="33"/>
      <c r="M6900" s="33"/>
    </row>
    <row r="6901">
      <c r="A6901" s="32" t="s">
        <v>18875</v>
      </c>
      <c r="B6901" s="32" t="s">
        <v>18876</v>
      </c>
      <c r="C6901" s="35">
        <v>-5.893770218</v>
      </c>
      <c r="D6901" s="35">
        <v>-76.11820221</v>
      </c>
      <c r="E6901" s="32" t="s">
        <v>307</v>
      </c>
      <c r="F6901" s="32" t="s">
        <v>18877</v>
      </c>
      <c r="G6901" s="36" t="e">
        <v>#N/A</v>
      </c>
      <c r="H6901" s="33"/>
      <c r="I6901" s="33"/>
      <c r="J6901" s="33"/>
      <c r="K6901" s="33"/>
      <c r="L6901" s="33"/>
      <c r="M6901" s="33"/>
    </row>
    <row r="6902">
      <c r="A6902" s="32" t="s">
        <v>18878</v>
      </c>
      <c r="B6902" s="32" t="s">
        <v>18879</v>
      </c>
      <c r="C6902" s="35">
        <v>49.77190018</v>
      </c>
      <c r="D6902" s="35">
        <v>-74.52809906</v>
      </c>
      <c r="E6902" s="32" t="s">
        <v>94</v>
      </c>
      <c r="F6902" s="32" t="s">
        <v>18880</v>
      </c>
      <c r="G6902" s="36" t="e">
        <v>#N/A</v>
      </c>
      <c r="H6902" s="33"/>
      <c r="I6902" s="33"/>
      <c r="J6902" s="33"/>
      <c r="K6902" s="33"/>
      <c r="L6902" s="33"/>
      <c r="M6902" s="33"/>
    </row>
    <row r="6903">
      <c r="A6903" s="32" t="s">
        <v>18881</v>
      </c>
      <c r="B6903" s="32" t="s">
        <v>18882</v>
      </c>
      <c r="C6903" s="35">
        <v>46.27280045</v>
      </c>
      <c r="D6903" s="35">
        <v>-75.99060059</v>
      </c>
      <c r="E6903" s="32" t="s">
        <v>94</v>
      </c>
      <c r="F6903" s="32" t="s">
        <v>18883</v>
      </c>
      <c r="G6903" s="36" t="e">
        <v>#N/A</v>
      </c>
      <c r="H6903" s="33"/>
      <c r="I6903" s="33"/>
      <c r="J6903" s="33"/>
      <c r="K6903" s="33"/>
      <c r="L6903" s="33"/>
      <c r="M6903" s="33"/>
    </row>
    <row r="6904">
      <c r="A6904" s="32" t="s">
        <v>18884</v>
      </c>
      <c r="B6904" s="32" t="s">
        <v>18885</v>
      </c>
      <c r="C6904" s="35">
        <v>45.67950058</v>
      </c>
      <c r="D6904" s="35">
        <v>-74.03869629</v>
      </c>
      <c r="E6904" s="32" t="s">
        <v>94</v>
      </c>
      <c r="F6904" s="32" t="s">
        <v>18727</v>
      </c>
      <c r="G6904" s="36" t="e">
        <v>#N/A</v>
      </c>
      <c r="H6904" s="33"/>
      <c r="I6904" s="33"/>
      <c r="J6904" s="33"/>
      <c r="K6904" s="33"/>
      <c r="L6904" s="33"/>
      <c r="M6904" s="33"/>
    </row>
    <row r="6905">
      <c r="A6905" s="32" t="s">
        <v>18886</v>
      </c>
      <c r="B6905" s="32" t="s">
        <v>18887</v>
      </c>
      <c r="C6905" s="35">
        <v>50.18999863</v>
      </c>
      <c r="D6905" s="35">
        <v>-61.78919983</v>
      </c>
      <c r="E6905" s="32" t="s">
        <v>94</v>
      </c>
      <c r="F6905" s="32" t="s">
        <v>18888</v>
      </c>
      <c r="G6905" s="36" t="e">
        <v>#N/A</v>
      </c>
      <c r="H6905" s="33"/>
      <c r="I6905" s="33"/>
      <c r="J6905" s="33"/>
      <c r="K6905" s="33"/>
      <c r="L6905" s="33"/>
      <c r="M6905" s="33"/>
    </row>
    <row r="6906">
      <c r="A6906" s="32" t="s">
        <v>18889</v>
      </c>
      <c r="B6906" s="32" t="s">
        <v>18890</v>
      </c>
      <c r="C6906" s="35">
        <v>24.144199</v>
      </c>
      <c r="D6906" s="35">
        <v>38.0634</v>
      </c>
      <c r="E6906" s="32" t="s">
        <v>223</v>
      </c>
      <c r="F6906" s="32" t="s">
        <v>18891</v>
      </c>
      <c r="G6906" s="36" t="e">
        <v>#N/A</v>
      </c>
      <c r="H6906" s="33"/>
      <c r="I6906" s="33"/>
      <c r="J6906" s="33"/>
      <c r="K6906" s="33"/>
      <c r="L6906" s="33"/>
      <c r="M6906" s="33"/>
    </row>
    <row r="6907">
      <c r="A6907" s="32" t="s">
        <v>18892</v>
      </c>
      <c r="B6907" s="32" t="s">
        <v>18893</v>
      </c>
      <c r="C6907" s="35">
        <v>53.01060104</v>
      </c>
      <c r="D6907" s="35">
        <v>-78.83110046</v>
      </c>
      <c r="E6907" s="32" t="s">
        <v>94</v>
      </c>
      <c r="F6907" s="32" t="s">
        <v>18894</v>
      </c>
      <c r="G6907" s="36" t="e">
        <v>#N/A</v>
      </c>
      <c r="H6907" s="33"/>
      <c r="I6907" s="33"/>
      <c r="J6907" s="33"/>
      <c r="K6907" s="33"/>
      <c r="L6907" s="33"/>
      <c r="M6907" s="33"/>
    </row>
    <row r="6908">
      <c r="A6908" s="32" t="s">
        <v>18895</v>
      </c>
      <c r="B6908" s="32" t="s">
        <v>18896</v>
      </c>
      <c r="C6908" s="35">
        <v>45.52170181</v>
      </c>
      <c r="D6908" s="35">
        <v>-75.56359863</v>
      </c>
      <c r="E6908" s="32" t="s">
        <v>94</v>
      </c>
      <c r="F6908" s="32" t="s">
        <v>18897</v>
      </c>
      <c r="G6908" s="36" t="e">
        <v>#N/A</v>
      </c>
      <c r="H6908" s="33"/>
      <c r="I6908" s="33"/>
      <c r="J6908" s="33"/>
      <c r="K6908" s="33"/>
      <c r="L6908" s="33"/>
      <c r="M6908" s="33"/>
    </row>
    <row r="6909">
      <c r="A6909" s="32" t="s">
        <v>18898</v>
      </c>
      <c r="B6909" s="32" t="s">
        <v>18899</v>
      </c>
      <c r="C6909" s="35">
        <v>53.95830154</v>
      </c>
      <c r="D6909" s="35">
        <v>-97.84420013</v>
      </c>
      <c r="E6909" s="32" t="s">
        <v>94</v>
      </c>
      <c r="F6909" s="32" t="s">
        <v>18900</v>
      </c>
      <c r="G6909" s="36" t="e">
        <v>#N/A</v>
      </c>
      <c r="H6909" s="33"/>
      <c r="I6909" s="33"/>
      <c r="J6909" s="33"/>
      <c r="K6909" s="33"/>
      <c r="L6909" s="33"/>
      <c r="M6909" s="33"/>
    </row>
    <row r="6910">
      <c r="A6910" s="32" t="s">
        <v>18901</v>
      </c>
      <c r="B6910" s="32" t="s">
        <v>18902</v>
      </c>
      <c r="C6910" s="35">
        <v>41.26070023</v>
      </c>
      <c r="D6910" s="35">
        <v>-80.67910004</v>
      </c>
      <c r="E6910" s="32" t="s">
        <v>180</v>
      </c>
      <c r="F6910" s="32" t="s">
        <v>18903</v>
      </c>
      <c r="G6910" s="39" t="s">
        <v>181</v>
      </c>
      <c r="H6910" s="33"/>
      <c r="I6910" s="33"/>
      <c r="J6910" s="33"/>
      <c r="K6910" s="33"/>
      <c r="L6910" s="33"/>
      <c r="M6910" s="33"/>
    </row>
    <row r="6911">
      <c r="A6911" s="32" t="s">
        <v>18904</v>
      </c>
      <c r="B6911" s="32" t="s">
        <v>18905</v>
      </c>
      <c r="C6911" s="35">
        <v>42.88280106</v>
      </c>
      <c r="D6911" s="35">
        <v>129.451004</v>
      </c>
      <c r="E6911" s="32" t="s">
        <v>205</v>
      </c>
      <c r="F6911" s="32" t="s">
        <v>18906</v>
      </c>
      <c r="G6911" s="39" t="s">
        <v>206</v>
      </c>
      <c r="H6911" s="33"/>
      <c r="I6911" s="33"/>
      <c r="J6911" s="33"/>
      <c r="K6911" s="33"/>
      <c r="L6911" s="33"/>
      <c r="M6911" s="33"/>
    </row>
    <row r="6912">
      <c r="A6912" s="32" t="s">
        <v>18907</v>
      </c>
      <c r="B6912" s="32" t="s">
        <v>18908</v>
      </c>
      <c r="C6912" s="35">
        <v>58.27669907</v>
      </c>
      <c r="D6912" s="35">
        <v>-104.0820007</v>
      </c>
      <c r="E6912" s="32" t="s">
        <v>94</v>
      </c>
      <c r="F6912" s="32" t="s">
        <v>18909</v>
      </c>
      <c r="G6912" s="36" t="e">
        <v>#N/A</v>
      </c>
      <c r="H6912" s="33"/>
      <c r="I6912" s="33"/>
      <c r="J6912" s="33"/>
      <c r="K6912" s="33"/>
      <c r="L6912" s="33"/>
      <c r="M6912" s="33"/>
    </row>
    <row r="6913">
      <c r="A6913" s="32" t="s">
        <v>18910</v>
      </c>
      <c r="B6913" s="32" t="s">
        <v>18911</v>
      </c>
      <c r="C6913" s="35">
        <v>49.76169968</v>
      </c>
      <c r="D6913" s="35">
        <v>-77.80280304</v>
      </c>
      <c r="E6913" s="32" t="s">
        <v>94</v>
      </c>
      <c r="F6913" s="32" t="s">
        <v>18912</v>
      </c>
      <c r="G6913" s="36" t="e">
        <v>#N/A</v>
      </c>
      <c r="H6913" s="33"/>
      <c r="I6913" s="33"/>
      <c r="J6913" s="33"/>
      <c r="K6913" s="33"/>
      <c r="L6913" s="33"/>
      <c r="M6913" s="33"/>
    </row>
    <row r="6914">
      <c r="A6914" s="32" t="s">
        <v>18913</v>
      </c>
      <c r="B6914" s="32" t="s">
        <v>18914</v>
      </c>
      <c r="C6914" s="35">
        <v>52.49000168</v>
      </c>
      <c r="D6914" s="35">
        <v>-92.97109985</v>
      </c>
      <c r="E6914" s="32" t="s">
        <v>94</v>
      </c>
      <c r="F6914" s="32" t="s">
        <v>18915</v>
      </c>
      <c r="G6914" s="36" t="e">
        <v>#N/A</v>
      </c>
      <c r="H6914" s="33"/>
      <c r="I6914" s="33"/>
      <c r="J6914" s="33"/>
      <c r="K6914" s="33"/>
      <c r="L6914" s="33"/>
      <c r="M6914" s="33"/>
    </row>
    <row r="6915">
      <c r="A6915" s="32" t="s">
        <v>18916</v>
      </c>
      <c r="B6915" s="32" t="s">
        <v>18917</v>
      </c>
      <c r="C6915" s="35">
        <v>51.69110107</v>
      </c>
      <c r="D6915" s="35">
        <v>-76.13559723</v>
      </c>
      <c r="E6915" s="32" t="s">
        <v>94</v>
      </c>
      <c r="F6915" s="32" t="s">
        <v>18918</v>
      </c>
      <c r="G6915" s="36" t="e">
        <v>#N/A</v>
      </c>
      <c r="H6915" s="33"/>
      <c r="I6915" s="33"/>
      <c r="J6915" s="33"/>
      <c r="K6915" s="33"/>
      <c r="L6915" s="33"/>
      <c r="M6915" s="33"/>
    </row>
    <row r="6916">
      <c r="A6916" s="32" t="s">
        <v>18919</v>
      </c>
      <c r="B6916" s="32" t="s">
        <v>18920</v>
      </c>
      <c r="C6916" s="35">
        <v>37.40169907</v>
      </c>
      <c r="D6916" s="35">
        <v>121.3720016</v>
      </c>
      <c r="E6916" s="32" t="s">
        <v>205</v>
      </c>
      <c r="F6916" s="32" t="s">
        <v>18921</v>
      </c>
      <c r="G6916" s="39" t="s">
        <v>206</v>
      </c>
      <c r="H6916" s="33"/>
      <c r="I6916" s="33"/>
      <c r="J6916" s="33"/>
      <c r="K6916" s="33"/>
      <c r="L6916" s="33"/>
      <c r="M6916" s="33"/>
    </row>
    <row r="6917">
      <c r="A6917" s="32" t="s">
        <v>18922</v>
      </c>
      <c r="B6917" s="32" t="s">
        <v>18923</v>
      </c>
      <c r="C6917" s="35">
        <v>38.06129837</v>
      </c>
      <c r="D6917" s="35">
        <v>128.6690063</v>
      </c>
      <c r="E6917" s="32" t="s">
        <v>151</v>
      </c>
      <c r="F6917" s="32" t="s">
        <v>18924</v>
      </c>
      <c r="G6917" s="39" t="s">
        <v>152</v>
      </c>
      <c r="H6917" s="33"/>
      <c r="I6917" s="33"/>
      <c r="J6917" s="33"/>
      <c r="K6917" s="33"/>
      <c r="L6917" s="33"/>
      <c r="M6917" s="33"/>
    </row>
    <row r="6918">
      <c r="A6918" s="32" t="s">
        <v>18925</v>
      </c>
      <c r="B6918" s="32" t="s">
        <v>18926</v>
      </c>
      <c r="C6918" s="35">
        <v>33.425833</v>
      </c>
      <c r="D6918" s="35">
        <v>120.203056</v>
      </c>
      <c r="E6918" s="32" t="s">
        <v>205</v>
      </c>
      <c r="F6918" s="32" t="s">
        <v>18927</v>
      </c>
      <c r="G6918" s="39" t="s">
        <v>206</v>
      </c>
      <c r="H6918" s="33"/>
      <c r="I6918" s="33"/>
      <c r="J6918" s="33"/>
      <c r="K6918" s="33"/>
      <c r="L6918" s="33"/>
      <c r="M6918" s="33"/>
    </row>
    <row r="6919">
      <c r="A6919" s="32" t="s">
        <v>18928</v>
      </c>
      <c r="B6919" s="32" t="s">
        <v>18929</v>
      </c>
      <c r="C6919" s="35">
        <v>64.69889832</v>
      </c>
      <c r="D6919" s="35">
        <v>-110.6149979</v>
      </c>
      <c r="E6919" s="32" t="s">
        <v>94</v>
      </c>
      <c r="F6919" s="32" t="s">
        <v>18930</v>
      </c>
      <c r="G6919" s="36" t="e">
        <v>#N/A</v>
      </c>
      <c r="H6919" s="33"/>
      <c r="I6919" s="33"/>
      <c r="J6919" s="33"/>
      <c r="K6919" s="33"/>
      <c r="L6919" s="33"/>
      <c r="M6919" s="33"/>
    </row>
    <row r="6920">
      <c r="A6920" s="32" t="s">
        <v>18931</v>
      </c>
      <c r="B6920" s="32" t="s">
        <v>18932</v>
      </c>
      <c r="C6920" s="35">
        <v>67.57060242</v>
      </c>
      <c r="D6920" s="35">
        <v>-139.8390045</v>
      </c>
      <c r="E6920" s="32" t="s">
        <v>94</v>
      </c>
      <c r="F6920" s="32" t="s">
        <v>18933</v>
      </c>
      <c r="G6920" s="36" t="e">
        <v>#N/A</v>
      </c>
      <c r="H6920" s="33"/>
      <c r="I6920" s="33"/>
      <c r="J6920" s="33"/>
      <c r="K6920" s="33"/>
      <c r="L6920" s="33"/>
      <c r="M6920" s="33"/>
    </row>
    <row r="6921">
      <c r="A6921" s="32" t="s">
        <v>18934</v>
      </c>
      <c r="B6921" s="32" t="s">
        <v>18935</v>
      </c>
      <c r="C6921" s="35">
        <v>54.40499878</v>
      </c>
      <c r="D6921" s="35">
        <v>-110.2789993</v>
      </c>
      <c r="E6921" s="32" t="s">
        <v>94</v>
      </c>
      <c r="F6921" s="32" t="s">
        <v>18936</v>
      </c>
      <c r="G6921" s="36" t="e">
        <v>#N/A</v>
      </c>
      <c r="H6921" s="33"/>
      <c r="I6921" s="33"/>
      <c r="J6921" s="33"/>
      <c r="K6921" s="33"/>
      <c r="L6921" s="33"/>
      <c r="M6921" s="33"/>
    </row>
    <row r="6922">
      <c r="A6922" s="32" t="s">
        <v>18937</v>
      </c>
      <c r="B6922" s="32" t="s">
        <v>18938</v>
      </c>
      <c r="C6922" s="35">
        <v>51.65859985</v>
      </c>
      <c r="D6922" s="35">
        <v>-85.90170288</v>
      </c>
      <c r="E6922" s="32" t="s">
        <v>94</v>
      </c>
      <c r="F6922" s="32" t="s">
        <v>18939</v>
      </c>
      <c r="G6922" s="36" t="e">
        <v>#N/A</v>
      </c>
      <c r="H6922" s="33"/>
      <c r="I6922" s="33"/>
      <c r="J6922" s="33"/>
      <c r="K6922" s="33"/>
      <c r="L6922" s="33"/>
      <c r="M6922" s="33"/>
    </row>
    <row r="6923">
      <c r="A6923" s="32" t="s">
        <v>18940</v>
      </c>
      <c r="B6923" s="32" t="s">
        <v>18941</v>
      </c>
      <c r="C6923" s="35">
        <v>54.93330002</v>
      </c>
      <c r="D6923" s="35">
        <v>-95.27890015</v>
      </c>
      <c r="E6923" s="32" t="s">
        <v>94</v>
      </c>
      <c r="F6923" s="32" t="s">
        <v>18942</v>
      </c>
      <c r="G6923" s="36" t="e">
        <v>#N/A</v>
      </c>
      <c r="H6923" s="33"/>
      <c r="I6923" s="33"/>
      <c r="J6923" s="33"/>
      <c r="K6923" s="33"/>
      <c r="L6923" s="33"/>
      <c r="M6923" s="33"/>
    </row>
    <row r="6924">
      <c r="A6924" s="32" t="s">
        <v>18943</v>
      </c>
      <c r="B6924" s="32" t="s">
        <v>18944</v>
      </c>
      <c r="C6924" s="35">
        <v>58.62139893</v>
      </c>
      <c r="D6924" s="35">
        <v>-117.1650009</v>
      </c>
      <c r="E6924" s="32" t="s">
        <v>94</v>
      </c>
      <c r="F6924" s="32" t="s">
        <v>18945</v>
      </c>
      <c r="G6924" s="36" t="e">
        <v>#N/A</v>
      </c>
      <c r="H6924" s="33"/>
      <c r="I6924" s="33"/>
      <c r="J6924" s="33"/>
      <c r="K6924" s="33"/>
      <c r="L6924" s="33"/>
      <c r="M6924" s="33"/>
    </row>
    <row r="6925">
      <c r="A6925" s="32" t="s">
        <v>18946</v>
      </c>
      <c r="B6925" s="32" t="s">
        <v>18947</v>
      </c>
      <c r="C6925" s="35">
        <v>9.25755024</v>
      </c>
      <c r="D6925" s="35">
        <v>12.43039989</v>
      </c>
      <c r="E6925" s="32" t="s">
        <v>19</v>
      </c>
      <c r="F6925" s="32" t="s">
        <v>18948</v>
      </c>
      <c r="G6925" s="36" t="e">
        <v>#N/A</v>
      </c>
      <c r="H6925" s="33"/>
      <c r="I6925" s="33"/>
      <c r="J6925" s="33"/>
      <c r="K6925" s="33"/>
      <c r="L6925" s="33"/>
      <c r="M6925" s="33"/>
    </row>
    <row r="6926">
      <c r="A6926" s="32" t="s">
        <v>18949</v>
      </c>
      <c r="B6926" s="32" t="s">
        <v>18950</v>
      </c>
      <c r="C6926" s="35">
        <v>43.92279816</v>
      </c>
      <c r="D6926" s="35">
        <v>-78.89499664</v>
      </c>
      <c r="E6926" s="32" t="s">
        <v>94</v>
      </c>
      <c r="F6926" s="32" t="s">
        <v>18951</v>
      </c>
      <c r="G6926" s="36" t="e">
        <v>#N/A</v>
      </c>
      <c r="H6926" s="33"/>
      <c r="I6926" s="33"/>
      <c r="J6926" s="33"/>
      <c r="K6926" s="33"/>
      <c r="L6926" s="33"/>
      <c r="M6926" s="33"/>
    </row>
    <row r="6927">
      <c r="A6927" s="32" t="s">
        <v>18952</v>
      </c>
      <c r="B6927" s="32" t="s">
        <v>18953</v>
      </c>
      <c r="C6927" s="35">
        <v>58.49140167</v>
      </c>
      <c r="D6927" s="35">
        <v>-119.4079971</v>
      </c>
      <c r="E6927" s="32" t="s">
        <v>94</v>
      </c>
      <c r="F6927" s="32" t="s">
        <v>18954</v>
      </c>
      <c r="G6927" s="36" t="e">
        <v>#N/A</v>
      </c>
      <c r="H6927" s="33"/>
      <c r="I6927" s="33"/>
      <c r="J6927" s="33"/>
      <c r="K6927" s="33"/>
      <c r="L6927" s="33"/>
      <c r="M6927" s="33"/>
    </row>
    <row r="6928">
      <c r="A6928" s="32" t="s">
        <v>18955</v>
      </c>
      <c r="B6928" s="32" t="s">
        <v>18956</v>
      </c>
      <c r="C6928" s="35">
        <v>44.59030151</v>
      </c>
      <c r="D6928" s="35">
        <v>-80.83750153</v>
      </c>
      <c r="E6928" s="32" t="s">
        <v>94</v>
      </c>
      <c r="F6928" s="32" t="s">
        <v>18957</v>
      </c>
      <c r="G6928" s="36" t="e">
        <v>#N/A</v>
      </c>
      <c r="H6928" s="33"/>
      <c r="I6928" s="33"/>
      <c r="J6928" s="33"/>
      <c r="K6928" s="33"/>
      <c r="L6928" s="33"/>
      <c r="M6928" s="33"/>
    </row>
    <row r="6929">
      <c r="A6929" s="32" t="s">
        <v>18958</v>
      </c>
      <c r="B6929" s="32" t="s">
        <v>18959</v>
      </c>
      <c r="C6929" s="35">
        <v>45.32249832</v>
      </c>
      <c r="D6929" s="35">
        <v>-75.66919708</v>
      </c>
      <c r="E6929" s="32" t="s">
        <v>94</v>
      </c>
      <c r="F6929" s="32" t="s">
        <v>18960</v>
      </c>
      <c r="G6929" s="36" t="e">
        <v>#N/A</v>
      </c>
      <c r="H6929" s="33"/>
      <c r="I6929" s="33"/>
      <c r="J6929" s="33"/>
      <c r="K6929" s="33"/>
      <c r="L6929" s="33"/>
      <c r="M6929" s="33"/>
    </row>
    <row r="6930">
      <c r="A6930" s="32" t="s">
        <v>18961</v>
      </c>
      <c r="B6930" s="32" t="s">
        <v>18962</v>
      </c>
      <c r="C6930" s="35">
        <v>53.21419907</v>
      </c>
      <c r="D6930" s="35">
        <v>-105.6729965</v>
      </c>
      <c r="E6930" s="32" t="s">
        <v>94</v>
      </c>
      <c r="F6930" s="32" t="s">
        <v>18963</v>
      </c>
      <c r="G6930" s="36" t="e">
        <v>#N/A</v>
      </c>
      <c r="H6930" s="33"/>
      <c r="I6930" s="33"/>
      <c r="J6930" s="33"/>
      <c r="K6930" s="33"/>
      <c r="L6930" s="33"/>
      <c r="M6930" s="33"/>
    </row>
    <row r="6931">
      <c r="A6931" s="32" t="s">
        <v>18964</v>
      </c>
      <c r="B6931" s="32" t="s">
        <v>18965</v>
      </c>
      <c r="C6931" s="35">
        <v>69.36083812</v>
      </c>
      <c r="D6931" s="35">
        <v>-124.07547</v>
      </c>
      <c r="E6931" s="32" t="s">
        <v>94</v>
      </c>
      <c r="F6931" s="32" t="s">
        <v>18966</v>
      </c>
      <c r="G6931" s="36" t="e">
        <v>#N/A</v>
      </c>
      <c r="H6931" s="33"/>
      <c r="I6931" s="33"/>
      <c r="J6931" s="33"/>
      <c r="K6931" s="33"/>
      <c r="L6931" s="33"/>
      <c r="M6931" s="33"/>
    </row>
    <row r="6932">
      <c r="A6932" s="32" t="s">
        <v>18967</v>
      </c>
      <c r="B6932" s="32" t="s">
        <v>18968</v>
      </c>
      <c r="C6932" s="35">
        <v>45.2575</v>
      </c>
      <c r="D6932" s="35">
        <v>-79.829697</v>
      </c>
      <c r="E6932" s="32" t="s">
        <v>94</v>
      </c>
      <c r="F6932" s="32" t="s">
        <v>18969</v>
      </c>
      <c r="G6932" s="36" t="e">
        <v>#N/A</v>
      </c>
      <c r="H6932" s="33"/>
      <c r="I6932" s="33"/>
      <c r="J6932" s="33"/>
      <c r="K6932" s="33"/>
      <c r="L6932" s="33"/>
      <c r="M6932" s="33"/>
    </row>
    <row r="6933">
      <c r="A6933" s="32" t="s">
        <v>18970</v>
      </c>
      <c r="B6933" s="32" t="s">
        <v>18971</v>
      </c>
      <c r="C6933" s="35">
        <v>56.22689819</v>
      </c>
      <c r="D6933" s="35">
        <v>-117.4469986</v>
      </c>
      <c r="E6933" s="32" t="s">
        <v>94</v>
      </c>
      <c r="F6933" s="32" t="s">
        <v>18972</v>
      </c>
      <c r="G6933" s="36" t="e">
        <v>#N/A</v>
      </c>
      <c r="H6933" s="33"/>
      <c r="I6933" s="33"/>
      <c r="J6933" s="33"/>
      <c r="K6933" s="33"/>
      <c r="L6933" s="33"/>
      <c r="M6933" s="33"/>
    </row>
    <row r="6934">
      <c r="A6934" s="32" t="s">
        <v>18973</v>
      </c>
      <c r="B6934" s="32" t="s">
        <v>18974</v>
      </c>
      <c r="C6934" s="35">
        <v>49.903099</v>
      </c>
      <c r="D6934" s="35">
        <v>-98.273817</v>
      </c>
      <c r="E6934" s="32" t="s">
        <v>94</v>
      </c>
      <c r="F6934" s="32" t="s">
        <v>18975</v>
      </c>
      <c r="G6934" s="36" t="e">
        <v>#N/A</v>
      </c>
      <c r="H6934" s="33"/>
      <c r="I6934" s="33"/>
      <c r="J6934" s="33"/>
      <c r="K6934" s="33"/>
      <c r="L6934" s="33"/>
      <c r="M6934" s="33"/>
    </row>
    <row r="6935">
      <c r="A6935" s="32" t="s">
        <v>18976</v>
      </c>
      <c r="B6935" s="32" t="s">
        <v>18977</v>
      </c>
      <c r="C6935" s="35">
        <v>58.47190094</v>
      </c>
      <c r="D6935" s="35">
        <v>-78.07689667</v>
      </c>
      <c r="E6935" s="32" t="s">
        <v>94</v>
      </c>
      <c r="F6935" s="32" t="s">
        <v>18978</v>
      </c>
      <c r="G6935" s="36" t="e">
        <v>#N/A</v>
      </c>
      <c r="H6935" s="33"/>
      <c r="I6935" s="33"/>
      <c r="J6935" s="33"/>
      <c r="K6935" s="33"/>
      <c r="L6935" s="33"/>
      <c r="M6935" s="33"/>
    </row>
    <row r="6936">
      <c r="A6936" s="32" t="s">
        <v>18979</v>
      </c>
      <c r="B6936" s="32" t="s">
        <v>18980</v>
      </c>
      <c r="C6936" s="35">
        <v>59.29669952</v>
      </c>
      <c r="D6936" s="35">
        <v>-69.59970093</v>
      </c>
      <c r="E6936" s="32" t="s">
        <v>94</v>
      </c>
      <c r="F6936" s="32" t="s">
        <v>18981</v>
      </c>
      <c r="G6936" s="36" t="e">
        <v>#N/A</v>
      </c>
      <c r="H6936" s="33"/>
      <c r="I6936" s="33"/>
      <c r="J6936" s="33"/>
      <c r="K6936" s="33"/>
      <c r="L6936" s="33"/>
      <c r="M6936" s="33"/>
    </row>
    <row r="6937">
      <c r="A6937" s="32" t="s">
        <v>18982</v>
      </c>
      <c r="B6937" s="32" t="s">
        <v>18983</v>
      </c>
      <c r="C6937" s="35">
        <v>51.44639969</v>
      </c>
      <c r="D6937" s="35">
        <v>-90.21420288</v>
      </c>
      <c r="E6937" s="32" t="s">
        <v>94</v>
      </c>
      <c r="F6937" s="32" t="s">
        <v>18984</v>
      </c>
      <c r="G6937" s="36" t="e">
        <v>#N/A</v>
      </c>
      <c r="H6937" s="33"/>
      <c r="I6937" s="33"/>
      <c r="J6937" s="33"/>
      <c r="K6937" s="33"/>
      <c r="L6937" s="33"/>
      <c r="M6937" s="33"/>
    </row>
    <row r="6938">
      <c r="A6938" s="32" t="s">
        <v>18985</v>
      </c>
      <c r="B6938" s="32" t="s">
        <v>18986</v>
      </c>
      <c r="C6938" s="35">
        <v>51.81969833</v>
      </c>
      <c r="D6938" s="35">
        <v>-93.97329712</v>
      </c>
      <c r="E6938" s="32" t="s">
        <v>94</v>
      </c>
      <c r="F6938" s="32" t="s">
        <v>18987</v>
      </c>
      <c r="G6938" s="36" t="e">
        <v>#N/A</v>
      </c>
      <c r="H6938" s="33"/>
      <c r="I6938" s="33"/>
      <c r="J6938" s="33"/>
      <c r="K6938" s="33"/>
      <c r="L6938" s="33"/>
      <c r="M6938" s="33"/>
    </row>
    <row r="6939">
      <c r="A6939" s="32" t="s">
        <v>18988</v>
      </c>
      <c r="B6939" s="32" t="s">
        <v>18989</v>
      </c>
      <c r="C6939" s="35">
        <v>49.83639908</v>
      </c>
      <c r="D6939" s="35">
        <v>-64.28859711</v>
      </c>
      <c r="E6939" s="32" t="s">
        <v>94</v>
      </c>
      <c r="F6939" s="32" t="s">
        <v>18990</v>
      </c>
      <c r="G6939" s="36" t="e">
        <v>#N/A</v>
      </c>
      <c r="H6939" s="33"/>
      <c r="I6939" s="33"/>
      <c r="J6939" s="33"/>
      <c r="K6939" s="33"/>
      <c r="L6939" s="33"/>
      <c r="M6939" s="33"/>
    </row>
    <row r="6940">
      <c r="A6940" s="32" t="s">
        <v>18991</v>
      </c>
      <c r="B6940" s="32" t="s">
        <v>18992</v>
      </c>
      <c r="C6940" s="35">
        <v>54.98809814</v>
      </c>
      <c r="D6940" s="35">
        <v>-85.44329834</v>
      </c>
      <c r="E6940" s="32" t="s">
        <v>94</v>
      </c>
      <c r="F6940" s="32" t="s">
        <v>18993</v>
      </c>
      <c r="G6940" s="36" t="e">
        <v>#N/A</v>
      </c>
      <c r="H6940" s="33"/>
      <c r="I6940" s="33"/>
      <c r="J6940" s="33"/>
      <c r="K6940" s="33"/>
      <c r="L6940" s="33"/>
      <c r="M6940" s="33"/>
    </row>
    <row r="6941">
      <c r="A6941" s="32" t="s">
        <v>18994</v>
      </c>
      <c r="B6941" s="32" t="s">
        <v>18995</v>
      </c>
      <c r="C6941" s="35">
        <v>44.22999954</v>
      </c>
      <c r="D6941" s="35">
        <v>-78.36329651</v>
      </c>
      <c r="E6941" s="32" t="s">
        <v>94</v>
      </c>
      <c r="F6941" s="32" t="s">
        <v>487</v>
      </c>
      <c r="G6941" s="36" t="e">
        <v>#N/A</v>
      </c>
      <c r="H6941" s="33"/>
      <c r="I6941" s="33"/>
      <c r="J6941" s="33"/>
      <c r="K6941" s="33"/>
      <c r="L6941" s="33"/>
      <c r="M6941" s="33"/>
    </row>
    <row r="6942">
      <c r="A6942" s="32" t="s">
        <v>18996</v>
      </c>
      <c r="B6942" s="32" t="s">
        <v>18997</v>
      </c>
      <c r="C6942" s="35">
        <v>54.28609848</v>
      </c>
      <c r="D6942" s="35">
        <v>-130.4450073</v>
      </c>
      <c r="E6942" s="32" t="s">
        <v>94</v>
      </c>
      <c r="F6942" s="32" t="s">
        <v>18998</v>
      </c>
      <c r="G6942" s="36" t="e">
        <v>#N/A</v>
      </c>
      <c r="H6942" s="33"/>
      <c r="I6942" s="33"/>
      <c r="J6942" s="33"/>
      <c r="K6942" s="33"/>
      <c r="L6942" s="33"/>
      <c r="M6942" s="33"/>
    </row>
    <row r="6943">
      <c r="A6943" s="32" t="s">
        <v>18999</v>
      </c>
      <c r="B6943" s="32" t="s">
        <v>19000</v>
      </c>
      <c r="C6943" s="35">
        <v>45.65670013</v>
      </c>
      <c r="D6943" s="35">
        <v>-61.36809921</v>
      </c>
      <c r="E6943" s="32" t="s">
        <v>94</v>
      </c>
      <c r="F6943" s="32" t="s">
        <v>19001</v>
      </c>
      <c r="G6943" s="36" t="e">
        <v>#N/A</v>
      </c>
      <c r="H6943" s="33"/>
      <c r="I6943" s="33"/>
      <c r="J6943" s="33"/>
      <c r="K6943" s="33"/>
      <c r="L6943" s="33"/>
      <c r="M6943" s="33"/>
    </row>
    <row r="6944">
      <c r="A6944" s="32" t="s">
        <v>19002</v>
      </c>
      <c r="B6944" s="32" t="s">
        <v>19003</v>
      </c>
      <c r="C6944" s="35">
        <v>49.83420181</v>
      </c>
      <c r="D6944" s="35">
        <v>-124.5</v>
      </c>
      <c r="E6944" s="32" t="s">
        <v>94</v>
      </c>
      <c r="F6944" s="32" t="s">
        <v>19004</v>
      </c>
      <c r="G6944" s="36" t="e">
        <v>#N/A</v>
      </c>
      <c r="H6944" s="33"/>
      <c r="I6944" s="33"/>
      <c r="J6944" s="33"/>
      <c r="K6944" s="33"/>
      <c r="L6944" s="33"/>
      <c r="M6944" s="33"/>
    </row>
    <row r="6945">
      <c r="A6945" s="32" t="s">
        <v>19005</v>
      </c>
      <c r="B6945" s="32" t="s">
        <v>19006</v>
      </c>
      <c r="C6945" s="35">
        <v>60.05059814</v>
      </c>
      <c r="D6945" s="35">
        <v>-77.28690338</v>
      </c>
      <c r="E6945" s="32" t="s">
        <v>94</v>
      </c>
      <c r="F6945" s="32" t="s">
        <v>19007</v>
      </c>
      <c r="G6945" s="36" t="e">
        <v>#N/A</v>
      </c>
      <c r="H6945" s="33"/>
      <c r="I6945" s="33"/>
      <c r="J6945" s="33"/>
      <c r="K6945" s="33"/>
      <c r="L6945" s="33"/>
      <c r="M6945" s="33"/>
    </row>
    <row r="6946">
      <c r="A6946" s="32" t="s">
        <v>19008</v>
      </c>
      <c r="B6946" s="32" t="s">
        <v>19009</v>
      </c>
      <c r="C6946" s="35">
        <v>58.76720047</v>
      </c>
      <c r="D6946" s="35">
        <v>-111.1169968</v>
      </c>
      <c r="E6946" s="32" t="s">
        <v>94</v>
      </c>
      <c r="F6946" s="32" t="s">
        <v>19010</v>
      </c>
      <c r="G6946" s="36" t="e">
        <v>#N/A</v>
      </c>
      <c r="H6946" s="33"/>
      <c r="I6946" s="33"/>
      <c r="J6946" s="33"/>
      <c r="K6946" s="33"/>
      <c r="L6946" s="33"/>
      <c r="M6946" s="33"/>
    </row>
    <row r="6947">
      <c r="A6947" s="32" t="s">
        <v>19011</v>
      </c>
      <c r="B6947" s="32" t="s">
        <v>19012</v>
      </c>
      <c r="C6947" s="35">
        <v>44.97470093</v>
      </c>
      <c r="D6947" s="35">
        <v>-79.30329895</v>
      </c>
      <c r="E6947" s="32" t="s">
        <v>94</v>
      </c>
      <c r="F6947" s="32" t="s">
        <v>19013</v>
      </c>
      <c r="G6947" s="36" t="e">
        <v>#N/A</v>
      </c>
      <c r="H6947" s="33"/>
      <c r="I6947" s="33"/>
      <c r="J6947" s="33"/>
      <c r="K6947" s="33"/>
      <c r="L6947" s="33"/>
      <c r="M6947" s="33"/>
    </row>
    <row r="6948">
      <c r="A6948" s="32" t="s">
        <v>19014</v>
      </c>
      <c r="B6948" s="32" t="s">
        <v>19015</v>
      </c>
      <c r="C6948" s="35">
        <v>46.7911</v>
      </c>
      <c r="D6948" s="35">
        <v>-71.393303</v>
      </c>
      <c r="E6948" s="32" t="s">
        <v>94</v>
      </c>
      <c r="F6948" s="32" t="s">
        <v>19016</v>
      </c>
      <c r="G6948" s="36" t="e">
        <v>#N/A</v>
      </c>
      <c r="H6948" s="33"/>
      <c r="I6948" s="33"/>
      <c r="J6948" s="33"/>
      <c r="K6948" s="33"/>
      <c r="L6948" s="33"/>
      <c r="M6948" s="33"/>
    </row>
    <row r="6949">
      <c r="A6949" s="32" t="s">
        <v>19017</v>
      </c>
      <c r="B6949" s="32" t="s">
        <v>19018</v>
      </c>
      <c r="C6949" s="35">
        <v>61.04639816</v>
      </c>
      <c r="D6949" s="35">
        <v>-69.61779785</v>
      </c>
      <c r="E6949" s="32" t="s">
        <v>94</v>
      </c>
      <c r="F6949" s="32" t="s">
        <v>19019</v>
      </c>
      <c r="G6949" s="36" t="e">
        <v>#N/A</v>
      </c>
      <c r="H6949" s="33"/>
      <c r="I6949" s="33"/>
      <c r="J6949" s="33"/>
      <c r="K6949" s="33"/>
      <c r="L6949" s="33"/>
      <c r="M6949" s="33"/>
    </row>
    <row r="6950">
      <c r="A6950" s="32" t="s">
        <v>19020</v>
      </c>
      <c r="B6950" s="32" t="s">
        <v>19021</v>
      </c>
      <c r="C6950" s="35">
        <v>53.97140121</v>
      </c>
      <c r="D6950" s="35">
        <v>-101.0910034</v>
      </c>
      <c r="E6950" s="32" t="s">
        <v>94</v>
      </c>
      <c r="F6950" s="32" t="s">
        <v>19022</v>
      </c>
      <c r="G6950" s="36" t="e">
        <v>#N/A</v>
      </c>
      <c r="H6950" s="33"/>
      <c r="I6950" s="33"/>
      <c r="J6950" s="33"/>
      <c r="K6950" s="33"/>
      <c r="L6950" s="33"/>
      <c r="M6950" s="33"/>
    </row>
    <row r="6951">
      <c r="A6951" s="32" t="s">
        <v>19023</v>
      </c>
      <c r="B6951" s="32" t="s">
        <v>19024</v>
      </c>
      <c r="C6951" s="35">
        <v>52.18220139</v>
      </c>
      <c r="D6951" s="35">
        <v>-113.8939972</v>
      </c>
      <c r="E6951" s="32" t="s">
        <v>94</v>
      </c>
      <c r="F6951" s="32" t="s">
        <v>19025</v>
      </c>
      <c r="G6951" s="36" t="e">
        <v>#N/A</v>
      </c>
      <c r="H6951" s="33"/>
      <c r="I6951" s="33"/>
      <c r="J6951" s="33"/>
      <c r="K6951" s="33"/>
      <c r="L6951" s="33"/>
      <c r="M6951" s="33"/>
    </row>
    <row r="6952">
      <c r="A6952" s="32" t="s">
        <v>19026</v>
      </c>
      <c r="B6952" s="32" t="s">
        <v>19027</v>
      </c>
      <c r="C6952" s="35">
        <v>42.27560043</v>
      </c>
      <c r="D6952" s="35">
        <v>-82.95559692</v>
      </c>
      <c r="E6952" s="32" t="s">
        <v>94</v>
      </c>
      <c r="F6952" s="32" t="s">
        <v>19028</v>
      </c>
      <c r="G6952" s="36" t="e">
        <v>#N/A</v>
      </c>
      <c r="H6952" s="33"/>
      <c r="I6952" s="33"/>
      <c r="J6952" s="33"/>
      <c r="K6952" s="33"/>
      <c r="L6952" s="33"/>
      <c r="M6952" s="33"/>
    </row>
    <row r="6953">
      <c r="A6953" s="32" t="s">
        <v>19029</v>
      </c>
      <c r="B6953" s="32" t="s">
        <v>19030</v>
      </c>
      <c r="C6953" s="35">
        <v>60.11640167</v>
      </c>
      <c r="D6953" s="35">
        <v>-128.8220062</v>
      </c>
      <c r="E6953" s="32" t="s">
        <v>94</v>
      </c>
      <c r="F6953" s="32" t="s">
        <v>19031</v>
      </c>
      <c r="G6953" s="36" t="e">
        <v>#N/A</v>
      </c>
      <c r="H6953" s="33"/>
      <c r="I6953" s="33"/>
      <c r="J6953" s="33"/>
      <c r="K6953" s="33"/>
      <c r="L6953" s="33"/>
      <c r="M6953" s="33"/>
    </row>
    <row r="6954">
      <c r="A6954" s="32" t="s">
        <v>19032</v>
      </c>
      <c r="B6954" s="32" t="s">
        <v>19033</v>
      </c>
      <c r="C6954" s="35">
        <v>43.82690048</v>
      </c>
      <c r="D6954" s="35">
        <v>-66.08809662</v>
      </c>
      <c r="E6954" s="32" t="s">
        <v>94</v>
      </c>
      <c r="F6954" s="32" t="s">
        <v>19034</v>
      </c>
      <c r="G6954" s="36" t="e">
        <v>#N/A</v>
      </c>
      <c r="H6954" s="33"/>
      <c r="I6954" s="33"/>
      <c r="J6954" s="33"/>
      <c r="K6954" s="33"/>
      <c r="L6954" s="33"/>
      <c r="M6954" s="33"/>
    </row>
    <row r="6955">
      <c r="A6955" s="32" t="s">
        <v>19035</v>
      </c>
      <c r="B6955" s="32" t="s">
        <v>19036</v>
      </c>
      <c r="C6955" s="35">
        <v>49.78829956</v>
      </c>
      <c r="D6955" s="35">
        <v>-94.36309814</v>
      </c>
      <c r="E6955" s="32" t="s">
        <v>94</v>
      </c>
      <c r="F6955" s="32" t="s">
        <v>3140</v>
      </c>
      <c r="G6955" s="36" t="e">
        <v>#N/A</v>
      </c>
      <c r="H6955" s="33"/>
      <c r="I6955" s="33"/>
      <c r="J6955" s="33"/>
      <c r="K6955" s="33"/>
      <c r="L6955" s="33"/>
      <c r="M6955" s="33"/>
    </row>
    <row r="6956">
      <c r="A6956" s="32" t="s">
        <v>19037</v>
      </c>
      <c r="B6956" s="32" t="s">
        <v>19038</v>
      </c>
      <c r="C6956" s="35">
        <v>49.63029861</v>
      </c>
      <c r="D6956" s="35">
        <v>-112.8000031</v>
      </c>
      <c r="E6956" s="32" t="s">
        <v>94</v>
      </c>
      <c r="F6956" s="32" t="s">
        <v>19039</v>
      </c>
      <c r="G6956" s="36" t="e">
        <v>#N/A</v>
      </c>
      <c r="H6956" s="33"/>
      <c r="I6956" s="33"/>
      <c r="J6956" s="33"/>
      <c r="K6956" s="33"/>
      <c r="L6956" s="33"/>
      <c r="M6956" s="33"/>
    </row>
    <row r="6957">
      <c r="A6957" s="32" t="s">
        <v>19040</v>
      </c>
      <c r="B6957" s="32" t="s">
        <v>19041</v>
      </c>
      <c r="C6957" s="35">
        <v>46.11220169</v>
      </c>
      <c r="D6957" s="35">
        <v>-64.6785965</v>
      </c>
      <c r="E6957" s="32" t="s">
        <v>94</v>
      </c>
      <c r="F6957" s="32" t="s">
        <v>19042</v>
      </c>
      <c r="G6957" s="36" t="e">
        <v>#N/A</v>
      </c>
      <c r="H6957" s="33"/>
      <c r="I6957" s="33"/>
      <c r="J6957" s="33"/>
      <c r="K6957" s="33"/>
      <c r="L6957" s="33"/>
      <c r="M6957" s="33"/>
    </row>
    <row r="6958">
      <c r="A6958" s="32" t="s">
        <v>19043</v>
      </c>
      <c r="B6958" s="32" t="s">
        <v>19044</v>
      </c>
      <c r="C6958" s="35">
        <v>50.18280029</v>
      </c>
      <c r="D6958" s="35">
        <v>-86.6964035</v>
      </c>
      <c r="E6958" s="32" t="s">
        <v>94</v>
      </c>
      <c r="F6958" s="32" t="s">
        <v>19045</v>
      </c>
      <c r="G6958" s="36" t="e">
        <v>#N/A</v>
      </c>
      <c r="H6958" s="33"/>
      <c r="I6958" s="33"/>
      <c r="J6958" s="33"/>
      <c r="K6958" s="33"/>
      <c r="L6958" s="33"/>
      <c r="M6958" s="33"/>
    </row>
    <row r="6959">
      <c r="A6959" s="32" t="s">
        <v>19046</v>
      </c>
      <c r="B6959" s="32" t="s">
        <v>19047</v>
      </c>
      <c r="C6959" s="35">
        <v>49.71080017</v>
      </c>
      <c r="D6959" s="35">
        <v>-124.887001</v>
      </c>
      <c r="E6959" s="32" t="s">
        <v>94</v>
      </c>
      <c r="F6959" s="32" t="s">
        <v>19048</v>
      </c>
      <c r="G6959" s="36" t="e">
        <v>#N/A</v>
      </c>
      <c r="H6959" s="33"/>
      <c r="I6959" s="33"/>
      <c r="J6959" s="33"/>
      <c r="K6959" s="33"/>
      <c r="L6959" s="33"/>
      <c r="M6959" s="33"/>
    </row>
    <row r="6960">
      <c r="A6960" s="32" t="s">
        <v>19049</v>
      </c>
      <c r="B6960" s="32" t="s">
        <v>19050</v>
      </c>
      <c r="C6960" s="35">
        <v>50.43190002</v>
      </c>
      <c r="D6960" s="35">
        <v>-104.6660004</v>
      </c>
      <c r="E6960" s="32" t="s">
        <v>94</v>
      </c>
      <c r="F6960" s="32" t="s">
        <v>19051</v>
      </c>
      <c r="G6960" s="36" t="e">
        <v>#N/A</v>
      </c>
      <c r="H6960" s="33"/>
      <c r="I6960" s="33"/>
      <c r="J6960" s="33"/>
      <c r="K6960" s="33"/>
      <c r="L6960" s="33"/>
      <c r="M6960" s="33"/>
    </row>
    <row r="6961">
      <c r="A6961" s="32" t="s">
        <v>19052</v>
      </c>
      <c r="B6961" s="32" t="s">
        <v>19053</v>
      </c>
      <c r="C6961" s="35">
        <v>42.77000046</v>
      </c>
      <c r="D6961" s="35">
        <v>-81.1108017</v>
      </c>
      <c r="E6961" s="32" t="s">
        <v>94</v>
      </c>
      <c r="F6961" s="32" t="s">
        <v>19054</v>
      </c>
      <c r="G6961" s="36" t="e">
        <v>#N/A</v>
      </c>
      <c r="H6961" s="33"/>
      <c r="I6961" s="33"/>
      <c r="J6961" s="33"/>
      <c r="K6961" s="33"/>
      <c r="L6961" s="33"/>
      <c r="M6961" s="33"/>
    </row>
    <row r="6962">
      <c r="A6962" s="32" t="s">
        <v>19055</v>
      </c>
      <c r="B6962" s="32" t="s">
        <v>19056</v>
      </c>
      <c r="C6962" s="35">
        <v>48.37189865</v>
      </c>
      <c r="D6962" s="35">
        <v>-89.32389832</v>
      </c>
      <c r="E6962" s="32" t="s">
        <v>94</v>
      </c>
      <c r="F6962" s="32" t="s">
        <v>19057</v>
      </c>
      <c r="G6962" s="36" t="e">
        <v>#N/A</v>
      </c>
      <c r="H6962" s="33"/>
      <c r="I6962" s="33"/>
      <c r="J6962" s="33"/>
      <c r="K6962" s="33"/>
      <c r="L6962" s="33"/>
      <c r="M6962" s="33"/>
    </row>
    <row r="6963">
      <c r="A6963" s="32" t="s">
        <v>19058</v>
      </c>
      <c r="B6963" s="32" t="s">
        <v>19059</v>
      </c>
      <c r="C6963" s="35">
        <v>55.17969894</v>
      </c>
      <c r="D6963" s="35">
        <v>-118.8850021</v>
      </c>
      <c r="E6963" s="32" t="s">
        <v>94</v>
      </c>
      <c r="F6963" s="32" t="s">
        <v>19060</v>
      </c>
      <c r="G6963" s="36" t="e">
        <v>#N/A</v>
      </c>
      <c r="H6963" s="33"/>
      <c r="I6963" s="33"/>
      <c r="J6963" s="33"/>
      <c r="K6963" s="33"/>
      <c r="L6963" s="33"/>
      <c r="M6963" s="33"/>
    </row>
    <row r="6964">
      <c r="A6964" s="32" t="s">
        <v>19061</v>
      </c>
      <c r="B6964" s="32" t="s">
        <v>19062</v>
      </c>
      <c r="C6964" s="35">
        <v>51.26470184</v>
      </c>
      <c r="D6964" s="35">
        <v>-102.461998</v>
      </c>
      <c r="E6964" s="32" t="s">
        <v>94</v>
      </c>
      <c r="F6964" s="32" t="s">
        <v>19063</v>
      </c>
      <c r="G6964" s="36" t="e">
        <v>#N/A</v>
      </c>
      <c r="H6964" s="33"/>
      <c r="I6964" s="33"/>
      <c r="J6964" s="33"/>
      <c r="K6964" s="33"/>
      <c r="L6964" s="33"/>
      <c r="M6964" s="33"/>
    </row>
    <row r="6965">
      <c r="A6965" s="32" t="s">
        <v>19064</v>
      </c>
      <c r="B6965" s="32" t="s">
        <v>19065</v>
      </c>
      <c r="C6965" s="35">
        <v>52.76919937</v>
      </c>
      <c r="D6965" s="35">
        <v>-108.2440033</v>
      </c>
      <c r="E6965" s="32" t="s">
        <v>94</v>
      </c>
      <c r="F6965" s="32" t="s">
        <v>19066</v>
      </c>
      <c r="G6965" s="36" t="e">
        <v>#N/A</v>
      </c>
      <c r="H6965" s="33"/>
      <c r="I6965" s="33"/>
      <c r="J6965" s="33"/>
      <c r="K6965" s="33"/>
      <c r="L6965" s="33"/>
      <c r="M6965" s="33"/>
    </row>
    <row r="6966">
      <c r="A6966" s="32" t="s">
        <v>19067</v>
      </c>
      <c r="B6966" s="32" t="s">
        <v>19068</v>
      </c>
      <c r="C6966" s="35">
        <v>48.93690109</v>
      </c>
      <c r="D6966" s="35">
        <v>-54.56809998</v>
      </c>
      <c r="E6966" s="32" t="s">
        <v>94</v>
      </c>
      <c r="F6966" s="32" t="s">
        <v>19069</v>
      </c>
      <c r="G6966" s="36" t="e">
        <v>#N/A</v>
      </c>
      <c r="H6966" s="33"/>
      <c r="I6966" s="33"/>
      <c r="J6966" s="33"/>
      <c r="K6966" s="33"/>
      <c r="L6966" s="33"/>
      <c r="M6966" s="33"/>
    </row>
    <row r="6967">
      <c r="A6967" s="32" t="s">
        <v>19070</v>
      </c>
      <c r="B6967" s="32" t="s">
        <v>19071</v>
      </c>
      <c r="C6967" s="35">
        <v>46.16139984</v>
      </c>
      <c r="D6967" s="35">
        <v>-60.04779816</v>
      </c>
      <c r="E6967" s="32" t="s">
        <v>94</v>
      </c>
      <c r="F6967" s="32" t="s">
        <v>5398</v>
      </c>
      <c r="G6967" s="36" t="e">
        <v>#N/A</v>
      </c>
      <c r="H6967" s="33"/>
      <c r="I6967" s="33"/>
      <c r="J6967" s="33"/>
      <c r="K6967" s="33"/>
      <c r="L6967" s="33"/>
      <c r="M6967" s="33"/>
    </row>
    <row r="6968">
      <c r="A6968" s="32" t="s">
        <v>19072</v>
      </c>
      <c r="B6968" s="32" t="s">
        <v>19073</v>
      </c>
      <c r="C6968" s="35">
        <v>53.02610016</v>
      </c>
      <c r="D6968" s="35">
        <v>-122.5100021</v>
      </c>
      <c r="E6968" s="32" t="s">
        <v>94</v>
      </c>
      <c r="F6968" s="32" t="s">
        <v>19074</v>
      </c>
      <c r="G6968" s="36" t="e">
        <v>#N/A</v>
      </c>
      <c r="H6968" s="33"/>
      <c r="I6968" s="33"/>
      <c r="J6968" s="33"/>
      <c r="K6968" s="33"/>
      <c r="L6968" s="33"/>
      <c r="M6968" s="33"/>
    </row>
    <row r="6969">
      <c r="A6969" s="32" t="s">
        <v>19075</v>
      </c>
      <c r="B6969" s="32" t="s">
        <v>19076</v>
      </c>
      <c r="C6969" s="35">
        <v>64.1160965</v>
      </c>
      <c r="D6969" s="35">
        <v>-117.3099976</v>
      </c>
      <c r="E6969" s="32" t="s">
        <v>94</v>
      </c>
      <c r="F6969" s="32" t="s">
        <v>19077</v>
      </c>
      <c r="G6969" s="36" t="e">
        <v>#N/A</v>
      </c>
      <c r="H6969" s="33"/>
      <c r="I6969" s="33"/>
      <c r="J6969" s="33"/>
      <c r="K6969" s="33"/>
      <c r="L6969" s="33"/>
      <c r="M6969" s="33"/>
    </row>
    <row r="6970">
      <c r="A6970" s="32" t="s">
        <v>19078</v>
      </c>
      <c r="B6970" s="32" t="s">
        <v>19079</v>
      </c>
      <c r="C6970" s="35">
        <v>74.71690369</v>
      </c>
      <c r="D6970" s="35">
        <v>-94.9693985</v>
      </c>
      <c r="E6970" s="32" t="s">
        <v>94</v>
      </c>
      <c r="F6970" s="32" t="s">
        <v>19080</v>
      </c>
      <c r="G6970" s="36" t="e">
        <v>#N/A</v>
      </c>
      <c r="H6970" s="33"/>
      <c r="I6970" s="33"/>
      <c r="J6970" s="33"/>
      <c r="K6970" s="33"/>
      <c r="L6970" s="33"/>
      <c r="M6970" s="33"/>
    </row>
    <row r="6971">
      <c r="A6971" s="32" t="s">
        <v>19081</v>
      </c>
      <c r="B6971" s="32" t="s">
        <v>19082</v>
      </c>
      <c r="C6971" s="35">
        <v>53.68280029</v>
      </c>
      <c r="D6971" s="35">
        <v>-57.04190063</v>
      </c>
      <c r="E6971" s="32" t="s">
        <v>94</v>
      </c>
      <c r="F6971" s="32" t="s">
        <v>19083</v>
      </c>
      <c r="G6971" s="36" t="e">
        <v>#N/A</v>
      </c>
      <c r="H6971" s="33"/>
      <c r="I6971" s="33"/>
      <c r="J6971" s="33"/>
      <c r="K6971" s="33"/>
      <c r="L6971" s="33"/>
      <c r="M6971" s="33"/>
    </row>
    <row r="6972">
      <c r="A6972" s="32" t="s">
        <v>19084</v>
      </c>
      <c r="B6972" s="32" t="s">
        <v>19085</v>
      </c>
      <c r="C6972" s="35">
        <v>54.17969894</v>
      </c>
      <c r="D6972" s="35">
        <v>-58.45750046</v>
      </c>
      <c r="E6972" s="32" t="s">
        <v>94</v>
      </c>
      <c r="F6972" s="32" t="s">
        <v>19086</v>
      </c>
      <c r="G6972" s="36" t="e">
        <v>#N/A</v>
      </c>
      <c r="H6972" s="33"/>
      <c r="I6972" s="33"/>
      <c r="J6972" s="33"/>
      <c r="K6972" s="33"/>
      <c r="L6972" s="33"/>
      <c r="M6972" s="33"/>
    </row>
    <row r="6973">
      <c r="A6973" s="32" t="s">
        <v>19087</v>
      </c>
      <c r="B6973" s="32" t="s">
        <v>19088</v>
      </c>
      <c r="C6973" s="35">
        <v>47.76440048</v>
      </c>
      <c r="D6973" s="35">
        <v>-69.58470154</v>
      </c>
      <c r="E6973" s="32" t="s">
        <v>94</v>
      </c>
      <c r="F6973" s="32" t="s">
        <v>19089</v>
      </c>
      <c r="G6973" s="36" t="e">
        <v>#N/A</v>
      </c>
      <c r="H6973" s="33"/>
      <c r="I6973" s="33"/>
      <c r="J6973" s="33"/>
      <c r="K6973" s="33"/>
      <c r="L6973" s="33"/>
      <c r="M6973" s="33"/>
    </row>
    <row r="6974">
      <c r="A6974" s="32" t="s">
        <v>19090</v>
      </c>
      <c r="B6974" s="32" t="s">
        <v>19091</v>
      </c>
      <c r="C6974" s="35">
        <v>48.52000046</v>
      </c>
      <c r="D6974" s="35">
        <v>-72.26560211</v>
      </c>
      <c r="E6974" s="32" t="s">
        <v>94</v>
      </c>
      <c r="F6974" s="32" t="s">
        <v>19092</v>
      </c>
      <c r="G6974" s="36" t="e">
        <v>#N/A</v>
      </c>
      <c r="H6974" s="33"/>
      <c r="I6974" s="33"/>
      <c r="J6974" s="33"/>
      <c r="K6974" s="33"/>
      <c r="L6974" s="33"/>
      <c r="M6974" s="33"/>
    </row>
    <row r="6975">
      <c r="A6975" s="32" t="s">
        <v>19093</v>
      </c>
      <c r="B6975" s="32" t="s">
        <v>19094</v>
      </c>
      <c r="C6975" s="35">
        <v>51.06689835</v>
      </c>
      <c r="D6975" s="35">
        <v>-93.79309845</v>
      </c>
      <c r="E6975" s="32" t="s">
        <v>94</v>
      </c>
      <c r="F6975" s="32" t="s">
        <v>19095</v>
      </c>
      <c r="G6975" s="36" t="e">
        <v>#N/A</v>
      </c>
      <c r="H6975" s="33"/>
      <c r="I6975" s="33"/>
      <c r="J6975" s="33"/>
      <c r="K6975" s="33"/>
      <c r="L6975" s="33"/>
      <c r="M6975" s="33"/>
    </row>
    <row r="6976">
      <c r="A6976" s="32" t="s">
        <v>19096</v>
      </c>
      <c r="B6976" s="32" t="s">
        <v>19097</v>
      </c>
      <c r="C6976" s="35">
        <v>52.42969894</v>
      </c>
      <c r="D6976" s="35">
        <v>-114.9039993</v>
      </c>
      <c r="E6976" s="32" t="s">
        <v>94</v>
      </c>
      <c r="F6976" s="32" t="s">
        <v>19098</v>
      </c>
      <c r="G6976" s="36" t="e">
        <v>#N/A</v>
      </c>
      <c r="H6976" s="33"/>
      <c r="I6976" s="33"/>
      <c r="J6976" s="33"/>
      <c r="K6976" s="33"/>
      <c r="L6976" s="33"/>
      <c r="M6976" s="33"/>
    </row>
    <row r="6977">
      <c r="A6977" s="32" t="s">
        <v>19099</v>
      </c>
      <c r="B6977" s="32" t="s">
        <v>19100</v>
      </c>
      <c r="C6977" s="35">
        <v>45.46030045</v>
      </c>
      <c r="D6977" s="35">
        <v>-75.64610291</v>
      </c>
      <c r="E6977" s="32" t="s">
        <v>94</v>
      </c>
      <c r="F6977" s="32" t="s">
        <v>18960</v>
      </c>
      <c r="G6977" s="36" t="e">
        <v>#N/A</v>
      </c>
      <c r="H6977" s="33"/>
      <c r="I6977" s="33"/>
      <c r="J6977" s="33"/>
      <c r="K6977" s="33"/>
      <c r="L6977" s="33"/>
      <c r="M6977" s="33"/>
    </row>
    <row r="6978">
      <c r="A6978" s="32" t="s">
        <v>19101</v>
      </c>
      <c r="B6978" s="32" t="s">
        <v>19102</v>
      </c>
      <c r="C6978" s="35">
        <v>45.31919861</v>
      </c>
      <c r="D6978" s="35">
        <v>-76.02220154</v>
      </c>
      <c r="E6978" s="32" t="s">
        <v>94</v>
      </c>
      <c r="F6978" s="32" t="s">
        <v>18960</v>
      </c>
      <c r="G6978" s="36" t="e">
        <v>#N/A</v>
      </c>
      <c r="H6978" s="33"/>
      <c r="I6978" s="33"/>
      <c r="J6978" s="33"/>
      <c r="K6978" s="33"/>
      <c r="L6978" s="33"/>
      <c r="M6978" s="33"/>
    </row>
    <row r="6979">
      <c r="A6979" s="32" t="s">
        <v>19103</v>
      </c>
      <c r="B6979" s="32" t="s">
        <v>19104</v>
      </c>
      <c r="C6979" s="35">
        <v>46.35279846</v>
      </c>
      <c r="D6979" s="35">
        <v>-72.67939758</v>
      </c>
      <c r="E6979" s="32" t="s">
        <v>94</v>
      </c>
      <c r="F6979" s="32" t="s">
        <v>19105</v>
      </c>
      <c r="G6979" s="36" t="e">
        <v>#N/A</v>
      </c>
      <c r="H6979" s="33"/>
      <c r="I6979" s="33"/>
      <c r="J6979" s="33"/>
      <c r="K6979" s="33"/>
      <c r="L6979" s="33"/>
      <c r="M6979" s="33"/>
    </row>
    <row r="6980">
      <c r="A6980" s="32" t="s">
        <v>19106</v>
      </c>
      <c r="B6980" s="32" t="s">
        <v>19107</v>
      </c>
      <c r="C6980" s="35">
        <v>54.16719818</v>
      </c>
      <c r="D6980" s="35">
        <v>-93.55719757</v>
      </c>
      <c r="E6980" s="32" t="s">
        <v>94</v>
      </c>
      <c r="F6980" s="32" t="s">
        <v>19108</v>
      </c>
      <c r="G6980" s="36" t="e">
        <v>#N/A</v>
      </c>
      <c r="H6980" s="33"/>
      <c r="I6980" s="33"/>
      <c r="J6980" s="33"/>
      <c r="K6980" s="33"/>
      <c r="L6980" s="33"/>
      <c r="M6980" s="33"/>
    </row>
    <row r="6981">
      <c r="A6981" s="32" t="s">
        <v>19109</v>
      </c>
      <c r="B6981" s="32" t="s">
        <v>19110</v>
      </c>
      <c r="C6981" s="35">
        <v>62.81140137</v>
      </c>
      <c r="D6981" s="35">
        <v>-92.11579895</v>
      </c>
      <c r="E6981" s="32" t="s">
        <v>94</v>
      </c>
      <c r="F6981" s="32" t="s">
        <v>19111</v>
      </c>
      <c r="G6981" s="36" t="e">
        <v>#N/A</v>
      </c>
      <c r="H6981" s="33"/>
      <c r="I6981" s="33"/>
      <c r="J6981" s="33"/>
      <c r="K6981" s="33"/>
      <c r="L6981" s="33"/>
      <c r="M6981" s="33"/>
    </row>
    <row r="6982">
      <c r="A6982" s="32" t="s">
        <v>19112</v>
      </c>
      <c r="B6982" s="32" t="s">
        <v>19113</v>
      </c>
      <c r="C6982" s="35">
        <v>50.96670151</v>
      </c>
      <c r="D6982" s="35">
        <v>-118.1829987</v>
      </c>
      <c r="E6982" s="32" t="s">
        <v>94</v>
      </c>
      <c r="F6982" s="32" t="s">
        <v>19114</v>
      </c>
      <c r="G6982" s="36" t="e">
        <v>#N/A</v>
      </c>
      <c r="H6982" s="33"/>
      <c r="I6982" s="33"/>
      <c r="J6982" s="33"/>
      <c r="K6982" s="33"/>
      <c r="L6982" s="33"/>
      <c r="M6982" s="33"/>
    </row>
    <row r="6983">
      <c r="A6983" s="32" t="s">
        <v>19115</v>
      </c>
      <c r="B6983" s="32" t="s">
        <v>19116</v>
      </c>
      <c r="C6983" s="35">
        <v>46.625</v>
      </c>
      <c r="D6983" s="35">
        <v>-80.79889679</v>
      </c>
      <c r="E6983" s="32" t="s">
        <v>94</v>
      </c>
      <c r="F6983" s="32" t="s">
        <v>19117</v>
      </c>
      <c r="G6983" s="36" t="e">
        <v>#N/A</v>
      </c>
      <c r="H6983" s="33"/>
      <c r="I6983" s="33"/>
      <c r="J6983" s="33"/>
      <c r="K6983" s="33"/>
      <c r="L6983" s="33"/>
      <c r="M6983" s="33"/>
    </row>
    <row r="6984">
      <c r="A6984" s="32" t="s">
        <v>19118</v>
      </c>
      <c r="B6984" s="32" t="s">
        <v>19119</v>
      </c>
      <c r="C6984" s="35">
        <v>45.43859863</v>
      </c>
      <c r="D6984" s="35">
        <v>-71.69139862</v>
      </c>
      <c r="E6984" s="32" t="s">
        <v>94</v>
      </c>
      <c r="F6984" s="32" t="s">
        <v>19120</v>
      </c>
      <c r="G6984" s="36" t="e">
        <v>#N/A</v>
      </c>
      <c r="H6984" s="33"/>
      <c r="I6984" s="33"/>
      <c r="J6984" s="33"/>
      <c r="K6984" s="33"/>
      <c r="L6984" s="33"/>
      <c r="M6984" s="33"/>
    </row>
    <row r="6985">
      <c r="A6985" s="32" t="s">
        <v>19121</v>
      </c>
      <c r="B6985" s="32" t="s">
        <v>19122</v>
      </c>
      <c r="C6985" s="35">
        <v>50.26670074</v>
      </c>
      <c r="D6985" s="35">
        <v>-111.1829987</v>
      </c>
      <c r="E6985" s="32" t="s">
        <v>94</v>
      </c>
      <c r="F6985" s="32" t="s">
        <v>19123</v>
      </c>
      <c r="G6985" s="36" t="e">
        <v>#N/A</v>
      </c>
      <c r="H6985" s="33"/>
      <c r="I6985" s="33"/>
      <c r="J6985" s="33"/>
      <c r="K6985" s="33"/>
      <c r="L6985" s="33"/>
      <c r="M6985" s="33"/>
    </row>
    <row r="6986">
      <c r="A6986" s="32" t="s">
        <v>19124</v>
      </c>
      <c r="B6986" s="32" t="s">
        <v>19125</v>
      </c>
      <c r="C6986" s="35">
        <v>49.78170013</v>
      </c>
      <c r="D6986" s="35">
        <v>-123.1620026</v>
      </c>
      <c r="E6986" s="32" t="s">
        <v>94</v>
      </c>
      <c r="F6986" s="32" t="s">
        <v>19126</v>
      </c>
      <c r="G6986" s="36" t="e">
        <v>#N/A</v>
      </c>
      <c r="H6986" s="33"/>
      <c r="I6986" s="33"/>
      <c r="J6986" s="33"/>
      <c r="K6986" s="33"/>
      <c r="L6986" s="33"/>
      <c r="M6986" s="33"/>
    </row>
    <row r="6987">
      <c r="A6987" s="32" t="s">
        <v>19127</v>
      </c>
      <c r="B6987" s="32" t="s">
        <v>19128</v>
      </c>
      <c r="C6987" s="35">
        <v>59.25030136</v>
      </c>
      <c r="D6987" s="35">
        <v>-105.8410034</v>
      </c>
      <c r="E6987" s="32" t="s">
        <v>94</v>
      </c>
      <c r="F6987" s="32" t="s">
        <v>19129</v>
      </c>
      <c r="G6987" s="36" t="e">
        <v>#N/A</v>
      </c>
      <c r="H6987" s="33"/>
      <c r="I6987" s="33"/>
      <c r="J6987" s="33"/>
      <c r="K6987" s="33"/>
      <c r="L6987" s="33"/>
      <c r="M6987" s="33"/>
    </row>
    <row r="6988">
      <c r="A6988" s="32" t="s">
        <v>19130</v>
      </c>
      <c r="B6988" s="32" t="s">
        <v>19131</v>
      </c>
      <c r="C6988" s="35">
        <v>46.09640121</v>
      </c>
      <c r="D6988" s="35">
        <v>-70.71469879</v>
      </c>
      <c r="E6988" s="32" t="s">
        <v>94</v>
      </c>
      <c r="F6988" s="32" t="s">
        <v>19132</v>
      </c>
      <c r="G6988" s="36" t="e">
        <v>#N/A</v>
      </c>
      <c r="H6988" s="33"/>
      <c r="I6988" s="33"/>
      <c r="J6988" s="33"/>
      <c r="K6988" s="33"/>
      <c r="L6988" s="33"/>
      <c r="M6988" s="33"/>
    </row>
    <row r="6989">
      <c r="A6989" s="32" t="s">
        <v>19133</v>
      </c>
      <c r="B6989" s="32" t="s">
        <v>19134</v>
      </c>
      <c r="C6989" s="35">
        <v>44.94580078</v>
      </c>
      <c r="D6989" s="35">
        <v>-75.94059753</v>
      </c>
      <c r="E6989" s="32" t="s">
        <v>94</v>
      </c>
      <c r="F6989" s="32" t="s">
        <v>19135</v>
      </c>
      <c r="G6989" s="36" t="e">
        <v>#N/A</v>
      </c>
      <c r="H6989" s="33"/>
      <c r="I6989" s="33"/>
      <c r="J6989" s="33"/>
      <c r="K6989" s="33"/>
      <c r="L6989" s="33"/>
      <c r="M6989" s="33"/>
    </row>
    <row r="6990">
      <c r="A6990" s="32" t="s">
        <v>19136</v>
      </c>
      <c r="B6990" s="32" t="s">
        <v>19137</v>
      </c>
      <c r="C6990" s="35">
        <v>45.31610107</v>
      </c>
      <c r="D6990" s="35">
        <v>-65.89029694</v>
      </c>
      <c r="E6990" s="32" t="s">
        <v>94</v>
      </c>
      <c r="F6990" s="32" t="s">
        <v>19138</v>
      </c>
      <c r="G6990" s="36" t="e">
        <v>#N/A</v>
      </c>
      <c r="H6990" s="33"/>
      <c r="I6990" s="33"/>
      <c r="J6990" s="33"/>
      <c r="K6990" s="33"/>
      <c r="L6990" s="33"/>
      <c r="M6990" s="33"/>
    </row>
    <row r="6991">
      <c r="A6991" s="32" t="s">
        <v>19139</v>
      </c>
      <c r="B6991" s="32" t="s">
        <v>19140</v>
      </c>
      <c r="C6991" s="35">
        <v>56.53779984</v>
      </c>
      <c r="D6991" s="35">
        <v>-79.24669647</v>
      </c>
      <c r="E6991" s="32" t="s">
        <v>94</v>
      </c>
      <c r="F6991" s="32" t="s">
        <v>19141</v>
      </c>
      <c r="G6991" s="36" t="e">
        <v>#N/A</v>
      </c>
      <c r="H6991" s="33"/>
      <c r="I6991" s="33"/>
      <c r="J6991" s="33"/>
      <c r="K6991" s="33"/>
      <c r="L6991" s="33"/>
      <c r="M6991" s="33"/>
    </row>
    <row r="6992">
      <c r="A6992" s="32" t="s">
        <v>19142</v>
      </c>
      <c r="B6992" s="32" t="s">
        <v>19143</v>
      </c>
      <c r="C6992" s="35">
        <v>47.15750122</v>
      </c>
      <c r="D6992" s="35">
        <v>-67.83470154</v>
      </c>
      <c r="E6992" s="32" t="s">
        <v>94</v>
      </c>
      <c r="F6992" s="32" t="s">
        <v>19144</v>
      </c>
      <c r="G6992" s="36" t="e">
        <v>#N/A</v>
      </c>
      <c r="H6992" s="33"/>
      <c r="I6992" s="33"/>
      <c r="J6992" s="33"/>
      <c r="K6992" s="33"/>
      <c r="L6992" s="33"/>
      <c r="M6992" s="33"/>
    </row>
    <row r="6993">
      <c r="A6993" s="32" t="s">
        <v>19145</v>
      </c>
      <c r="B6993" s="32" t="s">
        <v>19146</v>
      </c>
      <c r="C6993" s="35">
        <v>60.02030182</v>
      </c>
      <c r="D6993" s="35">
        <v>-111.961998</v>
      </c>
      <c r="E6993" s="32" t="s">
        <v>94</v>
      </c>
      <c r="F6993" s="32" t="s">
        <v>7798</v>
      </c>
      <c r="G6993" s="36" t="e">
        <v>#N/A</v>
      </c>
      <c r="H6993" s="33"/>
      <c r="I6993" s="33"/>
      <c r="J6993" s="33"/>
      <c r="K6993" s="33"/>
      <c r="L6993" s="33"/>
      <c r="M6993" s="33"/>
    </row>
    <row r="6994">
      <c r="A6994" s="32" t="s">
        <v>19147</v>
      </c>
      <c r="B6994" s="32" t="s">
        <v>19148</v>
      </c>
      <c r="C6994" s="35">
        <v>50.682802</v>
      </c>
      <c r="D6994" s="35">
        <v>-119.228996</v>
      </c>
      <c r="E6994" s="32" t="s">
        <v>94</v>
      </c>
      <c r="F6994" s="32" t="s">
        <v>19149</v>
      </c>
      <c r="G6994" s="36" t="e">
        <v>#N/A</v>
      </c>
      <c r="H6994" s="33"/>
      <c r="I6994" s="33"/>
      <c r="J6994" s="33"/>
      <c r="K6994" s="33"/>
      <c r="L6994" s="33"/>
      <c r="M6994" s="33"/>
    </row>
    <row r="6995">
      <c r="A6995" s="32" t="s">
        <v>19150</v>
      </c>
      <c r="B6995" s="32" t="s">
        <v>19151</v>
      </c>
      <c r="C6995" s="35">
        <v>54.9105</v>
      </c>
      <c r="D6995" s="35">
        <v>-59.78507</v>
      </c>
      <c r="E6995" s="32" t="s">
        <v>94</v>
      </c>
      <c r="F6995" s="32" t="s">
        <v>19152</v>
      </c>
      <c r="G6995" s="36" t="e">
        <v>#N/A</v>
      </c>
      <c r="H6995" s="33"/>
      <c r="I6995" s="33"/>
      <c r="J6995" s="33"/>
      <c r="K6995" s="33"/>
      <c r="L6995" s="33"/>
      <c r="M6995" s="33"/>
    </row>
    <row r="6996">
      <c r="A6996" s="32" t="s">
        <v>19153</v>
      </c>
      <c r="B6996" s="32" t="s">
        <v>19154</v>
      </c>
      <c r="C6996" s="35">
        <v>48.75529861</v>
      </c>
      <c r="D6996" s="35">
        <v>-86.3443985</v>
      </c>
      <c r="E6996" s="32" t="s">
        <v>94</v>
      </c>
      <c r="F6996" s="32" t="s">
        <v>12393</v>
      </c>
      <c r="G6996" s="36" t="e">
        <v>#N/A</v>
      </c>
      <c r="H6996" s="33"/>
      <c r="I6996" s="33"/>
      <c r="J6996" s="33"/>
      <c r="K6996" s="33"/>
      <c r="L6996" s="33"/>
      <c r="M6996" s="33"/>
    </row>
    <row r="6997">
      <c r="A6997" s="32" t="s">
        <v>19155</v>
      </c>
      <c r="B6997" s="32" t="s">
        <v>19156</v>
      </c>
      <c r="C6997" s="35">
        <v>72.982201</v>
      </c>
      <c r="D6997" s="35">
        <v>-84.613602</v>
      </c>
      <c r="E6997" s="32" t="s">
        <v>94</v>
      </c>
      <c r="F6997" s="32" t="s">
        <v>19157</v>
      </c>
      <c r="G6997" s="36" t="e">
        <v>#N/A</v>
      </c>
      <c r="H6997" s="33"/>
      <c r="I6997" s="33"/>
      <c r="J6997" s="33"/>
      <c r="K6997" s="33"/>
      <c r="L6997" s="33"/>
      <c r="M6997" s="33"/>
    </row>
    <row r="6998">
      <c r="A6998" s="32" t="s">
        <v>19158</v>
      </c>
      <c r="B6998" s="32" t="s">
        <v>19159</v>
      </c>
      <c r="C6998" s="35">
        <v>53.84560013</v>
      </c>
      <c r="D6998" s="35">
        <v>-94.85189819</v>
      </c>
      <c r="E6998" s="32" t="s">
        <v>94</v>
      </c>
      <c r="F6998" s="32" t="s">
        <v>19160</v>
      </c>
      <c r="G6998" s="36" t="e">
        <v>#N/A</v>
      </c>
      <c r="H6998" s="33"/>
      <c r="I6998" s="33"/>
      <c r="J6998" s="33"/>
      <c r="K6998" s="33"/>
      <c r="L6998" s="33"/>
      <c r="M6998" s="33"/>
    </row>
    <row r="6999">
      <c r="A6999" s="32" t="s">
        <v>19161</v>
      </c>
      <c r="B6999" s="32" t="s">
        <v>19162</v>
      </c>
      <c r="C6999" s="35">
        <v>46.44060135</v>
      </c>
      <c r="D6999" s="35">
        <v>-63.83359909</v>
      </c>
      <c r="E6999" s="32" t="s">
        <v>94</v>
      </c>
      <c r="F6999" s="32" t="s">
        <v>19163</v>
      </c>
      <c r="G6999" s="36" t="e">
        <v>#N/A</v>
      </c>
      <c r="H6999" s="33"/>
      <c r="I6999" s="33"/>
      <c r="J6999" s="33"/>
      <c r="K6999" s="33"/>
      <c r="L6999" s="33"/>
      <c r="M6999" s="33"/>
    </row>
    <row r="7000">
      <c r="A7000" s="32" t="s">
        <v>19164</v>
      </c>
      <c r="B7000" s="32" t="s">
        <v>19165</v>
      </c>
      <c r="C7000" s="35">
        <v>71.99389648</v>
      </c>
      <c r="D7000" s="35">
        <v>-125.2429962</v>
      </c>
      <c r="E7000" s="32" t="s">
        <v>94</v>
      </c>
      <c r="F7000" s="32" t="s">
        <v>19166</v>
      </c>
      <c r="G7000" s="36" t="e">
        <v>#N/A</v>
      </c>
      <c r="H7000" s="33"/>
      <c r="I7000" s="33"/>
      <c r="J7000" s="33"/>
      <c r="K7000" s="33"/>
      <c r="L7000" s="33"/>
      <c r="M7000" s="33"/>
    </row>
    <row r="7001">
      <c r="A7001" s="32" t="s">
        <v>19167</v>
      </c>
      <c r="B7001" s="32" t="s">
        <v>19168</v>
      </c>
      <c r="C7001" s="35">
        <v>45.86439896</v>
      </c>
      <c r="D7001" s="35">
        <v>-77.25170135</v>
      </c>
      <c r="E7001" s="32" t="s">
        <v>94</v>
      </c>
      <c r="F7001" s="32" t="s">
        <v>19169</v>
      </c>
      <c r="G7001" s="36" t="e">
        <v>#N/A</v>
      </c>
      <c r="H7001" s="33"/>
      <c r="I7001" s="33"/>
      <c r="J7001" s="33"/>
      <c r="K7001" s="33"/>
      <c r="L7001" s="33"/>
      <c r="M7001" s="33"/>
    </row>
    <row r="7002">
      <c r="A7002" s="32" t="s">
        <v>19170</v>
      </c>
      <c r="B7002" s="32" t="s">
        <v>19171</v>
      </c>
      <c r="C7002" s="35">
        <v>55.31890106</v>
      </c>
      <c r="D7002" s="35">
        <v>-97.70780182</v>
      </c>
      <c r="E7002" s="32" t="s">
        <v>94</v>
      </c>
      <c r="F7002" s="32" t="s">
        <v>19172</v>
      </c>
      <c r="G7002" s="36" t="e">
        <v>#N/A</v>
      </c>
      <c r="H7002" s="33"/>
      <c r="I7002" s="33"/>
      <c r="J7002" s="33"/>
      <c r="K7002" s="33"/>
      <c r="L7002" s="33"/>
      <c r="M7002" s="33"/>
    </row>
    <row r="7003">
      <c r="A7003" s="32" t="s">
        <v>19173</v>
      </c>
      <c r="B7003" s="32" t="s">
        <v>19174</v>
      </c>
      <c r="C7003" s="35">
        <v>64.23000336</v>
      </c>
      <c r="D7003" s="35">
        <v>-76.52670288</v>
      </c>
      <c r="E7003" s="32" t="s">
        <v>94</v>
      </c>
      <c r="F7003" s="32" t="s">
        <v>19175</v>
      </c>
      <c r="G7003" s="36" t="e">
        <v>#N/A</v>
      </c>
      <c r="H7003" s="33"/>
      <c r="I7003" s="33"/>
      <c r="J7003" s="33"/>
      <c r="K7003" s="33"/>
      <c r="L7003" s="33"/>
      <c r="M7003" s="33"/>
    </row>
    <row r="7004">
      <c r="A7004" s="32" t="s">
        <v>19176</v>
      </c>
      <c r="B7004" s="32" t="s">
        <v>19177</v>
      </c>
      <c r="C7004" s="35">
        <v>48.50889969</v>
      </c>
      <c r="D7004" s="35">
        <v>-71.64189911</v>
      </c>
      <c r="E7004" s="32" t="s">
        <v>94</v>
      </c>
      <c r="F7004" s="32" t="s">
        <v>19178</v>
      </c>
      <c r="G7004" s="36" t="e">
        <v>#N/A</v>
      </c>
      <c r="H7004" s="33"/>
      <c r="I7004" s="33"/>
      <c r="J7004" s="33"/>
      <c r="K7004" s="33"/>
      <c r="L7004" s="33"/>
      <c r="M7004" s="33"/>
    </row>
    <row r="7005">
      <c r="A7005" s="32" t="s">
        <v>19179</v>
      </c>
      <c r="B7005" s="32" t="s">
        <v>19180</v>
      </c>
      <c r="C7005" s="35">
        <v>55.80110168</v>
      </c>
      <c r="D7005" s="35">
        <v>-97.86419678</v>
      </c>
      <c r="E7005" s="32" t="s">
        <v>94</v>
      </c>
      <c r="F7005" s="32" t="s">
        <v>19181</v>
      </c>
      <c r="G7005" s="36" t="e">
        <v>#N/A</v>
      </c>
      <c r="H7005" s="33"/>
      <c r="I7005" s="33"/>
      <c r="J7005" s="33"/>
      <c r="K7005" s="33"/>
      <c r="L7005" s="33"/>
      <c r="M7005" s="33"/>
    </row>
    <row r="7006">
      <c r="A7006" s="32" t="s">
        <v>19182</v>
      </c>
      <c r="B7006" s="32" t="s">
        <v>19183</v>
      </c>
      <c r="C7006" s="35">
        <v>53.81779861</v>
      </c>
      <c r="D7006" s="35">
        <v>-89.89689636</v>
      </c>
      <c r="E7006" s="32" t="s">
        <v>94</v>
      </c>
      <c r="F7006" s="32" t="s">
        <v>19184</v>
      </c>
      <c r="G7006" s="36" t="e">
        <v>#N/A</v>
      </c>
      <c r="H7006" s="33"/>
      <c r="I7006" s="33"/>
      <c r="J7006" s="33"/>
      <c r="K7006" s="33"/>
      <c r="L7006" s="33"/>
      <c r="M7006" s="33"/>
    </row>
    <row r="7007">
      <c r="A7007" s="32" t="s">
        <v>19185</v>
      </c>
      <c r="B7007" s="32" t="s">
        <v>19186</v>
      </c>
      <c r="C7007" s="35">
        <v>46.40940094</v>
      </c>
      <c r="D7007" s="35">
        <v>-74.77999878</v>
      </c>
      <c r="E7007" s="32" t="s">
        <v>94</v>
      </c>
      <c r="F7007" s="32" t="s">
        <v>19187</v>
      </c>
      <c r="G7007" s="36" t="e">
        <v>#N/A</v>
      </c>
      <c r="H7007" s="33"/>
      <c r="I7007" s="33"/>
      <c r="J7007" s="33"/>
      <c r="K7007" s="33"/>
      <c r="L7007" s="33"/>
      <c r="M7007" s="33"/>
    </row>
    <row r="7008">
      <c r="A7008" s="32" t="s">
        <v>19188</v>
      </c>
      <c r="B7008" s="32" t="s">
        <v>19189</v>
      </c>
      <c r="C7008" s="35">
        <v>58.6678009</v>
      </c>
      <c r="D7008" s="35">
        <v>-69.95580292</v>
      </c>
      <c r="E7008" s="32" t="s">
        <v>94</v>
      </c>
      <c r="F7008" s="32" t="s">
        <v>19190</v>
      </c>
      <c r="G7008" s="36" t="e">
        <v>#N/A</v>
      </c>
      <c r="H7008" s="33"/>
      <c r="I7008" s="33"/>
      <c r="J7008" s="33"/>
      <c r="K7008" s="33"/>
      <c r="L7008" s="33"/>
      <c r="M7008" s="33"/>
    </row>
    <row r="7009">
      <c r="A7009" s="32" t="s">
        <v>19191</v>
      </c>
      <c r="B7009" s="32" t="s">
        <v>19192</v>
      </c>
      <c r="C7009" s="35">
        <v>44.1189003</v>
      </c>
      <c r="D7009" s="35">
        <v>-77.52809906</v>
      </c>
      <c r="E7009" s="32" t="s">
        <v>94</v>
      </c>
      <c r="F7009" s="32" t="s">
        <v>17086</v>
      </c>
      <c r="G7009" s="36" t="e">
        <v>#N/A</v>
      </c>
      <c r="H7009" s="33"/>
      <c r="I7009" s="33"/>
      <c r="J7009" s="33"/>
      <c r="K7009" s="33"/>
      <c r="L7009" s="33"/>
      <c r="M7009" s="33"/>
    </row>
    <row r="7010">
      <c r="A7010" s="32" t="s">
        <v>19193</v>
      </c>
      <c r="B7010" s="32" t="s">
        <v>19194</v>
      </c>
      <c r="C7010" s="35">
        <v>48.56969833</v>
      </c>
      <c r="D7010" s="35">
        <v>-81.37670136</v>
      </c>
      <c r="E7010" s="32" t="s">
        <v>94</v>
      </c>
      <c r="F7010" s="32" t="s">
        <v>19195</v>
      </c>
      <c r="G7010" s="36" t="e">
        <v>#N/A</v>
      </c>
      <c r="H7010" s="33"/>
      <c r="I7010" s="33"/>
      <c r="J7010" s="33"/>
      <c r="K7010" s="33"/>
      <c r="L7010" s="33"/>
      <c r="M7010" s="33"/>
    </row>
    <row r="7011">
      <c r="A7011" s="32" t="s">
        <v>19196</v>
      </c>
      <c r="B7011" s="32" t="s">
        <v>19197</v>
      </c>
      <c r="C7011" s="35">
        <v>32.5634</v>
      </c>
      <c r="D7011" s="35">
        <v>119.7198</v>
      </c>
      <c r="E7011" s="32" t="s">
        <v>205</v>
      </c>
      <c r="F7011" s="32" t="s">
        <v>19198</v>
      </c>
      <c r="G7011" s="39" t="s">
        <v>206</v>
      </c>
      <c r="H7011" s="33"/>
      <c r="I7011" s="33"/>
      <c r="J7011" s="33"/>
      <c r="K7011" s="33"/>
      <c r="L7011" s="33"/>
      <c r="M7011" s="33"/>
    </row>
    <row r="7012">
      <c r="A7012" s="32" t="s">
        <v>19199</v>
      </c>
      <c r="B7012" s="32" t="s">
        <v>19200</v>
      </c>
      <c r="C7012" s="35">
        <v>43.627499</v>
      </c>
      <c r="D7012" s="35">
        <v>-79.396202</v>
      </c>
      <c r="E7012" s="32" t="s">
        <v>94</v>
      </c>
      <c r="F7012" s="32" t="s">
        <v>18817</v>
      </c>
      <c r="G7012" s="36" t="e">
        <v>#N/A</v>
      </c>
      <c r="H7012" s="33"/>
      <c r="I7012" s="33"/>
      <c r="J7012" s="33"/>
      <c r="K7012" s="33"/>
      <c r="L7012" s="33"/>
      <c r="M7012" s="33"/>
    </row>
    <row r="7013">
      <c r="A7013" s="32" t="s">
        <v>19201</v>
      </c>
      <c r="B7013" s="32" t="s">
        <v>19202</v>
      </c>
      <c r="C7013" s="35">
        <v>69.4332962</v>
      </c>
      <c r="D7013" s="35">
        <v>-133.026001</v>
      </c>
      <c r="E7013" s="32" t="s">
        <v>94</v>
      </c>
      <c r="F7013" s="32" t="s">
        <v>19203</v>
      </c>
      <c r="G7013" s="36" t="e">
        <v>#N/A</v>
      </c>
      <c r="H7013" s="33"/>
      <c r="I7013" s="33"/>
      <c r="J7013" s="33"/>
      <c r="K7013" s="33"/>
      <c r="L7013" s="33"/>
      <c r="M7013" s="33"/>
    </row>
    <row r="7014">
      <c r="A7014" s="32" t="s">
        <v>19204</v>
      </c>
      <c r="B7014" s="32" t="s">
        <v>19205</v>
      </c>
      <c r="C7014" s="35">
        <v>56.53609848</v>
      </c>
      <c r="D7014" s="35">
        <v>-76.51830292</v>
      </c>
      <c r="E7014" s="32" t="s">
        <v>94</v>
      </c>
      <c r="F7014" s="32" t="s">
        <v>19206</v>
      </c>
      <c r="G7014" s="36" t="e">
        <v>#N/A</v>
      </c>
      <c r="H7014" s="33"/>
      <c r="I7014" s="33"/>
      <c r="J7014" s="33"/>
      <c r="K7014" s="33"/>
      <c r="L7014" s="33"/>
      <c r="M7014" s="33"/>
    </row>
    <row r="7015">
      <c r="A7015" s="32" t="s">
        <v>19207</v>
      </c>
      <c r="B7015" s="32" t="s">
        <v>19208</v>
      </c>
      <c r="C7015" s="35">
        <v>-22.25419998</v>
      </c>
      <c r="D7015" s="35">
        <v>131.7819977</v>
      </c>
      <c r="E7015" s="32" t="s">
        <v>1968</v>
      </c>
      <c r="F7015" s="32" t="s">
        <v>19209</v>
      </c>
      <c r="G7015" s="36" t="e">
        <v>#N/A</v>
      </c>
      <c r="H7015" s="33"/>
      <c r="I7015" s="33"/>
      <c r="J7015" s="33"/>
      <c r="K7015" s="33"/>
      <c r="L7015" s="33"/>
      <c r="M7015" s="33"/>
    </row>
    <row r="7016">
      <c r="A7016" s="32" t="s">
        <v>19210</v>
      </c>
      <c r="B7016" s="32" t="s">
        <v>19211</v>
      </c>
      <c r="C7016" s="35">
        <v>45.47060013</v>
      </c>
      <c r="D7016" s="35">
        <v>-73.74079895</v>
      </c>
      <c r="E7016" s="32" t="s">
        <v>94</v>
      </c>
      <c r="F7016" s="32" t="s">
        <v>18727</v>
      </c>
      <c r="G7016" s="36" t="e">
        <v>#N/A</v>
      </c>
      <c r="H7016" s="33"/>
      <c r="I7016" s="33"/>
      <c r="J7016" s="33"/>
      <c r="K7016" s="33"/>
      <c r="L7016" s="33"/>
      <c r="M7016" s="33"/>
    </row>
    <row r="7017">
      <c r="A7017" s="32" t="s">
        <v>19212</v>
      </c>
      <c r="B7017" s="32" t="s">
        <v>19213</v>
      </c>
      <c r="C7017" s="35">
        <v>32.65660095</v>
      </c>
      <c r="D7017" s="35">
        <v>-114.6060028</v>
      </c>
      <c r="E7017" s="32" t="s">
        <v>180</v>
      </c>
      <c r="F7017" s="32" t="s">
        <v>19214</v>
      </c>
      <c r="G7017" s="39" t="s">
        <v>181</v>
      </c>
      <c r="H7017" s="33"/>
      <c r="I7017" s="33"/>
      <c r="J7017" s="33"/>
      <c r="K7017" s="33"/>
      <c r="L7017" s="33"/>
      <c r="M7017" s="33"/>
    </row>
    <row r="7018">
      <c r="A7018" s="32" t="s">
        <v>19215</v>
      </c>
      <c r="B7018" s="32" t="s">
        <v>19216</v>
      </c>
      <c r="C7018" s="35">
        <v>32.83638889</v>
      </c>
      <c r="D7018" s="35">
        <v>97.03638889</v>
      </c>
      <c r="E7018" s="32" t="s">
        <v>205</v>
      </c>
      <c r="F7018" s="32" t="s">
        <v>19217</v>
      </c>
      <c r="G7018" s="39" t="s">
        <v>206</v>
      </c>
      <c r="H7018" s="33"/>
      <c r="I7018" s="33"/>
      <c r="J7018" s="33"/>
      <c r="K7018" s="33"/>
      <c r="L7018" s="33"/>
      <c r="M7018" s="33"/>
    </row>
    <row r="7019">
      <c r="A7019" s="32" t="s">
        <v>19218</v>
      </c>
      <c r="B7019" s="32" t="s">
        <v>19219</v>
      </c>
      <c r="C7019" s="35">
        <v>66.52140045</v>
      </c>
      <c r="D7019" s="35">
        <v>-86.22470093</v>
      </c>
      <c r="E7019" s="32" t="s">
        <v>94</v>
      </c>
      <c r="F7019" s="32" t="s">
        <v>19220</v>
      </c>
      <c r="G7019" s="36" t="e">
        <v>#N/A</v>
      </c>
      <c r="H7019" s="33"/>
      <c r="I7019" s="33"/>
      <c r="J7019" s="33"/>
      <c r="K7019" s="33"/>
      <c r="L7019" s="33"/>
      <c r="M7019" s="33"/>
    </row>
    <row r="7020">
      <c r="A7020" s="32" t="s">
        <v>19221</v>
      </c>
      <c r="B7020" s="32" t="s">
        <v>19222</v>
      </c>
      <c r="C7020" s="35">
        <v>68.77610016</v>
      </c>
      <c r="D7020" s="35">
        <v>-81.2425</v>
      </c>
      <c r="E7020" s="32" t="s">
        <v>94</v>
      </c>
      <c r="F7020" s="32" t="s">
        <v>19223</v>
      </c>
      <c r="G7020" s="36" t="e">
        <v>#N/A</v>
      </c>
      <c r="H7020" s="33"/>
      <c r="I7020" s="33"/>
      <c r="J7020" s="33"/>
      <c r="K7020" s="33"/>
      <c r="L7020" s="33"/>
      <c r="M7020" s="33"/>
    </row>
    <row r="7021">
      <c r="A7021" s="32" t="s">
        <v>19224</v>
      </c>
      <c r="B7021" s="32" t="s">
        <v>19225</v>
      </c>
      <c r="C7021" s="35">
        <v>48.20610046</v>
      </c>
      <c r="D7021" s="35">
        <v>-78.83560181</v>
      </c>
      <c r="E7021" s="32" t="s">
        <v>94</v>
      </c>
      <c r="F7021" s="32" t="s">
        <v>19226</v>
      </c>
      <c r="G7021" s="36" t="e">
        <v>#N/A</v>
      </c>
      <c r="H7021" s="33"/>
      <c r="I7021" s="33"/>
      <c r="J7021" s="33"/>
      <c r="K7021" s="33"/>
      <c r="L7021" s="33"/>
      <c r="M7021" s="33"/>
    </row>
    <row r="7022">
      <c r="A7022" s="32" t="s">
        <v>19227</v>
      </c>
      <c r="B7022" s="32" t="s">
        <v>19228</v>
      </c>
      <c r="C7022" s="35">
        <v>-11.71080017</v>
      </c>
      <c r="D7022" s="35">
        <v>43.2439003</v>
      </c>
      <c r="E7022" s="32" t="s">
        <v>3794</v>
      </c>
      <c r="F7022" s="32" t="s">
        <v>8529</v>
      </c>
      <c r="G7022" s="36" t="e">
        <v>#N/A</v>
      </c>
      <c r="H7022" s="33"/>
      <c r="I7022" s="33"/>
      <c r="J7022" s="33"/>
      <c r="K7022" s="33"/>
      <c r="L7022" s="33"/>
      <c r="M7022" s="33"/>
    </row>
    <row r="7023">
      <c r="A7023" s="32" t="s">
        <v>19229</v>
      </c>
      <c r="B7023" s="32" t="s">
        <v>19230</v>
      </c>
      <c r="C7023" s="35">
        <v>48.07109833</v>
      </c>
      <c r="D7023" s="35">
        <v>-65.46029663</v>
      </c>
      <c r="E7023" s="32" t="s">
        <v>94</v>
      </c>
      <c r="F7023" s="32" t="s">
        <v>19231</v>
      </c>
      <c r="G7023" s="36" t="e">
        <v>#N/A</v>
      </c>
      <c r="H7023" s="33"/>
      <c r="I7023" s="33"/>
      <c r="J7023" s="33"/>
      <c r="K7023" s="33"/>
      <c r="L7023" s="33"/>
      <c r="M7023" s="33"/>
    </row>
    <row r="7024">
      <c r="A7024" s="32" t="s">
        <v>19232</v>
      </c>
      <c r="B7024" s="32" t="s">
        <v>19233</v>
      </c>
      <c r="C7024" s="35">
        <v>55.15140152</v>
      </c>
      <c r="D7024" s="35">
        <v>-105.262001</v>
      </c>
      <c r="E7024" s="32" t="s">
        <v>94</v>
      </c>
      <c r="F7024" s="32" t="s">
        <v>19234</v>
      </c>
      <c r="G7024" s="36" t="e">
        <v>#N/A</v>
      </c>
      <c r="H7024" s="33"/>
      <c r="I7024" s="33"/>
      <c r="J7024" s="33"/>
      <c r="K7024" s="33"/>
      <c r="L7024" s="33"/>
      <c r="M7024" s="33"/>
    </row>
    <row r="7025">
      <c r="A7025" s="32" t="s">
        <v>19235</v>
      </c>
      <c r="B7025" s="32" t="s">
        <v>19236</v>
      </c>
      <c r="C7025" s="35">
        <v>49.87829971</v>
      </c>
      <c r="D7025" s="35">
        <v>-100.9179993</v>
      </c>
      <c r="E7025" s="32" t="s">
        <v>94</v>
      </c>
      <c r="F7025" s="32" t="s">
        <v>19237</v>
      </c>
      <c r="G7025" s="36" t="e">
        <v>#N/A</v>
      </c>
      <c r="H7025" s="33"/>
      <c r="I7025" s="33"/>
      <c r="J7025" s="33"/>
      <c r="K7025" s="33"/>
      <c r="L7025" s="33"/>
      <c r="M7025" s="33"/>
    </row>
    <row r="7026">
      <c r="A7026" s="32" t="s">
        <v>19238</v>
      </c>
      <c r="B7026" s="32" t="s">
        <v>19239</v>
      </c>
      <c r="C7026" s="35">
        <v>50.24810028</v>
      </c>
      <c r="D7026" s="35">
        <v>-119.3310013</v>
      </c>
      <c r="E7026" s="32" t="s">
        <v>94</v>
      </c>
      <c r="F7026" s="32" t="s">
        <v>19240</v>
      </c>
      <c r="G7026" s="36" t="e">
        <v>#N/A</v>
      </c>
      <c r="H7026" s="33"/>
      <c r="I7026" s="33"/>
      <c r="J7026" s="33"/>
      <c r="K7026" s="33"/>
      <c r="L7026" s="33"/>
      <c r="M7026" s="33"/>
    </row>
    <row r="7027">
      <c r="A7027" s="32" t="s">
        <v>19241</v>
      </c>
      <c r="B7027" s="32" t="s">
        <v>19242</v>
      </c>
      <c r="C7027" s="35">
        <v>53.35580063</v>
      </c>
      <c r="D7027" s="35">
        <v>-110.8239975</v>
      </c>
      <c r="E7027" s="32" t="s">
        <v>94</v>
      </c>
      <c r="F7027" s="32" t="s">
        <v>19243</v>
      </c>
      <c r="G7027" s="36" t="e">
        <v>#N/A</v>
      </c>
      <c r="H7027" s="33"/>
      <c r="I7027" s="33"/>
      <c r="J7027" s="33"/>
      <c r="K7027" s="33"/>
      <c r="L7027" s="33"/>
      <c r="M7027" s="33"/>
    </row>
    <row r="7028">
      <c r="A7028" s="32" t="s">
        <v>19244</v>
      </c>
      <c r="B7028" s="32" t="s">
        <v>19245</v>
      </c>
      <c r="C7028" s="35">
        <v>67.54579926</v>
      </c>
      <c r="D7028" s="35">
        <v>-64.03140259</v>
      </c>
      <c r="E7028" s="32" t="s">
        <v>94</v>
      </c>
      <c r="F7028" s="32" t="s">
        <v>19246</v>
      </c>
      <c r="G7028" s="36" t="e">
        <v>#N/A</v>
      </c>
      <c r="H7028" s="33"/>
      <c r="I7028" s="33"/>
      <c r="J7028" s="33"/>
      <c r="K7028" s="33"/>
      <c r="L7028" s="33"/>
      <c r="M7028" s="33"/>
    </row>
    <row r="7029">
      <c r="A7029" s="32" t="s">
        <v>19247</v>
      </c>
      <c r="B7029" s="32" t="s">
        <v>19248</v>
      </c>
      <c r="C7029" s="35">
        <v>48.05329895</v>
      </c>
      <c r="D7029" s="35">
        <v>-77.78279877</v>
      </c>
      <c r="E7029" s="32" t="s">
        <v>94</v>
      </c>
      <c r="F7029" s="32" t="s">
        <v>19249</v>
      </c>
      <c r="G7029" s="36" t="e">
        <v>#N/A</v>
      </c>
      <c r="H7029" s="33"/>
      <c r="I7029" s="33"/>
      <c r="J7029" s="33"/>
      <c r="K7029" s="33"/>
      <c r="L7029" s="33"/>
      <c r="M7029" s="33"/>
    </row>
    <row r="7030">
      <c r="A7030" s="32" t="s">
        <v>19250</v>
      </c>
      <c r="B7030" s="32" t="s">
        <v>19251</v>
      </c>
      <c r="C7030" s="35">
        <v>58.09609985</v>
      </c>
      <c r="D7030" s="35">
        <v>-68.42690277</v>
      </c>
      <c r="E7030" s="32" t="s">
        <v>94</v>
      </c>
      <c r="F7030" s="32" t="s">
        <v>19252</v>
      </c>
      <c r="G7030" s="36" t="e">
        <v>#N/A</v>
      </c>
      <c r="H7030" s="33"/>
      <c r="I7030" s="33"/>
      <c r="J7030" s="33"/>
      <c r="K7030" s="33"/>
      <c r="L7030" s="33"/>
      <c r="M7030" s="33"/>
    </row>
    <row r="7031">
      <c r="A7031" s="32" t="s">
        <v>19253</v>
      </c>
      <c r="B7031" s="32" t="s">
        <v>19254</v>
      </c>
      <c r="C7031" s="35">
        <v>65.28160095</v>
      </c>
      <c r="D7031" s="35">
        <v>-126.7979965</v>
      </c>
      <c r="E7031" s="32" t="s">
        <v>94</v>
      </c>
      <c r="F7031" s="32" t="s">
        <v>19255</v>
      </c>
      <c r="G7031" s="36" t="e">
        <v>#N/A</v>
      </c>
      <c r="H7031" s="33"/>
      <c r="I7031" s="33"/>
      <c r="J7031" s="33"/>
      <c r="K7031" s="33"/>
      <c r="L7031" s="33"/>
      <c r="M7031" s="33"/>
    </row>
    <row r="7032">
      <c r="A7032" s="32" t="s">
        <v>19256</v>
      </c>
      <c r="B7032" s="32" t="s">
        <v>19257</v>
      </c>
      <c r="C7032" s="35">
        <v>49.19390106</v>
      </c>
      <c r="D7032" s="35">
        <v>-123.1839981</v>
      </c>
      <c r="E7032" s="32" t="s">
        <v>94</v>
      </c>
      <c r="F7032" s="32" t="s">
        <v>2025</v>
      </c>
      <c r="G7032" s="36" t="e">
        <v>#N/A</v>
      </c>
      <c r="H7032" s="33"/>
      <c r="I7032" s="33"/>
      <c r="J7032" s="33"/>
      <c r="K7032" s="33"/>
      <c r="L7032" s="33"/>
      <c r="M7032" s="33"/>
    </row>
    <row r="7033">
      <c r="A7033" s="32" t="s">
        <v>19258</v>
      </c>
      <c r="B7033" s="32" t="s">
        <v>19259</v>
      </c>
      <c r="C7033" s="35">
        <v>55.84189987</v>
      </c>
      <c r="D7033" s="35">
        <v>-108.4179993</v>
      </c>
      <c r="E7033" s="32" t="s">
        <v>94</v>
      </c>
      <c r="F7033" s="32" t="s">
        <v>19260</v>
      </c>
      <c r="G7033" s="36" t="e">
        <v>#N/A</v>
      </c>
      <c r="H7033" s="33"/>
      <c r="I7033" s="33"/>
      <c r="J7033" s="33"/>
      <c r="K7033" s="33"/>
      <c r="L7033" s="33"/>
      <c r="M7033" s="33"/>
    </row>
    <row r="7034">
      <c r="A7034" s="32" t="s">
        <v>19261</v>
      </c>
      <c r="B7034" s="32" t="s">
        <v>19262</v>
      </c>
      <c r="C7034" s="35">
        <v>44.7458</v>
      </c>
      <c r="D7034" s="35">
        <v>-81.107201</v>
      </c>
      <c r="E7034" s="32" t="s">
        <v>94</v>
      </c>
      <c r="F7034" s="32" t="s">
        <v>19263</v>
      </c>
      <c r="G7034" s="36" t="e">
        <v>#N/A</v>
      </c>
      <c r="H7034" s="33"/>
      <c r="I7034" s="33"/>
      <c r="J7034" s="33"/>
      <c r="K7034" s="33"/>
      <c r="L7034" s="33"/>
      <c r="M7034" s="33"/>
    </row>
    <row r="7035">
      <c r="A7035" s="32" t="s">
        <v>19264</v>
      </c>
      <c r="B7035" s="32" t="s">
        <v>18539</v>
      </c>
      <c r="C7035" s="35">
        <v>52.65579987</v>
      </c>
      <c r="D7035" s="35">
        <v>-94.06140137</v>
      </c>
      <c r="E7035" s="32" t="s">
        <v>94</v>
      </c>
      <c r="F7035" s="32" t="s">
        <v>18540</v>
      </c>
      <c r="G7035" s="36" t="e">
        <v>#N/A</v>
      </c>
      <c r="H7035" s="33"/>
      <c r="I7035" s="33"/>
      <c r="J7035" s="33"/>
      <c r="K7035" s="33"/>
      <c r="L7035" s="33"/>
      <c r="M7035" s="33"/>
    </row>
    <row r="7036">
      <c r="A7036" s="32" t="s">
        <v>19265</v>
      </c>
      <c r="B7036" s="32" t="s">
        <v>19266</v>
      </c>
      <c r="C7036" s="35">
        <v>45.95220184</v>
      </c>
      <c r="D7036" s="35">
        <v>-77.31919861</v>
      </c>
      <c r="E7036" s="32" t="s">
        <v>94</v>
      </c>
      <c r="F7036" s="32" t="s">
        <v>19267</v>
      </c>
      <c r="G7036" s="36" t="e">
        <v>#N/A</v>
      </c>
      <c r="H7036" s="33"/>
      <c r="I7036" s="33"/>
      <c r="J7036" s="33"/>
      <c r="K7036" s="33"/>
      <c r="L7036" s="33"/>
      <c r="M7036" s="33"/>
    </row>
    <row r="7037">
      <c r="A7037" s="32" t="s">
        <v>19268</v>
      </c>
      <c r="B7037" s="32" t="s">
        <v>19269</v>
      </c>
      <c r="C7037" s="35">
        <v>61.58860016</v>
      </c>
      <c r="D7037" s="35">
        <v>-71.92939758</v>
      </c>
      <c r="E7037" s="32" t="s">
        <v>94</v>
      </c>
      <c r="F7037" s="32" t="s">
        <v>19270</v>
      </c>
      <c r="G7037" s="36" t="e">
        <v>#N/A</v>
      </c>
      <c r="H7037" s="33"/>
      <c r="I7037" s="33"/>
      <c r="J7037" s="33"/>
      <c r="K7037" s="33"/>
      <c r="L7037" s="33"/>
      <c r="M7037" s="33"/>
    </row>
    <row r="7038">
      <c r="A7038" s="32" t="s">
        <v>19271</v>
      </c>
      <c r="B7038" s="32" t="s">
        <v>19272</v>
      </c>
      <c r="C7038" s="35">
        <v>49.90999985</v>
      </c>
      <c r="D7038" s="35">
        <v>-97.23989868</v>
      </c>
      <c r="E7038" s="32" t="s">
        <v>94</v>
      </c>
      <c r="F7038" s="32" t="s">
        <v>18411</v>
      </c>
      <c r="G7038" s="36" t="e">
        <v>#N/A</v>
      </c>
      <c r="H7038" s="33"/>
      <c r="I7038" s="33"/>
      <c r="J7038" s="33"/>
      <c r="K7038" s="33"/>
      <c r="L7038" s="33"/>
      <c r="M7038" s="33"/>
    </row>
    <row r="7039">
      <c r="A7039" s="32" t="s">
        <v>19273</v>
      </c>
      <c r="B7039" s="32" t="s">
        <v>19274</v>
      </c>
      <c r="C7039" s="35">
        <v>48.42498589</v>
      </c>
      <c r="D7039" s="35">
        <v>-123.3888674</v>
      </c>
      <c r="E7039" s="32" t="s">
        <v>94</v>
      </c>
      <c r="F7039" s="32" t="s">
        <v>17618</v>
      </c>
      <c r="G7039" s="36" t="e">
        <v>#N/A</v>
      </c>
      <c r="H7039" s="33"/>
      <c r="I7039" s="33"/>
      <c r="J7039" s="33"/>
      <c r="K7039" s="33"/>
      <c r="L7039" s="33"/>
      <c r="M7039" s="33"/>
    </row>
    <row r="7040">
      <c r="A7040" s="32" t="s">
        <v>19275</v>
      </c>
      <c r="B7040" s="32" t="s">
        <v>19276</v>
      </c>
      <c r="C7040" s="35">
        <v>65.21109772</v>
      </c>
      <c r="D7040" s="35">
        <v>-123.435997</v>
      </c>
      <c r="E7040" s="32" t="s">
        <v>94</v>
      </c>
      <c r="F7040" s="32" t="s">
        <v>19277</v>
      </c>
      <c r="G7040" s="36" t="e">
        <v>#N/A</v>
      </c>
      <c r="H7040" s="33"/>
      <c r="I7040" s="33"/>
      <c r="J7040" s="33"/>
      <c r="K7040" s="33"/>
      <c r="L7040" s="33"/>
      <c r="M7040" s="33"/>
    </row>
    <row r="7041">
      <c r="A7041" s="32" t="s">
        <v>19278</v>
      </c>
      <c r="B7041" s="32" t="s">
        <v>19279</v>
      </c>
      <c r="C7041" s="35">
        <v>52.9219017</v>
      </c>
      <c r="D7041" s="35">
        <v>-66.86440277</v>
      </c>
      <c r="E7041" s="32" t="s">
        <v>94</v>
      </c>
      <c r="F7041" s="32" t="s">
        <v>19280</v>
      </c>
      <c r="G7041" s="36" t="e">
        <v>#N/A</v>
      </c>
      <c r="H7041" s="33"/>
      <c r="I7041" s="33"/>
      <c r="J7041" s="33"/>
      <c r="K7041" s="33"/>
      <c r="L7041" s="33"/>
      <c r="M7041" s="33"/>
    </row>
    <row r="7042">
      <c r="A7042" s="32" t="s">
        <v>19281</v>
      </c>
      <c r="B7042" s="32" t="s">
        <v>19282</v>
      </c>
      <c r="C7042" s="35">
        <v>52.18310165</v>
      </c>
      <c r="D7042" s="35">
        <v>-122.0540009</v>
      </c>
      <c r="E7042" s="32" t="s">
        <v>94</v>
      </c>
      <c r="F7042" s="32" t="s">
        <v>19283</v>
      </c>
      <c r="G7042" s="36" t="e">
        <v>#N/A</v>
      </c>
      <c r="H7042" s="33"/>
      <c r="I7042" s="33"/>
      <c r="J7042" s="33"/>
      <c r="K7042" s="33"/>
      <c r="L7042" s="33"/>
      <c r="M7042" s="33"/>
    </row>
    <row r="7043">
      <c r="A7043" s="32" t="s">
        <v>19284</v>
      </c>
      <c r="B7043" s="32" t="s">
        <v>19285</v>
      </c>
      <c r="C7043" s="35">
        <v>52.56689835</v>
      </c>
      <c r="D7043" s="35">
        <v>-55.78469849</v>
      </c>
      <c r="E7043" s="32" t="s">
        <v>94</v>
      </c>
      <c r="F7043" s="32" t="s">
        <v>19286</v>
      </c>
      <c r="G7043" s="36" t="e">
        <v>#N/A</v>
      </c>
      <c r="H7043" s="33"/>
      <c r="I7043" s="33"/>
      <c r="J7043" s="33"/>
      <c r="K7043" s="33"/>
      <c r="L7043" s="33"/>
      <c r="M7043" s="33"/>
    </row>
    <row r="7044">
      <c r="A7044" s="32" t="s">
        <v>19287</v>
      </c>
      <c r="B7044" s="32" t="s">
        <v>19288</v>
      </c>
      <c r="C7044" s="35">
        <v>52.9593934</v>
      </c>
      <c r="D7044" s="35">
        <v>-87.37486839</v>
      </c>
      <c r="E7044" s="32" t="s">
        <v>94</v>
      </c>
      <c r="F7044" s="32" t="s">
        <v>19289</v>
      </c>
      <c r="G7044" s="36" t="e">
        <v>#N/A</v>
      </c>
      <c r="H7044" s="33"/>
      <c r="I7044" s="33"/>
      <c r="J7044" s="33"/>
      <c r="K7044" s="33"/>
      <c r="L7044" s="33"/>
      <c r="M7044" s="33"/>
    </row>
    <row r="7045">
      <c r="A7045" s="32" t="s">
        <v>19290</v>
      </c>
      <c r="B7045" s="32" t="s">
        <v>19291</v>
      </c>
      <c r="C7045" s="35">
        <v>50.14360046</v>
      </c>
      <c r="D7045" s="35">
        <v>-122.9489975</v>
      </c>
      <c r="E7045" s="32" t="s">
        <v>94</v>
      </c>
      <c r="F7045" s="32" t="s">
        <v>19292</v>
      </c>
      <c r="G7045" s="36" t="e">
        <v>#N/A</v>
      </c>
      <c r="H7045" s="33"/>
      <c r="I7045" s="33"/>
      <c r="J7045" s="33"/>
      <c r="K7045" s="33"/>
      <c r="L7045" s="33"/>
      <c r="M7045" s="33"/>
    </row>
    <row r="7046">
      <c r="A7046" s="32" t="s">
        <v>19293</v>
      </c>
      <c r="B7046" s="32" t="s">
        <v>19294</v>
      </c>
      <c r="C7046" s="35">
        <v>63.20940018</v>
      </c>
      <c r="D7046" s="35">
        <v>-123.4369965</v>
      </c>
      <c r="E7046" s="32" t="s">
        <v>94</v>
      </c>
      <c r="F7046" s="32" t="s">
        <v>19295</v>
      </c>
      <c r="G7046" s="36" t="e">
        <v>#N/A</v>
      </c>
      <c r="H7046" s="33"/>
      <c r="I7046" s="33"/>
      <c r="J7046" s="33"/>
      <c r="K7046" s="33"/>
      <c r="L7046" s="33"/>
      <c r="M7046" s="33"/>
    </row>
    <row r="7047">
      <c r="A7047" s="32" t="s">
        <v>19296</v>
      </c>
      <c r="B7047" s="32" t="s">
        <v>19297</v>
      </c>
      <c r="C7047" s="35">
        <v>49.6108017</v>
      </c>
      <c r="D7047" s="35">
        <v>-115.7819977</v>
      </c>
      <c r="E7047" s="32" t="s">
        <v>94</v>
      </c>
      <c r="F7047" s="32" t="s">
        <v>19298</v>
      </c>
      <c r="G7047" s="36" t="e">
        <v>#N/A</v>
      </c>
      <c r="H7047" s="33"/>
      <c r="I7047" s="33"/>
      <c r="J7047" s="33"/>
      <c r="K7047" s="33"/>
      <c r="L7047" s="33"/>
      <c r="M7047" s="33"/>
    </row>
    <row r="7048">
      <c r="A7048" s="32" t="s">
        <v>19299</v>
      </c>
      <c r="B7048" s="32" t="s">
        <v>19300</v>
      </c>
      <c r="C7048" s="35">
        <v>53.57249832</v>
      </c>
      <c r="D7048" s="35">
        <v>-113.5210037</v>
      </c>
      <c r="E7048" s="32" t="s">
        <v>94</v>
      </c>
      <c r="F7048" s="32" t="s">
        <v>18569</v>
      </c>
      <c r="G7048" s="36" t="e">
        <v>#N/A</v>
      </c>
      <c r="H7048" s="33"/>
      <c r="I7048" s="33"/>
      <c r="J7048" s="33"/>
      <c r="K7048" s="33"/>
      <c r="L7048" s="33"/>
      <c r="M7048" s="33"/>
    </row>
    <row r="7049">
      <c r="A7049" s="32" t="s">
        <v>19301</v>
      </c>
      <c r="B7049" s="32" t="s">
        <v>19302</v>
      </c>
      <c r="C7049" s="35">
        <v>52.17079926</v>
      </c>
      <c r="D7049" s="35">
        <v>-106.6999969</v>
      </c>
      <c r="E7049" s="32" t="s">
        <v>94</v>
      </c>
      <c r="F7049" s="32" t="s">
        <v>19303</v>
      </c>
      <c r="G7049" s="36" t="e">
        <v>#N/A</v>
      </c>
      <c r="H7049" s="33"/>
      <c r="I7049" s="33"/>
      <c r="J7049" s="33"/>
      <c r="K7049" s="33"/>
      <c r="L7049" s="33"/>
      <c r="M7049" s="33"/>
    </row>
    <row r="7050">
      <c r="A7050" s="32" t="s">
        <v>19304</v>
      </c>
      <c r="B7050" s="32" t="s">
        <v>19305</v>
      </c>
      <c r="C7050" s="35">
        <v>50.01890182</v>
      </c>
      <c r="D7050" s="35">
        <v>-110.7210007</v>
      </c>
      <c r="E7050" s="32" t="s">
        <v>94</v>
      </c>
      <c r="F7050" s="32" t="s">
        <v>19306</v>
      </c>
      <c r="G7050" s="36" t="e">
        <v>#N/A</v>
      </c>
      <c r="H7050" s="33"/>
      <c r="I7050" s="33"/>
      <c r="J7050" s="33"/>
      <c r="K7050" s="33"/>
      <c r="L7050" s="33"/>
      <c r="M7050" s="33"/>
    </row>
    <row r="7051">
      <c r="A7051" s="32" t="s">
        <v>19307</v>
      </c>
      <c r="B7051" s="32" t="s">
        <v>19308</v>
      </c>
      <c r="C7051" s="35">
        <v>56.23809814</v>
      </c>
      <c r="D7051" s="35">
        <v>-120.7399979</v>
      </c>
      <c r="E7051" s="32" t="s">
        <v>94</v>
      </c>
      <c r="F7051" s="32" t="s">
        <v>19309</v>
      </c>
      <c r="G7051" s="36" t="e">
        <v>#N/A</v>
      </c>
      <c r="H7051" s="33"/>
      <c r="I7051" s="33"/>
      <c r="J7051" s="33"/>
      <c r="K7051" s="33"/>
      <c r="L7051" s="33"/>
      <c r="M7051" s="33"/>
    </row>
    <row r="7052">
      <c r="A7052" s="32" t="s">
        <v>19310</v>
      </c>
      <c r="B7052" s="32" t="s">
        <v>19311</v>
      </c>
      <c r="C7052" s="35">
        <v>48.47809982</v>
      </c>
      <c r="D7052" s="35">
        <v>-68.49690247</v>
      </c>
      <c r="E7052" s="32" t="s">
        <v>94</v>
      </c>
      <c r="F7052" s="32" t="s">
        <v>19312</v>
      </c>
      <c r="G7052" s="36" t="e">
        <v>#N/A</v>
      </c>
      <c r="H7052" s="33"/>
      <c r="I7052" s="33"/>
      <c r="J7052" s="33"/>
      <c r="K7052" s="33"/>
      <c r="L7052" s="33"/>
      <c r="M7052" s="33"/>
    </row>
    <row r="7053">
      <c r="A7053" s="32" t="s">
        <v>19313</v>
      </c>
      <c r="B7053" s="32" t="s">
        <v>19314</v>
      </c>
      <c r="C7053" s="35">
        <v>50.11389923</v>
      </c>
      <c r="D7053" s="35">
        <v>-91.90529633</v>
      </c>
      <c r="E7053" s="32" t="s">
        <v>94</v>
      </c>
      <c r="F7053" s="32" t="s">
        <v>19315</v>
      </c>
      <c r="G7053" s="36" t="e">
        <v>#N/A</v>
      </c>
      <c r="H7053" s="33"/>
      <c r="I7053" s="33"/>
      <c r="J7053" s="33"/>
      <c r="K7053" s="33"/>
      <c r="L7053" s="33"/>
      <c r="M7053" s="33"/>
    </row>
    <row r="7054">
      <c r="A7054" s="32" t="s">
        <v>19316</v>
      </c>
      <c r="B7054" s="32" t="s">
        <v>19317</v>
      </c>
      <c r="C7054" s="35">
        <v>62.24000168</v>
      </c>
      <c r="D7054" s="35">
        <v>-92.59809875</v>
      </c>
      <c r="E7054" s="32" t="s">
        <v>94</v>
      </c>
      <c r="F7054" s="32" t="s">
        <v>19318</v>
      </c>
      <c r="G7054" s="36" t="e">
        <v>#N/A</v>
      </c>
      <c r="H7054" s="33"/>
      <c r="I7054" s="33"/>
      <c r="J7054" s="33"/>
      <c r="K7054" s="33"/>
      <c r="L7054" s="33"/>
      <c r="M7054" s="33"/>
    </row>
    <row r="7055">
      <c r="A7055" s="32" t="s">
        <v>19319</v>
      </c>
      <c r="B7055" s="32" t="s">
        <v>19320</v>
      </c>
      <c r="C7055" s="35">
        <v>66.14499664</v>
      </c>
      <c r="D7055" s="35">
        <v>-65.71360016</v>
      </c>
      <c r="E7055" s="32" t="s">
        <v>94</v>
      </c>
      <c r="F7055" s="32" t="s">
        <v>19321</v>
      </c>
      <c r="G7055" s="36" t="e">
        <v>#N/A</v>
      </c>
      <c r="H7055" s="33"/>
      <c r="I7055" s="33"/>
      <c r="J7055" s="33"/>
      <c r="K7055" s="33"/>
      <c r="L7055" s="33"/>
      <c r="M7055" s="33"/>
    </row>
    <row r="7056">
      <c r="A7056" s="32" t="s">
        <v>19322</v>
      </c>
      <c r="B7056" s="32" t="s">
        <v>19323</v>
      </c>
      <c r="C7056" s="35">
        <v>62.41030121</v>
      </c>
      <c r="D7056" s="35">
        <v>-140.8670044</v>
      </c>
      <c r="E7056" s="32" t="s">
        <v>94</v>
      </c>
      <c r="F7056" s="32" t="s">
        <v>19324</v>
      </c>
      <c r="G7056" s="36" t="e">
        <v>#N/A</v>
      </c>
      <c r="H7056" s="33"/>
      <c r="I7056" s="33"/>
      <c r="J7056" s="33"/>
      <c r="K7056" s="33"/>
      <c r="L7056" s="33"/>
      <c r="M7056" s="33"/>
    </row>
    <row r="7057">
      <c r="A7057" s="32" t="s">
        <v>19325</v>
      </c>
      <c r="B7057" s="32" t="s">
        <v>19326</v>
      </c>
      <c r="C7057" s="35">
        <v>47.69740065</v>
      </c>
      <c r="D7057" s="35">
        <v>-79.84734535</v>
      </c>
      <c r="E7057" s="32" t="s">
        <v>94</v>
      </c>
      <c r="F7057" s="32" t="s">
        <v>19327</v>
      </c>
      <c r="G7057" s="36" t="e">
        <v>#N/A</v>
      </c>
      <c r="H7057" s="33"/>
      <c r="I7057" s="33"/>
      <c r="J7057" s="33"/>
      <c r="K7057" s="33"/>
      <c r="L7057" s="33"/>
      <c r="M7057" s="33"/>
    </row>
    <row r="7058">
      <c r="A7058" s="32" t="s">
        <v>19328</v>
      </c>
      <c r="B7058" s="32" t="s">
        <v>19329</v>
      </c>
      <c r="C7058" s="35">
        <v>53.88940048</v>
      </c>
      <c r="D7058" s="35">
        <v>-122.6790009</v>
      </c>
      <c r="E7058" s="32" t="s">
        <v>94</v>
      </c>
      <c r="F7058" s="32" t="s">
        <v>19330</v>
      </c>
      <c r="G7058" s="36" t="e">
        <v>#N/A</v>
      </c>
      <c r="H7058" s="33"/>
      <c r="I7058" s="33"/>
      <c r="J7058" s="33"/>
      <c r="K7058" s="33"/>
      <c r="L7058" s="33"/>
      <c r="M7058" s="33"/>
    </row>
    <row r="7059">
      <c r="A7059" s="32" t="s">
        <v>19331</v>
      </c>
      <c r="B7059" s="32" t="s">
        <v>19332</v>
      </c>
      <c r="C7059" s="35">
        <v>54.468498</v>
      </c>
      <c r="D7059" s="35">
        <v>-128.576009</v>
      </c>
      <c r="E7059" s="32" t="s">
        <v>94</v>
      </c>
      <c r="F7059" s="32" t="s">
        <v>19333</v>
      </c>
      <c r="G7059" s="36" t="e">
        <v>#N/A</v>
      </c>
      <c r="H7059" s="33"/>
      <c r="I7059" s="33"/>
      <c r="J7059" s="33"/>
      <c r="K7059" s="33"/>
      <c r="L7059" s="33"/>
      <c r="M7059" s="33"/>
    </row>
    <row r="7060">
      <c r="A7060" s="32" t="s">
        <v>19334</v>
      </c>
      <c r="B7060" s="32" t="s">
        <v>19335</v>
      </c>
      <c r="C7060" s="35">
        <v>43.035599</v>
      </c>
      <c r="D7060" s="35">
        <v>-81.1539</v>
      </c>
      <c r="E7060" s="32" t="s">
        <v>94</v>
      </c>
      <c r="F7060" s="32" t="s">
        <v>2298</v>
      </c>
      <c r="G7060" s="36" t="e">
        <v>#N/A</v>
      </c>
      <c r="H7060" s="33"/>
      <c r="I7060" s="33"/>
      <c r="J7060" s="33"/>
      <c r="K7060" s="33"/>
      <c r="L7060" s="33"/>
      <c r="M7060" s="33"/>
    </row>
    <row r="7061">
      <c r="A7061" s="32" t="s">
        <v>19336</v>
      </c>
      <c r="B7061" s="32" t="s">
        <v>19337</v>
      </c>
      <c r="C7061" s="35">
        <v>49.02529907</v>
      </c>
      <c r="D7061" s="35">
        <v>-122.3610001</v>
      </c>
      <c r="E7061" s="32" t="s">
        <v>94</v>
      </c>
      <c r="F7061" s="32" t="s">
        <v>19338</v>
      </c>
      <c r="G7061" s="36" t="e">
        <v>#N/A</v>
      </c>
      <c r="H7061" s="33"/>
      <c r="I7061" s="33"/>
      <c r="J7061" s="33"/>
      <c r="K7061" s="33"/>
      <c r="L7061" s="33"/>
      <c r="M7061" s="33"/>
    </row>
    <row r="7062">
      <c r="A7062" s="32" t="s">
        <v>19339</v>
      </c>
      <c r="B7062" s="32" t="s">
        <v>19340</v>
      </c>
      <c r="C7062" s="35">
        <v>60.70959854</v>
      </c>
      <c r="D7062" s="35">
        <v>-135.0670013</v>
      </c>
      <c r="E7062" s="32" t="s">
        <v>94</v>
      </c>
      <c r="F7062" s="32" t="s">
        <v>19341</v>
      </c>
      <c r="G7062" s="36" t="e">
        <v>#N/A</v>
      </c>
      <c r="H7062" s="33"/>
      <c r="I7062" s="33"/>
      <c r="J7062" s="33"/>
      <c r="K7062" s="33"/>
      <c r="L7062" s="33"/>
      <c r="M7062" s="33"/>
    </row>
    <row r="7063">
      <c r="A7063" s="32" t="s">
        <v>19342</v>
      </c>
      <c r="B7063" s="32" t="s">
        <v>19343</v>
      </c>
      <c r="C7063" s="35">
        <v>47.96670151</v>
      </c>
      <c r="D7063" s="35">
        <v>-84.78669739</v>
      </c>
      <c r="E7063" s="32" t="s">
        <v>94</v>
      </c>
      <c r="F7063" s="32" t="s">
        <v>19344</v>
      </c>
      <c r="G7063" s="36" t="e">
        <v>#N/A</v>
      </c>
      <c r="H7063" s="33"/>
      <c r="I7063" s="33"/>
      <c r="J7063" s="33"/>
      <c r="K7063" s="33"/>
      <c r="L7063" s="33"/>
      <c r="M7063" s="33"/>
    </row>
    <row r="7064">
      <c r="A7064" s="32" t="s">
        <v>19345</v>
      </c>
      <c r="B7064" s="32" t="s">
        <v>19346</v>
      </c>
      <c r="C7064" s="35">
        <v>46.36360168</v>
      </c>
      <c r="D7064" s="35">
        <v>-79.42279816</v>
      </c>
      <c r="E7064" s="32" t="s">
        <v>94</v>
      </c>
      <c r="F7064" s="32" t="s">
        <v>19347</v>
      </c>
      <c r="G7064" s="36" t="e">
        <v>#N/A</v>
      </c>
      <c r="H7064" s="33"/>
      <c r="I7064" s="33"/>
      <c r="J7064" s="33"/>
      <c r="K7064" s="33"/>
      <c r="L7064" s="33"/>
      <c r="M7064" s="33"/>
    </row>
    <row r="7065">
      <c r="A7065" s="32" t="s">
        <v>19348</v>
      </c>
      <c r="B7065" s="32" t="s">
        <v>19349</v>
      </c>
      <c r="C7065" s="35">
        <v>51.11389923</v>
      </c>
      <c r="D7065" s="35">
        <v>-114.0199966</v>
      </c>
      <c r="E7065" s="32" t="s">
        <v>94</v>
      </c>
      <c r="F7065" s="32" t="s">
        <v>2404</v>
      </c>
      <c r="G7065" s="36" t="e">
        <v>#N/A</v>
      </c>
      <c r="H7065" s="33"/>
      <c r="I7065" s="33"/>
      <c r="J7065" s="33"/>
      <c r="K7065" s="33"/>
      <c r="L7065" s="33"/>
      <c r="M7065" s="33"/>
    </row>
    <row r="7066">
      <c r="A7066" s="32" t="s">
        <v>19350</v>
      </c>
      <c r="B7066" s="32" t="s">
        <v>19351</v>
      </c>
      <c r="C7066" s="35">
        <v>54.8246994</v>
      </c>
      <c r="D7066" s="35">
        <v>-127.1829987</v>
      </c>
      <c r="E7066" s="32" t="s">
        <v>94</v>
      </c>
      <c r="F7066" s="32" t="s">
        <v>19352</v>
      </c>
      <c r="G7066" s="36" t="e">
        <v>#N/A</v>
      </c>
      <c r="H7066" s="33"/>
      <c r="I7066" s="33"/>
      <c r="J7066" s="33"/>
      <c r="K7066" s="33"/>
      <c r="L7066" s="33"/>
      <c r="M7066" s="33"/>
    </row>
    <row r="7067">
      <c r="A7067" s="32" t="s">
        <v>19353</v>
      </c>
      <c r="B7067" s="32" t="s">
        <v>19354</v>
      </c>
      <c r="C7067" s="35">
        <v>58.83639908</v>
      </c>
      <c r="D7067" s="35">
        <v>-122.5970001</v>
      </c>
      <c r="E7067" s="32" t="s">
        <v>94</v>
      </c>
      <c r="F7067" s="32" t="s">
        <v>19355</v>
      </c>
      <c r="G7067" s="36" t="e">
        <v>#N/A</v>
      </c>
      <c r="H7067" s="33"/>
      <c r="I7067" s="33"/>
      <c r="J7067" s="33"/>
      <c r="K7067" s="33"/>
      <c r="L7067" s="33"/>
      <c r="M7067" s="33"/>
    </row>
    <row r="7068">
      <c r="A7068" s="32" t="s">
        <v>19356</v>
      </c>
      <c r="B7068" s="32" t="s">
        <v>19357</v>
      </c>
      <c r="C7068" s="35">
        <v>49.46310043</v>
      </c>
      <c r="D7068" s="35">
        <v>-119.6019974</v>
      </c>
      <c r="E7068" s="32" t="s">
        <v>94</v>
      </c>
      <c r="F7068" s="32" t="s">
        <v>19358</v>
      </c>
      <c r="G7068" s="36" t="e">
        <v>#N/A</v>
      </c>
      <c r="H7068" s="33"/>
      <c r="I7068" s="33"/>
      <c r="J7068" s="33"/>
      <c r="K7068" s="33"/>
      <c r="L7068" s="33"/>
      <c r="M7068" s="33"/>
    </row>
    <row r="7069">
      <c r="A7069" s="32" t="s">
        <v>19359</v>
      </c>
      <c r="B7069" s="32" t="s">
        <v>19360</v>
      </c>
      <c r="C7069" s="35">
        <v>46.29000092</v>
      </c>
      <c r="D7069" s="35">
        <v>-63.12110138</v>
      </c>
      <c r="E7069" s="32" t="s">
        <v>94</v>
      </c>
      <c r="F7069" s="32" t="s">
        <v>19361</v>
      </c>
      <c r="G7069" s="36" t="e">
        <v>#N/A</v>
      </c>
      <c r="H7069" s="33"/>
      <c r="I7069" s="33"/>
      <c r="J7069" s="33"/>
      <c r="K7069" s="33"/>
      <c r="L7069" s="33"/>
      <c r="M7069" s="33"/>
    </row>
    <row r="7070">
      <c r="A7070" s="32" t="s">
        <v>19362</v>
      </c>
      <c r="B7070" s="32" t="s">
        <v>19363</v>
      </c>
      <c r="C7070" s="35">
        <v>69.54669952</v>
      </c>
      <c r="D7070" s="35">
        <v>-93.5766983</v>
      </c>
      <c r="E7070" s="32" t="s">
        <v>94</v>
      </c>
      <c r="F7070" s="32" t="s">
        <v>19364</v>
      </c>
      <c r="G7070" s="36" t="e">
        <v>#N/A</v>
      </c>
      <c r="H7070" s="33"/>
      <c r="I7070" s="33"/>
      <c r="J7070" s="33"/>
      <c r="K7070" s="33"/>
      <c r="L7070" s="33"/>
      <c r="M7070" s="33"/>
    </row>
    <row r="7071">
      <c r="A7071" s="32" t="s">
        <v>19365</v>
      </c>
      <c r="B7071" s="32" t="s">
        <v>19366</v>
      </c>
      <c r="C7071" s="35">
        <v>48.64690018</v>
      </c>
      <c r="D7071" s="35">
        <v>-123.4260025</v>
      </c>
      <c r="E7071" s="32" t="s">
        <v>94</v>
      </c>
      <c r="F7071" s="32" t="s">
        <v>17618</v>
      </c>
      <c r="G7071" s="36" t="e">
        <v>#N/A</v>
      </c>
      <c r="H7071" s="33"/>
      <c r="I7071" s="33"/>
      <c r="J7071" s="33"/>
      <c r="K7071" s="33"/>
      <c r="L7071" s="33"/>
      <c r="M7071" s="33"/>
    </row>
    <row r="7072">
      <c r="A7072" s="32" t="s">
        <v>19367</v>
      </c>
      <c r="B7072" s="32" t="s">
        <v>19368</v>
      </c>
      <c r="C7072" s="35">
        <v>56.86389923</v>
      </c>
      <c r="D7072" s="35">
        <v>-101.0759964</v>
      </c>
      <c r="E7072" s="32" t="s">
        <v>94</v>
      </c>
      <c r="F7072" s="32" t="s">
        <v>19369</v>
      </c>
      <c r="G7072" s="36" t="e">
        <v>#N/A</v>
      </c>
      <c r="H7072" s="33"/>
      <c r="I7072" s="33"/>
      <c r="J7072" s="33"/>
      <c r="K7072" s="33"/>
      <c r="L7072" s="33"/>
      <c r="M7072" s="33"/>
    </row>
    <row r="7073">
      <c r="A7073" s="32" t="s">
        <v>19370</v>
      </c>
      <c r="B7073" s="32" t="s">
        <v>19371</v>
      </c>
      <c r="C7073" s="35">
        <v>50.29190063</v>
      </c>
      <c r="D7073" s="35">
        <v>-107.6910019</v>
      </c>
      <c r="E7073" s="32" t="s">
        <v>94</v>
      </c>
      <c r="F7073" s="32" t="s">
        <v>19372</v>
      </c>
      <c r="G7073" s="36" t="e">
        <v>#N/A</v>
      </c>
      <c r="H7073" s="33"/>
      <c r="I7073" s="33"/>
      <c r="J7073" s="33"/>
      <c r="K7073" s="33"/>
      <c r="L7073" s="33"/>
      <c r="M7073" s="33"/>
    </row>
    <row r="7074">
      <c r="A7074" s="32" t="s">
        <v>19373</v>
      </c>
      <c r="B7074" s="32" t="s">
        <v>19374</v>
      </c>
      <c r="C7074" s="35">
        <v>58.73920059</v>
      </c>
      <c r="D7074" s="35">
        <v>-94.06500244</v>
      </c>
      <c r="E7074" s="32" t="s">
        <v>94</v>
      </c>
      <c r="F7074" s="32" t="s">
        <v>19375</v>
      </c>
      <c r="G7074" s="36" t="e">
        <v>#N/A</v>
      </c>
      <c r="H7074" s="33"/>
      <c r="I7074" s="33"/>
      <c r="J7074" s="33"/>
      <c r="K7074" s="33"/>
      <c r="L7074" s="33"/>
      <c r="M7074" s="33"/>
    </row>
    <row r="7075">
      <c r="A7075" s="32" t="s">
        <v>19376</v>
      </c>
      <c r="B7075" s="32" t="s">
        <v>19377</v>
      </c>
      <c r="C7075" s="35">
        <v>53.31919861</v>
      </c>
      <c r="D7075" s="35">
        <v>-60.42580032</v>
      </c>
      <c r="E7075" s="32" t="s">
        <v>94</v>
      </c>
      <c r="F7075" s="32" t="s">
        <v>19378</v>
      </c>
      <c r="G7075" s="36" t="e">
        <v>#N/A</v>
      </c>
      <c r="H7075" s="33"/>
      <c r="I7075" s="33"/>
      <c r="J7075" s="33"/>
      <c r="K7075" s="33"/>
      <c r="L7075" s="33"/>
      <c r="M7075" s="33"/>
    </row>
    <row r="7076">
      <c r="A7076" s="32" t="s">
        <v>19379</v>
      </c>
      <c r="B7076" s="32" t="s">
        <v>19380</v>
      </c>
      <c r="C7076" s="35">
        <v>47.61859894</v>
      </c>
      <c r="D7076" s="35">
        <v>-52.75189972</v>
      </c>
      <c r="E7076" s="32" t="s">
        <v>94</v>
      </c>
      <c r="F7076" s="32" t="s">
        <v>19381</v>
      </c>
      <c r="G7076" s="36" t="e">
        <v>#N/A</v>
      </c>
      <c r="H7076" s="33"/>
      <c r="I7076" s="33"/>
      <c r="J7076" s="33"/>
      <c r="K7076" s="33"/>
      <c r="L7076" s="33"/>
      <c r="M7076" s="33"/>
    </row>
    <row r="7077">
      <c r="A7077" s="32" t="s">
        <v>19382</v>
      </c>
      <c r="B7077" s="32" t="s">
        <v>19383</v>
      </c>
      <c r="C7077" s="35">
        <v>49.41389847</v>
      </c>
      <c r="D7077" s="35">
        <v>-82.46749878</v>
      </c>
      <c r="E7077" s="32" t="s">
        <v>94</v>
      </c>
      <c r="F7077" s="32" t="s">
        <v>19384</v>
      </c>
      <c r="G7077" s="36" t="e">
        <v>#N/A</v>
      </c>
      <c r="H7077" s="33"/>
      <c r="I7077" s="33"/>
      <c r="J7077" s="33"/>
      <c r="K7077" s="33"/>
      <c r="L7077" s="33"/>
      <c r="M7077" s="33"/>
    </row>
    <row r="7078">
      <c r="A7078" s="32" t="s">
        <v>19385</v>
      </c>
      <c r="B7078" s="32" t="s">
        <v>19386</v>
      </c>
      <c r="C7078" s="35">
        <v>50.29029846</v>
      </c>
      <c r="D7078" s="35">
        <v>-88.90969849</v>
      </c>
      <c r="E7078" s="32" t="s">
        <v>94</v>
      </c>
      <c r="F7078" s="32" t="s">
        <v>19387</v>
      </c>
      <c r="G7078" s="36" t="e">
        <v>#N/A</v>
      </c>
      <c r="H7078" s="33"/>
      <c r="I7078" s="33"/>
      <c r="J7078" s="33"/>
      <c r="K7078" s="33"/>
      <c r="L7078" s="33"/>
      <c r="M7078" s="33"/>
    </row>
    <row r="7079">
      <c r="A7079" s="32" t="s">
        <v>19388</v>
      </c>
      <c r="B7079" s="32" t="s">
        <v>19389</v>
      </c>
      <c r="C7079" s="35">
        <v>48.60860062</v>
      </c>
      <c r="D7079" s="35">
        <v>-68.20809937</v>
      </c>
      <c r="E7079" s="32" t="s">
        <v>94</v>
      </c>
      <c r="F7079" s="32" t="s">
        <v>19390</v>
      </c>
      <c r="G7079" s="36" t="e">
        <v>#N/A</v>
      </c>
      <c r="H7079" s="33"/>
      <c r="I7079" s="33"/>
      <c r="J7079" s="33"/>
      <c r="K7079" s="33"/>
      <c r="L7079" s="33"/>
      <c r="M7079" s="33"/>
    </row>
    <row r="7080">
      <c r="A7080" s="32" t="s">
        <v>19391</v>
      </c>
      <c r="B7080" s="32" t="s">
        <v>19392</v>
      </c>
      <c r="C7080" s="35">
        <v>43.67720032</v>
      </c>
      <c r="D7080" s="35">
        <v>-79.63059998</v>
      </c>
      <c r="E7080" s="32" t="s">
        <v>94</v>
      </c>
      <c r="F7080" s="32" t="s">
        <v>18817</v>
      </c>
      <c r="G7080" s="36" t="e">
        <v>#N/A</v>
      </c>
      <c r="H7080" s="33"/>
      <c r="I7080" s="33"/>
      <c r="J7080" s="33"/>
      <c r="K7080" s="33"/>
      <c r="L7080" s="33"/>
      <c r="M7080" s="33"/>
    </row>
    <row r="7081">
      <c r="A7081" s="32" t="s">
        <v>19393</v>
      </c>
      <c r="B7081" s="32" t="s">
        <v>19394</v>
      </c>
      <c r="C7081" s="35">
        <v>43.74250031</v>
      </c>
      <c r="D7081" s="35">
        <v>-79.46559906</v>
      </c>
      <c r="E7081" s="32" t="s">
        <v>94</v>
      </c>
      <c r="F7081" s="32" t="s">
        <v>18817</v>
      </c>
      <c r="G7081" s="36" t="e">
        <v>#N/A</v>
      </c>
      <c r="H7081" s="33"/>
      <c r="I7081" s="33"/>
      <c r="J7081" s="33"/>
      <c r="K7081" s="33"/>
      <c r="L7081" s="33"/>
      <c r="M7081" s="33"/>
    </row>
    <row r="7082">
      <c r="A7082" s="32" t="s">
        <v>19395</v>
      </c>
      <c r="B7082" s="32" t="s">
        <v>19396</v>
      </c>
      <c r="C7082" s="35">
        <v>45.88529968</v>
      </c>
      <c r="D7082" s="35">
        <v>-82.56780243</v>
      </c>
      <c r="E7082" s="32" t="s">
        <v>94</v>
      </c>
      <c r="F7082" s="32" t="s">
        <v>19397</v>
      </c>
      <c r="G7082" s="36" t="e">
        <v>#N/A</v>
      </c>
      <c r="H7082" s="33"/>
      <c r="I7082" s="33"/>
      <c r="J7082" s="33"/>
      <c r="K7082" s="33"/>
      <c r="L7082" s="33"/>
      <c r="M7082" s="33"/>
    </row>
    <row r="7083">
      <c r="A7083" s="32" t="s">
        <v>19398</v>
      </c>
      <c r="B7083" s="32" t="s">
        <v>19399</v>
      </c>
      <c r="C7083" s="35">
        <v>62.46279907</v>
      </c>
      <c r="D7083" s="35">
        <v>-114.4400024</v>
      </c>
      <c r="E7083" s="32" t="s">
        <v>94</v>
      </c>
      <c r="F7083" s="32" t="s">
        <v>19400</v>
      </c>
      <c r="G7083" s="36" t="e">
        <v>#N/A</v>
      </c>
      <c r="H7083" s="33"/>
      <c r="I7083" s="33"/>
      <c r="J7083" s="33"/>
      <c r="K7083" s="33"/>
      <c r="L7083" s="33"/>
      <c r="M7083" s="33"/>
    </row>
    <row r="7084">
      <c r="A7084" s="32" t="s">
        <v>19401</v>
      </c>
      <c r="B7084" s="32" t="s">
        <v>19402</v>
      </c>
      <c r="C7084" s="35">
        <v>62.1794014</v>
      </c>
      <c r="D7084" s="35">
        <v>-75.66719818</v>
      </c>
      <c r="E7084" s="32" t="s">
        <v>94</v>
      </c>
      <c r="F7084" s="32" t="s">
        <v>19403</v>
      </c>
      <c r="G7084" s="36" t="e">
        <v>#N/A</v>
      </c>
      <c r="H7084" s="33"/>
      <c r="I7084" s="33"/>
      <c r="J7084" s="33"/>
      <c r="K7084" s="33"/>
      <c r="L7084" s="33"/>
      <c r="M7084" s="33"/>
    </row>
    <row r="7085">
      <c r="A7085" s="32" t="s">
        <v>19404</v>
      </c>
      <c r="B7085" s="32" t="s">
        <v>19405</v>
      </c>
      <c r="C7085" s="35">
        <v>55.29309845</v>
      </c>
      <c r="D7085" s="35">
        <v>-114.7770004</v>
      </c>
      <c r="E7085" s="32" t="s">
        <v>94</v>
      </c>
      <c r="F7085" s="32" t="s">
        <v>19406</v>
      </c>
      <c r="G7085" s="36" t="e">
        <v>#N/A</v>
      </c>
      <c r="H7085" s="33"/>
      <c r="I7085" s="33"/>
      <c r="J7085" s="33"/>
      <c r="K7085" s="33"/>
      <c r="L7085" s="33"/>
      <c r="M7085" s="33"/>
    </row>
    <row r="7086">
      <c r="A7086" s="32" t="s">
        <v>19407</v>
      </c>
      <c r="B7086" s="32" t="s">
        <v>19408</v>
      </c>
      <c r="C7086" s="35">
        <v>53.25429916</v>
      </c>
      <c r="D7086" s="35">
        <v>-131.8139954</v>
      </c>
      <c r="E7086" s="32" t="s">
        <v>94</v>
      </c>
      <c r="F7086" s="32" t="s">
        <v>19409</v>
      </c>
      <c r="G7086" s="36" t="e">
        <v>#N/A</v>
      </c>
      <c r="H7086" s="33"/>
      <c r="I7086" s="33"/>
      <c r="J7086" s="33"/>
      <c r="K7086" s="33"/>
      <c r="L7086" s="33"/>
      <c r="M7086" s="33"/>
    </row>
    <row r="7087">
      <c r="A7087" s="32" t="s">
        <v>19410</v>
      </c>
      <c r="B7087" s="32" t="s">
        <v>19411</v>
      </c>
      <c r="C7087" s="35">
        <v>42.99940109</v>
      </c>
      <c r="D7087" s="35">
        <v>-82.30889893</v>
      </c>
      <c r="E7087" s="32" t="s">
        <v>94</v>
      </c>
      <c r="F7087" s="32" t="s">
        <v>19412</v>
      </c>
      <c r="G7087" s="36" t="e">
        <v>#N/A</v>
      </c>
      <c r="H7087" s="33"/>
      <c r="I7087" s="33"/>
      <c r="J7087" s="33"/>
      <c r="K7087" s="33"/>
      <c r="L7087" s="33"/>
      <c r="M7087" s="33"/>
    </row>
    <row r="7088">
      <c r="A7088" s="32" t="s">
        <v>19413</v>
      </c>
      <c r="B7088" s="32" t="s">
        <v>19414</v>
      </c>
      <c r="C7088" s="35">
        <v>64.19329834</v>
      </c>
      <c r="D7088" s="35">
        <v>-83.35939789</v>
      </c>
      <c r="E7088" s="32" t="s">
        <v>94</v>
      </c>
      <c r="F7088" s="32" t="s">
        <v>19415</v>
      </c>
      <c r="G7088" s="36" t="e">
        <v>#N/A</v>
      </c>
      <c r="H7088" s="33"/>
      <c r="I7088" s="33"/>
      <c r="J7088" s="33"/>
      <c r="K7088" s="33"/>
      <c r="L7088" s="33"/>
      <c r="M7088" s="33"/>
    </row>
    <row r="7089">
      <c r="A7089" s="32" t="s">
        <v>19416</v>
      </c>
      <c r="B7089" s="32" t="s">
        <v>19417</v>
      </c>
      <c r="C7089" s="35">
        <v>50.68059921</v>
      </c>
      <c r="D7089" s="35">
        <v>-127.3669968</v>
      </c>
      <c r="E7089" s="32" t="s">
        <v>94</v>
      </c>
      <c r="F7089" s="32" t="s">
        <v>19418</v>
      </c>
      <c r="G7089" s="36" t="e">
        <v>#N/A</v>
      </c>
      <c r="H7089" s="33"/>
      <c r="I7089" s="33"/>
      <c r="J7089" s="33"/>
      <c r="K7089" s="33"/>
      <c r="L7089" s="33"/>
      <c r="M7089" s="33"/>
    </row>
    <row r="7090">
      <c r="A7090" s="32" t="s">
        <v>19419</v>
      </c>
      <c r="B7090" s="32" t="s">
        <v>19420</v>
      </c>
      <c r="C7090" s="35">
        <v>54.14390182</v>
      </c>
      <c r="D7090" s="35">
        <v>-115.7870026</v>
      </c>
      <c r="E7090" s="32" t="s">
        <v>94</v>
      </c>
      <c r="F7090" s="32" t="s">
        <v>19421</v>
      </c>
      <c r="G7090" s="36" t="e">
        <v>#N/A</v>
      </c>
      <c r="H7090" s="33"/>
      <c r="I7090" s="33"/>
      <c r="J7090" s="33"/>
      <c r="K7090" s="33"/>
      <c r="L7090" s="33"/>
      <c r="M7090" s="33"/>
    </row>
    <row r="7091">
      <c r="A7091" s="32" t="s">
        <v>19422</v>
      </c>
      <c r="B7091" s="32" t="s">
        <v>19423</v>
      </c>
      <c r="C7091" s="35">
        <v>50.22330093</v>
      </c>
      <c r="D7091" s="35">
        <v>-66.26560211</v>
      </c>
      <c r="E7091" s="32" t="s">
        <v>94</v>
      </c>
      <c r="F7091" s="32" t="s">
        <v>19424</v>
      </c>
      <c r="G7091" s="36" t="e">
        <v>#N/A</v>
      </c>
      <c r="H7091" s="33"/>
      <c r="I7091" s="33"/>
      <c r="J7091" s="33"/>
      <c r="K7091" s="33"/>
      <c r="L7091" s="33"/>
      <c r="M7091" s="33"/>
    </row>
    <row r="7092">
      <c r="A7092" s="32" t="s">
        <v>19425</v>
      </c>
      <c r="B7092" s="32" t="s">
        <v>19426</v>
      </c>
      <c r="C7092" s="35">
        <v>60.17279816</v>
      </c>
      <c r="D7092" s="35">
        <v>-132.7429962</v>
      </c>
      <c r="E7092" s="32" t="s">
        <v>94</v>
      </c>
      <c r="F7092" s="32" t="s">
        <v>19427</v>
      </c>
      <c r="G7092" s="36" t="e">
        <v>#N/A</v>
      </c>
      <c r="H7092" s="33"/>
      <c r="I7092" s="33"/>
      <c r="J7092" s="33"/>
      <c r="K7092" s="33"/>
      <c r="L7092" s="33"/>
      <c r="M7092" s="33"/>
    </row>
    <row r="7093">
      <c r="A7093" s="32" t="s">
        <v>19428</v>
      </c>
      <c r="B7093" s="32" t="s">
        <v>19429</v>
      </c>
      <c r="C7093" s="35">
        <v>44.9844017</v>
      </c>
      <c r="D7093" s="35">
        <v>-64.91690063</v>
      </c>
      <c r="E7093" s="32" t="s">
        <v>94</v>
      </c>
      <c r="F7093" s="32" t="s">
        <v>8443</v>
      </c>
      <c r="G7093" s="36" t="e">
        <v>#N/A</v>
      </c>
      <c r="H7093" s="33"/>
      <c r="I7093" s="33"/>
      <c r="J7093" s="33"/>
      <c r="K7093" s="33"/>
      <c r="L7093" s="33"/>
      <c r="M7093" s="33"/>
    </row>
    <row r="7094">
      <c r="A7094" s="32" t="s">
        <v>19430</v>
      </c>
      <c r="B7094" s="32" t="s">
        <v>19431</v>
      </c>
      <c r="C7094" s="35">
        <v>55.3044014</v>
      </c>
      <c r="D7094" s="35">
        <v>-123.1320038</v>
      </c>
      <c r="E7094" s="32" t="s">
        <v>94</v>
      </c>
      <c r="F7094" s="32" t="s">
        <v>19432</v>
      </c>
      <c r="G7094" s="36" t="e">
        <v>#N/A</v>
      </c>
      <c r="H7094" s="33"/>
      <c r="I7094" s="33"/>
      <c r="J7094" s="33"/>
      <c r="K7094" s="33"/>
      <c r="L7094" s="33"/>
      <c r="M7094" s="33"/>
    </row>
    <row r="7095">
      <c r="A7095" s="32" t="s">
        <v>19433</v>
      </c>
      <c r="B7095" s="32" t="s">
        <v>19434</v>
      </c>
      <c r="C7095" s="35">
        <v>49.05559921</v>
      </c>
      <c r="D7095" s="35">
        <v>-117.6090012</v>
      </c>
      <c r="E7095" s="32" t="s">
        <v>94</v>
      </c>
      <c r="F7095" s="32" t="s">
        <v>19435</v>
      </c>
      <c r="G7095" s="36" t="e">
        <v>#N/A</v>
      </c>
      <c r="H7095" s="33"/>
      <c r="I7095" s="33"/>
      <c r="J7095" s="33"/>
      <c r="K7095" s="33"/>
      <c r="L7095" s="33"/>
      <c r="M7095" s="33"/>
    </row>
    <row r="7096">
      <c r="A7096" s="32" t="s">
        <v>19436</v>
      </c>
      <c r="B7096" s="32" t="s">
        <v>19437</v>
      </c>
      <c r="C7096" s="35">
        <v>64.301201</v>
      </c>
      <c r="D7096" s="35">
        <v>-149.119995</v>
      </c>
      <c r="E7096" s="32" t="s">
        <v>180</v>
      </c>
      <c r="F7096" s="32" t="s">
        <v>19438</v>
      </c>
      <c r="G7096" s="39" t="s">
        <v>181</v>
      </c>
      <c r="H7096" s="33"/>
      <c r="I7096" s="33"/>
      <c r="J7096" s="33"/>
      <c r="K7096" s="33"/>
      <c r="L7096" s="33"/>
      <c r="M7096" s="33"/>
    </row>
    <row r="7097">
      <c r="A7097" s="32" t="s">
        <v>19439</v>
      </c>
      <c r="B7097" s="32" t="s">
        <v>19440</v>
      </c>
      <c r="C7097" s="35">
        <v>56.08940125</v>
      </c>
      <c r="D7097" s="35">
        <v>-96.08920288</v>
      </c>
      <c r="E7097" s="32" t="s">
        <v>94</v>
      </c>
      <c r="F7097" s="32" t="s">
        <v>19441</v>
      </c>
      <c r="G7097" s="36" t="e">
        <v>#N/A</v>
      </c>
      <c r="H7097" s="33"/>
      <c r="I7097" s="33"/>
      <c r="J7097" s="33"/>
      <c r="K7097" s="33"/>
      <c r="L7097" s="33"/>
      <c r="M7097" s="33"/>
    </row>
    <row r="7098">
      <c r="A7098" s="32" t="s">
        <v>19442</v>
      </c>
      <c r="B7098" s="32" t="s">
        <v>19443</v>
      </c>
      <c r="C7098" s="35">
        <v>44.10829926</v>
      </c>
      <c r="D7098" s="35">
        <v>15.34669971</v>
      </c>
      <c r="E7098" s="32" t="s">
        <v>211</v>
      </c>
      <c r="F7098" s="32" t="s">
        <v>19444</v>
      </c>
      <c r="G7098" s="39" t="s">
        <v>212</v>
      </c>
      <c r="H7098" s="33"/>
      <c r="I7098" s="33"/>
      <c r="J7098" s="33"/>
      <c r="K7098" s="33"/>
      <c r="L7098" s="33"/>
      <c r="M7098" s="33"/>
    </row>
    <row r="7099">
      <c r="A7099" s="32" t="s">
        <v>19445</v>
      </c>
      <c r="B7099" s="32" t="s">
        <v>19446</v>
      </c>
      <c r="C7099" s="35">
        <v>45.74290085</v>
      </c>
      <c r="D7099" s="35">
        <v>16.06879997</v>
      </c>
      <c r="E7099" s="32" t="s">
        <v>211</v>
      </c>
      <c r="F7099" s="32" t="s">
        <v>19447</v>
      </c>
      <c r="G7099" s="39" t="s">
        <v>212</v>
      </c>
      <c r="H7099" s="33"/>
      <c r="I7099" s="33"/>
      <c r="J7099" s="33"/>
      <c r="K7099" s="33"/>
      <c r="L7099" s="33"/>
      <c r="M7099" s="33"/>
    </row>
    <row r="7100">
      <c r="A7100" s="32" t="s">
        <v>19448</v>
      </c>
      <c r="B7100" s="32" t="s">
        <v>19449</v>
      </c>
      <c r="C7100" s="35">
        <v>29.47570038</v>
      </c>
      <c r="D7100" s="35">
        <v>60.90620041</v>
      </c>
      <c r="E7100" s="32" t="s">
        <v>1378</v>
      </c>
      <c r="F7100" s="32" t="s">
        <v>19450</v>
      </c>
      <c r="G7100" s="36" t="e">
        <v>#N/A</v>
      </c>
      <c r="H7100" s="33"/>
      <c r="I7100" s="33"/>
      <c r="J7100" s="33"/>
      <c r="K7100" s="33"/>
      <c r="L7100" s="33"/>
      <c r="M7100" s="33"/>
    </row>
    <row r="7101">
      <c r="A7101" s="32" t="s">
        <v>19451</v>
      </c>
      <c r="B7101" s="32" t="s">
        <v>19452</v>
      </c>
      <c r="C7101" s="35">
        <v>30.972222</v>
      </c>
      <c r="D7101" s="35">
        <v>61.865833</v>
      </c>
      <c r="E7101" s="32" t="s">
        <v>1350</v>
      </c>
      <c r="F7101" s="32" t="s">
        <v>19453</v>
      </c>
      <c r="G7101" s="36" t="e">
        <v>#N/A</v>
      </c>
      <c r="H7101" s="33"/>
      <c r="I7101" s="33"/>
      <c r="J7101" s="33"/>
      <c r="K7101" s="33"/>
      <c r="L7101" s="33"/>
      <c r="M7101" s="33"/>
    </row>
    <row r="7102">
      <c r="A7102" s="32" t="s">
        <v>19454</v>
      </c>
      <c r="B7102" s="32" t="s">
        <v>19455</v>
      </c>
      <c r="C7102" s="35">
        <v>-39.65000153</v>
      </c>
      <c r="D7102" s="35">
        <v>-73.08609772</v>
      </c>
      <c r="E7102" s="32" t="s">
        <v>300</v>
      </c>
      <c r="F7102" s="32" t="s">
        <v>19456</v>
      </c>
      <c r="G7102" s="36" t="e">
        <v>#N/A</v>
      </c>
      <c r="H7102" s="33"/>
      <c r="I7102" s="33"/>
      <c r="J7102" s="33"/>
      <c r="K7102" s="33"/>
      <c r="L7102" s="33"/>
      <c r="M7102" s="33"/>
    </row>
    <row r="7103">
      <c r="A7103" s="32" t="s">
        <v>19457</v>
      </c>
      <c r="B7103" s="32" t="s">
        <v>19458</v>
      </c>
      <c r="C7103" s="35">
        <v>6.922420025</v>
      </c>
      <c r="D7103" s="35">
        <v>122.0599976</v>
      </c>
      <c r="E7103" s="32" t="s">
        <v>270</v>
      </c>
      <c r="F7103" s="32" t="s">
        <v>19459</v>
      </c>
      <c r="G7103" s="36" t="e">
        <v>#N/A</v>
      </c>
      <c r="H7103" s="33"/>
      <c r="I7103" s="33"/>
      <c r="J7103" s="33"/>
      <c r="K7103" s="33"/>
      <c r="L7103" s="33"/>
      <c r="M7103" s="33"/>
    </row>
    <row r="7104">
      <c r="A7104" s="32" t="s">
        <v>19460</v>
      </c>
      <c r="B7104" s="32" t="s">
        <v>19461</v>
      </c>
      <c r="C7104" s="35">
        <v>11.13020039</v>
      </c>
      <c r="D7104" s="35">
        <v>7.685810089</v>
      </c>
      <c r="E7104" s="32" t="s">
        <v>19</v>
      </c>
      <c r="F7104" s="32" t="s">
        <v>19462</v>
      </c>
      <c r="G7104" s="36" t="e">
        <v>#N/A</v>
      </c>
      <c r="H7104" s="33"/>
      <c r="I7104" s="33"/>
      <c r="J7104" s="33"/>
      <c r="K7104" s="33"/>
      <c r="L7104" s="33"/>
      <c r="M7104" s="33"/>
    </row>
    <row r="7105">
      <c r="A7105" s="32" t="s">
        <v>19463</v>
      </c>
      <c r="B7105" s="32" t="s">
        <v>19464</v>
      </c>
      <c r="C7105" s="35">
        <v>27.32559967</v>
      </c>
      <c r="D7105" s="35">
        <v>103.7549973</v>
      </c>
      <c r="E7105" s="32" t="s">
        <v>205</v>
      </c>
      <c r="F7105" s="32" t="s">
        <v>19465</v>
      </c>
      <c r="G7105" s="39" t="s">
        <v>206</v>
      </c>
      <c r="H7105" s="33"/>
      <c r="I7105" s="33"/>
      <c r="J7105" s="33"/>
      <c r="K7105" s="33"/>
      <c r="L7105" s="33"/>
      <c r="M7105" s="33"/>
    </row>
    <row r="7106">
      <c r="A7106" s="32" t="s">
        <v>19466</v>
      </c>
      <c r="B7106" s="32" t="s">
        <v>19467</v>
      </c>
      <c r="C7106" s="35">
        <v>41.66619873</v>
      </c>
      <c r="D7106" s="35">
        <v>-1.04155004</v>
      </c>
      <c r="E7106" s="32" t="s">
        <v>115</v>
      </c>
      <c r="F7106" s="32" t="s">
        <v>19468</v>
      </c>
      <c r="G7106" s="39" t="s">
        <v>116</v>
      </c>
      <c r="H7106" s="33"/>
      <c r="I7106" s="33"/>
      <c r="J7106" s="33"/>
      <c r="K7106" s="33"/>
      <c r="L7106" s="33"/>
      <c r="M7106" s="33"/>
    </row>
    <row r="7107">
      <c r="A7107" s="32" t="s">
        <v>19469</v>
      </c>
      <c r="B7107" s="32" t="s">
        <v>4744</v>
      </c>
      <c r="C7107" s="35">
        <v>47.62969971</v>
      </c>
      <c r="D7107" s="35">
        <v>-65.73889923</v>
      </c>
      <c r="E7107" s="32" t="s">
        <v>94</v>
      </c>
      <c r="F7107" s="32" t="s">
        <v>4745</v>
      </c>
      <c r="G7107" s="36" t="e">
        <v>#N/A</v>
      </c>
      <c r="H7107" s="33"/>
      <c r="I7107" s="33"/>
      <c r="J7107" s="33"/>
      <c r="K7107" s="33"/>
      <c r="L7107" s="33"/>
      <c r="M7107" s="33"/>
    </row>
    <row r="7108">
      <c r="A7108" s="32" t="s">
        <v>19470</v>
      </c>
      <c r="B7108" s="32" t="s">
        <v>19471</v>
      </c>
      <c r="C7108" s="35">
        <v>45.29079819</v>
      </c>
      <c r="D7108" s="35">
        <v>-72.74140167</v>
      </c>
      <c r="E7108" s="32" t="s">
        <v>94</v>
      </c>
      <c r="F7108" s="32" t="s">
        <v>19472</v>
      </c>
      <c r="G7108" s="36" t="e">
        <v>#N/A</v>
      </c>
      <c r="H7108" s="33"/>
      <c r="I7108" s="33"/>
      <c r="J7108" s="33"/>
      <c r="K7108" s="33"/>
      <c r="L7108" s="33"/>
      <c r="M7108" s="33"/>
    </row>
    <row r="7109">
      <c r="A7109" s="32" t="s">
        <v>19473</v>
      </c>
      <c r="B7109" s="32" t="s">
        <v>19474</v>
      </c>
      <c r="C7109" s="35">
        <v>25.44330025</v>
      </c>
      <c r="D7109" s="35">
        <v>60.38209915</v>
      </c>
      <c r="E7109" s="32" t="s">
        <v>1378</v>
      </c>
      <c r="F7109" s="32" t="s">
        <v>19475</v>
      </c>
      <c r="G7109" s="36" t="e">
        <v>#N/A</v>
      </c>
      <c r="H7109" s="33"/>
      <c r="I7109" s="33"/>
      <c r="J7109" s="33"/>
      <c r="K7109" s="33"/>
      <c r="L7109" s="33"/>
      <c r="M7109" s="33"/>
    </row>
    <row r="7110">
      <c r="A7110" s="32" t="s">
        <v>19476</v>
      </c>
      <c r="B7110" s="32" t="s">
        <v>19477</v>
      </c>
      <c r="C7110" s="35">
        <v>51.48389053</v>
      </c>
      <c r="D7110" s="35">
        <v>7.898333073</v>
      </c>
      <c r="E7110" s="32" t="s">
        <v>109</v>
      </c>
      <c r="F7110" s="32" t="s">
        <v>19478</v>
      </c>
      <c r="G7110" s="39" t="s">
        <v>110</v>
      </c>
      <c r="H7110" s="33"/>
      <c r="I7110" s="33"/>
      <c r="J7110" s="33"/>
      <c r="K7110" s="33"/>
      <c r="L7110" s="33"/>
      <c r="M7110" s="33"/>
    </row>
    <row r="7111">
      <c r="A7111" s="32" t="s">
        <v>19479</v>
      </c>
      <c r="B7111" s="32" t="s">
        <v>19480</v>
      </c>
      <c r="C7111" s="35">
        <v>22.89710045</v>
      </c>
      <c r="D7111" s="35">
        <v>-102.6869965</v>
      </c>
      <c r="E7111" s="32" t="s">
        <v>186</v>
      </c>
      <c r="F7111" s="32" t="s">
        <v>19481</v>
      </c>
      <c r="G7111" s="39" t="s">
        <v>187</v>
      </c>
      <c r="H7111" s="33"/>
      <c r="I7111" s="33"/>
      <c r="J7111" s="33"/>
      <c r="K7111" s="33"/>
      <c r="L7111" s="33"/>
      <c r="M7111" s="33"/>
    </row>
    <row r="7112">
      <c r="A7112" s="32" t="s">
        <v>19482</v>
      </c>
      <c r="B7112" s="32" t="s">
        <v>19483</v>
      </c>
      <c r="C7112" s="35">
        <v>52.59120178</v>
      </c>
      <c r="D7112" s="35">
        <v>10.02210045</v>
      </c>
      <c r="E7112" s="32" t="s">
        <v>109</v>
      </c>
      <c r="F7112" s="32" t="s">
        <v>2446</v>
      </c>
      <c r="G7112" s="39" t="s">
        <v>110</v>
      </c>
      <c r="H7112" s="33"/>
      <c r="I7112" s="33"/>
      <c r="J7112" s="33"/>
      <c r="K7112" s="33"/>
      <c r="L7112" s="33"/>
      <c r="M7112" s="33"/>
    </row>
    <row r="7113">
      <c r="A7113" s="32" t="s">
        <v>19484</v>
      </c>
      <c r="B7113" s="32" t="s">
        <v>19485</v>
      </c>
      <c r="C7113" s="35">
        <v>-38.76679993</v>
      </c>
      <c r="D7113" s="35">
        <v>-72.63710022</v>
      </c>
      <c r="E7113" s="32" t="s">
        <v>300</v>
      </c>
      <c r="F7113" s="32" t="s">
        <v>19486</v>
      </c>
      <c r="G7113" s="36" t="e">
        <v>#N/A</v>
      </c>
      <c r="H7113" s="33"/>
      <c r="I7113" s="33"/>
      <c r="J7113" s="33"/>
      <c r="K7113" s="33"/>
      <c r="L7113" s="33"/>
      <c r="M7113" s="33"/>
    </row>
    <row r="7114">
      <c r="A7114" s="32" t="s">
        <v>19487</v>
      </c>
      <c r="B7114" s="32" t="s">
        <v>19488</v>
      </c>
      <c r="C7114" s="35">
        <v>52.139702</v>
      </c>
      <c r="D7114" s="35">
        <v>-128.063997</v>
      </c>
      <c r="E7114" s="32" t="s">
        <v>94</v>
      </c>
      <c r="F7114" s="32" t="s">
        <v>19489</v>
      </c>
      <c r="G7114" s="36" t="e">
        <v>#N/A</v>
      </c>
      <c r="H7114" s="33"/>
      <c r="I7114" s="33"/>
      <c r="J7114" s="33"/>
      <c r="K7114" s="33"/>
      <c r="L7114" s="33"/>
      <c r="M7114" s="33"/>
    </row>
    <row r="7115">
      <c r="A7115" s="32" t="s">
        <v>19490</v>
      </c>
      <c r="B7115" s="32" t="s">
        <v>19491</v>
      </c>
      <c r="C7115" s="35">
        <v>52.22639847</v>
      </c>
      <c r="D7115" s="35">
        <v>-78.52249908</v>
      </c>
      <c r="E7115" s="32" t="s">
        <v>94</v>
      </c>
      <c r="F7115" s="32" t="s">
        <v>19492</v>
      </c>
      <c r="G7115" s="36" t="e">
        <v>#N/A</v>
      </c>
      <c r="H7115" s="33"/>
      <c r="I7115" s="33"/>
      <c r="J7115" s="33"/>
      <c r="K7115" s="33"/>
      <c r="L7115" s="33"/>
      <c r="M7115" s="33"/>
    </row>
    <row r="7116">
      <c r="A7116" s="32" t="s">
        <v>19493</v>
      </c>
      <c r="B7116" s="32" t="s">
        <v>7503</v>
      </c>
      <c r="C7116" s="35">
        <v>62.20750046</v>
      </c>
      <c r="D7116" s="35">
        <v>-133.3760071</v>
      </c>
      <c r="E7116" s="32" t="s">
        <v>94</v>
      </c>
      <c r="F7116" s="32" t="s">
        <v>7504</v>
      </c>
      <c r="G7116" s="36" t="e">
        <v>#N/A</v>
      </c>
      <c r="H7116" s="33"/>
      <c r="I7116" s="33"/>
      <c r="J7116" s="33"/>
      <c r="K7116" s="33"/>
      <c r="L7116" s="33"/>
      <c r="M7116" s="33"/>
    </row>
    <row r="7117">
      <c r="A7117" s="32" t="s">
        <v>19494</v>
      </c>
      <c r="B7117" s="32" t="s">
        <v>19495</v>
      </c>
      <c r="C7117" s="35">
        <v>59.33440018</v>
      </c>
      <c r="D7117" s="35">
        <v>-107.1819992</v>
      </c>
      <c r="E7117" s="32" t="s">
        <v>94</v>
      </c>
      <c r="F7117" s="32" t="s">
        <v>19496</v>
      </c>
      <c r="G7117" s="36" t="e">
        <v>#N/A</v>
      </c>
      <c r="H7117" s="33"/>
      <c r="I7117" s="33"/>
      <c r="J7117" s="33"/>
      <c r="K7117" s="33"/>
      <c r="L7117" s="33"/>
      <c r="M7117" s="33"/>
    </row>
    <row r="7118">
      <c r="A7118" s="32" t="s">
        <v>19497</v>
      </c>
      <c r="B7118" s="32" t="s">
        <v>19498</v>
      </c>
      <c r="C7118" s="35">
        <v>67.40750122</v>
      </c>
      <c r="D7118" s="35">
        <v>-134.8609924</v>
      </c>
      <c r="E7118" s="32" t="s">
        <v>94</v>
      </c>
      <c r="F7118" s="32" t="s">
        <v>19499</v>
      </c>
      <c r="G7118" s="36" t="e">
        <v>#N/A</v>
      </c>
      <c r="H7118" s="33"/>
      <c r="I7118" s="33"/>
      <c r="J7118" s="33"/>
      <c r="K7118" s="33"/>
      <c r="L7118" s="33"/>
      <c r="M7118" s="33"/>
    </row>
    <row r="7119">
      <c r="A7119" s="32" t="s">
        <v>19500</v>
      </c>
      <c r="B7119" s="32" t="s">
        <v>19501</v>
      </c>
      <c r="C7119" s="35">
        <v>64.90969849</v>
      </c>
      <c r="D7119" s="35">
        <v>-125.572998</v>
      </c>
      <c r="E7119" s="32" t="s">
        <v>94</v>
      </c>
      <c r="F7119" s="32" t="s">
        <v>19502</v>
      </c>
      <c r="G7119" s="36" t="e">
        <v>#N/A</v>
      </c>
      <c r="H7119" s="33"/>
      <c r="I7119" s="33"/>
      <c r="J7119" s="33"/>
      <c r="K7119" s="33"/>
      <c r="L7119" s="33"/>
      <c r="M7119" s="33"/>
    </row>
    <row r="7120">
      <c r="A7120" s="32" t="s">
        <v>19503</v>
      </c>
      <c r="B7120" s="32" t="s">
        <v>19504</v>
      </c>
      <c r="C7120" s="35">
        <v>49.0155983</v>
      </c>
      <c r="D7120" s="35">
        <v>-118.4309998</v>
      </c>
      <c r="E7120" s="32" t="s">
        <v>94</v>
      </c>
      <c r="F7120" s="32" t="s">
        <v>8027</v>
      </c>
      <c r="G7120" s="36" t="e">
        <v>#N/A</v>
      </c>
      <c r="H7120" s="33"/>
      <c r="I7120" s="33"/>
      <c r="J7120" s="33"/>
      <c r="K7120" s="33"/>
      <c r="L7120" s="33"/>
      <c r="M7120" s="33"/>
    </row>
    <row r="7121">
      <c r="A7121" s="32" t="s">
        <v>19505</v>
      </c>
      <c r="B7121" s="32" t="s">
        <v>19506</v>
      </c>
      <c r="C7121" s="35">
        <v>54.83969879</v>
      </c>
      <c r="D7121" s="35">
        <v>-94.07859802</v>
      </c>
      <c r="E7121" s="32" t="s">
        <v>94</v>
      </c>
      <c r="F7121" s="32" t="s">
        <v>19507</v>
      </c>
      <c r="G7121" s="36" t="e">
        <v>#N/A</v>
      </c>
      <c r="H7121" s="33"/>
      <c r="I7121" s="33"/>
      <c r="J7121" s="33"/>
      <c r="K7121" s="33"/>
      <c r="L7121" s="33"/>
      <c r="M7121" s="33"/>
    </row>
    <row r="7122">
      <c r="A7122" s="32" t="s">
        <v>19508</v>
      </c>
      <c r="B7122" s="32" t="s">
        <v>19509</v>
      </c>
      <c r="C7122" s="35">
        <v>52.04560089</v>
      </c>
      <c r="D7122" s="35">
        <v>-95.46579742</v>
      </c>
      <c r="E7122" s="32" t="s">
        <v>94</v>
      </c>
      <c r="F7122" s="32" t="s">
        <v>19510</v>
      </c>
      <c r="G7122" s="36" t="e">
        <v>#N/A</v>
      </c>
      <c r="H7122" s="33"/>
      <c r="I7122" s="33"/>
      <c r="J7122" s="33"/>
      <c r="K7122" s="33"/>
      <c r="L7122" s="33"/>
      <c r="M7122" s="33"/>
    </row>
    <row r="7123">
      <c r="A7123" s="32" t="s">
        <v>19511</v>
      </c>
      <c r="B7123" s="32" t="s">
        <v>19512</v>
      </c>
      <c r="C7123" s="35">
        <v>-14.21809959</v>
      </c>
      <c r="D7123" s="35">
        <v>167.5870056</v>
      </c>
      <c r="E7123" s="32" t="s">
        <v>4279</v>
      </c>
      <c r="F7123" s="32" t="s">
        <v>19513</v>
      </c>
      <c r="G7123" s="36" t="e">
        <v>#N/A</v>
      </c>
      <c r="H7123" s="33"/>
      <c r="I7123" s="33"/>
      <c r="J7123" s="33"/>
      <c r="K7123" s="33"/>
      <c r="L7123" s="33"/>
      <c r="M7123" s="33"/>
    </row>
    <row r="7124">
      <c r="A7124" s="32" t="s">
        <v>19514</v>
      </c>
      <c r="B7124" s="32" t="s">
        <v>19515</v>
      </c>
      <c r="C7124" s="35">
        <v>21.214399</v>
      </c>
      <c r="D7124" s="35">
        <v>110.358002</v>
      </c>
      <c r="E7124" s="32" t="s">
        <v>205</v>
      </c>
      <c r="F7124" s="32" t="s">
        <v>19516</v>
      </c>
      <c r="G7124" s="39" t="s">
        <v>206</v>
      </c>
      <c r="H7124" s="33"/>
      <c r="I7124" s="33"/>
      <c r="J7124" s="33"/>
      <c r="K7124" s="33"/>
      <c r="L7124" s="33"/>
      <c r="M7124" s="33"/>
    </row>
    <row r="7125">
      <c r="A7125" s="32" t="s">
        <v>19517</v>
      </c>
      <c r="B7125" s="32" t="s">
        <v>19518</v>
      </c>
      <c r="C7125" s="35">
        <v>37.573125</v>
      </c>
      <c r="D7125" s="35">
        <v>105.154454</v>
      </c>
      <c r="E7125" s="32" t="s">
        <v>205</v>
      </c>
      <c r="F7125" s="32" t="s">
        <v>19519</v>
      </c>
      <c r="G7125" s="39" t="s">
        <v>206</v>
      </c>
      <c r="H7125" s="33"/>
      <c r="I7125" s="33"/>
      <c r="J7125" s="33"/>
      <c r="K7125" s="33"/>
      <c r="L7125" s="33"/>
      <c r="M7125" s="33"/>
    </row>
    <row r="7126">
      <c r="A7126" s="32" t="s">
        <v>19520</v>
      </c>
      <c r="B7126" s="32" t="s">
        <v>2524</v>
      </c>
      <c r="C7126" s="35">
        <v>-38.24560165</v>
      </c>
      <c r="D7126" s="35">
        <v>-72.34860229</v>
      </c>
      <c r="E7126" s="32" t="s">
        <v>300</v>
      </c>
      <c r="F7126" s="32" t="s">
        <v>17618</v>
      </c>
      <c r="G7126" s="36" t="e">
        <v>#N/A</v>
      </c>
      <c r="H7126" s="33"/>
      <c r="I7126" s="33"/>
      <c r="J7126" s="33"/>
      <c r="K7126" s="33"/>
      <c r="L7126" s="33"/>
      <c r="M7126" s="33"/>
    </row>
    <row r="7127">
      <c r="A7127" s="32" t="s">
        <v>19521</v>
      </c>
      <c r="B7127" s="32" t="s">
        <v>19522</v>
      </c>
      <c r="C7127" s="35">
        <v>12.5556</v>
      </c>
      <c r="D7127" s="35">
        <v>-16.281799</v>
      </c>
      <c r="E7127" s="32" t="s">
        <v>5407</v>
      </c>
      <c r="F7127" s="32" t="s">
        <v>19523</v>
      </c>
      <c r="G7127" s="36" t="e">
        <v>#N/A</v>
      </c>
      <c r="H7127" s="33"/>
      <c r="I7127" s="33"/>
      <c r="J7127" s="33"/>
      <c r="K7127" s="33"/>
      <c r="L7127" s="33"/>
      <c r="M7127" s="33"/>
    </row>
    <row r="7128">
      <c r="A7128" s="32" t="s">
        <v>19524</v>
      </c>
      <c r="B7128" s="32" t="s">
        <v>19525</v>
      </c>
      <c r="C7128" s="35">
        <v>17.60160065</v>
      </c>
      <c r="D7128" s="35">
        <v>-101.4609985</v>
      </c>
      <c r="E7128" s="32" t="s">
        <v>186</v>
      </c>
      <c r="F7128" s="32" t="s">
        <v>19526</v>
      </c>
      <c r="G7128" s="39" t="s">
        <v>187</v>
      </c>
      <c r="H7128" s="33"/>
      <c r="I7128" s="33"/>
      <c r="J7128" s="33"/>
      <c r="K7128" s="33"/>
      <c r="L7128" s="33"/>
      <c r="M7128" s="33"/>
    </row>
    <row r="7129">
      <c r="A7129" s="32" t="s">
        <v>19527</v>
      </c>
      <c r="B7129" s="32" t="s">
        <v>19528</v>
      </c>
      <c r="C7129" s="35">
        <v>46.6766014</v>
      </c>
      <c r="D7129" s="35">
        <v>7.8790798</v>
      </c>
      <c r="E7129" s="32" t="s">
        <v>1180</v>
      </c>
      <c r="F7129" s="32" t="s">
        <v>19529</v>
      </c>
      <c r="G7129" s="36" t="e">
        <v>#N/A</v>
      </c>
      <c r="H7129" s="33"/>
      <c r="I7129" s="33"/>
      <c r="J7129" s="33"/>
      <c r="K7129" s="33"/>
      <c r="L7129" s="33"/>
      <c r="M7129" s="33"/>
    </row>
    <row r="7130">
      <c r="A7130" s="32" t="s">
        <v>19530</v>
      </c>
      <c r="B7130" s="32" t="s">
        <v>19531</v>
      </c>
      <c r="C7130" s="35">
        <v>66.79650116</v>
      </c>
      <c r="D7130" s="35">
        <v>123.3610001</v>
      </c>
      <c r="E7130" s="32" t="s">
        <v>2040</v>
      </c>
      <c r="F7130" s="32" t="s">
        <v>19532</v>
      </c>
      <c r="G7130" s="36" t="e">
        <v>#N/A</v>
      </c>
      <c r="H7130" s="33"/>
      <c r="I7130" s="33"/>
      <c r="J7130" s="33"/>
      <c r="K7130" s="33"/>
      <c r="L7130" s="33"/>
      <c r="M7130" s="33"/>
    </row>
    <row r="7131">
      <c r="A7131" s="32" t="s">
        <v>19533</v>
      </c>
      <c r="B7131" s="32" t="s">
        <v>19534</v>
      </c>
      <c r="C7131" s="35">
        <v>54.51890182</v>
      </c>
      <c r="D7131" s="35">
        <v>-98.0460968</v>
      </c>
      <c r="E7131" s="32" t="s">
        <v>94</v>
      </c>
      <c r="F7131" s="32" t="s">
        <v>19535</v>
      </c>
      <c r="G7131" s="36" t="e">
        <v>#N/A</v>
      </c>
      <c r="H7131" s="33"/>
      <c r="I7131" s="33"/>
      <c r="J7131" s="33"/>
      <c r="K7131" s="33"/>
      <c r="L7131" s="33"/>
      <c r="M7131" s="33"/>
    </row>
    <row r="7132">
      <c r="A7132" s="32" t="s">
        <v>19536</v>
      </c>
      <c r="B7132" s="32" t="s">
        <v>19537</v>
      </c>
      <c r="C7132" s="35">
        <v>46.16080093</v>
      </c>
      <c r="D7132" s="35">
        <v>8.878609657</v>
      </c>
      <c r="E7132" s="32" t="s">
        <v>1180</v>
      </c>
      <c r="F7132" s="32" t="s">
        <v>19538</v>
      </c>
      <c r="G7132" s="36" t="e">
        <v>#N/A</v>
      </c>
      <c r="H7132" s="33"/>
      <c r="I7132" s="33"/>
      <c r="J7132" s="33"/>
      <c r="K7132" s="33"/>
      <c r="L7132" s="33"/>
      <c r="M7132" s="33"/>
    </row>
    <row r="7133">
      <c r="A7133" s="32" t="s">
        <v>19539</v>
      </c>
      <c r="B7133" s="32" t="s">
        <v>19540</v>
      </c>
      <c r="C7133" s="35">
        <v>52.12060165</v>
      </c>
      <c r="D7133" s="35">
        <v>-101.2360001</v>
      </c>
      <c r="E7133" s="32" t="s">
        <v>94</v>
      </c>
      <c r="F7133" s="32" t="s">
        <v>19541</v>
      </c>
      <c r="G7133" s="36" t="e">
        <v>#N/A</v>
      </c>
      <c r="H7133" s="33"/>
      <c r="I7133" s="33"/>
      <c r="J7133" s="33"/>
      <c r="K7133" s="33"/>
      <c r="L7133" s="33"/>
      <c r="M7133" s="33"/>
    </row>
    <row r="7134">
      <c r="A7134" s="32" t="s">
        <v>19542</v>
      </c>
      <c r="B7134" s="32" t="s">
        <v>19543</v>
      </c>
      <c r="C7134" s="35">
        <v>-8.524999619</v>
      </c>
      <c r="D7134" s="35">
        <v>30.66300011</v>
      </c>
      <c r="E7134" s="32" t="s">
        <v>759</v>
      </c>
      <c r="F7134" s="32" t="s">
        <v>19544</v>
      </c>
      <c r="G7134" s="36" t="e">
        <v>#N/A</v>
      </c>
      <c r="H7134" s="33"/>
      <c r="I7134" s="33"/>
      <c r="J7134" s="33"/>
      <c r="K7134" s="33"/>
      <c r="L7134" s="33"/>
      <c r="M7134" s="33"/>
    </row>
    <row r="7135">
      <c r="A7135" s="32" t="s">
        <v>19545</v>
      </c>
      <c r="B7135" s="32" t="s">
        <v>19546</v>
      </c>
      <c r="C7135" s="35">
        <v>52.28250122</v>
      </c>
      <c r="D7135" s="35">
        <v>-81.67780304</v>
      </c>
      <c r="E7135" s="32" t="s">
        <v>94</v>
      </c>
      <c r="F7135" s="32" t="s">
        <v>19547</v>
      </c>
      <c r="G7135" s="36" t="e">
        <v>#N/A</v>
      </c>
      <c r="H7135" s="33"/>
      <c r="I7135" s="33"/>
      <c r="J7135" s="33"/>
      <c r="K7135" s="33"/>
      <c r="L7135" s="33"/>
      <c r="M7135" s="33"/>
    </row>
    <row r="7136">
      <c r="A7136" s="32" t="s">
        <v>19548</v>
      </c>
      <c r="B7136" s="32" t="s">
        <v>19549</v>
      </c>
      <c r="C7136" s="35">
        <v>50.19580078</v>
      </c>
      <c r="D7136" s="35">
        <v>-61.26580048</v>
      </c>
      <c r="E7136" s="32" t="s">
        <v>94</v>
      </c>
      <c r="F7136" s="32" t="s">
        <v>19550</v>
      </c>
      <c r="G7136" s="36" t="e">
        <v>#N/A</v>
      </c>
      <c r="H7136" s="33"/>
      <c r="I7136" s="33"/>
      <c r="J7136" s="33"/>
      <c r="K7136" s="33"/>
      <c r="L7136" s="33"/>
      <c r="M7136" s="33"/>
    </row>
    <row r="7137">
      <c r="A7137" s="32" t="s">
        <v>19551</v>
      </c>
      <c r="B7137" s="32" t="s">
        <v>19552</v>
      </c>
      <c r="C7137" s="35">
        <v>65.7485</v>
      </c>
      <c r="D7137" s="35">
        <v>150.8889</v>
      </c>
      <c r="E7137" s="32" t="s">
        <v>2040</v>
      </c>
      <c r="F7137" s="32" t="s">
        <v>19553</v>
      </c>
      <c r="G7137" s="36" t="e">
        <v>#N/A</v>
      </c>
      <c r="H7137" s="33"/>
      <c r="I7137" s="33"/>
      <c r="J7137" s="33"/>
      <c r="K7137" s="33"/>
      <c r="L7137" s="33"/>
      <c r="M7137" s="33"/>
    </row>
    <row r="7138">
      <c r="A7138" s="32" t="s">
        <v>19554</v>
      </c>
      <c r="B7138" s="32" t="s">
        <v>19555</v>
      </c>
      <c r="C7138" s="35">
        <v>19.14480019</v>
      </c>
      <c r="D7138" s="35">
        <v>-104.5589981</v>
      </c>
      <c r="E7138" s="32" t="s">
        <v>186</v>
      </c>
      <c r="F7138" s="32" t="s">
        <v>12647</v>
      </c>
      <c r="G7138" s="39" t="s">
        <v>187</v>
      </c>
      <c r="H7138" s="33"/>
      <c r="I7138" s="33"/>
      <c r="J7138" s="33"/>
      <c r="K7138" s="33"/>
      <c r="L7138" s="33"/>
      <c r="M7138" s="33"/>
    </row>
    <row r="7139">
      <c r="A7139" s="32" t="s">
        <v>19556</v>
      </c>
      <c r="B7139" s="32" t="s">
        <v>19557</v>
      </c>
      <c r="C7139" s="35">
        <v>50.8307991</v>
      </c>
      <c r="D7139" s="35">
        <v>-58.9756012</v>
      </c>
      <c r="E7139" s="32" t="s">
        <v>94</v>
      </c>
      <c r="F7139" s="32" t="s">
        <v>19558</v>
      </c>
      <c r="G7139" s="36" t="e">
        <v>#N/A</v>
      </c>
      <c r="H7139" s="33"/>
      <c r="I7139" s="33"/>
      <c r="J7139" s="33"/>
      <c r="K7139" s="33"/>
      <c r="L7139" s="33"/>
      <c r="M7139" s="33"/>
    </row>
    <row r="7140">
      <c r="A7140" s="32" t="s">
        <v>19559</v>
      </c>
      <c r="B7140" s="32" t="s">
        <v>19560</v>
      </c>
      <c r="C7140" s="35">
        <v>51.73609924</v>
      </c>
      <c r="D7140" s="35">
        <v>-121.3330002</v>
      </c>
      <c r="E7140" s="32" t="s">
        <v>94</v>
      </c>
      <c r="F7140" s="32" t="s">
        <v>19561</v>
      </c>
      <c r="G7140" s="36" t="e">
        <v>#N/A</v>
      </c>
      <c r="H7140" s="33"/>
      <c r="I7140" s="33"/>
      <c r="J7140" s="33"/>
      <c r="K7140" s="33"/>
      <c r="L7140" s="33"/>
      <c r="M7140" s="33"/>
    </row>
    <row r="7141">
      <c r="A7141" s="32" t="s">
        <v>19562</v>
      </c>
      <c r="B7141" s="32" t="s">
        <v>19563</v>
      </c>
      <c r="C7141" s="35">
        <v>20.04500008</v>
      </c>
      <c r="D7141" s="35">
        <v>-102.276001</v>
      </c>
      <c r="E7141" s="32" t="s">
        <v>186</v>
      </c>
      <c r="F7141" s="32" t="s">
        <v>19564</v>
      </c>
      <c r="G7141" s="39" t="s">
        <v>187</v>
      </c>
      <c r="H7141" s="33"/>
      <c r="I7141" s="33"/>
      <c r="J7141" s="33"/>
      <c r="K7141" s="33"/>
      <c r="L7141" s="33"/>
      <c r="M7141" s="33"/>
    </row>
    <row r="7142">
      <c r="A7142" s="32" t="s">
        <v>19565</v>
      </c>
      <c r="B7142" s="32" t="s">
        <v>19566</v>
      </c>
      <c r="C7142" s="35">
        <v>54.02750015</v>
      </c>
      <c r="D7142" s="35">
        <v>-132.125</v>
      </c>
      <c r="E7142" s="32" t="s">
        <v>94</v>
      </c>
      <c r="F7142" s="32" t="s">
        <v>19567</v>
      </c>
      <c r="G7142" s="36" t="e">
        <v>#N/A</v>
      </c>
      <c r="H7142" s="33"/>
      <c r="I7142" s="33"/>
      <c r="J7142" s="33"/>
      <c r="K7142" s="33"/>
      <c r="L7142" s="33"/>
      <c r="M7142" s="33"/>
    </row>
    <row r="7143">
      <c r="A7143" s="32" t="s">
        <v>19568</v>
      </c>
      <c r="B7143" s="32" t="s">
        <v>19569</v>
      </c>
      <c r="C7143" s="35">
        <v>49.18330002</v>
      </c>
      <c r="D7143" s="35">
        <v>-123.9499969</v>
      </c>
      <c r="E7143" s="32" t="s">
        <v>94</v>
      </c>
      <c r="F7143" s="32" t="s">
        <v>18483</v>
      </c>
      <c r="G7143" s="36" t="e">
        <v>#N/A</v>
      </c>
      <c r="H7143" s="33"/>
      <c r="I7143" s="33"/>
      <c r="J7143" s="33"/>
      <c r="K7143" s="33"/>
      <c r="L7143" s="33"/>
      <c r="M7143" s="33"/>
    </row>
    <row r="7144">
      <c r="A7144" s="32" t="s">
        <v>19570</v>
      </c>
      <c r="B7144" s="32" t="s">
        <v>19571</v>
      </c>
      <c r="C7144" s="35">
        <v>13.77900028</v>
      </c>
      <c r="D7144" s="35">
        <v>8.98375988</v>
      </c>
      <c r="E7144" s="32" t="s">
        <v>168</v>
      </c>
      <c r="F7144" s="32" t="s">
        <v>19572</v>
      </c>
      <c r="G7144" s="36" t="e">
        <v>#N/A</v>
      </c>
      <c r="H7144" s="33"/>
      <c r="I7144" s="33"/>
      <c r="J7144" s="33"/>
      <c r="K7144" s="33"/>
      <c r="L7144" s="33"/>
      <c r="M7144" s="33"/>
    </row>
    <row r="7145">
      <c r="A7145" s="32" t="s">
        <v>19573</v>
      </c>
      <c r="B7145" s="32" t="s">
        <v>19574</v>
      </c>
      <c r="C7145" s="35">
        <v>-23.4178009</v>
      </c>
      <c r="D7145" s="35">
        <v>119.8030014</v>
      </c>
      <c r="E7145" s="32" t="s">
        <v>1968</v>
      </c>
      <c r="F7145" s="32" t="s">
        <v>19575</v>
      </c>
      <c r="G7145" s="36" t="e">
        <v>#N/A</v>
      </c>
      <c r="H7145" s="33"/>
      <c r="I7145" s="33"/>
      <c r="J7145" s="33"/>
      <c r="K7145" s="33"/>
      <c r="L7145" s="33"/>
      <c r="M7145" s="33"/>
    </row>
    <row r="7146">
      <c r="A7146" s="32" t="s">
        <v>19576</v>
      </c>
      <c r="B7146" s="32" t="s">
        <v>19577</v>
      </c>
      <c r="C7146" s="35">
        <v>50.169201</v>
      </c>
      <c r="D7146" s="35">
        <v>8.96159</v>
      </c>
      <c r="E7146" s="32" t="s">
        <v>109</v>
      </c>
      <c r="F7146" s="32" t="s">
        <v>19578</v>
      </c>
      <c r="G7146" s="39" t="s">
        <v>110</v>
      </c>
      <c r="H7146" s="33"/>
      <c r="I7146" s="33"/>
      <c r="J7146" s="33"/>
      <c r="K7146" s="33"/>
      <c r="L7146" s="33"/>
      <c r="M7146" s="33"/>
    </row>
    <row r="7147">
      <c r="A7147" s="32" t="s">
        <v>19579</v>
      </c>
      <c r="B7147" s="32" t="s">
        <v>19580</v>
      </c>
      <c r="C7147" s="35">
        <v>50.32555771</v>
      </c>
      <c r="D7147" s="35">
        <v>7.528611183</v>
      </c>
      <c r="E7147" s="32" t="s">
        <v>109</v>
      </c>
      <c r="F7147" s="32" t="s">
        <v>19581</v>
      </c>
      <c r="G7147" s="39" t="s">
        <v>110</v>
      </c>
      <c r="H7147" s="33"/>
      <c r="I7147" s="33"/>
      <c r="J7147" s="33"/>
      <c r="K7147" s="33"/>
      <c r="L7147" s="33"/>
      <c r="M7147" s="33"/>
    </row>
    <row r="7148">
      <c r="A7148" s="32" t="s">
        <v>19582</v>
      </c>
      <c r="B7148" s="32" t="s">
        <v>19583</v>
      </c>
      <c r="C7148" s="35">
        <v>-6.222020149</v>
      </c>
      <c r="D7148" s="35">
        <v>39.22489929</v>
      </c>
      <c r="E7148" s="32" t="s">
        <v>2937</v>
      </c>
      <c r="F7148" s="32" t="s">
        <v>19584</v>
      </c>
      <c r="G7148" s="36" t="e">
        <v>#N/A</v>
      </c>
      <c r="H7148" s="33"/>
      <c r="I7148" s="33"/>
      <c r="J7148" s="33"/>
      <c r="K7148" s="33"/>
      <c r="L7148" s="33"/>
      <c r="M7148" s="33"/>
    </row>
    <row r="7149">
      <c r="A7149" s="32" t="s">
        <v>19585</v>
      </c>
      <c r="B7149" s="32" t="s">
        <v>19586</v>
      </c>
      <c r="C7149" s="35">
        <v>-40.61119843</v>
      </c>
      <c r="D7149" s="35">
        <v>-73.06099701</v>
      </c>
      <c r="E7149" s="32" t="s">
        <v>300</v>
      </c>
      <c r="F7149" s="32" t="s">
        <v>19587</v>
      </c>
      <c r="G7149" s="36" t="e">
        <v>#N/A</v>
      </c>
      <c r="H7149" s="33"/>
      <c r="I7149" s="33"/>
      <c r="J7149" s="33"/>
      <c r="K7149" s="33"/>
      <c r="L7149" s="33"/>
      <c r="M7149" s="33"/>
    </row>
    <row r="7150">
      <c r="A7150" s="32" t="s">
        <v>19588</v>
      </c>
      <c r="B7150" s="32" t="s">
        <v>19589</v>
      </c>
      <c r="C7150" s="35">
        <v>53.89110184</v>
      </c>
      <c r="D7150" s="35">
        <v>-92.1964035</v>
      </c>
      <c r="E7150" s="32" t="s">
        <v>94</v>
      </c>
      <c r="F7150" s="32" t="s">
        <v>19590</v>
      </c>
      <c r="G7150" s="36" t="e">
        <v>#N/A</v>
      </c>
      <c r="H7150" s="33"/>
      <c r="I7150" s="33"/>
      <c r="J7150" s="33"/>
      <c r="K7150" s="33"/>
      <c r="L7150" s="33"/>
      <c r="M7150" s="33"/>
    </row>
    <row r="7151">
      <c r="A7151" s="32" t="s">
        <v>19591</v>
      </c>
      <c r="B7151" s="32" t="s">
        <v>19592</v>
      </c>
      <c r="C7151" s="35">
        <v>-39.2928009</v>
      </c>
      <c r="D7151" s="35">
        <v>-71.91590118</v>
      </c>
      <c r="E7151" s="32" t="s">
        <v>300</v>
      </c>
      <c r="F7151" s="32" t="s">
        <v>19593</v>
      </c>
      <c r="G7151" s="36" t="e">
        <v>#N/A</v>
      </c>
      <c r="H7151" s="33"/>
      <c r="I7151" s="33"/>
      <c r="J7151" s="33"/>
      <c r="K7151" s="33"/>
      <c r="L7151" s="33"/>
      <c r="M7151" s="33"/>
    </row>
    <row r="7152">
      <c r="A7152" s="32" t="s">
        <v>19594</v>
      </c>
      <c r="B7152" s="32" t="s">
        <v>19595</v>
      </c>
      <c r="C7152" s="35">
        <v>28.22820091</v>
      </c>
      <c r="D7152" s="35">
        <v>-82.15589905</v>
      </c>
      <c r="E7152" s="32" t="s">
        <v>180</v>
      </c>
      <c r="F7152" s="32" t="s">
        <v>19596</v>
      </c>
      <c r="G7152" s="39" t="s">
        <v>181</v>
      </c>
      <c r="H7152" s="33"/>
      <c r="I7152" s="33"/>
      <c r="J7152" s="33"/>
      <c r="K7152" s="33"/>
      <c r="L7152" s="33"/>
      <c r="M7152" s="33"/>
    </row>
    <row r="7153">
      <c r="A7153" s="32" t="s">
        <v>19597</v>
      </c>
      <c r="B7153" s="32" t="s">
        <v>19598</v>
      </c>
      <c r="C7153" s="35">
        <v>49.30472183</v>
      </c>
      <c r="D7153" s="35">
        <v>8.451389313</v>
      </c>
      <c r="E7153" s="32" t="s">
        <v>109</v>
      </c>
      <c r="F7153" s="32" t="s">
        <v>19599</v>
      </c>
      <c r="G7153" s="39" t="s">
        <v>110</v>
      </c>
      <c r="H7153" s="33"/>
      <c r="I7153" s="33"/>
      <c r="J7153" s="33"/>
      <c r="K7153" s="33"/>
      <c r="L7153" s="33"/>
      <c r="M7153" s="33"/>
    </row>
    <row r="7154">
      <c r="A7154" s="32" t="s">
        <v>19600</v>
      </c>
      <c r="B7154" s="32" t="s">
        <v>19601</v>
      </c>
      <c r="C7154" s="35">
        <v>49.86388779</v>
      </c>
      <c r="D7154" s="35">
        <v>6.787499905</v>
      </c>
      <c r="E7154" s="32" t="s">
        <v>109</v>
      </c>
      <c r="F7154" s="32" t="s">
        <v>19602</v>
      </c>
      <c r="G7154" s="39" t="s">
        <v>110</v>
      </c>
      <c r="H7154" s="33"/>
      <c r="I7154" s="33"/>
      <c r="J7154" s="33"/>
      <c r="K7154" s="33"/>
      <c r="L7154" s="33"/>
      <c r="M7154" s="33"/>
    </row>
    <row r="7155">
      <c r="A7155" s="32" t="s">
        <v>19603</v>
      </c>
      <c r="B7155" s="32" t="s">
        <v>19604</v>
      </c>
      <c r="C7155" s="35">
        <v>47.97333145</v>
      </c>
      <c r="D7155" s="35">
        <v>8.522221565</v>
      </c>
      <c r="E7155" s="32" t="s">
        <v>109</v>
      </c>
      <c r="F7155" s="32" t="s">
        <v>19605</v>
      </c>
      <c r="G7155" s="39" t="s">
        <v>110</v>
      </c>
      <c r="H7155" s="33"/>
      <c r="I7155" s="33"/>
      <c r="J7155" s="33"/>
      <c r="K7155" s="33"/>
      <c r="L7155" s="33"/>
      <c r="M7155" s="33"/>
    </row>
    <row r="7156">
      <c r="A7156" s="32" t="s">
        <v>19606</v>
      </c>
      <c r="B7156" s="32" t="s">
        <v>19607</v>
      </c>
      <c r="C7156" s="35">
        <v>-45.02109909</v>
      </c>
      <c r="D7156" s="35">
        <v>168.7389984</v>
      </c>
      <c r="E7156" s="32" t="s">
        <v>1328</v>
      </c>
      <c r="F7156" s="32" t="s">
        <v>19608</v>
      </c>
      <c r="G7156" s="36" t="e">
        <v>#N/A</v>
      </c>
      <c r="H7156" s="33"/>
      <c r="I7156" s="33"/>
      <c r="J7156" s="33"/>
      <c r="K7156" s="33"/>
      <c r="L7156" s="33"/>
      <c r="M7156" s="33"/>
    </row>
    <row r="7157">
      <c r="A7157" s="32" t="s">
        <v>19609</v>
      </c>
      <c r="B7157" s="32" t="s">
        <v>19610</v>
      </c>
      <c r="C7157" s="35">
        <v>49.20940018</v>
      </c>
      <c r="D7157" s="35">
        <v>7.400559902</v>
      </c>
      <c r="E7157" s="32" t="s">
        <v>109</v>
      </c>
      <c r="F7157" s="32" t="s">
        <v>19611</v>
      </c>
      <c r="G7157" s="39" t="s">
        <v>110</v>
      </c>
      <c r="H7157" s="33"/>
      <c r="I7157" s="33"/>
      <c r="J7157" s="33"/>
      <c r="K7157" s="33"/>
      <c r="L7157" s="33"/>
      <c r="M7157" s="33"/>
    </row>
    <row r="7158">
      <c r="A7158" s="32" t="s">
        <v>19612</v>
      </c>
      <c r="B7158" s="32" t="s">
        <v>19613</v>
      </c>
      <c r="C7158" s="35">
        <v>47.46469879</v>
      </c>
      <c r="D7158" s="35">
        <v>8.54916954</v>
      </c>
      <c r="E7158" s="32" t="s">
        <v>1180</v>
      </c>
      <c r="F7158" s="32" t="s">
        <v>19614</v>
      </c>
      <c r="G7158" s="36" t="e">
        <v>#N/A</v>
      </c>
      <c r="H7158" s="33"/>
      <c r="I7158" s="33"/>
      <c r="J7158" s="33"/>
      <c r="K7158" s="33"/>
      <c r="L7158" s="33"/>
      <c r="M7158" s="33"/>
    </row>
    <row r="7159">
      <c r="A7159" s="32" t="s">
        <v>19615</v>
      </c>
      <c r="B7159" s="32" t="s">
        <v>19616</v>
      </c>
      <c r="C7159" s="35">
        <v>52.9435997</v>
      </c>
      <c r="D7159" s="35">
        <v>-91.31279755</v>
      </c>
      <c r="E7159" s="32" t="s">
        <v>94</v>
      </c>
      <c r="F7159" s="32" t="s">
        <v>19617</v>
      </c>
      <c r="G7159" s="36" t="e">
        <v>#N/A</v>
      </c>
      <c r="H7159" s="33"/>
      <c r="I7159" s="33"/>
      <c r="J7159" s="33"/>
      <c r="K7159" s="33"/>
      <c r="L7159" s="33"/>
      <c r="M7159" s="33"/>
    </row>
    <row r="7160">
      <c r="A7160" s="32" t="s">
        <v>19618</v>
      </c>
      <c r="B7160" s="32" t="s">
        <v>19619</v>
      </c>
      <c r="C7160" s="35">
        <v>24.06329918</v>
      </c>
      <c r="D7160" s="35">
        <v>-74.52400208</v>
      </c>
      <c r="E7160" s="32" t="s">
        <v>319</v>
      </c>
      <c r="F7160" s="32" t="s">
        <v>7979</v>
      </c>
      <c r="G7160" s="36" t="e">
        <v>#N/A</v>
      </c>
      <c r="H7160" s="33"/>
      <c r="I7160" s="33"/>
      <c r="J7160" s="33"/>
      <c r="K7160" s="33"/>
      <c r="L7160" s="33"/>
      <c r="M7160" s="33"/>
    </row>
    <row r="7161">
      <c r="A7161" s="32" t="s">
        <v>19620</v>
      </c>
      <c r="B7161" s="32" t="s">
        <v>19621</v>
      </c>
      <c r="C7161" s="35">
        <v>-21.32089996</v>
      </c>
      <c r="D7161" s="35">
        <v>55.42499924</v>
      </c>
      <c r="E7161" s="32" t="s">
        <v>2881</v>
      </c>
      <c r="F7161" s="32" t="s">
        <v>7802</v>
      </c>
      <c r="G7161" s="36" t="e">
        <v>#N/A</v>
      </c>
      <c r="H7161" s="33"/>
      <c r="I7161" s="33"/>
      <c r="J7161" s="33"/>
      <c r="K7161" s="33"/>
      <c r="L7161" s="33"/>
      <c r="M7161" s="33"/>
    </row>
    <row r="7162">
      <c r="A7162" s="32" t="s">
        <v>19622</v>
      </c>
      <c r="B7162" s="32" t="s">
        <v>19623</v>
      </c>
      <c r="C7162" s="35">
        <v>53.06420135</v>
      </c>
      <c r="D7162" s="35">
        <v>-93.3443985</v>
      </c>
      <c r="E7162" s="32" t="s">
        <v>94</v>
      </c>
      <c r="F7162" s="32" t="s">
        <v>19624</v>
      </c>
      <c r="G7162" s="36" t="e">
        <v>#N/A</v>
      </c>
      <c r="H7162" s="33"/>
      <c r="I7162" s="33"/>
      <c r="J7162" s="33"/>
      <c r="K7162" s="33"/>
      <c r="L7162" s="33"/>
      <c r="M7162" s="33"/>
    </row>
    <row r="7163">
      <c r="A7163" s="32" t="s">
        <v>19625</v>
      </c>
      <c r="B7163" s="32" t="s">
        <v>19626</v>
      </c>
      <c r="C7163" s="35">
        <v>52.62888718</v>
      </c>
      <c r="D7163" s="35">
        <v>11.81861115</v>
      </c>
      <c r="E7163" s="32" t="s">
        <v>109</v>
      </c>
      <c r="F7163" s="32" t="s">
        <v>19627</v>
      </c>
      <c r="G7163" s="39" t="s">
        <v>110</v>
      </c>
      <c r="H7163" s="33"/>
      <c r="I7163" s="33"/>
      <c r="J7163" s="33"/>
      <c r="K7163" s="33"/>
      <c r="L7163" s="33"/>
      <c r="M7163" s="33"/>
    </row>
    <row r="7164">
      <c r="A7164" s="32" t="s">
        <v>19628</v>
      </c>
      <c r="B7164" s="32" t="s">
        <v>19629</v>
      </c>
      <c r="C7164" s="35">
        <v>55.93541045</v>
      </c>
      <c r="D7164" s="35">
        <v>-129.9824345</v>
      </c>
      <c r="E7164" s="32" t="s">
        <v>94</v>
      </c>
      <c r="F7164" s="32" t="s">
        <v>19630</v>
      </c>
      <c r="G7164" s="36" t="e">
        <v>#N/A</v>
      </c>
      <c r="H7164" s="33"/>
      <c r="I7164" s="33"/>
      <c r="J7164" s="33"/>
      <c r="K7164" s="33"/>
      <c r="L7164" s="33"/>
      <c r="M7164" s="33"/>
    </row>
    <row r="7165">
      <c r="A7165" s="32" t="s">
        <v>19631</v>
      </c>
      <c r="B7165" s="32" t="s">
        <v>19632</v>
      </c>
      <c r="C7165" s="35">
        <v>54.33330154</v>
      </c>
      <c r="D7165" s="35">
        <v>-130.2830048</v>
      </c>
      <c r="E7165" s="32" t="s">
        <v>94</v>
      </c>
      <c r="F7165" s="32" t="s">
        <v>19633</v>
      </c>
      <c r="G7165" s="36" t="e">
        <v>#N/A</v>
      </c>
      <c r="H7165" s="33"/>
      <c r="I7165" s="33"/>
      <c r="J7165" s="33"/>
      <c r="K7165" s="33"/>
      <c r="L7165" s="33"/>
      <c r="M7165" s="33"/>
    </row>
    <row r="7166">
      <c r="A7166" s="32" t="s">
        <v>19634</v>
      </c>
      <c r="B7166" s="32" t="s">
        <v>19635</v>
      </c>
      <c r="C7166" s="35">
        <v>33.6228981</v>
      </c>
      <c r="D7166" s="35">
        <v>-111.9110031</v>
      </c>
      <c r="E7166" s="32" t="s">
        <v>180</v>
      </c>
      <c r="F7166" s="32" t="s">
        <v>19636</v>
      </c>
      <c r="G7166" s="39" t="s">
        <v>181</v>
      </c>
      <c r="H7166" s="33"/>
      <c r="I7166" s="33"/>
      <c r="J7166" s="33"/>
      <c r="K7166" s="33"/>
      <c r="L7166" s="33"/>
      <c r="M7166" s="33"/>
    </row>
    <row r="7167">
      <c r="A7167" s="32" t="s">
        <v>19637</v>
      </c>
      <c r="B7167" s="32" t="s">
        <v>19638</v>
      </c>
      <c r="C7167" s="35">
        <v>-20.78969955</v>
      </c>
      <c r="D7167" s="35">
        <v>-138.5700073</v>
      </c>
      <c r="E7167" s="32" t="s">
        <v>1325</v>
      </c>
      <c r="F7167" s="32" t="s">
        <v>19639</v>
      </c>
      <c r="G7167" s="36" t="e">
        <v>#N/A</v>
      </c>
      <c r="H7167" s="33"/>
      <c r="I7167" s="33"/>
      <c r="J7167" s="33"/>
      <c r="K7167" s="33"/>
      <c r="L7167" s="33"/>
      <c r="M7167" s="33"/>
    </row>
    <row r="7168">
      <c r="A7168" s="32" t="s">
        <v>19640</v>
      </c>
      <c r="B7168" s="32" t="s">
        <v>19641</v>
      </c>
      <c r="C7168" s="35">
        <v>50.67440033</v>
      </c>
      <c r="D7168" s="35">
        <v>-59.38359833</v>
      </c>
      <c r="E7168" s="32" t="s">
        <v>94</v>
      </c>
      <c r="F7168" s="32" t="s">
        <v>19642</v>
      </c>
      <c r="G7168" s="36" t="e">
        <v>#N/A</v>
      </c>
      <c r="H7168" s="33"/>
      <c r="I7168" s="33"/>
      <c r="J7168" s="33"/>
      <c r="K7168" s="33"/>
      <c r="L7168" s="33"/>
      <c r="M7168" s="33"/>
    </row>
    <row r="7169">
      <c r="A7169" s="32" t="s">
        <v>19643</v>
      </c>
      <c r="B7169" s="32" t="s">
        <v>19644</v>
      </c>
      <c r="C7169" s="35">
        <v>37.75090027</v>
      </c>
      <c r="D7169" s="35">
        <v>20.88430023</v>
      </c>
      <c r="E7169" s="32" t="s">
        <v>339</v>
      </c>
      <c r="F7169" s="32" t="s">
        <v>19645</v>
      </c>
      <c r="G7169" s="36" t="e">
        <v>#N/A</v>
      </c>
      <c r="H7169" s="33"/>
      <c r="I7169" s="33"/>
      <c r="J7169" s="33"/>
      <c r="K7169" s="33"/>
      <c r="L7169" s="33"/>
      <c r="M7169" s="33"/>
    </row>
    <row r="7170">
      <c r="A7170" s="32" t="s">
        <v>19646</v>
      </c>
      <c r="B7170" s="32" t="s">
        <v>19647</v>
      </c>
      <c r="C7170" s="35">
        <v>55.86560059</v>
      </c>
      <c r="D7170" s="35">
        <v>-92.08139801</v>
      </c>
      <c r="E7170" s="32" t="s">
        <v>94</v>
      </c>
      <c r="F7170" s="32" t="s">
        <v>19648</v>
      </c>
      <c r="G7170" s="36" t="e">
        <v>#N/A</v>
      </c>
      <c r="H7170" s="33"/>
      <c r="I7170" s="33"/>
      <c r="J7170" s="33"/>
      <c r="K7170" s="33"/>
      <c r="L7170" s="33"/>
      <c r="M7170" s="33"/>
    </row>
    <row r="7171">
      <c r="A7171" s="32" t="s">
        <v>19649</v>
      </c>
      <c r="B7171" s="32" t="s">
        <v>19650</v>
      </c>
      <c r="C7171" s="35">
        <v>50.270556</v>
      </c>
      <c r="D7171" s="35">
        <v>28.738611</v>
      </c>
      <c r="E7171" s="32" t="s">
        <v>3293</v>
      </c>
      <c r="F7171" s="32" t="s">
        <v>3300</v>
      </c>
      <c r="G7171" s="36" t="e">
        <v>#N/A</v>
      </c>
      <c r="H7171" s="33"/>
      <c r="I7171" s="33"/>
      <c r="J7171" s="33"/>
      <c r="K7171" s="33"/>
      <c r="L7171" s="33"/>
      <c r="M7171" s="33"/>
    </row>
    <row r="7172">
      <c r="A7172" s="32" t="s">
        <v>19651</v>
      </c>
      <c r="B7172" s="32" t="s">
        <v>19652</v>
      </c>
      <c r="C7172" s="35">
        <v>41.562222</v>
      </c>
      <c r="D7172" s="35">
        <v>46.667221</v>
      </c>
      <c r="E7172" s="32" t="s">
        <v>2259</v>
      </c>
      <c r="F7172" s="32" t="s">
        <v>19653</v>
      </c>
      <c r="G7172" s="36" t="e">
        <v>#N/A</v>
      </c>
      <c r="H7172" s="33"/>
      <c r="I7172" s="33"/>
      <c r="J7172" s="33"/>
      <c r="K7172" s="33"/>
      <c r="L7172" s="33"/>
      <c r="M7172" s="33"/>
    </row>
    <row r="7173">
      <c r="A7173" s="32" t="s">
        <v>19654</v>
      </c>
      <c r="B7173" s="32" t="s">
        <v>19655</v>
      </c>
      <c r="C7173" s="35">
        <v>49.42969894</v>
      </c>
      <c r="D7173" s="35">
        <v>-91.71779633</v>
      </c>
      <c r="E7173" s="32" t="s">
        <v>94</v>
      </c>
      <c r="F7173" s="32" t="s">
        <v>19656</v>
      </c>
      <c r="G7173" s="36" t="e">
        <v>#N/A</v>
      </c>
      <c r="H7173" s="33"/>
      <c r="I7173" s="33"/>
      <c r="J7173" s="33"/>
      <c r="K7173" s="33"/>
      <c r="L7173" s="33"/>
      <c r="M7173" s="33"/>
    </row>
    <row r="7174">
      <c r="A7174" s="32" t="s">
        <v>19657</v>
      </c>
      <c r="B7174" s="32" t="s">
        <v>19658</v>
      </c>
      <c r="C7174" s="35">
        <v>22.006399</v>
      </c>
      <c r="D7174" s="35">
        <v>113.375999</v>
      </c>
      <c r="E7174" s="32" t="s">
        <v>205</v>
      </c>
      <c r="F7174" s="32" t="s">
        <v>19659</v>
      </c>
      <c r="G7174" s="39" t="s">
        <v>206</v>
      </c>
      <c r="H7174" s="33"/>
      <c r="I7174" s="33"/>
      <c r="J7174" s="33"/>
      <c r="K7174" s="33"/>
      <c r="L7174" s="33"/>
      <c r="M7174" s="33"/>
    </row>
    <row r="7175">
      <c r="A7175" s="32" t="s">
        <v>19660</v>
      </c>
      <c r="B7175" s="32" t="s">
        <v>19661</v>
      </c>
      <c r="C7175" s="35">
        <v>53.56190109</v>
      </c>
      <c r="D7175" s="35">
        <v>-64.10639954</v>
      </c>
      <c r="E7175" s="32" t="s">
        <v>94</v>
      </c>
      <c r="F7175" s="32" t="s">
        <v>19662</v>
      </c>
      <c r="G7175" s="36" t="e">
        <v>#N/A</v>
      </c>
      <c r="H7175" s="33"/>
      <c r="I7175" s="33"/>
      <c r="J7175" s="33"/>
      <c r="K7175" s="33"/>
      <c r="L7175" s="33"/>
      <c r="M7175" s="33"/>
    </row>
    <row r="7176">
      <c r="A7176" s="32" t="s">
        <v>19663</v>
      </c>
      <c r="B7176" s="32" t="s">
        <v>19664</v>
      </c>
      <c r="C7176" s="35">
        <v>35.08319855</v>
      </c>
      <c r="D7176" s="35">
        <v>-108.7919998</v>
      </c>
      <c r="E7176" s="32" t="s">
        <v>180</v>
      </c>
      <c r="F7176" s="32" t="s">
        <v>19665</v>
      </c>
      <c r="G7176" s="39" t="s">
        <v>181</v>
      </c>
      <c r="H7176" s="33"/>
      <c r="I7176" s="33"/>
      <c r="J7176" s="33"/>
      <c r="K7176" s="33"/>
      <c r="L7176" s="33"/>
      <c r="M7176" s="33"/>
    </row>
    <row r="7177">
      <c r="A7177" s="32" t="s">
        <v>19666</v>
      </c>
      <c r="B7177" s="32" t="s">
        <v>19667</v>
      </c>
      <c r="C7177" s="35">
        <v>-19.56279945</v>
      </c>
      <c r="D7177" s="35">
        <v>45.45080185</v>
      </c>
      <c r="E7177" s="32" t="s">
        <v>384</v>
      </c>
      <c r="F7177" s="32" t="s">
        <v>19668</v>
      </c>
      <c r="G7177" s="36" t="e">
        <v>#N/A</v>
      </c>
      <c r="H7177" s="33"/>
      <c r="I7177" s="33"/>
      <c r="J7177" s="33"/>
      <c r="K7177" s="33"/>
      <c r="L7177" s="33"/>
      <c r="M7177" s="33"/>
    </row>
    <row r="7178">
      <c r="A7178" s="32" t="s">
        <v>19669</v>
      </c>
      <c r="B7178" s="32" t="s">
        <v>19670</v>
      </c>
      <c r="C7178" s="35">
        <v>16.55660057</v>
      </c>
      <c r="D7178" s="35">
        <v>104.7600021</v>
      </c>
      <c r="E7178" s="32" t="s">
        <v>1872</v>
      </c>
      <c r="F7178" s="32" t="s">
        <v>19671</v>
      </c>
      <c r="G7178" s="36" t="e">
        <v>#N/A</v>
      </c>
      <c r="H7178" s="33"/>
      <c r="I7178" s="33"/>
      <c r="J7178" s="33"/>
      <c r="K7178" s="33"/>
      <c r="L7178" s="33"/>
      <c r="M7178" s="33"/>
    </row>
    <row r="7179">
      <c r="A7179" s="32" t="s">
        <v>19672</v>
      </c>
      <c r="B7179" s="32" t="s">
        <v>19673</v>
      </c>
      <c r="C7179" s="35">
        <v>-14.65170002</v>
      </c>
      <c r="D7179" s="35">
        <v>49.62060165</v>
      </c>
      <c r="E7179" s="32" t="s">
        <v>384</v>
      </c>
      <c r="F7179" s="32" t="s">
        <v>19674</v>
      </c>
      <c r="G7179" s="36" t="e">
        <v>#N/A</v>
      </c>
      <c r="H7179" s="33"/>
      <c r="I7179" s="33"/>
      <c r="J7179" s="33"/>
      <c r="K7179" s="33"/>
      <c r="L7179" s="33"/>
      <c r="M7179" s="33"/>
    </row>
    <row r="7180">
      <c r="A7180" s="32" t="s">
        <v>19675</v>
      </c>
      <c r="B7180" s="32" t="s">
        <v>19676</v>
      </c>
      <c r="C7180" s="35">
        <v>58.10689926</v>
      </c>
      <c r="D7180" s="35">
        <v>-103.1719971</v>
      </c>
      <c r="E7180" s="32" t="s">
        <v>94</v>
      </c>
      <c r="F7180" s="32" t="s">
        <v>19677</v>
      </c>
      <c r="G7180" s="36" t="e">
        <v>#N/A</v>
      </c>
      <c r="H7180" s="33"/>
      <c r="I7180" s="33"/>
      <c r="J7180" s="33"/>
      <c r="K7180" s="33"/>
      <c r="L7180" s="33"/>
      <c r="M7180" s="33"/>
    </row>
    <row r="7181">
      <c r="A7181" s="32" t="s">
        <v>19678</v>
      </c>
      <c r="B7181" s="32" t="s">
        <v>19679</v>
      </c>
      <c r="C7181" s="35">
        <v>70.96111111</v>
      </c>
      <c r="D7181" s="35">
        <v>-8.575833333</v>
      </c>
      <c r="E7181" s="32" t="s">
        <v>343</v>
      </c>
      <c r="F7181" s="32" t="s">
        <v>19680</v>
      </c>
      <c r="G7181" s="36" t="e">
        <v>#N/A</v>
      </c>
      <c r="H7181" s="33"/>
      <c r="I7181" s="33"/>
      <c r="J7181" s="33"/>
      <c r="K7181" s="33"/>
      <c r="L7181" s="33"/>
      <c r="M7181" s="33"/>
    </row>
    <row r="7182">
      <c r="A7182" s="32" t="s">
        <v>19681</v>
      </c>
      <c r="B7182" s="32" t="s">
        <v>19682</v>
      </c>
      <c r="C7182" s="35">
        <v>27.5895</v>
      </c>
      <c r="D7182" s="35">
        <v>107.0007</v>
      </c>
      <c r="E7182" s="32" t="s">
        <v>205</v>
      </c>
      <c r="F7182" s="32" t="s">
        <v>19683</v>
      </c>
      <c r="G7182" s="39" t="s">
        <v>206</v>
      </c>
      <c r="H7182" s="33"/>
      <c r="I7182" s="33"/>
      <c r="J7182" s="33"/>
      <c r="K7182" s="33"/>
      <c r="L7182" s="33"/>
      <c r="M7182" s="33"/>
    </row>
    <row r="7183">
      <c r="A7183" s="32" t="s">
        <v>19684</v>
      </c>
      <c r="B7183" s="32" t="s">
        <v>19685</v>
      </c>
      <c r="C7183" s="35">
        <v>24.96319962</v>
      </c>
      <c r="D7183" s="35">
        <v>91.8667984</v>
      </c>
      <c r="E7183" s="32" t="s">
        <v>1853</v>
      </c>
      <c r="F7183" s="32" t="s">
        <v>19686</v>
      </c>
      <c r="G7183" s="36" t="e">
        <v>#N/A</v>
      </c>
      <c r="H7183" s="33"/>
      <c r="I7183" s="33"/>
      <c r="J7183" s="33"/>
      <c r="K7183" s="33"/>
      <c r="L7183" s="33"/>
      <c r="M7183" s="33"/>
    </row>
    <row r="7184">
      <c r="A7184" s="32" t="s">
        <v>19687</v>
      </c>
      <c r="B7184" s="32" t="s">
        <v>19688</v>
      </c>
      <c r="C7184" s="35">
        <v>-11.44470024</v>
      </c>
      <c r="D7184" s="35">
        <v>34.01179886</v>
      </c>
      <c r="E7184" s="32" t="s">
        <v>794</v>
      </c>
      <c r="F7184" s="32" t="s">
        <v>19689</v>
      </c>
      <c r="G7184" s="36" t="e">
        <v>#N/A</v>
      </c>
      <c r="H7184" s="33"/>
      <c r="I7184" s="33"/>
      <c r="J7184" s="33"/>
      <c r="K7184" s="33"/>
      <c r="L7184" s="33"/>
      <c r="M7184" s="33"/>
    </row>
    <row r="7185">
      <c r="A7185" s="32" t="s">
        <v>19690</v>
      </c>
      <c r="B7185" s="32" t="s">
        <v>19691</v>
      </c>
      <c r="C7185" s="35">
        <v>39.94440079</v>
      </c>
      <c r="D7185" s="35">
        <v>-81.89209747</v>
      </c>
      <c r="E7185" s="32" t="s">
        <v>180</v>
      </c>
      <c r="F7185" s="32" t="s">
        <v>19692</v>
      </c>
      <c r="G7185" s="39" t="s">
        <v>181</v>
      </c>
      <c r="H7185" s="33"/>
      <c r="I7185" s="33"/>
      <c r="J7185" s="33"/>
      <c r="K7185" s="33"/>
      <c r="L7185" s="33"/>
      <c r="M7185" s="33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K14"/>
    <hyperlink r:id="rId14" ref="Q14"/>
    <hyperlink r:id="rId15" ref="K15"/>
    <hyperlink r:id="rId16" ref="Q15"/>
    <hyperlink r:id="rId17" ref="K16"/>
    <hyperlink r:id="rId18" ref="Q16"/>
    <hyperlink r:id="rId19" ref="K17"/>
    <hyperlink r:id="rId20" ref="Q17"/>
    <hyperlink r:id="rId21" ref="K18"/>
    <hyperlink r:id="rId22" ref="Q18"/>
    <hyperlink r:id="rId23" ref="K19"/>
    <hyperlink r:id="rId24" ref="Q19"/>
    <hyperlink r:id="rId25" ref="K20"/>
    <hyperlink r:id="rId26" ref="Q20"/>
    <hyperlink r:id="rId27" ref="K21"/>
    <hyperlink r:id="rId28" ref="Q21"/>
    <hyperlink r:id="rId29" ref="K22"/>
    <hyperlink r:id="rId30" ref="Q22"/>
    <hyperlink r:id="rId31" ref="Q23"/>
    <hyperlink r:id="rId32" ref="Q24"/>
    <hyperlink r:id="rId33" ref="Q25"/>
    <hyperlink r:id="rId34" ref="Q26"/>
    <hyperlink r:id="rId35" ref="Q27"/>
    <hyperlink r:id="rId36" ref="Q28"/>
    <hyperlink r:id="rId37" ref="Q29"/>
    <hyperlink r:id="rId38" ref="Q30"/>
    <hyperlink r:id="rId39" ref="G31"/>
    <hyperlink r:id="rId40" ref="K31"/>
    <hyperlink r:id="rId41" ref="Q31"/>
    <hyperlink r:id="rId42" ref="G32"/>
    <hyperlink r:id="rId43" ref="K32"/>
    <hyperlink r:id="rId44" ref="Q32"/>
    <hyperlink r:id="rId45" ref="G33"/>
    <hyperlink r:id="rId46" ref="K33"/>
    <hyperlink r:id="rId47" ref="Q33"/>
    <hyperlink r:id="rId48" ref="G34"/>
    <hyperlink r:id="rId49" ref="K34"/>
    <hyperlink r:id="rId50" ref="G35"/>
    <hyperlink r:id="rId51" ref="K35"/>
    <hyperlink r:id="rId52" ref="G36"/>
    <hyperlink r:id="rId53" ref="K36"/>
    <hyperlink r:id="rId54" ref="G37"/>
    <hyperlink r:id="rId55" ref="K37"/>
    <hyperlink r:id="rId56" ref="G38"/>
    <hyperlink r:id="rId57" ref="K38"/>
    <hyperlink r:id="rId58" ref="G39"/>
    <hyperlink r:id="rId59" ref="K39"/>
    <hyperlink r:id="rId60" ref="G40"/>
    <hyperlink r:id="rId61" ref="K40"/>
    <hyperlink r:id="rId62" ref="G41"/>
    <hyperlink r:id="rId63" ref="K41"/>
    <hyperlink r:id="rId64" ref="G42"/>
    <hyperlink r:id="rId65" ref="K42"/>
    <hyperlink r:id="rId66" ref="G43"/>
    <hyperlink r:id="rId67" ref="K43"/>
    <hyperlink r:id="rId68" ref="G44"/>
    <hyperlink r:id="rId69" ref="K44"/>
    <hyperlink r:id="rId70" ref="G45"/>
    <hyperlink r:id="rId71" ref="K45"/>
    <hyperlink r:id="rId72" ref="G46"/>
    <hyperlink r:id="rId73" ref="K46"/>
    <hyperlink r:id="rId74" ref="G47"/>
    <hyperlink r:id="rId75" ref="K47"/>
    <hyperlink r:id="rId76" ref="G48"/>
    <hyperlink r:id="rId77" ref="K48"/>
    <hyperlink r:id="rId78" ref="G49"/>
    <hyperlink r:id="rId79" ref="K49"/>
    <hyperlink r:id="rId80" ref="G50"/>
    <hyperlink r:id="rId81" ref="K50"/>
    <hyperlink r:id="rId82" ref="G51"/>
    <hyperlink r:id="rId83" ref="K51"/>
    <hyperlink r:id="rId84" ref="G52"/>
    <hyperlink r:id="rId85" ref="K52"/>
    <hyperlink r:id="rId86" ref="G53"/>
    <hyperlink r:id="rId87" ref="K53"/>
    <hyperlink r:id="rId88" ref="G54"/>
    <hyperlink r:id="rId89" ref="K54"/>
    <hyperlink r:id="rId90" ref="G55"/>
    <hyperlink r:id="rId91" ref="K55"/>
    <hyperlink r:id="rId92" ref="G56"/>
    <hyperlink r:id="rId93" ref="K56"/>
    <hyperlink r:id="rId94" ref="G57"/>
    <hyperlink r:id="rId95" ref="K57"/>
    <hyperlink r:id="rId96" ref="G58"/>
    <hyperlink r:id="rId97" ref="K58"/>
    <hyperlink r:id="rId98" ref="G59"/>
    <hyperlink r:id="rId99" ref="K59"/>
    <hyperlink r:id="rId100" ref="G60"/>
    <hyperlink r:id="rId101" ref="K60"/>
    <hyperlink r:id="rId102" ref="G61"/>
    <hyperlink r:id="rId103" ref="K61"/>
    <hyperlink r:id="rId104" ref="G62"/>
    <hyperlink r:id="rId105" ref="K62"/>
    <hyperlink r:id="rId106" ref="G63"/>
    <hyperlink r:id="rId107" ref="K63"/>
    <hyperlink r:id="rId108" ref="G64"/>
    <hyperlink r:id="rId109" ref="K64"/>
    <hyperlink r:id="rId110" ref="G65"/>
    <hyperlink r:id="rId111" ref="G66"/>
    <hyperlink r:id="rId112" ref="G67"/>
    <hyperlink r:id="rId113" ref="G68"/>
    <hyperlink r:id="rId114" ref="G69"/>
    <hyperlink r:id="rId115" ref="G70"/>
    <hyperlink r:id="rId116" ref="G71"/>
    <hyperlink r:id="rId117" ref="G93"/>
    <hyperlink r:id="rId118" ref="G94"/>
    <hyperlink r:id="rId119" ref="G95"/>
    <hyperlink r:id="rId120" ref="G96"/>
    <hyperlink r:id="rId121" ref="G97"/>
    <hyperlink r:id="rId122" ref="G98"/>
    <hyperlink r:id="rId123" ref="G99"/>
    <hyperlink r:id="rId124" ref="G100"/>
    <hyperlink r:id="rId125" ref="G101"/>
    <hyperlink r:id="rId126" ref="G102"/>
    <hyperlink r:id="rId127" ref="G103"/>
    <hyperlink r:id="rId128" ref="G104"/>
    <hyperlink r:id="rId129" ref="G105"/>
    <hyperlink r:id="rId130" ref="G106"/>
    <hyperlink r:id="rId131" ref="G107"/>
    <hyperlink r:id="rId132" ref="G108"/>
    <hyperlink r:id="rId133" ref="G109"/>
    <hyperlink r:id="rId134" ref="G110"/>
    <hyperlink r:id="rId135" ref="G111"/>
    <hyperlink r:id="rId136" ref="G112"/>
    <hyperlink r:id="rId137" ref="G113"/>
    <hyperlink r:id="rId138" ref="G114"/>
    <hyperlink r:id="rId139" ref="G115"/>
    <hyperlink r:id="rId140" ref="G116"/>
    <hyperlink r:id="rId141" ref="G117"/>
    <hyperlink r:id="rId142" ref="G118"/>
    <hyperlink r:id="rId143" ref="G119"/>
    <hyperlink r:id="rId144" ref="G120"/>
    <hyperlink r:id="rId145" ref="G121"/>
    <hyperlink r:id="rId146" ref="G122"/>
    <hyperlink r:id="rId147" ref="G123"/>
    <hyperlink r:id="rId148" ref="G124"/>
    <hyperlink r:id="rId149" ref="G125"/>
    <hyperlink r:id="rId150" ref="G126"/>
    <hyperlink r:id="rId151" ref="G127"/>
    <hyperlink r:id="rId152" ref="G128"/>
    <hyperlink r:id="rId153" ref="G129"/>
    <hyperlink r:id="rId154" ref="G130"/>
    <hyperlink r:id="rId155" ref="G131"/>
    <hyperlink r:id="rId156" ref="G132"/>
    <hyperlink r:id="rId157" ref="G133"/>
    <hyperlink r:id="rId158" ref="G134"/>
    <hyperlink r:id="rId159" ref="G145"/>
    <hyperlink r:id="rId160" ref="G146"/>
    <hyperlink r:id="rId161" ref="G147"/>
    <hyperlink r:id="rId162" ref="G148"/>
    <hyperlink r:id="rId163" ref="G173"/>
    <hyperlink r:id="rId164" ref="G174"/>
    <hyperlink r:id="rId165" ref="G175"/>
    <hyperlink r:id="rId166" ref="G176"/>
    <hyperlink r:id="rId167" ref="G177"/>
    <hyperlink r:id="rId168" ref="G178"/>
    <hyperlink r:id="rId169" ref="G179"/>
    <hyperlink r:id="rId170" ref="G180"/>
    <hyperlink r:id="rId171" ref="G181"/>
    <hyperlink r:id="rId172" ref="G182"/>
    <hyperlink r:id="rId173" ref="G183"/>
    <hyperlink r:id="rId174" ref="G184"/>
    <hyperlink r:id="rId175" ref="G185"/>
    <hyperlink r:id="rId176" ref="G186"/>
    <hyperlink r:id="rId177" ref="G187"/>
    <hyperlink r:id="rId178" ref="G188"/>
    <hyperlink r:id="rId179" ref="G189"/>
    <hyperlink r:id="rId180" ref="G190"/>
    <hyperlink r:id="rId181" ref="G191"/>
    <hyperlink r:id="rId182" ref="G192"/>
    <hyperlink r:id="rId183" ref="G193"/>
    <hyperlink r:id="rId184" ref="G194"/>
    <hyperlink r:id="rId185" ref="G195"/>
    <hyperlink r:id="rId186" ref="G196"/>
    <hyperlink r:id="rId187" ref="G197"/>
    <hyperlink r:id="rId188" ref="G198"/>
    <hyperlink r:id="rId189" ref="G199"/>
    <hyperlink r:id="rId190" ref="G200"/>
    <hyperlink r:id="rId191" ref="G287"/>
    <hyperlink r:id="rId192" ref="G288"/>
    <hyperlink r:id="rId193" ref="G289"/>
    <hyperlink r:id="rId194" ref="G290"/>
    <hyperlink r:id="rId195" ref="G291"/>
    <hyperlink r:id="rId196" ref="G292"/>
    <hyperlink r:id="rId197" ref="G293"/>
    <hyperlink r:id="rId198" ref="G294"/>
    <hyperlink r:id="rId199" ref="G295"/>
    <hyperlink r:id="rId200" ref="G296"/>
    <hyperlink r:id="rId201" ref="G297"/>
    <hyperlink r:id="rId202" ref="G298"/>
    <hyperlink r:id="rId203" ref="G299"/>
    <hyperlink r:id="rId204" ref="G300"/>
    <hyperlink r:id="rId205" ref="G301"/>
    <hyperlink r:id="rId206" ref="G302"/>
    <hyperlink r:id="rId207" ref="G303"/>
    <hyperlink r:id="rId208" ref="G304"/>
    <hyperlink r:id="rId209" ref="G305"/>
    <hyperlink r:id="rId210" ref="G306"/>
    <hyperlink r:id="rId211" ref="G307"/>
    <hyperlink r:id="rId212" ref="G308"/>
    <hyperlink r:id="rId213" ref="G309"/>
    <hyperlink r:id="rId214" ref="G310"/>
    <hyperlink r:id="rId215" ref="G311"/>
    <hyperlink r:id="rId216" ref="G312"/>
    <hyperlink r:id="rId217" ref="G313"/>
    <hyperlink r:id="rId218" ref="G314"/>
    <hyperlink r:id="rId219" ref="G315"/>
    <hyperlink r:id="rId220" ref="G316"/>
    <hyperlink r:id="rId221" ref="G317"/>
    <hyperlink r:id="rId222" ref="G318"/>
    <hyperlink r:id="rId223" ref="G319"/>
    <hyperlink r:id="rId224" ref="G320"/>
    <hyperlink r:id="rId225" ref="G321"/>
    <hyperlink r:id="rId226" ref="G322"/>
    <hyperlink r:id="rId227" ref="G323"/>
    <hyperlink r:id="rId228" ref="G324"/>
    <hyperlink r:id="rId229" ref="G325"/>
    <hyperlink r:id="rId230" ref="G326"/>
    <hyperlink r:id="rId231" ref="G327"/>
    <hyperlink r:id="rId232" ref="G328"/>
    <hyperlink r:id="rId233" ref="G329"/>
    <hyperlink r:id="rId234" ref="G330"/>
    <hyperlink r:id="rId235" ref="G331"/>
    <hyperlink r:id="rId236" ref="G332"/>
    <hyperlink r:id="rId237" ref="G333"/>
    <hyperlink r:id="rId238" ref="G334"/>
    <hyperlink r:id="rId239" ref="G335"/>
    <hyperlink r:id="rId240" ref="G336"/>
    <hyperlink r:id="rId241" ref="G337"/>
    <hyperlink r:id="rId242" ref="G338"/>
    <hyperlink r:id="rId243" ref="G339"/>
    <hyperlink r:id="rId244" ref="G340"/>
    <hyperlink r:id="rId245" ref="G341"/>
    <hyperlink r:id="rId246" ref="G342"/>
    <hyperlink r:id="rId247" ref="G343"/>
    <hyperlink r:id="rId248" ref="G344"/>
    <hyperlink r:id="rId249" ref="G345"/>
    <hyperlink r:id="rId250" ref="G346"/>
    <hyperlink r:id="rId251" ref="G347"/>
    <hyperlink r:id="rId252" ref="G348"/>
    <hyperlink r:id="rId253" ref="G349"/>
    <hyperlink r:id="rId254" ref="G350"/>
    <hyperlink r:id="rId255" ref="G351"/>
    <hyperlink r:id="rId256" ref="G352"/>
    <hyperlink r:id="rId257" ref="G353"/>
    <hyperlink r:id="rId258" ref="G354"/>
    <hyperlink r:id="rId259" ref="G355"/>
    <hyperlink r:id="rId260" ref="G356"/>
    <hyperlink r:id="rId261" ref="G357"/>
    <hyperlink r:id="rId262" ref="G358"/>
    <hyperlink r:id="rId263" ref="G359"/>
    <hyperlink r:id="rId264" ref="G360"/>
    <hyperlink r:id="rId265" ref="G361"/>
    <hyperlink r:id="rId266" ref="G362"/>
    <hyperlink r:id="rId267" ref="G363"/>
    <hyperlink r:id="rId268" ref="G364"/>
    <hyperlink r:id="rId269" ref="G365"/>
    <hyperlink r:id="rId270" ref="G366"/>
    <hyperlink r:id="rId271" ref="G367"/>
    <hyperlink r:id="rId272" ref="G368"/>
    <hyperlink r:id="rId273" ref="G369"/>
    <hyperlink r:id="rId274" ref="G370"/>
    <hyperlink r:id="rId275" ref="G371"/>
    <hyperlink r:id="rId276" ref="G372"/>
    <hyperlink r:id="rId277" ref="G373"/>
    <hyperlink r:id="rId278" ref="G374"/>
    <hyperlink r:id="rId279" ref="G375"/>
    <hyperlink r:id="rId280" ref="G376"/>
    <hyperlink r:id="rId281" ref="G377"/>
    <hyperlink r:id="rId282" ref="G378"/>
    <hyperlink r:id="rId283" ref="G395"/>
    <hyperlink r:id="rId284" ref="G396"/>
    <hyperlink r:id="rId285" ref="G397"/>
    <hyperlink r:id="rId286" ref="G398"/>
    <hyperlink r:id="rId287" ref="G399"/>
    <hyperlink r:id="rId288" ref="G400"/>
    <hyperlink r:id="rId289" ref="G401"/>
    <hyperlink r:id="rId290" ref="G402"/>
    <hyperlink r:id="rId291" ref="G403"/>
    <hyperlink r:id="rId292" ref="G404"/>
    <hyperlink r:id="rId293" ref="G405"/>
    <hyperlink r:id="rId294" ref="G406"/>
    <hyperlink r:id="rId295" ref="G407"/>
    <hyperlink r:id="rId296" ref="G408"/>
    <hyperlink r:id="rId297" ref="G409"/>
    <hyperlink r:id="rId298" ref="G410"/>
    <hyperlink r:id="rId299" ref="G436"/>
    <hyperlink r:id="rId300" ref="G437"/>
    <hyperlink r:id="rId301" ref="G438"/>
    <hyperlink r:id="rId302" ref="G439"/>
    <hyperlink r:id="rId303" ref="G440"/>
    <hyperlink r:id="rId304" ref="G441"/>
    <hyperlink r:id="rId305" ref="G442"/>
    <hyperlink r:id="rId306" ref="G443"/>
    <hyperlink r:id="rId307" ref="G444"/>
    <hyperlink r:id="rId308" ref="G445"/>
    <hyperlink r:id="rId309" ref="G446"/>
    <hyperlink r:id="rId310" ref="G447"/>
    <hyperlink r:id="rId311" ref="G448"/>
    <hyperlink r:id="rId312" ref="G449"/>
    <hyperlink r:id="rId313" ref="G458"/>
    <hyperlink r:id="rId314" ref="G459"/>
    <hyperlink r:id="rId315" ref="G460"/>
    <hyperlink r:id="rId316" ref="G461"/>
    <hyperlink r:id="rId317" ref="G462"/>
    <hyperlink r:id="rId318" ref="G463"/>
    <hyperlink r:id="rId319" ref="G464"/>
    <hyperlink r:id="rId320" ref="G465"/>
    <hyperlink r:id="rId321" ref="G466"/>
    <hyperlink r:id="rId322" ref="G467"/>
    <hyperlink r:id="rId323" ref="G468"/>
    <hyperlink r:id="rId324" ref="G469"/>
    <hyperlink r:id="rId325" ref="G470"/>
    <hyperlink r:id="rId326" ref="G471"/>
    <hyperlink r:id="rId327" ref="G472"/>
    <hyperlink r:id="rId328" ref="G473"/>
    <hyperlink r:id="rId329" ref="G483"/>
    <hyperlink r:id="rId330" ref="G484"/>
    <hyperlink r:id="rId331" ref="G485"/>
    <hyperlink r:id="rId332" ref="G486"/>
    <hyperlink r:id="rId333" ref="G487"/>
    <hyperlink r:id="rId334" ref="G488"/>
    <hyperlink r:id="rId335" ref="G583"/>
    <hyperlink r:id="rId336" ref="G584"/>
    <hyperlink r:id="rId337" ref="G585"/>
    <hyperlink r:id="rId338" ref="G586"/>
    <hyperlink r:id="rId339" ref="G587"/>
    <hyperlink r:id="rId340" ref="G588"/>
    <hyperlink r:id="rId341" ref="G599"/>
    <hyperlink r:id="rId342" ref="G605"/>
    <hyperlink r:id="rId343" ref="G606"/>
    <hyperlink r:id="rId344" ref="G607"/>
    <hyperlink r:id="rId345" ref="G608"/>
    <hyperlink r:id="rId346" ref="G609"/>
    <hyperlink r:id="rId347" ref="G610"/>
    <hyperlink r:id="rId348" ref="G611"/>
    <hyperlink r:id="rId349" ref="G612"/>
    <hyperlink r:id="rId350" ref="G613"/>
    <hyperlink r:id="rId351" ref="G614"/>
    <hyperlink r:id="rId352" ref="G615"/>
    <hyperlink r:id="rId353" ref="G616"/>
    <hyperlink r:id="rId354" ref="G617"/>
    <hyperlink r:id="rId355" ref="G618"/>
    <hyperlink r:id="rId356" ref="G619"/>
    <hyperlink r:id="rId357" ref="G620"/>
    <hyperlink r:id="rId358" ref="G621"/>
    <hyperlink r:id="rId359" ref="G622"/>
    <hyperlink r:id="rId360" ref="G623"/>
    <hyperlink r:id="rId361" ref="G624"/>
    <hyperlink r:id="rId362" ref="G625"/>
    <hyperlink r:id="rId363" ref="G626"/>
    <hyperlink r:id="rId364" ref="G627"/>
    <hyperlink r:id="rId365" ref="G628"/>
    <hyperlink r:id="rId366" ref="G629"/>
    <hyperlink r:id="rId367" ref="G630"/>
    <hyperlink r:id="rId368" ref="G631"/>
    <hyperlink r:id="rId369" ref="G766"/>
    <hyperlink r:id="rId370" ref="G767"/>
    <hyperlink r:id="rId371" ref="G770"/>
    <hyperlink r:id="rId372" ref="G771"/>
    <hyperlink r:id="rId373" ref="G772"/>
    <hyperlink r:id="rId374" ref="G773"/>
    <hyperlink r:id="rId375" ref="G774"/>
    <hyperlink r:id="rId376" ref="G775"/>
    <hyperlink r:id="rId377" ref="G776"/>
    <hyperlink r:id="rId378" ref="G777"/>
    <hyperlink r:id="rId379" ref="G778"/>
    <hyperlink r:id="rId380" ref="G780"/>
    <hyperlink r:id="rId381" ref="G781"/>
    <hyperlink r:id="rId382" ref="G782"/>
    <hyperlink r:id="rId383" ref="G783"/>
    <hyperlink r:id="rId384" ref="G784"/>
    <hyperlink r:id="rId385" ref="G785"/>
    <hyperlink r:id="rId386" ref="G786"/>
    <hyperlink r:id="rId387" ref="G787"/>
    <hyperlink r:id="rId388" ref="G791"/>
    <hyperlink r:id="rId389" ref="G792"/>
    <hyperlink r:id="rId390" ref="G793"/>
    <hyperlink r:id="rId391" ref="G794"/>
    <hyperlink r:id="rId392" ref="G795"/>
    <hyperlink r:id="rId393" ref="G796"/>
    <hyperlink r:id="rId394" ref="G797"/>
    <hyperlink r:id="rId395" ref="G798"/>
    <hyperlink r:id="rId396" ref="G799"/>
    <hyperlink r:id="rId397" ref="G800"/>
    <hyperlink r:id="rId398" ref="G801"/>
    <hyperlink r:id="rId399" ref="G802"/>
    <hyperlink r:id="rId400" ref="G803"/>
    <hyperlink r:id="rId401" ref="G804"/>
    <hyperlink r:id="rId402" ref="G805"/>
    <hyperlink r:id="rId403" ref="G806"/>
    <hyperlink r:id="rId404" ref="G807"/>
    <hyperlink r:id="rId405" ref="G832"/>
    <hyperlink r:id="rId406" ref="G833"/>
    <hyperlink r:id="rId407" ref="G840"/>
    <hyperlink r:id="rId408" ref="G841"/>
    <hyperlink r:id="rId409" ref="G842"/>
    <hyperlink r:id="rId410" ref="G843"/>
    <hyperlink r:id="rId411" ref="G844"/>
    <hyperlink r:id="rId412" ref="G845"/>
    <hyperlink r:id="rId413" ref="G846"/>
    <hyperlink r:id="rId414" ref="G847"/>
    <hyperlink r:id="rId415" ref="G848"/>
    <hyperlink r:id="rId416" ref="G866"/>
    <hyperlink r:id="rId417" ref="G869"/>
    <hyperlink r:id="rId418" ref="G871"/>
    <hyperlink r:id="rId419" ref="G876"/>
    <hyperlink r:id="rId420" ref="G877"/>
    <hyperlink r:id="rId421" ref="G878"/>
    <hyperlink r:id="rId422" ref="G882"/>
    <hyperlink r:id="rId423" ref="G883"/>
    <hyperlink r:id="rId424" ref="G884"/>
    <hyperlink r:id="rId425" ref="G885"/>
    <hyperlink r:id="rId426" ref="G887"/>
    <hyperlink r:id="rId427" ref="G891"/>
    <hyperlink r:id="rId428" ref="G893"/>
    <hyperlink r:id="rId429" ref="G899"/>
    <hyperlink r:id="rId430" ref="G900"/>
    <hyperlink r:id="rId431" ref="G901"/>
    <hyperlink r:id="rId432" ref="G902"/>
    <hyperlink r:id="rId433" ref="G903"/>
    <hyperlink r:id="rId434" ref="G907"/>
    <hyperlink r:id="rId435" ref="G911"/>
    <hyperlink r:id="rId436" ref="G923"/>
    <hyperlink r:id="rId437" ref="G926"/>
    <hyperlink r:id="rId438" ref="G928"/>
    <hyperlink r:id="rId439" ref="G929"/>
    <hyperlink r:id="rId440" ref="G935"/>
    <hyperlink r:id="rId441" ref="G938"/>
    <hyperlink r:id="rId442" ref="G941"/>
    <hyperlink r:id="rId443" ref="G942"/>
    <hyperlink r:id="rId444" ref="G963"/>
    <hyperlink r:id="rId445" ref="G975"/>
    <hyperlink r:id="rId446" ref="G980"/>
    <hyperlink r:id="rId447" ref="G981"/>
    <hyperlink r:id="rId448" ref="G982"/>
    <hyperlink r:id="rId449" ref="G989"/>
    <hyperlink r:id="rId450" ref="G990"/>
    <hyperlink r:id="rId451" ref="G994"/>
    <hyperlink r:id="rId452" ref="G995"/>
    <hyperlink r:id="rId453" ref="G997"/>
    <hyperlink r:id="rId454" ref="G998"/>
    <hyperlink r:id="rId455" ref="G999"/>
    <hyperlink r:id="rId456" ref="G1000"/>
    <hyperlink r:id="rId457" ref="G1001"/>
    <hyperlink r:id="rId458" ref="G1004"/>
    <hyperlink r:id="rId459" ref="G1006"/>
    <hyperlink r:id="rId460" ref="G1010"/>
    <hyperlink r:id="rId461" ref="G1011"/>
    <hyperlink r:id="rId462" ref="G1012"/>
    <hyperlink r:id="rId463" ref="G1013"/>
    <hyperlink r:id="rId464" ref="G1017"/>
    <hyperlink r:id="rId465" ref="G1018"/>
    <hyperlink r:id="rId466" ref="G1019"/>
    <hyperlink r:id="rId467" ref="G1020"/>
    <hyperlink r:id="rId468" ref="G1021"/>
    <hyperlink r:id="rId469" ref="G1023"/>
    <hyperlink r:id="rId470" ref="G1024"/>
    <hyperlink r:id="rId471" ref="G1025"/>
    <hyperlink r:id="rId472" ref="G1029"/>
    <hyperlink r:id="rId473" ref="G1030"/>
    <hyperlink r:id="rId474" ref="G1031"/>
    <hyperlink r:id="rId475" ref="G1034"/>
    <hyperlink r:id="rId476" ref="G1036"/>
    <hyperlink r:id="rId477" ref="G1037"/>
    <hyperlink r:id="rId478" ref="G1038"/>
    <hyperlink r:id="rId479" ref="G1039"/>
    <hyperlink r:id="rId480" ref="G1040"/>
    <hyperlink r:id="rId481" ref="G1045"/>
    <hyperlink r:id="rId482" ref="G1046"/>
    <hyperlink r:id="rId483" ref="G1047"/>
    <hyperlink r:id="rId484" ref="G1049"/>
    <hyperlink r:id="rId485" ref="G1050"/>
    <hyperlink r:id="rId486" ref="G1052"/>
    <hyperlink r:id="rId487" ref="G1053"/>
    <hyperlink r:id="rId488" ref="G1056"/>
    <hyperlink r:id="rId489" ref="G1057"/>
    <hyperlink r:id="rId490" ref="G1058"/>
    <hyperlink r:id="rId491" ref="G1059"/>
    <hyperlink r:id="rId492" ref="G1060"/>
    <hyperlink r:id="rId493" ref="G1061"/>
    <hyperlink r:id="rId494" ref="G1062"/>
    <hyperlink r:id="rId495" ref="G1063"/>
    <hyperlink r:id="rId496" ref="G1064"/>
    <hyperlink r:id="rId497" ref="G1065"/>
    <hyperlink r:id="rId498" ref="G1066"/>
    <hyperlink r:id="rId499" ref="G1067"/>
    <hyperlink r:id="rId500" ref="G1069"/>
    <hyperlink r:id="rId501" ref="G1070"/>
    <hyperlink r:id="rId502" ref="G1071"/>
    <hyperlink r:id="rId503" ref="G1072"/>
    <hyperlink r:id="rId504" ref="G1073"/>
    <hyperlink r:id="rId505" ref="G1074"/>
    <hyperlink r:id="rId506" ref="G1075"/>
    <hyperlink r:id="rId507" ref="G1076"/>
    <hyperlink r:id="rId508" ref="G1077"/>
    <hyperlink r:id="rId509" ref="G1078"/>
    <hyperlink r:id="rId510" ref="G1079"/>
    <hyperlink r:id="rId511" ref="G1080"/>
    <hyperlink r:id="rId512" ref="G1081"/>
    <hyperlink r:id="rId513" ref="G1082"/>
    <hyperlink r:id="rId514" ref="G1083"/>
    <hyperlink r:id="rId515" ref="G1084"/>
    <hyperlink r:id="rId516" ref="G1085"/>
    <hyperlink r:id="rId517" ref="G1086"/>
    <hyperlink r:id="rId518" ref="G1087"/>
    <hyperlink r:id="rId519" ref="G1088"/>
    <hyperlink r:id="rId520" ref="G1089"/>
    <hyperlink r:id="rId521" ref="G1090"/>
    <hyperlink r:id="rId522" ref="G1091"/>
    <hyperlink r:id="rId523" ref="G1093"/>
    <hyperlink r:id="rId524" ref="G1094"/>
    <hyperlink r:id="rId525" ref="G1095"/>
    <hyperlink r:id="rId526" ref="G1096"/>
    <hyperlink r:id="rId527" ref="G1097"/>
    <hyperlink r:id="rId528" ref="G1098"/>
    <hyperlink r:id="rId529" ref="G1099"/>
    <hyperlink r:id="rId530" ref="G1100"/>
    <hyperlink r:id="rId531" ref="G1101"/>
    <hyperlink r:id="rId532" ref="G1102"/>
    <hyperlink r:id="rId533" ref="G1104"/>
    <hyperlink r:id="rId534" ref="G1106"/>
    <hyperlink r:id="rId535" ref="G1111"/>
    <hyperlink r:id="rId536" ref="G1112"/>
    <hyperlink r:id="rId537" ref="G1113"/>
    <hyperlink r:id="rId538" ref="G1126"/>
    <hyperlink r:id="rId539" ref="G1128"/>
    <hyperlink r:id="rId540" ref="G1130"/>
    <hyperlink r:id="rId541" ref="G1133"/>
    <hyperlink r:id="rId542" ref="G1135"/>
    <hyperlink r:id="rId543" ref="G1136"/>
    <hyperlink r:id="rId544" ref="G1141"/>
    <hyperlink r:id="rId545" ref="G1143"/>
    <hyperlink r:id="rId546" ref="G1144"/>
    <hyperlink r:id="rId547" ref="G1145"/>
    <hyperlink r:id="rId548" ref="G1146"/>
    <hyperlink r:id="rId549" ref="G1147"/>
    <hyperlink r:id="rId550" ref="G1148"/>
    <hyperlink r:id="rId551" ref="G1149"/>
    <hyperlink r:id="rId552" ref="G1150"/>
    <hyperlink r:id="rId553" ref="G1151"/>
    <hyperlink r:id="rId554" ref="G1152"/>
    <hyperlink r:id="rId555" ref="G1153"/>
    <hyperlink r:id="rId556" ref="G1154"/>
    <hyperlink r:id="rId557" ref="G1155"/>
    <hyperlink r:id="rId558" ref="G1156"/>
    <hyperlink r:id="rId559" ref="G1164"/>
    <hyperlink r:id="rId560" ref="G1165"/>
    <hyperlink r:id="rId561" ref="G1166"/>
    <hyperlink r:id="rId562" ref="G1167"/>
    <hyperlink r:id="rId563" ref="G1169"/>
    <hyperlink r:id="rId564" ref="G1170"/>
    <hyperlink r:id="rId565" ref="G1171"/>
    <hyperlink r:id="rId566" ref="G1172"/>
    <hyperlink r:id="rId567" ref="G1174"/>
    <hyperlink r:id="rId568" ref="G1175"/>
    <hyperlink r:id="rId569" ref="G1176"/>
    <hyperlink r:id="rId570" ref="G1177"/>
    <hyperlink r:id="rId571" ref="G1178"/>
    <hyperlink r:id="rId572" ref="G1179"/>
    <hyperlink r:id="rId573" ref="G1180"/>
    <hyperlink r:id="rId574" ref="G1182"/>
    <hyperlink r:id="rId575" ref="G1188"/>
    <hyperlink r:id="rId576" ref="G1199"/>
    <hyperlink r:id="rId577" ref="G1202"/>
    <hyperlink r:id="rId578" ref="G1203"/>
    <hyperlink r:id="rId579" ref="G1204"/>
    <hyperlink r:id="rId580" ref="G1206"/>
    <hyperlink r:id="rId581" ref="G1207"/>
    <hyperlink r:id="rId582" ref="G1208"/>
    <hyperlink r:id="rId583" ref="G1210"/>
    <hyperlink r:id="rId584" ref="G1211"/>
    <hyperlink r:id="rId585" ref="G1213"/>
    <hyperlink r:id="rId586" ref="G1214"/>
    <hyperlink r:id="rId587" ref="G1221"/>
    <hyperlink r:id="rId588" ref="G1223"/>
    <hyperlink r:id="rId589" ref="G1227"/>
    <hyperlink r:id="rId590" ref="G1231"/>
    <hyperlink r:id="rId591" ref="G1242"/>
    <hyperlink r:id="rId592" ref="G1243"/>
    <hyperlink r:id="rId593" ref="G1244"/>
    <hyperlink r:id="rId594" ref="G1246"/>
    <hyperlink r:id="rId595" ref="G1252"/>
    <hyperlink r:id="rId596" ref="G1253"/>
    <hyperlink r:id="rId597" ref="G1254"/>
    <hyperlink r:id="rId598" ref="G1259"/>
    <hyperlink r:id="rId599" ref="G1267"/>
    <hyperlink r:id="rId600" ref="G1270"/>
    <hyperlink r:id="rId601" ref="G1271"/>
    <hyperlink r:id="rId602" ref="G1274"/>
    <hyperlink r:id="rId603" ref="G1279"/>
    <hyperlink r:id="rId604" ref="G1280"/>
    <hyperlink r:id="rId605" ref="G1281"/>
    <hyperlink r:id="rId606" ref="G1283"/>
    <hyperlink r:id="rId607" ref="G1284"/>
    <hyperlink r:id="rId608" ref="G1286"/>
    <hyperlink r:id="rId609" ref="G1287"/>
    <hyperlink r:id="rId610" ref="G1291"/>
    <hyperlink r:id="rId611" ref="G1292"/>
    <hyperlink r:id="rId612" ref="G1294"/>
    <hyperlink r:id="rId613" ref="G1295"/>
    <hyperlink r:id="rId614" ref="G1296"/>
    <hyperlink r:id="rId615" ref="G1297"/>
    <hyperlink r:id="rId616" ref="G1298"/>
    <hyperlink r:id="rId617" ref="G1299"/>
    <hyperlink r:id="rId618" ref="G1300"/>
    <hyperlink r:id="rId619" ref="G1301"/>
    <hyperlink r:id="rId620" ref="G1302"/>
    <hyperlink r:id="rId621" ref="G1303"/>
    <hyperlink r:id="rId622" ref="G1304"/>
    <hyperlink r:id="rId623" ref="G1305"/>
    <hyperlink r:id="rId624" ref="G1306"/>
    <hyperlink r:id="rId625" ref="G1307"/>
    <hyperlink r:id="rId626" ref="G1308"/>
    <hyperlink r:id="rId627" ref="G1309"/>
    <hyperlink r:id="rId628" ref="G1310"/>
    <hyperlink r:id="rId629" ref="G1311"/>
    <hyperlink r:id="rId630" ref="G1312"/>
    <hyperlink r:id="rId631" ref="G1313"/>
    <hyperlink r:id="rId632" ref="G1318"/>
    <hyperlink r:id="rId633" ref="G1319"/>
    <hyperlink r:id="rId634" ref="G1320"/>
    <hyperlink r:id="rId635" ref="G1321"/>
    <hyperlink r:id="rId636" ref="G1322"/>
    <hyperlink r:id="rId637" ref="G1328"/>
    <hyperlink r:id="rId638" ref="G1329"/>
    <hyperlink r:id="rId639" ref="G1331"/>
    <hyperlink r:id="rId640" ref="G1340"/>
    <hyperlink r:id="rId641" ref="G1341"/>
    <hyperlink r:id="rId642" ref="G1342"/>
    <hyperlink r:id="rId643" ref="G1343"/>
    <hyperlink r:id="rId644" ref="G1344"/>
    <hyperlink r:id="rId645" ref="G1347"/>
    <hyperlink r:id="rId646" ref="G1351"/>
    <hyperlink r:id="rId647" ref="G1352"/>
    <hyperlink r:id="rId648" ref="G1353"/>
    <hyperlink r:id="rId649" ref="G1354"/>
    <hyperlink r:id="rId650" ref="G1355"/>
    <hyperlink r:id="rId651" ref="G1356"/>
    <hyperlink r:id="rId652" ref="G1357"/>
    <hyperlink r:id="rId653" ref="G1358"/>
    <hyperlink r:id="rId654" ref="G1359"/>
    <hyperlink r:id="rId655" ref="G1362"/>
    <hyperlink r:id="rId656" ref="G1368"/>
    <hyperlink r:id="rId657" ref="G1369"/>
    <hyperlink r:id="rId658" ref="G1370"/>
    <hyperlink r:id="rId659" ref="G1373"/>
    <hyperlink r:id="rId660" ref="G1376"/>
    <hyperlink r:id="rId661" ref="G1378"/>
    <hyperlink r:id="rId662" ref="G1379"/>
    <hyperlink r:id="rId663" ref="G1380"/>
    <hyperlink r:id="rId664" ref="G1381"/>
    <hyperlink r:id="rId665" ref="G1382"/>
    <hyperlink r:id="rId666" ref="G1383"/>
    <hyperlink r:id="rId667" ref="G1391"/>
    <hyperlink r:id="rId668" ref="G1406"/>
    <hyperlink r:id="rId669" ref="G1411"/>
    <hyperlink r:id="rId670" ref="G1418"/>
    <hyperlink r:id="rId671" ref="G1420"/>
    <hyperlink r:id="rId672" ref="G1421"/>
    <hyperlink r:id="rId673" ref="G1422"/>
    <hyperlink r:id="rId674" ref="G1423"/>
    <hyperlink r:id="rId675" ref="G1424"/>
    <hyperlink r:id="rId676" ref="G1425"/>
    <hyperlink r:id="rId677" ref="G1426"/>
    <hyperlink r:id="rId678" ref="G1428"/>
    <hyperlink r:id="rId679" ref="G1429"/>
    <hyperlink r:id="rId680" ref="G1430"/>
    <hyperlink r:id="rId681" ref="G1431"/>
    <hyperlink r:id="rId682" ref="G1432"/>
    <hyperlink r:id="rId683" ref="G1433"/>
    <hyperlink r:id="rId684" ref="G1434"/>
    <hyperlink r:id="rId685" ref="G1435"/>
    <hyperlink r:id="rId686" ref="G1436"/>
    <hyperlink r:id="rId687" ref="G1447"/>
    <hyperlink r:id="rId688" ref="G1457"/>
    <hyperlink r:id="rId689" ref="G1458"/>
    <hyperlink r:id="rId690" ref="G1459"/>
    <hyperlink r:id="rId691" ref="G1460"/>
    <hyperlink r:id="rId692" ref="G1461"/>
    <hyperlink r:id="rId693" ref="G1462"/>
    <hyperlink r:id="rId694" ref="G1463"/>
    <hyperlink r:id="rId695" ref="G1478"/>
    <hyperlink r:id="rId696" ref="G1479"/>
    <hyperlink r:id="rId697" ref="G1524"/>
    <hyperlink r:id="rId698" ref="G1532"/>
    <hyperlink r:id="rId699" ref="G1533"/>
    <hyperlink r:id="rId700" ref="G1534"/>
    <hyperlink r:id="rId701" ref="G1535"/>
    <hyperlink r:id="rId702" ref="G1536"/>
    <hyperlink r:id="rId703" ref="G1537"/>
    <hyperlink r:id="rId704" ref="G1538"/>
    <hyperlink r:id="rId705" ref="G1539"/>
    <hyperlink r:id="rId706" ref="G1540"/>
    <hyperlink r:id="rId707" ref="G1541"/>
    <hyperlink r:id="rId708" ref="G1542"/>
    <hyperlink r:id="rId709" ref="G1543"/>
    <hyperlink r:id="rId710" ref="G1544"/>
    <hyperlink r:id="rId711" ref="G1545"/>
    <hyperlink r:id="rId712" ref="G1546"/>
    <hyperlink r:id="rId713" ref="G1547"/>
    <hyperlink r:id="rId714" ref="G1548"/>
    <hyperlink r:id="rId715" ref="G1549"/>
    <hyperlink r:id="rId716" ref="G1550"/>
    <hyperlink r:id="rId717" ref="G1554"/>
    <hyperlink r:id="rId718" ref="G1555"/>
    <hyperlink r:id="rId719" ref="G1559"/>
    <hyperlink r:id="rId720" ref="G1561"/>
    <hyperlink r:id="rId721" ref="G1570"/>
    <hyperlink r:id="rId722" ref="G1573"/>
    <hyperlink r:id="rId723" ref="G1576"/>
    <hyperlink r:id="rId724" ref="G1579"/>
    <hyperlink r:id="rId725" ref="G1580"/>
    <hyperlink r:id="rId726" ref="G1585"/>
    <hyperlink r:id="rId727" ref="G1586"/>
    <hyperlink r:id="rId728" ref="G1587"/>
    <hyperlink r:id="rId729" ref="G1590"/>
    <hyperlink r:id="rId730" ref="G1594"/>
    <hyperlink r:id="rId731" ref="G1598"/>
    <hyperlink r:id="rId732" ref="G1599"/>
    <hyperlink r:id="rId733" ref="G1600"/>
    <hyperlink r:id="rId734" ref="G1601"/>
    <hyperlink r:id="rId735" ref="G1603"/>
    <hyperlink r:id="rId736" ref="G1604"/>
    <hyperlink r:id="rId737" ref="G1607"/>
    <hyperlink r:id="rId738" ref="G1611"/>
    <hyperlink r:id="rId739" ref="G1613"/>
    <hyperlink r:id="rId740" ref="G1614"/>
    <hyperlink r:id="rId741" ref="G1615"/>
    <hyperlink r:id="rId742" ref="G1617"/>
    <hyperlink r:id="rId743" ref="G1618"/>
    <hyperlink r:id="rId744" ref="G1626"/>
    <hyperlink r:id="rId745" ref="G1627"/>
    <hyperlink r:id="rId746" ref="G1630"/>
    <hyperlink r:id="rId747" ref="G1634"/>
    <hyperlink r:id="rId748" ref="G1635"/>
    <hyperlink r:id="rId749" ref="G1638"/>
    <hyperlink r:id="rId750" ref="G1639"/>
    <hyperlink r:id="rId751" ref="G1640"/>
    <hyperlink r:id="rId752" ref="G1641"/>
    <hyperlink r:id="rId753" ref="G1644"/>
    <hyperlink r:id="rId754" ref="G1646"/>
    <hyperlink r:id="rId755" ref="G1647"/>
    <hyperlink r:id="rId756" ref="G1649"/>
    <hyperlink r:id="rId757" ref="G1650"/>
    <hyperlink r:id="rId758" ref="G1652"/>
    <hyperlink r:id="rId759" ref="G1654"/>
    <hyperlink r:id="rId760" ref="G1658"/>
    <hyperlink r:id="rId761" ref="G1659"/>
    <hyperlink r:id="rId762" ref="G1660"/>
    <hyperlink r:id="rId763" ref="G1663"/>
    <hyperlink r:id="rId764" ref="G1664"/>
    <hyperlink r:id="rId765" ref="G1665"/>
    <hyperlink r:id="rId766" ref="G1670"/>
    <hyperlink r:id="rId767" ref="G1671"/>
    <hyperlink r:id="rId768" ref="G1673"/>
    <hyperlink r:id="rId769" ref="G1674"/>
    <hyperlink r:id="rId770" ref="G1679"/>
    <hyperlink r:id="rId771" ref="G1680"/>
    <hyperlink r:id="rId772" ref="G1681"/>
    <hyperlink r:id="rId773" ref="G1682"/>
    <hyperlink r:id="rId774" ref="G1684"/>
    <hyperlink r:id="rId775" ref="G1685"/>
    <hyperlink r:id="rId776" ref="G1686"/>
    <hyperlink r:id="rId777" ref="G1688"/>
    <hyperlink r:id="rId778" ref="G1689"/>
    <hyperlink r:id="rId779" ref="G1690"/>
    <hyperlink r:id="rId780" ref="G1694"/>
    <hyperlink r:id="rId781" ref="G1699"/>
    <hyperlink r:id="rId782" ref="G1700"/>
    <hyperlink r:id="rId783" ref="G1704"/>
    <hyperlink r:id="rId784" ref="G1706"/>
    <hyperlink r:id="rId785" ref="G1707"/>
    <hyperlink r:id="rId786" ref="G1708"/>
    <hyperlink r:id="rId787" ref="G1709"/>
    <hyperlink r:id="rId788" ref="G1712"/>
    <hyperlink r:id="rId789" ref="G1714"/>
    <hyperlink r:id="rId790" ref="G1715"/>
    <hyperlink r:id="rId791" ref="G1717"/>
    <hyperlink r:id="rId792" ref="G1720"/>
    <hyperlink r:id="rId793" ref="G1725"/>
    <hyperlink r:id="rId794" ref="G1728"/>
    <hyperlink r:id="rId795" ref="G1729"/>
    <hyperlink r:id="rId796" ref="G1730"/>
    <hyperlink r:id="rId797" ref="G1731"/>
    <hyperlink r:id="rId798" ref="G1733"/>
    <hyperlink r:id="rId799" ref="G1734"/>
    <hyperlink r:id="rId800" ref="G1735"/>
    <hyperlink r:id="rId801" ref="G1737"/>
    <hyperlink r:id="rId802" ref="G1738"/>
    <hyperlink r:id="rId803" ref="G1739"/>
    <hyperlink r:id="rId804" ref="G1743"/>
    <hyperlink r:id="rId805" ref="G1745"/>
    <hyperlink r:id="rId806" ref="G1746"/>
    <hyperlink r:id="rId807" ref="G1747"/>
    <hyperlink r:id="rId808" ref="G1748"/>
    <hyperlink r:id="rId809" ref="G1749"/>
    <hyperlink r:id="rId810" ref="G1750"/>
    <hyperlink r:id="rId811" ref="G1753"/>
    <hyperlink r:id="rId812" ref="G1755"/>
    <hyperlink r:id="rId813" ref="G1757"/>
    <hyperlink r:id="rId814" ref="G1758"/>
    <hyperlink r:id="rId815" ref="G1759"/>
    <hyperlink r:id="rId816" ref="G1760"/>
    <hyperlink r:id="rId817" ref="G1764"/>
    <hyperlink r:id="rId818" ref="G1771"/>
    <hyperlink r:id="rId819" ref="G1772"/>
    <hyperlink r:id="rId820" ref="G1776"/>
    <hyperlink r:id="rId821" ref="G1777"/>
    <hyperlink r:id="rId822" ref="G1778"/>
    <hyperlink r:id="rId823" ref="G1787"/>
    <hyperlink r:id="rId824" ref="G1789"/>
    <hyperlink r:id="rId825" ref="G1795"/>
    <hyperlink r:id="rId826" ref="G1797"/>
    <hyperlink r:id="rId827" ref="G1799"/>
    <hyperlink r:id="rId828" ref="G1802"/>
    <hyperlink r:id="rId829" ref="G1805"/>
    <hyperlink r:id="rId830" ref="G1806"/>
    <hyperlink r:id="rId831" ref="G1819"/>
    <hyperlink r:id="rId832" ref="G1820"/>
    <hyperlink r:id="rId833" ref="G1822"/>
    <hyperlink r:id="rId834" ref="G1824"/>
    <hyperlink r:id="rId835" ref="G1825"/>
    <hyperlink r:id="rId836" ref="G1829"/>
    <hyperlink r:id="rId837" ref="G1830"/>
    <hyperlink r:id="rId838" ref="G1831"/>
    <hyperlink r:id="rId839" ref="G1832"/>
    <hyperlink r:id="rId840" ref="G1833"/>
    <hyperlink r:id="rId841" ref="G1835"/>
    <hyperlink r:id="rId842" ref="G1836"/>
    <hyperlink r:id="rId843" ref="G1838"/>
    <hyperlink r:id="rId844" ref="G1841"/>
    <hyperlink r:id="rId845" ref="G1842"/>
    <hyperlink r:id="rId846" ref="G1845"/>
    <hyperlink r:id="rId847" ref="G1846"/>
    <hyperlink r:id="rId848" ref="G1847"/>
    <hyperlink r:id="rId849" ref="G1848"/>
    <hyperlink r:id="rId850" ref="G1850"/>
    <hyperlink r:id="rId851" ref="G1851"/>
    <hyperlink r:id="rId852" ref="G1855"/>
    <hyperlink r:id="rId853" ref="G1859"/>
    <hyperlink r:id="rId854" ref="G1862"/>
    <hyperlink r:id="rId855" ref="G1865"/>
    <hyperlink r:id="rId856" ref="G1870"/>
    <hyperlink r:id="rId857" ref="G1872"/>
    <hyperlink r:id="rId858" ref="G1874"/>
    <hyperlink r:id="rId859" ref="G1876"/>
    <hyperlink r:id="rId860" ref="G1879"/>
    <hyperlink r:id="rId861" ref="G1880"/>
    <hyperlink r:id="rId862" ref="G1881"/>
    <hyperlink r:id="rId863" ref="G1884"/>
    <hyperlink r:id="rId864" ref="G1889"/>
    <hyperlink r:id="rId865" ref="G1894"/>
    <hyperlink r:id="rId866" ref="G1896"/>
    <hyperlink r:id="rId867" ref="G1897"/>
    <hyperlink r:id="rId868" ref="G1898"/>
    <hyperlink r:id="rId869" ref="G1903"/>
    <hyperlink r:id="rId870" ref="G1906"/>
    <hyperlink r:id="rId871" ref="G1909"/>
    <hyperlink r:id="rId872" ref="G1912"/>
    <hyperlink r:id="rId873" ref="G1916"/>
    <hyperlink r:id="rId874" ref="G1918"/>
    <hyperlink r:id="rId875" ref="G1923"/>
    <hyperlink r:id="rId876" ref="G1927"/>
    <hyperlink r:id="rId877" ref="G1928"/>
    <hyperlink r:id="rId878" ref="G1932"/>
    <hyperlink r:id="rId879" ref="G1933"/>
    <hyperlink r:id="rId880" ref="G1934"/>
    <hyperlink r:id="rId881" ref="G1937"/>
    <hyperlink r:id="rId882" ref="G1938"/>
    <hyperlink r:id="rId883" ref="G1939"/>
    <hyperlink r:id="rId884" ref="G1948"/>
    <hyperlink r:id="rId885" ref="G1949"/>
    <hyperlink r:id="rId886" ref="G1950"/>
    <hyperlink r:id="rId887" ref="G1951"/>
    <hyperlink r:id="rId888" ref="G1957"/>
    <hyperlink r:id="rId889" ref="G1958"/>
    <hyperlink r:id="rId890" ref="G1960"/>
    <hyperlink r:id="rId891" ref="G1961"/>
    <hyperlink r:id="rId892" ref="G1962"/>
    <hyperlink r:id="rId893" ref="G1963"/>
    <hyperlink r:id="rId894" ref="G1966"/>
    <hyperlink r:id="rId895" ref="G1967"/>
    <hyperlink r:id="rId896" ref="G1968"/>
    <hyperlink r:id="rId897" ref="G1969"/>
    <hyperlink r:id="rId898" ref="G1970"/>
    <hyperlink r:id="rId899" ref="G1973"/>
    <hyperlink r:id="rId900" ref="G1974"/>
    <hyperlink r:id="rId901" ref="G1977"/>
    <hyperlink r:id="rId902" ref="G1979"/>
    <hyperlink r:id="rId903" ref="G1982"/>
    <hyperlink r:id="rId904" ref="G1983"/>
    <hyperlink r:id="rId905" ref="G1984"/>
    <hyperlink r:id="rId906" ref="G1989"/>
    <hyperlink r:id="rId907" ref="G1991"/>
    <hyperlink r:id="rId908" ref="G1993"/>
    <hyperlink r:id="rId909" ref="G1998"/>
    <hyperlink r:id="rId910" ref="G2000"/>
    <hyperlink r:id="rId911" ref="G2001"/>
    <hyperlink r:id="rId912" ref="G2002"/>
    <hyperlink r:id="rId913" ref="G2003"/>
    <hyperlink r:id="rId914" ref="G2004"/>
    <hyperlink r:id="rId915" ref="G2005"/>
    <hyperlink r:id="rId916" ref="G2006"/>
    <hyperlink r:id="rId917" ref="G2008"/>
    <hyperlink r:id="rId918" ref="G2011"/>
    <hyperlink r:id="rId919" ref="G2012"/>
    <hyperlink r:id="rId920" ref="G2014"/>
    <hyperlink r:id="rId921" ref="G2016"/>
    <hyperlink r:id="rId922" ref="G2017"/>
    <hyperlink r:id="rId923" ref="G2021"/>
    <hyperlink r:id="rId924" ref="G2024"/>
    <hyperlink r:id="rId925" ref="G2031"/>
    <hyperlink r:id="rId926" ref="G2032"/>
    <hyperlink r:id="rId927" ref="G2034"/>
    <hyperlink r:id="rId928" ref="G2036"/>
    <hyperlink r:id="rId929" ref="G2037"/>
    <hyperlink r:id="rId930" ref="G2038"/>
    <hyperlink r:id="rId931" ref="G2039"/>
    <hyperlink r:id="rId932" ref="G2040"/>
    <hyperlink r:id="rId933" ref="G2042"/>
    <hyperlink r:id="rId934" ref="G2043"/>
    <hyperlink r:id="rId935" ref="G2048"/>
    <hyperlink r:id="rId936" ref="G2054"/>
    <hyperlink r:id="rId937" ref="G2056"/>
    <hyperlink r:id="rId938" ref="G2057"/>
    <hyperlink r:id="rId939" ref="G2059"/>
    <hyperlink r:id="rId940" ref="G2062"/>
    <hyperlink r:id="rId941" ref="G2063"/>
    <hyperlink r:id="rId942" ref="G2065"/>
    <hyperlink r:id="rId943" ref="G2069"/>
    <hyperlink r:id="rId944" ref="G2072"/>
    <hyperlink r:id="rId945" ref="G2073"/>
    <hyperlink r:id="rId946" ref="G2074"/>
    <hyperlink r:id="rId947" ref="G2079"/>
    <hyperlink r:id="rId948" ref="G2083"/>
    <hyperlink r:id="rId949" ref="G2085"/>
    <hyperlink r:id="rId950" ref="G2090"/>
    <hyperlink r:id="rId951" ref="G2101"/>
    <hyperlink r:id="rId952" ref="G2103"/>
    <hyperlink r:id="rId953" ref="G2104"/>
    <hyperlink r:id="rId954" ref="G2106"/>
    <hyperlink r:id="rId955" ref="G2109"/>
    <hyperlink r:id="rId956" ref="G2110"/>
    <hyperlink r:id="rId957" ref="G2111"/>
    <hyperlink r:id="rId958" ref="G2112"/>
    <hyperlink r:id="rId959" ref="G2118"/>
    <hyperlink r:id="rId960" ref="G2119"/>
    <hyperlink r:id="rId961" ref="G2120"/>
    <hyperlink r:id="rId962" ref="G2124"/>
    <hyperlink r:id="rId963" ref="G2125"/>
    <hyperlink r:id="rId964" ref="G2129"/>
    <hyperlink r:id="rId965" ref="G2130"/>
    <hyperlink r:id="rId966" ref="G2138"/>
    <hyperlink r:id="rId967" ref="G2139"/>
    <hyperlink r:id="rId968" ref="G2140"/>
    <hyperlink r:id="rId969" ref="G2142"/>
    <hyperlink r:id="rId970" ref="G2145"/>
    <hyperlink r:id="rId971" ref="G2147"/>
    <hyperlink r:id="rId972" ref="G2148"/>
    <hyperlink r:id="rId973" ref="G2151"/>
    <hyperlink r:id="rId974" ref="G2152"/>
    <hyperlink r:id="rId975" ref="G2157"/>
    <hyperlink r:id="rId976" ref="G2161"/>
    <hyperlink r:id="rId977" ref="G2169"/>
    <hyperlink r:id="rId978" ref="G2172"/>
    <hyperlink r:id="rId979" ref="G2173"/>
    <hyperlink r:id="rId980" ref="G2174"/>
    <hyperlink r:id="rId981" ref="G2176"/>
    <hyperlink r:id="rId982" ref="G2178"/>
    <hyperlink r:id="rId983" ref="G2179"/>
    <hyperlink r:id="rId984" ref="G2183"/>
    <hyperlink r:id="rId985" ref="G2189"/>
    <hyperlink r:id="rId986" ref="G2192"/>
    <hyperlink r:id="rId987" ref="G2197"/>
    <hyperlink r:id="rId988" ref="G2200"/>
    <hyperlink r:id="rId989" ref="G2205"/>
    <hyperlink r:id="rId990" ref="G2208"/>
    <hyperlink r:id="rId991" ref="G2209"/>
    <hyperlink r:id="rId992" ref="G2210"/>
    <hyperlink r:id="rId993" ref="G2211"/>
    <hyperlink r:id="rId994" ref="G2212"/>
    <hyperlink r:id="rId995" ref="G2222"/>
    <hyperlink r:id="rId996" ref="G2223"/>
    <hyperlink r:id="rId997" ref="G2225"/>
    <hyperlink r:id="rId998" ref="G2229"/>
    <hyperlink r:id="rId999" ref="G2230"/>
    <hyperlink r:id="rId1000" ref="G2235"/>
    <hyperlink r:id="rId1001" ref="G2236"/>
    <hyperlink r:id="rId1002" ref="G2237"/>
    <hyperlink r:id="rId1003" ref="G2238"/>
    <hyperlink r:id="rId1004" ref="G2243"/>
    <hyperlink r:id="rId1005" ref="G2244"/>
    <hyperlink r:id="rId1006" ref="G2247"/>
    <hyperlink r:id="rId1007" ref="G2248"/>
    <hyperlink r:id="rId1008" ref="G2249"/>
    <hyperlink r:id="rId1009" ref="G2252"/>
    <hyperlink r:id="rId1010" ref="G2253"/>
    <hyperlink r:id="rId1011" ref="G2256"/>
    <hyperlink r:id="rId1012" ref="G2258"/>
    <hyperlink r:id="rId1013" ref="G2262"/>
    <hyperlink r:id="rId1014" ref="G2263"/>
    <hyperlink r:id="rId1015" ref="G2264"/>
    <hyperlink r:id="rId1016" ref="G2267"/>
    <hyperlink r:id="rId1017" ref="G2271"/>
    <hyperlink r:id="rId1018" ref="G2275"/>
    <hyperlink r:id="rId1019" ref="G2276"/>
    <hyperlink r:id="rId1020" ref="G2277"/>
    <hyperlink r:id="rId1021" ref="G2280"/>
    <hyperlink r:id="rId1022" ref="G2287"/>
    <hyperlink r:id="rId1023" ref="G2289"/>
    <hyperlink r:id="rId1024" ref="G2292"/>
    <hyperlink r:id="rId1025" ref="G2297"/>
    <hyperlink r:id="rId1026" ref="G2299"/>
    <hyperlink r:id="rId1027" ref="G2301"/>
    <hyperlink r:id="rId1028" ref="G2304"/>
    <hyperlink r:id="rId1029" ref="G2307"/>
    <hyperlink r:id="rId1030" ref="G2308"/>
    <hyperlink r:id="rId1031" ref="G2309"/>
    <hyperlink r:id="rId1032" ref="G2311"/>
    <hyperlink r:id="rId1033" ref="G2312"/>
    <hyperlink r:id="rId1034" ref="G2313"/>
    <hyperlink r:id="rId1035" ref="G2314"/>
    <hyperlink r:id="rId1036" ref="G2315"/>
    <hyperlink r:id="rId1037" ref="G2317"/>
    <hyperlink r:id="rId1038" ref="G2318"/>
    <hyperlink r:id="rId1039" ref="G2320"/>
    <hyperlink r:id="rId1040" ref="G2323"/>
    <hyperlink r:id="rId1041" ref="G2324"/>
    <hyperlink r:id="rId1042" ref="G2325"/>
    <hyperlink r:id="rId1043" ref="G2328"/>
    <hyperlink r:id="rId1044" ref="G2329"/>
    <hyperlink r:id="rId1045" ref="G2330"/>
    <hyperlink r:id="rId1046" ref="G2331"/>
    <hyperlink r:id="rId1047" ref="G2333"/>
    <hyperlink r:id="rId1048" ref="G2334"/>
    <hyperlink r:id="rId1049" ref="G2335"/>
    <hyperlink r:id="rId1050" ref="G2336"/>
    <hyperlink r:id="rId1051" ref="G2339"/>
    <hyperlink r:id="rId1052" ref="G2340"/>
    <hyperlink r:id="rId1053" ref="G2342"/>
    <hyperlink r:id="rId1054" ref="G2344"/>
    <hyperlink r:id="rId1055" ref="G2347"/>
    <hyperlink r:id="rId1056" ref="G2349"/>
    <hyperlink r:id="rId1057" ref="G2350"/>
    <hyperlink r:id="rId1058" ref="G2351"/>
    <hyperlink r:id="rId1059" ref="G2353"/>
    <hyperlink r:id="rId1060" ref="G2356"/>
    <hyperlink r:id="rId1061" ref="G2357"/>
    <hyperlink r:id="rId1062" ref="G2359"/>
    <hyperlink r:id="rId1063" ref="G2361"/>
    <hyperlink r:id="rId1064" ref="G2363"/>
    <hyperlink r:id="rId1065" ref="G2364"/>
    <hyperlink r:id="rId1066" ref="G2366"/>
    <hyperlink r:id="rId1067" ref="G2369"/>
    <hyperlink r:id="rId1068" ref="G2370"/>
    <hyperlink r:id="rId1069" ref="G2372"/>
    <hyperlink r:id="rId1070" ref="G2373"/>
    <hyperlink r:id="rId1071" ref="G2377"/>
    <hyperlink r:id="rId1072" ref="G2378"/>
    <hyperlink r:id="rId1073" ref="G2379"/>
    <hyperlink r:id="rId1074" ref="G2380"/>
    <hyperlink r:id="rId1075" ref="G2381"/>
    <hyperlink r:id="rId1076" ref="G2383"/>
    <hyperlink r:id="rId1077" ref="G2388"/>
    <hyperlink r:id="rId1078" ref="G2391"/>
    <hyperlink r:id="rId1079" ref="G2394"/>
    <hyperlink r:id="rId1080" ref="G2397"/>
    <hyperlink r:id="rId1081" ref="G2399"/>
    <hyperlink r:id="rId1082" ref="G2400"/>
    <hyperlink r:id="rId1083" ref="G2401"/>
    <hyperlink r:id="rId1084" ref="G2402"/>
    <hyperlink r:id="rId1085" ref="G2404"/>
    <hyperlink r:id="rId1086" ref="G2405"/>
    <hyperlink r:id="rId1087" ref="G2409"/>
    <hyperlink r:id="rId1088" ref="G2411"/>
    <hyperlink r:id="rId1089" ref="G2412"/>
    <hyperlink r:id="rId1090" ref="G2413"/>
    <hyperlink r:id="rId1091" ref="G2415"/>
    <hyperlink r:id="rId1092" ref="G2416"/>
    <hyperlink r:id="rId1093" ref="G2419"/>
    <hyperlink r:id="rId1094" ref="G2420"/>
    <hyperlink r:id="rId1095" ref="G2421"/>
    <hyperlink r:id="rId1096" ref="G2422"/>
    <hyperlink r:id="rId1097" ref="G2424"/>
    <hyperlink r:id="rId1098" ref="G2425"/>
    <hyperlink r:id="rId1099" ref="G2429"/>
    <hyperlink r:id="rId1100" ref="G2430"/>
    <hyperlink r:id="rId1101" ref="G2432"/>
    <hyperlink r:id="rId1102" ref="G2433"/>
    <hyperlink r:id="rId1103" ref="G2438"/>
    <hyperlink r:id="rId1104" ref="G2441"/>
    <hyperlink r:id="rId1105" ref="G2446"/>
    <hyperlink r:id="rId1106" ref="G2447"/>
    <hyperlink r:id="rId1107" ref="G2450"/>
    <hyperlink r:id="rId1108" ref="G2452"/>
    <hyperlink r:id="rId1109" ref="G2457"/>
    <hyperlink r:id="rId1110" ref="G2458"/>
    <hyperlink r:id="rId1111" ref="G2459"/>
    <hyperlink r:id="rId1112" ref="G2460"/>
    <hyperlink r:id="rId1113" ref="G2462"/>
    <hyperlink r:id="rId1114" ref="G2463"/>
    <hyperlink r:id="rId1115" ref="G2464"/>
    <hyperlink r:id="rId1116" ref="G2466"/>
    <hyperlink r:id="rId1117" ref="G2468"/>
    <hyperlink r:id="rId1118" ref="G2469"/>
    <hyperlink r:id="rId1119" ref="G2473"/>
    <hyperlink r:id="rId1120" ref="G2474"/>
    <hyperlink r:id="rId1121" ref="G2475"/>
    <hyperlink r:id="rId1122" ref="G2482"/>
    <hyperlink r:id="rId1123" ref="G2486"/>
    <hyperlink r:id="rId1124" ref="G2491"/>
    <hyperlink r:id="rId1125" ref="G2492"/>
    <hyperlink r:id="rId1126" ref="G2493"/>
    <hyperlink r:id="rId1127" ref="G2497"/>
    <hyperlink r:id="rId1128" ref="G2498"/>
    <hyperlink r:id="rId1129" ref="G2503"/>
    <hyperlink r:id="rId1130" ref="G2505"/>
    <hyperlink r:id="rId1131" ref="G2506"/>
    <hyperlink r:id="rId1132" ref="G2508"/>
    <hyperlink r:id="rId1133" ref="G2511"/>
    <hyperlink r:id="rId1134" ref="G2512"/>
    <hyperlink r:id="rId1135" ref="G2515"/>
    <hyperlink r:id="rId1136" ref="G2516"/>
    <hyperlink r:id="rId1137" ref="G2517"/>
    <hyperlink r:id="rId1138" ref="G2519"/>
    <hyperlink r:id="rId1139" ref="G2520"/>
    <hyperlink r:id="rId1140" ref="G2524"/>
    <hyperlink r:id="rId1141" ref="G2525"/>
    <hyperlink r:id="rId1142" ref="G2527"/>
    <hyperlink r:id="rId1143" ref="G2529"/>
    <hyperlink r:id="rId1144" ref="G2530"/>
    <hyperlink r:id="rId1145" ref="G2531"/>
    <hyperlink r:id="rId1146" ref="G2532"/>
    <hyperlink r:id="rId1147" ref="G2533"/>
    <hyperlink r:id="rId1148" ref="G2534"/>
    <hyperlink r:id="rId1149" ref="G2537"/>
    <hyperlink r:id="rId1150" ref="G2538"/>
    <hyperlink r:id="rId1151" ref="G2540"/>
    <hyperlink r:id="rId1152" ref="G2544"/>
    <hyperlink r:id="rId1153" ref="G2548"/>
    <hyperlink r:id="rId1154" ref="G2549"/>
    <hyperlink r:id="rId1155" ref="G2550"/>
    <hyperlink r:id="rId1156" ref="G2551"/>
    <hyperlink r:id="rId1157" ref="G2552"/>
    <hyperlink r:id="rId1158" ref="G2553"/>
    <hyperlink r:id="rId1159" ref="G2555"/>
    <hyperlink r:id="rId1160" ref="G2556"/>
    <hyperlink r:id="rId1161" ref="G2557"/>
    <hyperlink r:id="rId1162" ref="G2558"/>
    <hyperlink r:id="rId1163" ref="G2559"/>
    <hyperlink r:id="rId1164" ref="G2562"/>
    <hyperlink r:id="rId1165" ref="G2563"/>
    <hyperlink r:id="rId1166" ref="G2564"/>
    <hyperlink r:id="rId1167" ref="G2570"/>
    <hyperlink r:id="rId1168" ref="G2571"/>
    <hyperlink r:id="rId1169" ref="G2574"/>
    <hyperlink r:id="rId1170" ref="G2576"/>
    <hyperlink r:id="rId1171" ref="G2582"/>
    <hyperlink r:id="rId1172" ref="G2583"/>
    <hyperlink r:id="rId1173" ref="G2585"/>
    <hyperlink r:id="rId1174" ref="G2588"/>
    <hyperlink r:id="rId1175" ref="G2590"/>
    <hyperlink r:id="rId1176" ref="G2591"/>
    <hyperlink r:id="rId1177" ref="G2593"/>
    <hyperlink r:id="rId1178" ref="G2596"/>
    <hyperlink r:id="rId1179" ref="G2597"/>
    <hyperlink r:id="rId1180" ref="G2598"/>
    <hyperlink r:id="rId1181" ref="G2601"/>
    <hyperlink r:id="rId1182" ref="G2602"/>
    <hyperlink r:id="rId1183" ref="G2604"/>
    <hyperlink r:id="rId1184" ref="G2606"/>
    <hyperlink r:id="rId1185" ref="G2609"/>
    <hyperlink r:id="rId1186" ref="G2610"/>
    <hyperlink r:id="rId1187" ref="G2611"/>
    <hyperlink r:id="rId1188" ref="G2614"/>
    <hyperlink r:id="rId1189" ref="G2616"/>
    <hyperlink r:id="rId1190" ref="G2618"/>
    <hyperlink r:id="rId1191" ref="G2620"/>
    <hyperlink r:id="rId1192" ref="G2621"/>
    <hyperlink r:id="rId1193" ref="G2623"/>
    <hyperlink r:id="rId1194" ref="G2624"/>
    <hyperlink r:id="rId1195" ref="G2626"/>
    <hyperlink r:id="rId1196" ref="G2629"/>
    <hyperlink r:id="rId1197" ref="G2630"/>
    <hyperlink r:id="rId1198" ref="G2632"/>
    <hyperlink r:id="rId1199" ref="G2634"/>
    <hyperlink r:id="rId1200" ref="G2636"/>
    <hyperlink r:id="rId1201" ref="G2638"/>
    <hyperlink r:id="rId1202" ref="G2640"/>
    <hyperlink r:id="rId1203" ref="G2641"/>
    <hyperlink r:id="rId1204" ref="G2646"/>
    <hyperlink r:id="rId1205" ref="G2647"/>
    <hyperlink r:id="rId1206" ref="G2648"/>
    <hyperlink r:id="rId1207" ref="G2649"/>
    <hyperlink r:id="rId1208" ref="G2650"/>
    <hyperlink r:id="rId1209" ref="G2652"/>
    <hyperlink r:id="rId1210" ref="G2653"/>
    <hyperlink r:id="rId1211" ref="G2654"/>
    <hyperlink r:id="rId1212" ref="G2660"/>
    <hyperlink r:id="rId1213" ref="G2661"/>
    <hyperlink r:id="rId1214" ref="G2668"/>
    <hyperlink r:id="rId1215" ref="G2671"/>
    <hyperlink r:id="rId1216" ref="G2673"/>
    <hyperlink r:id="rId1217" ref="G2674"/>
    <hyperlink r:id="rId1218" ref="G2675"/>
    <hyperlink r:id="rId1219" ref="G2676"/>
    <hyperlink r:id="rId1220" ref="G2677"/>
    <hyperlink r:id="rId1221" ref="G2680"/>
    <hyperlink r:id="rId1222" ref="G2681"/>
    <hyperlink r:id="rId1223" ref="G2682"/>
    <hyperlink r:id="rId1224" ref="G2685"/>
    <hyperlink r:id="rId1225" ref="G2689"/>
    <hyperlink r:id="rId1226" ref="G2691"/>
    <hyperlink r:id="rId1227" ref="G2693"/>
    <hyperlink r:id="rId1228" ref="G2694"/>
    <hyperlink r:id="rId1229" ref="G2695"/>
    <hyperlink r:id="rId1230" ref="G2696"/>
    <hyperlink r:id="rId1231" ref="G2698"/>
    <hyperlink r:id="rId1232" ref="G2699"/>
    <hyperlink r:id="rId1233" ref="G2702"/>
    <hyperlink r:id="rId1234" ref="G2703"/>
    <hyperlink r:id="rId1235" ref="G2704"/>
    <hyperlink r:id="rId1236" ref="G2708"/>
    <hyperlink r:id="rId1237" ref="G2712"/>
    <hyperlink r:id="rId1238" ref="G2713"/>
    <hyperlink r:id="rId1239" ref="G2717"/>
    <hyperlink r:id="rId1240" ref="G2718"/>
    <hyperlink r:id="rId1241" ref="G2720"/>
    <hyperlink r:id="rId1242" ref="G2721"/>
    <hyperlink r:id="rId1243" ref="G2724"/>
    <hyperlink r:id="rId1244" ref="G2726"/>
    <hyperlink r:id="rId1245" ref="G2727"/>
    <hyperlink r:id="rId1246" ref="G2728"/>
    <hyperlink r:id="rId1247" ref="G2731"/>
    <hyperlink r:id="rId1248" ref="G2735"/>
    <hyperlink r:id="rId1249" ref="G2736"/>
    <hyperlink r:id="rId1250" ref="G2738"/>
    <hyperlink r:id="rId1251" ref="G2742"/>
    <hyperlink r:id="rId1252" ref="G2743"/>
    <hyperlink r:id="rId1253" ref="G2744"/>
    <hyperlink r:id="rId1254" ref="G2746"/>
    <hyperlink r:id="rId1255" ref="G2747"/>
    <hyperlink r:id="rId1256" ref="G2750"/>
    <hyperlink r:id="rId1257" ref="G2752"/>
    <hyperlink r:id="rId1258" ref="G2755"/>
    <hyperlink r:id="rId1259" ref="G2756"/>
    <hyperlink r:id="rId1260" ref="G2757"/>
    <hyperlink r:id="rId1261" ref="G2759"/>
    <hyperlink r:id="rId1262" ref="G2760"/>
    <hyperlink r:id="rId1263" ref="G2762"/>
    <hyperlink r:id="rId1264" ref="G2764"/>
    <hyperlink r:id="rId1265" ref="G2765"/>
    <hyperlink r:id="rId1266" ref="G2766"/>
    <hyperlink r:id="rId1267" ref="G2768"/>
    <hyperlink r:id="rId1268" ref="G2769"/>
    <hyperlink r:id="rId1269" ref="G2771"/>
    <hyperlink r:id="rId1270" ref="G2775"/>
    <hyperlink r:id="rId1271" ref="G2776"/>
    <hyperlink r:id="rId1272" ref="G2777"/>
    <hyperlink r:id="rId1273" ref="G2778"/>
    <hyperlink r:id="rId1274" ref="G2781"/>
    <hyperlink r:id="rId1275" ref="G2782"/>
    <hyperlink r:id="rId1276" ref="G2783"/>
    <hyperlink r:id="rId1277" ref="G2784"/>
    <hyperlink r:id="rId1278" ref="G2787"/>
    <hyperlink r:id="rId1279" ref="G2792"/>
    <hyperlink r:id="rId1280" ref="G2793"/>
    <hyperlink r:id="rId1281" ref="G2796"/>
    <hyperlink r:id="rId1282" ref="G2797"/>
    <hyperlink r:id="rId1283" ref="G2798"/>
    <hyperlink r:id="rId1284" ref="G2799"/>
    <hyperlink r:id="rId1285" ref="G2801"/>
    <hyperlink r:id="rId1286" ref="G2802"/>
    <hyperlink r:id="rId1287" ref="G2803"/>
    <hyperlink r:id="rId1288" ref="G2805"/>
    <hyperlink r:id="rId1289" ref="G2806"/>
    <hyperlink r:id="rId1290" ref="G2807"/>
    <hyperlink r:id="rId1291" ref="G2808"/>
    <hyperlink r:id="rId1292" ref="G2809"/>
    <hyperlink r:id="rId1293" ref="G2810"/>
    <hyperlink r:id="rId1294" ref="G2812"/>
    <hyperlink r:id="rId1295" ref="G2813"/>
    <hyperlink r:id="rId1296" ref="G2814"/>
    <hyperlink r:id="rId1297" ref="G2820"/>
    <hyperlink r:id="rId1298" ref="G2821"/>
    <hyperlink r:id="rId1299" ref="G2822"/>
    <hyperlink r:id="rId1300" ref="G2823"/>
    <hyperlink r:id="rId1301" ref="G2825"/>
    <hyperlink r:id="rId1302" ref="G2827"/>
    <hyperlink r:id="rId1303" ref="G2828"/>
    <hyperlink r:id="rId1304" ref="G2832"/>
    <hyperlink r:id="rId1305" ref="G2833"/>
    <hyperlink r:id="rId1306" ref="G2834"/>
    <hyperlink r:id="rId1307" ref="G2835"/>
    <hyperlink r:id="rId1308" ref="G2836"/>
    <hyperlink r:id="rId1309" ref="G2838"/>
    <hyperlink r:id="rId1310" ref="G2842"/>
    <hyperlink r:id="rId1311" ref="G2843"/>
    <hyperlink r:id="rId1312" ref="G2844"/>
    <hyperlink r:id="rId1313" ref="G2849"/>
    <hyperlink r:id="rId1314" ref="G2850"/>
    <hyperlink r:id="rId1315" ref="G2851"/>
    <hyperlink r:id="rId1316" ref="G2853"/>
    <hyperlink r:id="rId1317" ref="G2854"/>
    <hyperlink r:id="rId1318" ref="G2857"/>
    <hyperlink r:id="rId1319" ref="G2858"/>
    <hyperlink r:id="rId1320" ref="G2859"/>
    <hyperlink r:id="rId1321" ref="G2860"/>
    <hyperlink r:id="rId1322" ref="G2861"/>
    <hyperlink r:id="rId1323" ref="G2862"/>
    <hyperlink r:id="rId1324" ref="G2865"/>
    <hyperlink r:id="rId1325" ref="G2866"/>
    <hyperlink r:id="rId1326" ref="G2867"/>
    <hyperlink r:id="rId1327" ref="G2868"/>
    <hyperlink r:id="rId1328" ref="G2871"/>
    <hyperlink r:id="rId1329" ref="G2872"/>
    <hyperlink r:id="rId1330" ref="G2873"/>
    <hyperlink r:id="rId1331" ref="G2875"/>
    <hyperlink r:id="rId1332" ref="G2876"/>
    <hyperlink r:id="rId1333" ref="G2877"/>
    <hyperlink r:id="rId1334" ref="G2878"/>
    <hyperlink r:id="rId1335" ref="G2883"/>
    <hyperlink r:id="rId1336" ref="G2885"/>
    <hyperlink r:id="rId1337" ref="G2888"/>
    <hyperlink r:id="rId1338" ref="G2889"/>
    <hyperlink r:id="rId1339" ref="G2893"/>
    <hyperlink r:id="rId1340" ref="G2894"/>
    <hyperlink r:id="rId1341" ref="G2895"/>
    <hyperlink r:id="rId1342" ref="G2896"/>
    <hyperlink r:id="rId1343" ref="G2897"/>
    <hyperlink r:id="rId1344" ref="G2898"/>
    <hyperlink r:id="rId1345" ref="G2899"/>
    <hyperlink r:id="rId1346" ref="G2900"/>
    <hyperlink r:id="rId1347" ref="G2901"/>
    <hyperlink r:id="rId1348" ref="G2902"/>
    <hyperlink r:id="rId1349" ref="G2905"/>
    <hyperlink r:id="rId1350" ref="G2907"/>
    <hyperlink r:id="rId1351" ref="G2909"/>
    <hyperlink r:id="rId1352" ref="G2912"/>
    <hyperlink r:id="rId1353" ref="G2914"/>
    <hyperlink r:id="rId1354" ref="G2915"/>
    <hyperlink r:id="rId1355" ref="G2916"/>
    <hyperlink r:id="rId1356" ref="G2922"/>
    <hyperlink r:id="rId1357" ref="G2923"/>
    <hyperlink r:id="rId1358" ref="G2924"/>
    <hyperlink r:id="rId1359" ref="G2926"/>
    <hyperlink r:id="rId1360" ref="G2927"/>
    <hyperlink r:id="rId1361" ref="G2928"/>
    <hyperlink r:id="rId1362" ref="G2929"/>
    <hyperlink r:id="rId1363" ref="G2932"/>
    <hyperlink r:id="rId1364" ref="G2934"/>
    <hyperlink r:id="rId1365" ref="G2936"/>
    <hyperlink r:id="rId1366" ref="G2938"/>
    <hyperlink r:id="rId1367" ref="G2940"/>
    <hyperlink r:id="rId1368" ref="G2943"/>
    <hyperlink r:id="rId1369" ref="G2944"/>
    <hyperlink r:id="rId1370" ref="G2945"/>
    <hyperlink r:id="rId1371" ref="G2947"/>
    <hyperlink r:id="rId1372" ref="G2951"/>
    <hyperlink r:id="rId1373" ref="G2952"/>
    <hyperlink r:id="rId1374" ref="G2954"/>
    <hyperlink r:id="rId1375" ref="G2956"/>
    <hyperlink r:id="rId1376" ref="G2957"/>
    <hyperlink r:id="rId1377" ref="G2958"/>
    <hyperlink r:id="rId1378" ref="G2959"/>
    <hyperlink r:id="rId1379" ref="G2960"/>
    <hyperlink r:id="rId1380" ref="G2962"/>
    <hyperlink r:id="rId1381" ref="G2964"/>
    <hyperlink r:id="rId1382" ref="G2965"/>
    <hyperlink r:id="rId1383" ref="G2967"/>
    <hyperlink r:id="rId1384" ref="G2969"/>
    <hyperlink r:id="rId1385" ref="G2971"/>
    <hyperlink r:id="rId1386" ref="G2972"/>
    <hyperlink r:id="rId1387" ref="G2973"/>
    <hyperlink r:id="rId1388" ref="G2974"/>
    <hyperlink r:id="rId1389" ref="G2975"/>
    <hyperlink r:id="rId1390" ref="G2976"/>
    <hyperlink r:id="rId1391" ref="G2978"/>
    <hyperlink r:id="rId1392" ref="G2979"/>
    <hyperlink r:id="rId1393" ref="G2982"/>
    <hyperlink r:id="rId1394" ref="G2984"/>
    <hyperlink r:id="rId1395" ref="G2985"/>
    <hyperlink r:id="rId1396" ref="G2987"/>
    <hyperlink r:id="rId1397" ref="G2989"/>
    <hyperlink r:id="rId1398" ref="G2992"/>
    <hyperlink r:id="rId1399" ref="G2993"/>
    <hyperlink r:id="rId1400" ref="G2994"/>
    <hyperlink r:id="rId1401" ref="G2995"/>
    <hyperlink r:id="rId1402" ref="G2997"/>
    <hyperlink r:id="rId1403" ref="G2998"/>
    <hyperlink r:id="rId1404" ref="G3000"/>
    <hyperlink r:id="rId1405" ref="G3001"/>
    <hyperlink r:id="rId1406" ref="G3003"/>
    <hyperlink r:id="rId1407" ref="G3005"/>
    <hyperlink r:id="rId1408" ref="G3006"/>
    <hyperlink r:id="rId1409" ref="G3007"/>
    <hyperlink r:id="rId1410" ref="G3008"/>
    <hyperlink r:id="rId1411" ref="G3010"/>
    <hyperlink r:id="rId1412" ref="G3011"/>
    <hyperlink r:id="rId1413" ref="G3012"/>
    <hyperlink r:id="rId1414" ref="G3014"/>
    <hyperlink r:id="rId1415" ref="G3015"/>
    <hyperlink r:id="rId1416" ref="G3016"/>
    <hyperlink r:id="rId1417" ref="G3017"/>
    <hyperlink r:id="rId1418" ref="G3018"/>
    <hyperlink r:id="rId1419" ref="G3019"/>
    <hyperlink r:id="rId1420" ref="G3020"/>
    <hyperlink r:id="rId1421" ref="G3021"/>
    <hyperlink r:id="rId1422" ref="G3022"/>
    <hyperlink r:id="rId1423" ref="G3027"/>
    <hyperlink r:id="rId1424" ref="G3030"/>
    <hyperlink r:id="rId1425" ref="G3032"/>
    <hyperlink r:id="rId1426" ref="G3033"/>
    <hyperlink r:id="rId1427" ref="G3034"/>
    <hyperlink r:id="rId1428" ref="G3035"/>
    <hyperlink r:id="rId1429" ref="G3037"/>
    <hyperlink r:id="rId1430" ref="G3041"/>
    <hyperlink r:id="rId1431" ref="G3042"/>
    <hyperlink r:id="rId1432" ref="G3043"/>
    <hyperlink r:id="rId1433" ref="G3044"/>
    <hyperlink r:id="rId1434" ref="G3046"/>
    <hyperlink r:id="rId1435" ref="G3047"/>
    <hyperlink r:id="rId1436" ref="G3050"/>
    <hyperlink r:id="rId1437" ref="G3052"/>
    <hyperlink r:id="rId1438" ref="G3054"/>
    <hyperlink r:id="rId1439" ref="G3056"/>
    <hyperlink r:id="rId1440" ref="G3057"/>
    <hyperlink r:id="rId1441" ref="G3058"/>
    <hyperlink r:id="rId1442" ref="G3059"/>
    <hyperlink r:id="rId1443" ref="G3060"/>
    <hyperlink r:id="rId1444" ref="G3061"/>
    <hyperlink r:id="rId1445" ref="G3064"/>
    <hyperlink r:id="rId1446" ref="G3065"/>
    <hyperlink r:id="rId1447" ref="G3067"/>
    <hyperlink r:id="rId1448" ref="G3069"/>
    <hyperlink r:id="rId1449" ref="G3070"/>
    <hyperlink r:id="rId1450" ref="G3071"/>
    <hyperlink r:id="rId1451" ref="G3072"/>
    <hyperlink r:id="rId1452" ref="G3073"/>
    <hyperlink r:id="rId1453" ref="G3074"/>
    <hyperlink r:id="rId1454" ref="G3078"/>
    <hyperlink r:id="rId1455" ref="G3079"/>
    <hyperlink r:id="rId1456" ref="G3080"/>
    <hyperlink r:id="rId1457" ref="G3081"/>
    <hyperlink r:id="rId1458" ref="G3086"/>
    <hyperlink r:id="rId1459" ref="G3087"/>
    <hyperlink r:id="rId1460" ref="G3090"/>
    <hyperlink r:id="rId1461" ref="G3093"/>
    <hyperlink r:id="rId1462" ref="G3096"/>
    <hyperlink r:id="rId1463" ref="G3099"/>
    <hyperlink r:id="rId1464" ref="G3101"/>
    <hyperlink r:id="rId1465" ref="G3103"/>
    <hyperlink r:id="rId1466" ref="G3104"/>
    <hyperlink r:id="rId1467" ref="G3107"/>
    <hyperlink r:id="rId1468" ref="G3108"/>
    <hyperlink r:id="rId1469" ref="G3112"/>
    <hyperlink r:id="rId1470" ref="G3113"/>
    <hyperlink r:id="rId1471" ref="G3119"/>
    <hyperlink r:id="rId1472" ref="G3123"/>
    <hyperlink r:id="rId1473" ref="G3124"/>
    <hyperlink r:id="rId1474" ref="G3127"/>
    <hyperlink r:id="rId1475" ref="G3129"/>
    <hyperlink r:id="rId1476" ref="G3130"/>
    <hyperlink r:id="rId1477" ref="G3133"/>
    <hyperlink r:id="rId1478" ref="G3136"/>
    <hyperlink r:id="rId1479" ref="G3137"/>
    <hyperlink r:id="rId1480" ref="G3142"/>
    <hyperlink r:id="rId1481" ref="G3151"/>
    <hyperlink r:id="rId1482" ref="G3153"/>
    <hyperlink r:id="rId1483" ref="G3156"/>
    <hyperlink r:id="rId1484" ref="G3157"/>
    <hyperlink r:id="rId1485" ref="G3158"/>
    <hyperlink r:id="rId1486" ref="G3159"/>
    <hyperlink r:id="rId1487" ref="G3161"/>
    <hyperlink r:id="rId1488" ref="G3165"/>
    <hyperlink r:id="rId1489" ref="G3166"/>
    <hyperlink r:id="rId1490" ref="G3169"/>
    <hyperlink r:id="rId1491" ref="G3173"/>
    <hyperlink r:id="rId1492" ref="G3175"/>
    <hyperlink r:id="rId1493" ref="G3177"/>
    <hyperlink r:id="rId1494" ref="G3178"/>
    <hyperlink r:id="rId1495" ref="G3180"/>
    <hyperlink r:id="rId1496" ref="G3185"/>
    <hyperlink r:id="rId1497" ref="G3186"/>
    <hyperlink r:id="rId1498" ref="G3187"/>
    <hyperlink r:id="rId1499" ref="G3189"/>
    <hyperlink r:id="rId1500" ref="G3192"/>
    <hyperlink r:id="rId1501" ref="G3195"/>
    <hyperlink r:id="rId1502" ref="G3196"/>
    <hyperlink r:id="rId1503" ref="G3197"/>
    <hyperlink r:id="rId1504" ref="G3209"/>
    <hyperlink r:id="rId1505" ref="G3210"/>
    <hyperlink r:id="rId1506" ref="G3211"/>
    <hyperlink r:id="rId1507" ref="G3212"/>
    <hyperlink r:id="rId1508" ref="G3213"/>
    <hyperlink r:id="rId1509" ref="G3214"/>
    <hyperlink r:id="rId1510" ref="G3216"/>
    <hyperlink r:id="rId1511" ref="G3217"/>
    <hyperlink r:id="rId1512" ref="G3218"/>
    <hyperlink r:id="rId1513" ref="G3220"/>
    <hyperlink r:id="rId1514" ref="G3221"/>
    <hyperlink r:id="rId1515" ref="G3222"/>
    <hyperlink r:id="rId1516" ref="G3225"/>
    <hyperlink r:id="rId1517" ref="G3226"/>
    <hyperlink r:id="rId1518" ref="G3229"/>
    <hyperlink r:id="rId1519" ref="G3231"/>
    <hyperlink r:id="rId1520" ref="G3232"/>
    <hyperlink r:id="rId1521" ref="G3234"/>
    <hyperlink r:id="rId1522" ref="G3235"/>
    <hyperlink r:id="rId1523" ref="G3237"/>
    <hyperlink r:id="rId1524" ref="G3238"/>
    <hyperlink r:id="rId1525" ref="G3240"/>
    <hyperlink r:id="rId1526" ref="G3241"/>
    <hyperlink r:id="rId1527" ref="G3243"/>
    <hyperlink r:id="rId1528" ref="G3244"/>
    <hyperlink r:id="rId1529" ref="G3249"/>
    <hyperlink r:id="rId1530" ref="G3252"/>
    <hyperlink r:id="rId1531" ref="G3253"/>
    <hyperlink r:id="rId1532" ref="G3255"/>
    <hyperlink r:id="rId1533" ref="G3258"/>
    <hyperlink r:id="rId1534" ref="G3260"/>
    <hyperlink r:id="rId1535" ref="G3262"/>
    <hyperlink r:id="rId1536" ref="G3266"/>
    <hyperlink r:id="rId1537" ref="G3267"/>
    <hyperlink r:id="rId1538" ref="G3268"/>
    <hyperlink r:id="rId1539" ref="G3269"/>
    <hyperlink r:id="rId1540" ref="G3272"/>
    <hyperlink r:id="rId1541" ref="G3274"/>
    <hyperlink r:id="rId1542" ref="G3278"/>
    <hyperlink r:id="rId1543" ref="G3281"/>
    <hyperlink r:id="rId1544" ref="G3283"/>
    <hyperlink r:id="rId1545" ref="G3284"/>
    <hyperlink r:id="rId1546" ref="G3285"/>
    <hyperlink r:id="rId1547" ref="G3289"/>
    <hyperlink r:id="rId1548" ref="G3290"/>
    <hyperlink r:id="rId1549" ref="G3292"/>
    <hyperlink r:id="rId1550" ref="G3294"/>
    <hyperlink r:id="rId1551" ref="G3296"/>
    <hyperlink r:id="rId1552" ref="G3297"/>
    <hyperlink r:id="rId1553" ref="G3298"/>
    <hyperlink r:id="rId1554" ref="G3306"/>
    <hyperlink r:id="rId1555" ref="G3307"/>
    <hyperlink r:id="rId1556" ref="G3308"/>
    <hyperlink r:id="rId1557" ref="G3310"/>
    <hyperlink r:id="rId1558" ref="G3311"/>
    <hyperlink r:id="rId1559" ref="G3314"/>
    <hyperlink r:id="rId1560" ref="G3316"/>
    <hyperlink r:id="rId1561" ref="G3317"/>
    <hyperlink r:id="rId1562" ref="G3318"/>
    <hyperlink r:id="rId1563" ref="G3319"/>
    <hyperlink r:id="rId1564" ref="G3320"/>
    <hyperlink r:id="rId1565" ref="G3322"/>
    <hyperlink r:id="rId1566" ref="G3323"/>
    <hyperlink r:id="rId1567" ref="G3325"/>
    <hyperlink r:id="rId1568" ref="G3328"/>
    <hyperlink r:id="rId1569" ref="G3329"/>
    <hyperlink r:id="rId1570" ref="G3334"/>
    <hyperlink r:id="rId1571" ref="G3338"/>
    <hyperlink r:id="rId1572" ref="G3339"/>
    <hyperlink r:id="rId1573" ref="G3345"/>
    <hyperlink r:id="rId1574" ref="G3346"/>
    <hyperlink r:id="rId1575" ref="G3347"/>
    <hyperlink r:id="rId1576" ref="G3349"/>
    <hyperlink r:id="rId1577" ref="G3352"/>
    <hyperlink r:id="rId1578" ref="G3353"/>
    <hyperlink r:id="rId1579" ref="G3354"/>
    <hyperlink r:id="rId1580" ref="G3355"/>
    <hyperlink r:id="rId1581" ref="G3356"/>
    <hyperlink r:id="rId1582" ref="G3357"/>
    <hyperlink r:id="rId1583" ref="G3359"/>
    <hyperlink r:id="rId1584" ref="G3360"/>
    <hyperlink r:id="rId1585" ref="G3361"/>
    <hyperlink r:id="rId1586" ref="G3363"/>
    <hyperlink r:id="rId1587" ref="G3364"/>
    <hyperlink r:id="rId1588" ref="G3367"/>
    <hyperlink r:id="rId1589" ref="G3368"/>
    <hyperlink r:id="rId1590" ref="G3369"/>
    <hyperlink r:id="rId1591" ref="G3370"/>
    <hyperlink r:id="rId1592" ref="G3371"/>
    <hyperlink r:id="rId1593" ref="G3372"/>
    <hyperlink r:id="rId1594" ref="G3375"/>
    <hyperlink r:id="rId1595" ref="G3376"/>
    <hyperlink r:id="rId1596" ref="G3378"/>
    <hyperlink r:id="rId1597" ref="G3380"/>
    <hyperlink r:id="rId1598" ref="G3381"/>
    <hyperlink r:id="rId1599" ref="G3383"/>
    <hyperlink r:id="rId1600" ref="G3385"/>
    <hyperlink r:id="rId1601" ref="G3391"/>
    <hyperlink r:id="rId1602" ref="G3393"/>
    <hyperlink r:id="rId1603" ref="G3394"/>
    <hyperlink r:id="rId1604" ref="G3397"/>
    <hyperlink r:id="rId1605" ref="G3398"/>
    <hyperlink r:id="rId1606" ref="G3399"/>
    <hyperlink r:id="rId1607" ref="G3400"/>
    <hyperlink r:id="rId1608" ref="G3401"/>
    <hyperlink r:id="rId1609" ref="G3402"/>
    <hyperlink r:id="rId1610" ref="G3403"/>
    <hyperlink r:id="rId1611" ref="G3404"/>
    <hyperlink r:id="rId1612" ref="G3406"/>
    <hyperlink r:id="rId1613" ref="G3413"/>
    <hyperlink r:id="rId1614" ref="G3414"/>
    <hyperlink r:id="rId1615" ref="G3415"/>
    <hyperlink r:id="rId1616" ref="G3416"/>
    <hyperlink r:id="rId1617" ref="G3417"/>
    <hyperlink r:id="rId1618" ref="G3418"/>
    <hyperlink r:id="rId1619" ref="G3419"/>
    <hyperlink r:id="rId1620" ref="G3422"/>
    <hyperlink r:id="rId1621" ref="G3423"/>
    <hyperlink r:id="rId1622" ref="G3425"/>
    <hyperlink r:id="rId1623" ref="G3426"/>
    <hyperlink r:id="rId1624" ref="G3427"/>
    <hyperlink r:id="rId1625" ref="G3428"/>
    <hyperlink r:id="rId1626" ref="G3433"/>
    <hyperlink r:id="rId1627" ref="G3435"/>
    <hyperlink r:id="rId1628" ref="G3436"/>
    <hyperlink r:id="rId1629" ref="G3437"/>
    <hyperlink r:id="rId1630" ref="G3438"/>
    <hyperlink r:id="rId1631" ref="G3439"/>
    <hyperlink r:id="rId1632" ref="G3440"/>
    <hyperlink r:id="rId1633" ref="G3442"/>
    <hyperlink r:id="rId1634" ref="G3443"/>
    <hyperlink r:id="rId1635" ref="G3444"/>
    <hyperlink r:id="rId1636" ref="G3448"/>
    <hyperlink r:id="rId1637" ref="G3449"/>
    <hyperlink r:id="rId1638" ref="G3450"/>
    <hyperlink r:id="rId1639" ref="G3451"/>
    <hyperlink r:id="rId1640" ref="G3452"/>
    <hyperlink r:id="rId1641" ref="G3454"/>
    <hyperlink r:id="rId1642" ref="G3455"/>
    <hyperlink r:id="rId1643" ref="G3456"/>
    <hyperlink r:id="rId1644" ref="G3458"/>
    <hyperlink r:id="rId1645" ref="G3461"/>
    <hyperlink r:id="rId1646" ref="G3463"/>
    <hyperlink r:id="rId1647" ref="G3464"/>
    <hyperlink r:id="rId1648" ref="G3468"/>
    <hyperlink r:id="rId1649" ref="G3469"/>
    <hyperlink r:id="rId1650" ref="G3474"/>
    <hyperlink r:id="rId1651" ref="G3475"/>
    <hyperlink r:id="rId1652" ref="G3476"/>
    <hyperlink r:id="rId1653" ref="G3477"/>
    <hyperlink r:id="rId1654" ref="G3478"/>
    <hyperlink r:id="rId1655" ref="G3480"/>
    <hyperlink r:id="rId1656" ref="G3481"/>
    <hyperlink r:id="rId1657" ref="G3482"/>
    <hyperlink r:id="rId1658" ref="G3483"/>
    <hyperlink r:id="rId1659" ref="G3484"/>
    <hyperlink r:id="rId1660" ref="G3485"/>
    <hyperlink r:id="rId1661" ref="G3487"/>
    <hyperlink r:id="rId1662" ref="G3488"/>
    <hyperlink r:id="rId1663" ref="G3489"/>
    <hyperlink r:id="rId1664" ref="G3491"/>
    <hyperlink r:id="rId1665" ref="G3493"/>
    <hyperlink r:id="rId1666" ref="G3495"/>
    <hyperlink r:id="rId1667" ref="G3496"/>
    <hyperlink r:id="rId1668" ref="G3497"/>
    <hyperlink r:id="rId1669" ref="G3498"/>
    <hyperlink r:id="rId1670" ref="G3500"/>
    <hyperlink r:id="rId1671" ref="G3506"/>
    <hyperlink r:id="rId1672" ref="G3507"/>
    <hyperlink r:id="rId1673" ref="G3510"/>
    <hyperlink r:id="rId1674" ref="G3511"/>
    <hyperlink r:id="rId1675" ref="G3512"/>
    <hyperlink r:id="rId1676" ref="G3513"/>
    <hyperlink r:id="rId1677" ref="G3514"/>
    <hyperlink r:id="rId1678" ref="G3515"/>
    <hyperlink r:id="rId1679" ref="G3516"/>
    <hyperlink r:id="rId1680" ref="G3517"/>
    <hyperlink r:id="rId1681" ref="G3518"/>
    <hyperlink r:id="rId1682" ref="G3528"/>
    <hyperlink r:id="rId1683" ref="G3529"/>
    <hyperlink r:id="rId1684" ref="G3530"/>
    <hyperlink r:id="rId1685" ref="G3532"/>
    <hyperlink r:id="rId1686" ref="G3535"/>
    <hyperlink r:id="rId1687" ref="G3536"/>
    <hyperlink r:id="rId1688" ref="G3538"/>
    <hyperlink r:id="rId1689" ref="G3541"/>
    <hyperlink r:id="rId1690" ref="G3542"/>
    <hyperlink r:id="rId1691" ref="G3547"/>
    <hyperlink r:id="rId1692" ref="G3548"/>
    <hyperlink r:id="rId1693" ref="G3550"/>
    <hyperlink r:id="rId1694" ref="G3551"/>
    <hyperlink r:id="rId1695" ref="G3552"/>
    <hyperlink r:id="rId1696" ref="G3553"/>
    <hyperlink r:id="rId1697" ref="G3558"/>
    <hyperlink r:id="rId1698" ref="G3561"/>
    <hyperlink r:id="rId1699" ref="G3563"/>
    <hyperlink r:id="rId1700" ref="G3565"/>
    <hyperlink r:id="rId1701" ref="G3567"/>
    <hyperlink r:id="rId1702" ref="G3568"/>
    <hyperlink r:id="rId1703" ref="G3572"/>
    <hyperlink r:id="rId1704" ref="G3573"/>
    <hyperlink r:id="rId1705" ref="G3574"/>
    <hyperlink r:id="rId1706" ref="G3577"/>
    <hyperlink r:id="rId1707" ref="G3578"/>
    <hyperlink r:id="rId1708" ref="G3579"/>
    <hyperlink r:id="rId1709" ref="G3581"/>
    <hyperlink r:id="rId1710" ref="G3582"/>
    <hyperlink r:id="rId1711" ref="G3585"/>
    <hyperlink r:id="rId1712" ref="G3587"/>
    <hyperlink r:id="rId1713" ref="G3589"/>
    <hyperlink r:id="rId1714" ref="G3594"/>
    <hyperlink r:id="rId1715" ref="G3596"/>
    <hyperlink r:id="rId1716" ref="G3597"/>
    <hyperlink r:id="rId1717" ref="G3598"/>
    <hyperlink r:id="rId1718" ref="G3602"/>
    <hyperlink r:id="rId1719" ref="G3607"/>
    <hyperlink r:id="rId1720" ref="G3612"/>
    <hyperlink r:id="rId1721" ref="G3613"/>
    <hyperlink r:id="rId1722" ref="G3614"/>
    <hyperlink r:id="rId1723" ref="G3615"/>
    <hyperlink r:id="rId1724" ref="G3616"/>
    <hyperlink r:id="rId1725" ref="G3617"/>
    <hyperlink r:id="rId1726" ref="G3618"/>
    <hyperlink r:id="rId1727" ref="G3619"/>
    <hyperlink r:id="rId1728" ref="G3620"/>
    <hyperlink r:id="rId1729" ref="G3621"/>
    <hyperlink r:id="rId1730" ref="G3623"/>
    <hyperlink r:id="rId1731" ref="G3625"/>
    <hyperlink r:id="rId1732" ref="G3626"/>
    <hyperlink r:id="rId1733" ref="G3627"/>
    <hyperlink r:id="rId1734" ref="G3629"/>
    <hyperlink r:id="rId1735" ref="G3636"/>
    <hyperlink r:id="rId1736" ref="G3637"/>
    <hyperlink r:id="rId1737" ref="G3638"/>
    <hyperlink r:id="rId1738" ref="G3639"/>
    <hyperlink r:id="rId1739" ref="G3640"/>
    <hyperlink r:id="rId1740" ref="G3641"/>
    <hyperlink r:id="rId1741" ref="G3642"/>
    <hyperlink r:id="rId1742" ref="G3643"/>
    <hyperlink r:id="rId1743" ref="G3644"/>
    <hyperlink r:id="rId1744" ref="G3645"/>
    <hyperlink r:id="rId1745" ref="G3646"/>
    <hyperlink r:id="rId1746" ref="G3647"/>
    <hyperlink r:id="rId1747" ref="G3648"/>
    <hyperlink r:id="rId1748" ref="G3649"/>
    <hyperlink r:id="rId1749" ref="G3650"/>
    <hyperlink r:id="rId1750" ref="G3651"/>
    <hyperlink r:id="rId1751" ref="G3652"/>
    <hyperlink r:id="rId1752" ref="G3653"/>
    <hyperlink r:id="rId1753" ref="G3654"/>
    <hyperlink r:id="rId1754" ref="G3655"/>
    <hyperlink r:id="rId1755" ref="G3656"/>
    <hyperlink r:id="rId1756" ref="G3657"/>
    <hyperlink r:id="rId1757" ref="G3658"/>
    <hyperlink r:id="rId1758" ref="G3660"/>
    <hyperlink r:id="rId1759" ref="G3661"/>
    <hyperlink r:id="rId1760" ref="G3664"/>
    <hyperlink r:id="rId1761" ref="G3668"/>
    <hyperlink r:id="rId1762" ref="G3669"/>
    <hyperlink r:id="rId1763" ref="G3670"/>
    <hyperlink r:id="rId1764" ref="G3671"/>
    <hyperlink r:id="rId1765" ref="G3673"/>
    <hyperlink r:id="rId1766" ref="G3675"/>
    <hyperlink r:id="rId1767" ref="G3678"/>
    <hyperlink r:id="rId1768" ref="G3680"/>
    <hyperlink r:id="rId1769" ref="G3682"/>
    <hyperlink r:id="rId1770" ref="G3684"/>
    <hyperlink r:id="rId1771" ref="G3687"/>
    <hyperlink r:id="rId1772" ref="G3690"/>
    <hyperlink r:id="rId1773" ref="G3691"/>
    <hyperlink r:id="rId1774" ref="G3693"/>
    <hyperlink r:id="rId1775" ref="G3694"/>
    <hyperlink r:id="rId1776" ref="G3695"/>
    <hyperlink r:id="rId1777" ref="G3698"/>
    <hyperlink r:id="rId1778" ref="G3699"/>
    <hyperlink r:id="rId1779" ref="G3702"/>
    <hyperlink r:id="rId1780" ref="G3708"/>
    <hyperlink r:id="rId1781" ref="G3711"/>
    <hyperlink r:id="rId1782" ref="G3713"/>
    <hyperlink r:id="rId1783" ref="G3718"/>
    <hyperlink r:id="rId1784" ref="G3719"/>
    <hyperlink r:id="rId1785" ref="G3722"/>
    <hyperlink r:id="rId1786" ref="G3723"/>
    <hyperlink r:id="rId1787" ref="G3725"/>
    <hyperlink r:id="rId1788" ref="G3728"/>
    <hyperlink r:id="rId1789" ref="G3730"/>
    <hyperlink r:id="rId1790" ref="G3738"/>
    <hyperlink r:id="rId1791" ref="G3743"/>
    <hyperlink r:id="rId1792" ref="G3746"/>
    <hyperlink r:id="rId1793" ref="G3751"/>
    <hyperlink r:id="rId1794" ref="G3753"/>
    <hyperlink r:id="rId1795" ref="G3760"/>
    <hyperlink r:id="rId1796" ref="G3765"/>
    <hyperlink r:id="rId1797" ref="G3767"/>
    <hyperlink r:id="rId1798" ref="G3769"/>
    <hyperlink r:id="rId1799" ref="G3770"/>
    <hyperlink r:id="rId1800" ref="G3771"/>
    <hyperlink r:id="rId1801" ref="G3772"/>
    <hyperlink r:id="rId1802" ref="G3774"/>
    <hyperlink r:id="rId1803" ref="G3775"/>
    <hyperlink r:id="rId1804" ref="G3776"/>
    <hyperlink r:id="rId1805" ref="G3777"/>
    <hyperlink r:id="rId1806" ref="G3782"/>
    <hyperlink r:id="rId1807" ref="G3785"/>
    <hyperlink r:id="rId1808" ref="G3799"/>
    <hyperlink r:id="rId1809" ref="G3801"/>
    <hyperlink r:id="rId1810" ref="G3803"/>
    <hyperlink r:id="rId1811" ref="G3805"/>
    <hyperlink r:id="rId1812" ref="G3817"/>
    <hyperlink r:id="rId1813" ref="G3830"/>
    <hyperlink r:id="rId1814" ref="G3831"/>
    <hyperlink r:id="rId1815" ref="G3840"/>
    <hyperlink r:id="rId1816" ref="G3850"/>
    <hyperlink r:id="rId1817" ref="G3854"/>
    <hyperlink r:id="rId1818" ref="G3863"/>
    <hyperlink r:id="rId1819" ref="G3868"/>
    <hyperlink r:id="rId1820" ref="G3873"/>
    <hyperlink r:id="rId1821" ref="G3875"/>
    <hyperlink r:id="rId1822" ref="G3876"/>
    <hyperlink r:id="rId1823" ref="G3877"/>
    <hyperlink r:id="rId1824" ref="G3878"/>
    <hyperlink r:id="rId1825" ref="G3879"/>
    <hyperlink r:id="rId1826" ref="G3881"/>
    <hyperlink r:id="rId1827" ref="G3882"/>
    <hyperlink r:id="rId1828" ref="G3886"/>
    <hyperlink r:id="rId1829" ref="G3890"/>
    <hyperlink r:id="rId1830" ref="G3891"/>
    <hyperlink r:id="rId1831" ref="G3892"/>
    <hyperlink r:id="rId1832" ref="G3895"/>
    <hyperlink r:id="rId1833" ref="G3898"/>
    <hyperlink r:id="rId1834" ref="G3904"/>
    <hyperlink r:id="rId1835" ref="G3906"/>
    <hyperlink r:id="rId1836" ref="G3907"/>
    <hyperlink r:id="rId1837" ref="G3909"/>
    <hyperlink r:id="rId1838" ref="G3911"/>
    <hyperlink r:id="rId1839" ref="G3918"/>
    <hyperlink r:id="rId1840" ref="G3925"/>
    <hyperlink r:id="rId1841" ref="G3926"/>
    <hyperlink r:id="rId1842" ref="G3928"/>
    <hyperlink r:id="rId1843" ref="G3931"/>
    <hyperlink r:id="rId1844" ref="G3932"/>
    <hyperlink r:id="rId1845" ref="G3935"/>
    <hyperlink r:id="rId1846" ref="G3937"/>
    <hyperlink r:id="rId1847" ref="G3940"/>
    <hyperlink r:id="rId1848" ref="G3942"/>
    <hyperlink r:id="rId1849" ref="G3943"/>
    <hyperlink r:id="rId1850" ref="G3945"/>
    <hyperlink r:id="rId1851" ref="G3946"/>
    <hyperlink r:id="rId1852" ref="G3950"/>
    <hyperlink r:id="rId1853" ref="G3952"/>
    <hyperlink r:id="rId1854" ref="G3953"/>
    <hyperlink r:id="rId1855" ref="G3962"/>
    <hyperlink r:id="rId1856" ref="G3967"/>
    <hyperlink r:id="rId1857" ref="G3973"/>
    <hyperlink r:id="rId1858" ref="G3979"/>
    <hyperlink r:id="rId1859" ref="G3982"/>
    <hyperlink r:id="rId1860" ref="G3989"/>
    <hyperlink r:id="rId1861" ref="G3992"/>
    <hyperlink r:id="rId1862" ref="G3994"/>
    <hyperlink r:id="rId1863" ref="G3995"/>
    <hyperlink r:id="rId1864" ref="G4001"/>
    <hyperlink r:id="rId1865" ref="G4002"/>
    <hyperlink r:id="rId1866" ref="G4004"/>
    <hyperlink r:id="rId1867" ref="G4008"/>
    <hyperlink r:id="rId1868" ref="G4009"/>
    <hyperlink r:id="rId1869" ref="G4012"/>
    <hyperlink r:id="rId1870" ref="G4016"/>
    <hyperlink r:id="rId1871" ref="G4021"/>
    <hyperlink r:id="rId1872" ref="G4024"/>
    <hyperlink r:id="rId1873" ref="G4025"/>
    <hyperlink r:id="rId1874" ref="G4026"/>
    <hyperlink r:id="rId1875" ref="G4028"/>
    <hyperlink r:id="rId1876" ref="G4029"/>
    <hyperlink r:id="rId1877" ref="G4033"/>
    <hyperlink r:id="rId1878" ref="G4035"/>
    <hyperlink r:id="rId1879" ref="G4038"/>
    <hyperlink r:id="rId1880" ref="G4043"/>
    <hyperlink r:id="rId1881" ref="G4045"/>
    <hyperlink r:id="rId1882" ref="G4048"/>
    <hyperlink r:id="rId1883" ref="G4049"/>
    <hyperlink r:id="rId1884" ref="G4051"/>
    <hyperlink r:id="rId1885" ref="G4052"/>
    <hyperlink r:id="rId1886" ref="G4053"/>
    <hyperlink r:id="rId1887" ref="G4055"/>
    <hyperlink r:id="rId1888" ref="G4057"/>
    <hyperlink r:id="rId1889" ref="G4058"/>
    <hyperlink r:id="rId1890" ref="G4060"/>
    <hyperlink r:id="rId1891" ref="G4061"/>
    <hyperlink r:id="rId1892" ref="G4064"/>
    <hyperlink r:id="rId1893" ref="G4065"/>
    <hyperlink r:id="rId1894" ref="G4066"/>
    <hyperlink r:id="rId1895" ref="G4068"/>
    <hyperlink r:id="rId1896" ref="G4069"/>
    <hyperlink r:id="rId1897" ref="G4070"/>
    <hyperlink r:id="rId1898" ref="G4071"/>
    <hyperlink r:id="rId1899" ref="G4073"/>
    <hyperlink r:id="rId1900" ref="G4077"/>
    <hyperlink r:id="rId1901" ref="G4084"/>
    <hyperlink r:id="rId1902" ref="G4086"/>
    <hyperlink r:id="rId1903" ref="G4087"/>
    <hyperlink r:id="rId1904" ref="G4088"/>
    <hyperlink r:id="rId1905" ref="G4089"/>
    <hyperlink r:id="rId1906" ref="G4091"/>
    <hyperlink r:id="rId1907" ref="G4092"/>
    <hyperlink r:id="rId1908" ref="G4093"/>
    <hyperlink r:id="rId1909" ref="G4095"/>
    <hyperlink r:id="rId1910" ref="G4099"/>
    <hyperlink r:id="rId1911" ref="G4101"/>
    <hyperlink r:id="rId1912" ref="G4103"/>
    <hyperlink r:id="rId1913" ref="G4106"/>
    <hyperlink r:id="rId1914" ref="G4108"/>
    <hyperlink r:id="rId1915" ref="G4111"/>
    <hyperlink r:id="rId1916" ref="G4112"/>
    <hyperlink r:id="rId1917" ref="G4113"/>
    <hyperlink r:id="rId1918" ref="G4114"/>
    <hyperlink r:id="rId1919" ref="G4117"/>
    <hyperlink r:id="rId1920" ref="G4118"/>
    <hyperlink r:id="rId1921" ref="G4121"/>
    <hyperlink r:id="rId1922" ref="G4123"/>
    <hyperlink r:id="rId1923" ref="G4124"/>
    <hyperlink r:id="rId1924" ref="G4125"/>
    <hyperlink r:id="rId1925" ref="G4126"/>
    <hyperlink r:id="rId1926" ref="G4127"/>
    <hyperlink r:id="rId1927" ref="G4129"/>
    <hyperlink r:id="rId1928" ref="G4131"/>
    <hyperlink r:id="rId1929" ref="G4132"/>
    <hyperlink r:id="rId1930" ref="G4133"/>
    <hyperlink r:id="rId1931" ref="G4134"/>
    <hyperlink r:id="rId1932" ref="G4140"/>
    <hyperlink r:id="rId1933" ref="G4144"/>
    <hyperlink r:id="rId1934" ref="G4145"/>
    <hyperlink r:id="rId1935" ref="G4146"/>
    <hyperlink r:id="rId1936" ref="G4148"/>
    <hyperlink r:id="rId1937" ref="G4151"/>
    <hyperlink r:id="rId1938" ref="G4152"/>
    <hyperlink r:id="rId1939" ref="G4153"/>
    <hyperlink r:id="rId1940" ref="G4155"/>
    <hyperlink r:id="rId1941" ref="G4156"/>
    <hyperlink r:id="rId1942" ref="G4157"/>
    <hyperlink r:id="rId1943" ref="G4158"/>
    <hyperlink r:id="rId1944" ref="G4160"/>
    <hyperlink r:id="rId1945" ref="G4161"/>
    <hyperlink r:id="rId1946" ref="G4163"/>
    <hyperlink r:id="rId1947" ref="G4165"/>
    <hyperlink r:id="rId1948" ref="G4170"/>
    <hyperlink r:id="rId1949" ref="G4171"/>
    <hyperlink r:id="rId1950" ref="G4175"/>
    <hyperlink r:id="rId1951" ref="G4182"/>
    <hyperlink r:id="rId1952" ref="G4183"/>
    <hyperlink r:id="rId1953" ref="G4187"/>
    <hyperlink r:id="rId1954" ref="G4190"/>
    <hyperlink r:id="rId1955" ref="G4193"/>
    <hyperlink r:id="rId1956" ref="G4194"/>
    <hyperlink r:id="rId1957" ref="G4196"/>
    <hyperlink r:id="rId1958" ref="G4197"/>
    <hyperlink r:id="rId1959" ref="G4199"/>
    <hyperlink r:id="rId1960" ref="G4200"/>
    <hyperlink r:id="rId1961" ref="G4202"/>
    <hyperlink r:id="rId1962" ref="G4204"/>
    <hyperlink r:id="rId1963" ref="G4205"/>
    <hyperlink r:id="rId1964" ref="G4207"/>
    <hyperlink r:id="rId1965" ref="G4208"/>
    <hyperlink r:id="rId1966" ref="G4209"/>
    <hyperlink r:id="rId1967" ref="G4212"/>
    <hyperlink r:id="rId1968" ref="G4215"/>
    <hyperlink r:id="rId1969" ref="G4219"/>
    <hyperlink r:id="rId1970" ref="G4220"/>
    <hyperlink r:id="rId1971" ref="G4221"/>
    <hyperlink r:id="rId1972" ref="G4222"/>
    <hyperlink r:id="rId1973" ref="G4223"/>
    <hyperlink r:id="rId1974" ref="G4225"/>
    <hyperlink r:id="rId1975" ref="G4230"/>
    <hyperlink r:id="rId1976" ref="G4234"/>
    <hyperlink r:id="rId1977" ref="G4235"/>
    <hyperlink r:id="rId1978" ref="G4236"/>
    <hyperlink r:id="rId1979" ref="G4239"/>
    <hyperlink r:id="rId1980" ref="G4241"/>
    <hyperlink r:id="rId1981" ref="G4243"/>
    <hyperlink r:id="rId1982" ref="G4245"/>
    <hyperlink r:id="rId1983" ref="G4246"/>
    <hyperlink r:id="rId1984" ref="G4249"/>
    <hyperlink r:id="rId1985" ref="G4252"/>
    <hyperlink r:id="rId1986" ref="G4253"/>
    <hyperlink r:id="rId1987" ref="G4256"/>
    <hyperlink r:id="rId1988" ref="G4257"/>
    <hyperlink r:id="rId1989" ref="G4259"/>
    <hyperlink r:id="rId1990" ref="G4264"/>
    <hyperlink r:id="rId1991" ref="G4267"/>
    <hyperlink r:id="rId1992" ref="G4273"/>
    <hyperlink r:id="rId1993" ref="G4274"/>
    <hyperlink r:id="rId1994" ref="G4275"/>
    <hyperlink r:id="rId1995" ref="G4276"/>
    <hyperlink r:id="rId1996" ref="G4277"/>
    <hyperlink r:id="rId1997" ref="G4281"/>
    <hyperlink r:id="rId1998" ref="G4283"/>
    <hyperlink r:id="rId1999" ref="G4284"/>
    <hyperlink r:id="rId2000" ref="G4285"/>
    <hyperlink r:id="rId2001" ref="G4288"/>
    <hyperlink r:id="rId2002" ref="G4290"/>
    <hyperlink r:id="rId2003" ref="G4294"/>
    <hyperlink r:id="rId2004" ref="G4296"/>
    <hyperlink r:id="rId2005" ref="G4297"/>
    <hyperlink r:id="rId2006" ref="G4300"/>
    <hyperlink r:id="rId2007" ref="G4301"/>
    <hyperlink r:id="rId2008" ref="G4302"/>
    <hyperlink r:id="rId2009" ref="G4303"/>
    <hyperlink r:id="rId2010" ref="G4304"/>
    <hyperlink r:id="rId2011" ref="G4305"/>
    <hyperlink r:id="rId2012" ref="G4308"/>
    <hyperlink r:id="rId2013" ref="G4309"/>
    <hyperlink r:id="rId2014" ref="G4310"/>
    <hyperlink r:id="rId2015" ref="G4312"/>
    <hyperlink r:id="rId2016" ref="G4314"/>
    <hyperlink r:id="rId2017" ref="G4317"/>
    <hyperlink r:id="rId2018" ref="G4320"/>
    <hyperlink r:id="rId2019" ref="G4321"/>
    <hyperlink r:id="rId2020" ref="G4322"/>
    <hyperlink r:id="rId2021" ref="G4323"/>
    <hyperlink r:id="rId2022" ref="G4324"/>
    <hyperlink r:id="rId2023" ref="G4325"/>
    <hyperlink r:id="rId2024" ref="G4328"/>
    <hyperlink r:id="rId2025" ref="G4329"/>
    <hyperlink r:id="rId2026" ref="G4330"/>
    <hyperlink r:id="rId2027" ref="G4331"/>
    <hyperlink r:id="rId2028" ref="G4332"/>
    <hyperlink r:id="rId2029" ref="G4334"/>
    <hyperlink r:id="rId2030" ref="G4336"/>
    <hyperlink r:id="rId2031" ref="G4337"/>
    <hyperlink r:id="rId2032" ref="G4338"/>
    <hyperlink r:id="rId2033" ref="G4339"/>
    <hyperlink r:id="rId2034" ref="G4340"/>
    <hyperlink r:id="rId2035" ref="G4342"/>
    <hyperlink r:id="rId2036" ref="G4343"/>
    <hyperlink r:id="rId2037" ref="G4344"/>
    <hyperlink r:id="rId2038" ref="G4346"/>
    <hyperlink r:id="rId2039" ref="G4350"/>
    <hyperlink r:id="rId2040" ref="G4351"/>
    <hyperlink r:id="rId2041" ref="G4353"/>
    <hyperlink r:id="rId2042" ref="G4362"/>
    <hyperlink r:id="rId2043" ref="G4363"/>
    <hyperlink r:id="rId2044" ref="G4367"/>
    <hyperlink r:id="rId2045" ref="G4368"/>
    <hyperlink r:id="rId2046" ref="G4374"/>
    <hyperlink r:id="rId2047" ref="G4375"/>
    <hyperlink r:id="rId2048" ref="G4376"/>
    <hyperlink r:id="rId2049" ref="G4377"/>
    <hyperlink r:id="rId2050" ref="G4378"/>
    <hyperlink r:id="rId2051" ref="G4380"/>
    <hyperlink r:id="rId2052" ref="G4381"/>
    <hyperlink r:id="rId2053" ref="G4382"/>
    <hyperlink r:id="rId2054" ref="G4383"/>
    <hyperlink r:id="rId2055" ref="G4384"/>
    <hyperlink r:id="rId2056" ref="G4387"/>
    <hyperlink r:id="rId2057" ref="G4389"/>
    <hyperlink r:id="rId2058" ref="G4395"/>
    <hyperlink r:id="rId2059" ref="G4396"/>
    <hyperlink r:id="rId2060" ref="G4403"/>
    <hyperlink r:id="rId2061" ref="G4405"/>
    <hyperlink r:id="rId2062" ref="G4415"/>
    <hyperlink r:id="rId2063" ref="G4416"/>
    <hyperlink r:id="rId2064" ref="G4419"/>
    <hyperlink r:id="rId2065" ref="G4420"/>
    <hyperlink r:id="rId2066" ref="G4421"/>
    <hyperlink r:id="rId2067" ref="G4423"/>
    <hyperlink r:id="rId2068" ref="G4425"/>
    <hyperlink r:id="rId2069" ref="G4429"/>
    <hyperlink r:id="rId2070" ref="G4430"/>
    <hyperlink r:id="rId2071" ref="G4432"/>
    <hyperlink r:id="rId2072" ref="G4438"/>
    <hyperlink r:id="rId2073" ref="G4440"/>
    <hyperlink r:id="rId2074" ref="G4443"/>
    <hyperlink r:id="rId2075" ref="G4444"/>
    <hyperlink r:id="rId2076" ref="G4447"/>
    <hyperlink r:id="rId2077" ref="G4448"/>
    <hyperlink r:id="rId2078" ref="G4449"/>
    <hyperlink r:id="rId2079" ref="G4454"/>
    <hyperlink r:id="rId2080" ref="G4455"/>
    <hyperlink r:id="rId2081" ref="G4460"/>
    <hyperlink r:id="rId2082" ref="G4462"/>
    <hyperlink r:id="rId2083" ref="G4463"/>
    <hyperlink r:id="rId2084" ref="G4466"/>
    <hyperlink r:id="rId2085" ref="G4467"/>
    <hyperlink r:id="rId2086" ref="G4469"/>
    <hyperlink r:id="rId2087" ref="G4471"/>
    <hyperlink r:id="rId2088" ref="G4472"/>
    <hyperlink r:id="rId2089" ref="G4473"/>
    <hyperlink r:id="rId2090" ref="G4474"/>
    <hyperlink r:id="rId2091" ref="G4475"/>
    <hyperlink r:id="rId2092" ref="G4476"/>
    <hyperlink r:id="rId2093" ref="G4477"/>
    <hyperlink r:id="rId2094" ref="G4485"/>
    <hyperlink r:id="rId2095" ref="G4496"/>
    <hyperlink r:id="rId2096" ref="G4498"/>
    <hyperlink r:id="rId2097" ref="G4499"/>
    <hyperlink r:id="rId2098" ref="G4500"/>
    <hyperlink r:id="rId2099" ref="G4501"/>
    <hyperlink r:id="rId2100" ref="G4502"/>
    <hyperlink r:id="rId2101" ref="G4504"/>
    <hyperlink r:id="rId2102" ref="G4509"/>
    <hyperlink r:id="rId2103" ref="G4515"/>
    <hyperlink r:id="rId2104" ref="G4516"/>
    <hyperlink r:id="rId2105" ref="G4517"/>
    <hyperlink r:id="rId2106" ref="G4520"/>
    <hyperlink r:id="rId2107" ref="G4521"/>
    <hyperlink r:id="rId2108" ref="G4522"/>
    <hyperlink r:id="rId2109" ref="G4523"/>
    <hyperlink r:id="rId2110" ref="G4524"/>
    <hyperlink r:id="rId2111" ref="G4526"/>
    <hyperlink r:id="rId2112" ref="G4527"/>
    <hyperlink r:id="rId2113" ref="G4528"/>
    <hyperlink r:id="rId2114" ref="G4530"/>
    <hyperlink r:id="rId2115" ref="G4531"/>
    <hyperlink r:id="rId2116" ref="G4533"/>
    <hyperlink r:id="rId2117" ref="G4534"/>
    <hyperlink r:id="rId2118" ref="G4535"/>
    <hyperlink r:id="rId2119" ref="G4537"/>
    <hyperlink r:id="rId2120" ref="G4538"/>
    <hyperlink r:id="rId2121" ref="G4539"/>
    <hyperlink r:id="rId2122" ref="G4542"/>
    <hyperlink r:id="rId2123" ref="G4543"/>
    <hyperlink r:id="rId2124" ref="G4544"/>
    <hyperlink r:id="rId2125" ref="G4546"/>
    <hyperlink r:id="rId2126" ref="G4557"/>
    <hyperlink r:id="rId2127" ref="G4561"/>
    <hyperlink r:id="rId2128" ref="G4563"/>
    <hyperlink r:id="rId2129" ref="G4565"/>
    <hyperlink r:id="rId2130" ref="G4573"/>
    <hyperlink r:id="rId2131" ref="G4574"/>
    <hyperlink r:id="rId2132" ref="G4580"/>
    <hyperlink r:id="rId2133" ref="G4581"/>
    <hyperlink r:id="rId2134" ref="G4584"/>
    <hyperlink r:id="rId2135" ref="G4585"/>
    <hyperlink r:id="rId2136" ref="G4586"/>
    <hyperlink r:id="rId2137" ref="G4593"/>
    <hyperlink r:id="rId2138" ref="G4598"/>
    <hyperlink r:id="rId2139" ref="G4601"/>
    <hyperlink r:id="rId2140" ref="G4604"/>
    <hyperlink r:id="rId2141" ref="G4606"/>
    <hyperlink r:id="rId2142" ref="G4607"/>
    <hyperlink r:id="rId2143" ref="G4608"/>
    <hyperlink r:id="rId2144" ref="G4611"/>
    <hyperlink r:id="rId2145" ref="G4612"/>
    <hyperlink r:id="rId2146" ref="G4616"/>
    <hyperlink r:id="rId2147" ref="G4619"/>
    <hyperlink r:id="rId2148" ref="G4622"/>
    <hyperlink r:id="rId2149" ref="G4623"/>
    <hyperlink r:id="rId2150" ref="G4624"/>
    <hyperlink r:id="rId2151" ref="G4625"/>
    <hyperlink r:id="rId2152" ref="G4626"/>
    <hyperlink r:id="rId2153" ref="G4628"/>
    <hyperlink r:id="rId2154" ref="G4629"/>
    <hyperlink r:id="rId2155" ref="G4630"/>
    <hyperlink r:id="rId2156" ref="G4633"/>
    <hyperlink r:id="rId2157" ref="G4635"/>
    <hyperlink r:id="rId2158" ref="G4637"/>
    <hyperlink r:id="rId2159" ref="G4638"/>
    <hyperlink r:id="rId2160" ref="G4641"/>
    <hyperlink r:id="rId2161" ref="G4642"/>
    <hyperlink r:id="rId2162" ref="G4643"/>
    <hyperlink r:id="rId2163" ref="G4646"/>
    <hyperlink r:id="rId2164" ref="G4648"/>
    <hyperlink r:id="rId2165" ref="G4651"/>
    <hyperlink r:id="rId2166" ref="G4652"/>
    <hyperlink r:id="rId2167" ref="G4654"/>
    <hyperlink r:id="rId2168" ref="G4657"/>
    <hyperlink r:id="rId2169" ref="G4666"/>
    <hyperlink r:id="rId2170" ref="G4672"/>
    <hyperlink r:id="rId2171" ref="G4673"/>
    <hyperlink r:id="rId2172" ref="G4675"/>
    <hyperlink r:id="rId2173" ref="G4676"/>
    <hyperlink r:id="rId2174" ref="G4679"/>
    <hyperlink r:id="rId2175" ref="G4681"/>
    <hyperlink r:id="rId2176" ref="G4682"/>
    <hyperlink r:id="rId2177" ref="G4684"/>
    <hyperlink r:id="rId2178" ref="G4686"/>
    <hyperlink r:id="rId2179" ref="G4690"/>
    <hyperlink r:id="rId2180" ref="G4692"/>
    <hyperlink r:id="rId2181" ref="G4693"/>
    <hyperlink r:id="rId2182" ref="G4698"/>
    <hyperlink r:id="rId2183" ref="G4703"/>
    <hyperlink r:id="rId2184" ref="G4706"/>
    <hyperlink r:id="rId2185" ref="G4707"/>
    <hyperlink r:id="rId2186" ref="G4709"/>
    <hyperlink r:id="rId2187" ref="G4710"/>
    <hyperlink r:id="rId2188" ref="G4712"/>
    <hyperlink r:id="rId2189" ref="G4713"/>
    <hyperlink r:id="rId2190" ref="G4718"/>
    <hyperlink r:id="rId2191" ref="G4720"/>
    <hyperlink r:id="rId2192" ref="G4723"/>
    <hyperlink r:id="rId2193" ref="G4727"/>
    <hyperlink r:id="rId2194" ref="G4731"/>
    <hyperlink r:id="rId2195" ref="G4735"/>
    <hyperlink r:id="rId2196" ref="G4738"/>
    <hyperlink r:id="rId2197" ref="G4739"/>
    <hyperlink r:id="rId2198" ref="G4743"/>
    <hyperlink r:id="rId2199" ref="G4744"/>
    <hyperlink r:id="rId2200" ref="G4745"/>
    <hyperlink r:id="rId2201" ref="G4748"/>
    <hyperlink r:id="rId2202" ref="G4752"/>
    <hyperlink r:id="rId2203" ref="G4753"/>
    <hyperlink r:id="rId2204" ref="G4754"/>
    <hyperlink r:id="rId2205" ref="G4757"/>
    <hyperlink r:id="rId2206" ref="G4760"/>
    <hyperlink r:id="rId2207" ref="G4762"/>
    <hyperlink r:id="rId2208" ref="G4766"/>
    <hyperlink r:id="rId2209" ref="G4767"/>
    <hyperlink r:id="rId2210" ref="G4770"/>
    <hyperlink r:id="rId2211" ref="G4772"/>
    <hyperlink r:id="rId2212" ref="G4777"/>
    <hyperlink r:id="rId2213" ref="G4780"/>
    <hyperlink r:id="rId2214" ref="G4782"/>
    <hyperlink r:id="rId2215" ref="G4783"/>
    <hyperlink r:id="rId2216" ref="G4784"/>
    <hyperlink r:id="rId2217" ref="G4785"/>
    <hyperlink r:id="rId2218" ref="G4786"/>
    <hyperlink r:id="rId2219" ref="G4789"/>
    <hyperlink r:id="rId2220" ref="G4790"/>
    <hyperlink r:id="rId2221" ref="G4791"/>
    <hyperlink r:id="rId2222" ref="G4793"/>
    <hyperlink r:id="rId2223" ref="G4794"/>
    <hyperlink r:id="rId2224" ref="G4795"/>
    <hyperlink r:id="rId2225" ref="G4799"/>
    <hyperlink r:id="rId2226" ref="G4803"/>
    <hyperlink r:id="rId2227" ref="G4805"/>
    <hyperlink r:id="rId2228" ref="G4806"/>
    <hyperlink r:id="rId2229" ref="G4807"/>
    <hyperlink r:id="rId2230" ref="G4808"/>
    <hyperlink r:id="rId2231" ref="G4810"/>
    <hyperlink r:id="rId2232" ref="G4811"/>
    <hyperlink r:id="rId2233" ref="G4813"/>
    <hyperlink r:id="rId2234" ref="G4818"/>
    <hyperlink r:id="rId2235" ref="G4821"/>
    <hyperlink r:id="rId2236" ref="G4822"/>
    <hyperlink r:id="rId2237" ref="G4825"/>
    <hyperlink r:id="rId2238" ref="G4826"/>
    <hyperlink r:id="rId2239" ref="G4828"/>
    <hyperlink r:id="rId2240" ref="G4829"/>
    <hyperlink r:id="rId2241" ref="G4831"/>
    <hyperlink r:id="rId2242" ref="G4834"/>
    <hyperlink r:id="rId2243" ref="G4835"/>
    <hyperlink r:id="rId2244" ref="G4836"/>
    <hyperlink r:id="rId2245" ref="G4843"/>
    <hyperlink r:id="rId2246" ref="G4845"/>
    <hyperlink r:id="rId2247" ref="G4848"/>
    <hyperlink r:id="rId2248" ref="G4850"/>
    <hyperlink r:id="rId2249" ref="G4852"/>
    <hyperlink r:id="rId2250" ref="G4853"/>
    <hyperlink r:id="rId2251" ref="G4855"/>
    <hyperlink r:id="rId2252" ref="G4856"/>
    <hyperlink r:id="rId2253" ref="G4858"/>
    <hyperlink r:id="rId2254" ref="G4859"/>
    <hyperlink r:id="rId2255" ref="G4860"/>
    <hyperlink r:id="rId2256" ref="G4861"/>
    <hyperlink r:id="rId2257" ref="G4867"/>
    <hyperlink r:id="rId2258" ref="G4868"/>
    <hyperlink r:id="rId2259" ref="G4870"/>
    <hyperlink r:id="rId2260" ref="G4871"/>
    <hyperlink r:id="rId2261" ref="G4875"/>
    <hyperlink r:id="rId2262" ref="G4876"/>
    <hyperlink r:id="rId2263" ref="G4878"/>
    <hyperlink r:id="rId2264" ref="G4882"/>
    <hyperlink r:id="rId2265" ref="G4883"/>
    <hyperlink r:id="rId2266" ref="G4884"/>
    <hyperlink r:id="rId2267" ref="G4885"/>
    <hyperlink r:id="rId2268" ref="G4887"/>
    <hyperlink r:id="rId2269" ref="G4893"/>
    <hyperlink r:id="rId2270" ref="G4896"/>
    <hyperlink r:id="rId2271" ref="G4897"/>
    <hyperlink r:id="rId2272" ref="G4898"/>
    <hyperlink r:id="rId2273" ref="G4901"/>
    <hyperlink r:id="rId2274" ref="G4910"/>
    <hyperlink r:id="rId2275" ref="G4912"/>
    <hyperlink r:id="rId2276" ref="G4913"/>
    <hyperlink r:id="rId2277" ref="G4916"/>
    <hyperlink r:id="rId2278" ref="G4917"/>
    <hyperlink r:id="rId2279" ref="G4919"/>
    <hyperlink r:id="rId2280" ref="G4920"/>
    <hyperlink r:id="rId2281" ref="G4921"/>
    <hyperlink r:id="rId2282" ref="G4922"/>
    <hyperlink r:id="rId2283" ref="G4923"/>
    <hyperlink r:id="rId2284" ref="G4924"/>
    <hyperlink r:id="rId2285" ref="G4926"/>
    <hyperlink r:id="rId2286" ref="G4928"/>
    <hyperlink r:id="rId2287" ref="G4931"/>
    <hyperlink r:id="rId2288" ref="G4932"/>
    <hyperlink r:id="rId2289" ref="G4934"/>
    <hyperlink r:id="rId2290" ref="G4939"/>
    <hyperlink r:id="rId2291" ref="G4940"/>
    <hyperlink r:id="rId2292" ref="G4944"/>
    <hyperlink r:id="rId2293" ref="G4945"/>
    <hyperlink r:id="rId2294" ref="G4946"/>
    <hyperlink r:id="rId2295" ref="G4947"/>
    <hyperlink r:id="rId2296" ref="G4948"/>
    <hyperlink r:id="rId2297" ref="G4950"/>
    <hyperlink r:id="rId2298" ref="G4951"/>
    <hyperlink r:id="rId2299" ref="G4955"/>
    <hyperlink r:id="rId2300" ref="G4959"/>
    <hyperlink r:id="rId2301" ref="G4960"/>
    <hyperlink r:id="rId2302" ref="G4961"/>
    <hyperlink r:id="rId2303" ref="G4962"/>
    <hyperlink r:id="rId2304" ref="G4963"/>
    <hyperlink r:id="rId2305" ref="G4965"/>
    <hyperlink r:id="rId2306" ref="G4966"/>
    <hyperlink r:id="rId2307" ref="G4968"/>
    <hyperlink r:id="rId2308" ref="G4969"/>
    <hyperlink r:id="rId2309" ref="G4970"/>
    <hyperlink r:id="rId2310" ref="G4973"/>
    <hyperlink r:id="rId2311" ref="G4978"/>
    <hyperlink r:id="rId2312" ref="G4980"/>
    <hyperlink r:id="rId2313" ref="G4981"/>
    <hyperlink r:id="rId2314" ref="G4983"/>
    <hyperlink r:id="rId2315" ref="G4984"/>
    <hyperlink r:id="rId2316" ref="G4985"/>
    <hyperlink r:id="rId2317" ref="G4987"/>
    <hyperlink r:id="rId2318" ref="G4991"/>
    <hyperlink r:id="rId2319" ref="G4994"/>
    <hyperlink r:id="rId2320" ref="G5000"/>
    <hyperlink r:id="rId2321" ref="G5001"/>
    <hyperlink r:id="rId2322" ref="G5002"/>
    <hyperlink r:id="rId2323" ref="G5004"/>
    <hyperlink r:id="rId2324" ref="G5006"/>
    <hyperlink r:id="rId2325" ref="G5009"/>
    <hyperlink r:id="rId2326" ref="G5010"/>
    <hyperlink r:id="rId2327" ref="G5012"/>
    <hyperlink r:id="rId2328" ref="G5013"/>
    <hyperlink r:id="rId2329" ref="G5016"/>
    <hyperlink r:id="rId2330" ref="G5017"/>
    <hyperlink r:id="rId2331" ref="G5018"/>
    <hyperlink r:id="rId2332" ref="G5020"/>
    <hyperlink r:id="rId2333" ref="G5022"/>
    <hyperlink r:id="rId2334" ref="G5023"/>
    <hyperlink r:id="rId2335" ref="G5026"/>
    <hyperlink r:id="rId2336" ref="G5027"/>
    <hyperlink r:id="rId2337" ref="G5030"/>
    <hyperlink r:id="rId2338" ref="G5032"/>
    <hyperlink r:id="rId2339" ref="G5034"/>
    <hyperlink r:id="rId2340" ref="G5035"/>
    <hyperlink r:id="rId2341" ref="G5038"/>
    <hyperlink r:id="rId2342" ref="G5039"/>
    <hyperlink r:id="rId2343" ref="G5043"/>
    <hyperlink r:id="rId2344" ref="G5046"/>
    <hyperlink r:id="rId2345" ref="G5047"/>
    <hyperlink r:id="rId2346" ref="G5049"/>
    <hyperlink r:id="rId2347" ref="G5053"/>
    <hyperlink r:id="rId2348" ref="G5062"/>
    <hyperlink r:id="rId2349" ref="G5064"/>
    <hyperlink r:id="rId2350" ref="G5065"/>
    <hyperlink r:id="rId2351" ref="G5067"/>
    <hyperlink r:id="rId2352" ref="G5068"/>
    <hyperlink r:id="rId2353" ref="G5069"/>
    <hyperlink r:id="rId2354" ref="G5072"/>
    <hyperlink r:id="rId2355" ref="G5075"/>
    <hyperlink r:id="rId2356" ref="G5076"/>
    <hyperlink r:id="rId2357" ref="G5078"/>
    <hyperlink r:id="rId2358" ref="G5079"/>
    <hyperlink r:id="rId2359" ref="G5080"/>
    <hyperlink r:id="rId2360" ref="G5082"/>
    <hyperlink r:id="rId2361" ref="G5083"/>
    <hyperlink r:id="rId2362" ref="G5086"/>
    <hyperlink r:id="rId2363" ref="G5089"/>
    <hyperlink r:id="rId2364" ref="G5090"/>
    <hyperlink r:id="rId2365" ref="G5091"/>
    <hyperlink r:id="rId2366" ref="G5093"/>
    <hyperlink r:id="rId2367" ref="G5095"/>
    <hyperlink r:id="rId2368" ref="G5098"/>
    <hyperlink r:id="rId2369" ref="G5099"/>
    <hyperlink r:id="rId2370" ref="G5100"/>
    <hyperlink r:id="rId2371" ref="G5101"/>
    <hyperlink r:id="rId2372" ref="G5102"/>
    <hyperlink r:id="rId2373" ref="G5104"/>
    <hyperlink r:id="rId2374" ref="G5113"/>
    <hyperlink r:id="rId2375" ref="G5114"/>
    <hyperlink r:id="rId2376" ref="G5121"/>
    <hyperlink r:id="rId2377" ref="G5122"/>
    <hyperlink r:id="rId2378" ref="G5125"/>
    <hyperlink r:id="rId2379" ref="G5126"/>
    <hyperlink r:id="rId2380" ref="G5129"/>
    <hyperlink r:id="rId2381" ref="G5130"/>
    <hyperlink r:id="rId2382" ref="G5133"/>
    <hyperlink r:id="rId2383" ref="G5137"/>
    <hyperlink r:id="rId2384" ref="G5138"/>
    <hyperlink r:id="rId2385" ref="G5140"/>
    <hyperlink r:id="rId2386" ref="G5143"/>
    <hyperlink r:id="rId2387" ref="G5154"/>
    <hyperlink r:id="rId2388" ref="G5158"/>
    <hyperlink r:id="rId2389" ref="G5159"/>
    <hyperlink r:id="rId2390" ref="G5160"/>
    <hyperlink r:id="rId2391" ref="G5161"/>
    <hyperlink r:id="rId2392" ref="G5164"/>
    <hyperlink r:id="rId2393" ref="G5165"/>
    <hyperlink r:id="rId2394" ref="G5168"/>
    <hyperlink r:id="rId2395" ref="G5170"/>
    <hyperlink r:id="rId2396" ref="G5171"/>
    <hyperlink r:id="rId2397" ref="G5172"/>
    <hyperlink r:id="rId2398" ref="G5173"/>
    <hyperlink r:id="rId2399" ref="G5174"/>
    <hyperlink r:id="rId2400" ref="G5176"/>
    <hyperlink r:id="rId2401" ref="G5177"/>
    <hyperlink r:id="rId2402" ref="G5178"/>
    <hyperlink r:id="rId2403" ref="G5179"/>
    <hyperlink r:id="rId2404" ref="G5181"/>
    <hyperlink r:id="rId2405" ref="G5183"/>
    <hyperlink r:id="rId2406" ref="G5184"/>
    <hyperlink r:id="rId2407" ref="G5185"/>
    <hyperlink r:id="rId2408" ref="G5188"/>
    <hyperlink r:id="rId2409" ref="G5189"/>
    <hyperlink r:id="rId2410" ref="G5190"/>
    <hyperlink r:id="rId2411" ref="G5191"/>
    <hyperlink r:id="rId2412" ref="G5194"/>
    <hyperlink r:id="rId2413" ref="G5195"/>
    <hyperlink r:id="rId2414" ref="G5200"/>
    <hyperlink r:id="rId2415" ref="G5201"/>
    <hyperlink r:id="rId2416" ref="G5217"/>
    <hyperlink r:id="rId2417" ref="G5220"/>
    <hyperlink r:id="rId2418" ref="G5231"/>
    <hyperlink r:id="rId2419" ref="G5233"/>
    <hyperlink r:id="rId2420" ref="G5234"/>
    <hyperlink r:id="rId2421" ref="G5236"/>
    <hyperlink r:id="rId2422" ref="G5238"/>
    <hyperlink r:id="rId2423" ref="G5239"/>
    <hyperlink r:id="rId2424" ref="G5240"/>
    <hyperlink r:id="rId2425" ref="G5248"/>
    <hyperlink r:id="rId2426" ref="G5250"/>
    <hyperlink r:id="rId2427" ref="G5251"/>
    <hyperlink r:id="rId2428" ref="G5255"/>
    <hyperlink r:id="rId2429" ref="G5256"/>
    <hyperlink r:id="rId2430" ref="G5258"/>
    <hyperlink r:id="rId2431" ref="G5260"/>
    <hyperlink r:id="rId2432" ref="G5263"/>
    <hyperlink r:id="rId2433" ref="G5266"/>
    <hyperlink r:id="rId2434" ref="G5267"/>
    <hyperlink r:id="rId2435" ref="G5268"/>
    <hyperlink r:id="rId2436" ref="G5269"/>
    <hyperlink r:id="rId2437" ref="G5280"/>
    <hyperlink r:id="rId2438" ref="G5282"/>
    <hyperlink r:id="rId2439" ref="G5283"/>
    <hyperlink r:id="rId2440" ref="G5285"/>
    <hyperlink r:id="rId2441" ref="G5286"/>
    <hyperlink r:id="rId2442" ref="G5296"/>
    <hyperlink r:id="rId2443" ref="G5299"/>
    <hyperlink r:id="rId2444" ref="G5302"/>
    <hyperlink r:id="rId2445" ref="G5303"/>
    <hyperlink r:id="rId2446" ref="G5305"/>
    <hyperlink r:id="rId2447" ref="G5309"/>
    <hyperlink r:id="rId2448" ref="G5311"/>
    <hyperlink r:id="rId2449" ref="G5312"/>
    <hyperlink r:id="rId2450" ref="G5315"/>
    <hyperlink r:id="rId2451" ref="G5316"/>
    <hyperlink r:id="rId2452" ref="G5319"/>
    <hyperlink r:id="rId2453" ref="G5320"/>
    <hyperlink r:id="rId2454" ref="G5322"/>
    <hyperlink r:id="rId2455" ref="G5323"/>
    <hyperlink r:id="rId2456" ref="G5326"/>
    <hyperlink r:id="rId2457" ref="G5329"/>
    <hyperlink r:id="rId2458" ref="G5332"/>
    <hyperlink r:id="rId2459" ref="G5334"/>
    <hyperlink r:id="rId2460" ref="G5336"/>
    <hyperlink r:id="rId2461" ref="G5337"/>
    <hyperlink r:id="rId2462" ref="G5340"/>
    <hyperlink r:id="rId2463" ref="G5341"/>
    <hyperlink r:id="rId2464" ref="G5344"/>
    <hyperlink r:id="rId2465" ref="G5350"/>
    <hyperlink r:id="rId2466" ref="G5351"/>
    <hyperlink r:id="rId2467" ref="G5353"/>
    <hyperlink r:id="rId2468" ref="G5354"/>
    <hyperlink r:id="rId2469" ref="G5357"/>
    <hyperlink r:id="rId2470" ref="G5358"/>
    <hyperlink r:id="rId2471" ref="G5359"/>
    <hyperlink r:id="rId2472" ref="G5363"/>
    <hyperlink r:id="rId2473" ref="G5365"/>
    <hyperlink r:id="rId2474" ref="G5367"/>
    <hyperlink r:id="rId2475" ref="G5368"/>
    <hyperlink r:id="rId2476" ref="G5370"/>
    <hyperlink r:id="rId2477" ref="G5371"/>
    <hyperlink r:id="rId2478" ref="G5372"/>
    <hyperlink r:id="rId2479" ref="G5374"/>
    <hyperlink r:id="rId2480" ref="G5375"/>
    <hyperlink r:id="rId2481" ref="G5381"/>
    <hyperlink r:id="rId2482" ref="G5382"/>
    <hyperlink r:id="rId2483" ref="G5384"/>
    <hyperlink r:id="rId2484" ref="G5387"/>
    <hyperlink r:id="rId2485" ref="G5397"/>
    <hyperlink r:id="rId2486" ref="G5399"/>
    <hyperlink r:id="rId2487" ref="G5401"/>
    <hyperlink r:id="rId2488" ref="G5406"/>
    <hyperlink r:id="rId2489" ref="G5407"/>
    <hyperlink r:id="rId2490" ref="G5409"/>
    <hyperlink r:id="rId2491" ref="G5412"/>
    <hyperlink r:id="rId2492" ref="G5414"/>
    <hyperlink r:id="rId2493" ref="G5416"/>
    <hyperlink r:id="rId2494" ref="G5417"/>
    <hyperlink r:id="rId2495" ref="G5419"/>
    <hyperlink r:id="rId2496" ref="G5422"/>
    <hyperlink r:id="rId2497" ref="G5424"/>
    <hyperlink r:id="rId2498" ref="G5428"/>
    <hyperlink r:id="rId2499" ref="G5431"/>
    <hyperlink r:id="rId2500" ref="G5433"/>
    <hyperlink r:id="rId2501" ref="G5434"/>
    <hyperlink r:id="rId2502" ref="G5435"/>
    <hyperlink r:id="rId2503" ref="G5436"/>
    <hyperlink r:id="rId2504" ref="G5438"/>
    <hyperlink r:id="rId2505" ref="G5442"/>
    <hyperlink r:id="rId2506" ref="G5444"/>
    <hyperlink r:id="rId2507" ref="G5447"/>
    <hyperlink r:id="rId2508" ref="G5454"/>
    <hyperlink r:id="rId2509" ref="G5456"/>
    <hyperlink r:id="rId2510" ref="G5457"/>
    <hyperlink r:id="rId2511" ref="G5461"/>
    <hyperlink r:id="rId2512" ref="G5462"/>
    <hyperlink r:id="rId2513" ref="G5467"/>
    <hyperlink r:id="rId2514" ref="G5468"/>
    <hyperlink r:id="rId2515" ref="G5470"/>
    <hyperlink r:id="rId2516" ref="G5472"/>
    <hyperlink r:id="rId2517" ref="G5473"/>
    <hyperlink r:id="rId2518" ref="G5474"/>
    <hyperlink r:id="rId2519" ref="G5476"/>
    <hyperlink r:id="rId2520" ref="G5477"/>
    <hyperlink r:id="rId2521" ref="G5479"/>
    <hyperlink r:id="rId2522" ref="G5480"/>
    <hyperlink r:id="rId2523" ref="G5483"/>
    <hyperlink r:id="rId2524" ref="G5484"/>
    <hyperlink r:id="rId2525" ref="G5490"/>
    <hyperlink r:id="rId2526" ref="G5491"/>
    <hyperlink r:id="rId2527" ref="G5493"/>
    <hyperlink r:id="rId2528" ref="G5501"/>
    <hyperlink r:id="rId2529" ref="G5504"/>
    <hyperlink r:id="rId2530" ref="G5505"/>
    <hyperlink r:id="rId2531" ref="G5508"/>
    <hyperlink r:id="rId2532" ref="G5511"/>
    <hyperlink r:id="rId2533" ref="G5512"/>
    <hyperlink r:id="rId2534" ref="G5513"/>
    <hyperlink r:id="rId2535" ref="G5515"/>
    <hyperlink r:id="rId2536" ref="G5517"/>
    <hyperlink r:id="rId2537" ref="G5518"/>
    <hyperlink r:id="rId2538" ref="G5519"/>
    <hyperlink r:id="rId2539" ref="G5520"/>
    <hyperlink r:id="rId2540" ref="G5521"/>
    <hyperlink r:id="rId2541" ref="G5524"/>
    <hyperlink r:id="rId2542" ref="G5526"/>
    <hyperlink r:id="rId2543" ref="G5527"/>
    <hyperlink r:id="rId2544" ref="G5529"/>
    <hyperlink r:id="rId2545" ref="G5531"/>
    <hyperlink r:id="rId2546" ref="G5532"/>
    <hyperlink r:id="rId2547" ref="G5533"/>
    <hyperlink r:id="rId2548" ref="G5534"/>
    <hyperlink r:id="rId2549" ref="G5535"/>
    <hyperlink r:id="rId2550" ref="G5537"/>
    <hyperlink r:id="rId2551" ref="G5538"/>
    <hyperlink r:id="rId2552" ref="G5540"/>
    <hyperlink r:id="rId2553" ref="G5542"/>
    <hyperlink r:id="rId2554" ref="G5543"/>
    <hyperlink r:id="rId2555" ref="G5547"/>
    <hyperlink r:id="rId2556" ref="G5549"/>
    <hyperlink r:id="rId2557" ref="G5552"/>
    <hyperlink r:id="rId2558" ref="G5553"/>
    <hyperlink r:id="rId2559" ref="G5554"/>
    <hyperlink r:id="rId2560" ref="G5556"/>
    <hyperlink r:id="rId2561" ref="G5558"/>
    <hyperlink r:id="rId2562" ref="G5560"/>
    <hyperlink r:id="rId2563" ref="G5561"/>
    <hyperlink r:id="rId2564" ref="G5562"/>
    <hyperlink r:id="rId2565" ref="G5563"/>
    <hyperlink r:id="rId2566" ref="G5565"/>
    <hyperlink r:id="rId2567" ref="G5567"/>
    <hyperlink r:id="rId2568" ref="G5575"/>
    <hyperlink r:id="rId2569" ref="G5579"/>
    <hyperlink r:id="rId2570" ref="G5582"/>
    <hyperlink r:id="rId2571" ref="G5586"/>
    <hyperlink r:id="rId2572" ref="G5587"/>
    <hyperlink r:id="rId2573" ref="G5588"/>
    <hyperlink r:id="rId2574" ref="G5589"/>
    <hyperlink r:id="rId2575" ref="G5590"/>
    <hyperlink r:id="rId2576" ref="G5593"/>
    <hyperlink r:id="rId2577" ref="G5595"/>
    <hyperlink r:id="rId2578" ref="G5599"/>
    <hyperlink r:id="rId2579" ref="G5606"/>
    <hyperlink r:id="rId2580" ref="G5614"/>
    <hyperlink r:id="rId2581" ref="G5618"/>
    <hyperlink r:id="rId2582" ref="G5619"/>
    <hyperlink r:id="rId2583" ref="G5620"/>
    <hyperlink r:id="rId2584" ref="G5626"/>
    <hyperlink r:id="rId2585" ref="G5627"/>
    <hyperlink r:id="rId2586" ref="G5629"/>
    <hyperlink r:id="rId2587" ref="G5633"/>
    <hyperlink r:id="rId2588" ref="G5634"/>
    <hyperlink r:id="rId2589" ref="G5635"/>
    <hyperlink r:id="rId2590" ref="G5637"/>
    <hyperlink r:id="rId2591" ref="G5638"/>
    <hyperlink r:id="rId2592" ref="G5639"/>
    <hyperlink r:id="rId2593" ref="G5643"/>
    <hyperlink r:id="rId2594" ref="G5646"/>
    <hyperlink r:id="rId2595" ref="G5647"/>
    <hyperlink r:id="rId2596" ref="G5648"/>
    <hyperlink r:id="rId2597" ref="G5649"/>
    <hyperlink r:id="rId2598" ref="G5650"/>
    <hyperlink r:id="rId2599" ref="G5651"/>
    <hyperlink r:id="rId2600" ref="G5653"/>
    <hyperlink r:id="rId2601" ref="G5654"/>
    <hyperlink r:id="rId2602" ref="G5655"/>
    <hyperlink r:id="rId2603" ref="G5656"/>
    <hyperlink r:id="rId2604" ref="G5657"/>
    <hyperlink r:id="rId2605" ref="G5658"/>
    <hyperlink r:id="rId2606" ref="G5660"/>
    <hyperlink r:id="rId2607" ref="G5663"/>
    <hyperlink r:id="rId2608" ref="G5665"/>
    <hyperlink r:id="rId2609" ref="G5666"/>
    <hyperlink r:id="rId2610" ref="G5667"/>
    <hyperlink r:id="rId2611" ref="G5668"/>
    <hyperlink r:id="rId2612" ref="G5669"/>
    <hyperlink r:id="rId2613" ref="G5671"/>
    <hyperlink r:id="rId2614" ref="G5672"/>
    <hyperlink r:id="rId2615" ref="G5674"/>
    <hyperlink r:id="rId2616" ref="G5675"/>
    <hyperlink r:id="rId2617" ref="G5682"/>
    <hyperlink r:id="rId2618" ref="G5685"/>
    <hyperlink r:id="rId2619" ref="G5687"/>
    <hyperlink r:id="rId2620" ref="G5690"/>
    <hyperlink r:id="rId2621" ref="G5692"/>
    <hyperlink r:id="rId2622" ref="G5694"/>
    <hyperlink r:id="rId2623" ref="G5695"/>
    <hyperlink r:id="rId2624" ref="G5699"/>
    <hyperlink r:id="rId2625" ref="G5700"/>
    <hyperlink r:id="rId2626" ref="G5701"/>
    <hyperlink r:id="rId2627" ref="G5703"/>
    <hyperlink r:id="rId2628" ref="G5704"/>
    <hyperlink r:id="rId2629" ref="G5707"/>
    <hyperlink r:id="rId2630" ref="G5708"/>
    <hyperlink r:id="rId2631" ref="G5713"/>
    <hyperlink r:id="rId2632" ref="G5717"/>
    <hyperlink r:id="rId2633" ref="G5719"/>
    <hyperlink r:id="rId2634" ref="G5724"/>
    <hyperlink r:id="rId2635" ref="G5725"/>
    <hyperlink r:id="rId2636" ref="G5728"/>
    <hyperlink r:id="rId2637" ref="G5731"/>
    <hyperlink r:id="rId2638" ref="G5732"/>
    <hyperlink r:id="rId2639" ref="G5737"/>
    <hyperlink r:id="rId2640" ref="G5739"/>
    <hyperlink r:id="rId2641" ref="G5742"/>
    <hyperlink r:id="rId2642" ref="G5743"/>
    <hyperlink r:id="rId2643" ref="G5744"/>
    <hyperlink r:id="rId2644" ref="G5745"/>
    <hyperlink r:id="rId2645" ref="G5746"/>
    <hyperlink r:id="rId2646" ref="G5747"/>
    <hyperlink r:id="rId2647" ref="G5748"/>
    <hyperlink r:id="rId2648" ref="G5749"/>
    <hyperlink r:id="rId2649" ref="G5750"/>
    <hyperlink r:id="rId2650" ref="G5751"/>
    <hyperlink r:id="rId2651" ref="G5752"/>
    <hyperlink r:id="rId2652" ref="G5753"/>
    <hyperlink r:id="rId2653" ref="G5754"/>
    <hyperlink r:id="rId2654" ref="G5755"/>
    <hyperlink r:id="rId2655" ref="G5756"/>
    <hyperlink r:id="rId2656" ref="G5758"/>
    <hyperlink r:id="rId2657" ref="G5760"/>
    <hyperlink r:id="rId2658" ref="G5762"/>
    <hyperlink r:id="rId2659" ref="G5763"/>
    <hyperlink r:id="rId2660" ref="G5768"/>
    <hyperlink r:id="rId2661" ref="G5769"/>
    <hyperlink r:id="rId2662" ref="G5775"/>
    <hyperlink r:id="rId2663" ref="G5777"/>
    <hyperlink r:id="rId2664" ref="G5778"/>
    <hyperlink r:id="rId2665" ref="G5786"/>
    <hyperlink r:id="rId2666" ref="G5788"/>
    <hyperlink r:id="rId2667" ref="G5790"/>
    <hyperlink r:id="rId2668" ref="G5791"/>
    <hyperlink r:id="rId2669" ref="G5795"/>
    <hyperlink r:id="rId2670" ref="G5798"/>
    <hyperlink r:id="rId2671" ref="G5807"/>
    <hyperlink r:id="rId2672" ref="G5810"/>
    <hyperlink r:id="rId2673" ref="G5812"/>
    <hyperlink r:id="rId2674" ref="G5816"/>
    <hyperlink r:id="rId2675" ref="G5818"/>
    <hyperlink r:id="rId2676" ref="G5819"/>
    <hyperlink r:id="rId2677" ref="G5820"/>
    <hyperlink r:id="rId2678" ref="G5821"/>
    <hyperlink r:id="rId2679" ref="G5823"/>
    <hyperlink r:id="rId2680" ref="G5824"/>
    <hyperlink r:id="rId2681" ref="G5828"/>
    <hyperlink r:id="rId2682" ref="G5829"/>
    <hyperlink r:id="rId2683" ref="G5830"/>
    <hyperlink r:id="rId2684" ref="G5831"/>
    <hyperlink r:id="rId2685" ref="G5833"/>
    <hyperlink r:id="rId2686" ref="G5835"/>
    <hyperlink r:id="rId2687" ref="G5836"/>
    <hyperlink r:id="rId2688" ref="G5842"/>
    <hyperlink r:id="rId2689" ref="G5844"/>
    <hyperlink r:id="rId2690" ref="G5849"/>
    <hyperlink r:id="rId2691" ref="G5850"/>
    <hyperlink r:id="rId2692" ref="G5851"/>
    <hyperlink r:id="rId2693" ref="G5852"/>
    <hyperlink r:id="rId2694" ref="G5853"/>
    <hyperlink r:id="rId2695" ref="G5857"/>
    <hyperlink r:id="rId2696" ref="G5858"/>
    <hyperlink r:id="rId2697" ref="G5868"/>
    <hyperlink r:id="rId2698" ref="G5871"/>
    <hyperlink r:id="rId2699" ref="G5872"/>
    <hyperlink r:id="rId2700" ref="G5873"/>
    <hyperlink r:id="rId2701" ref="G5874"/>
    <hyperlink r:id="rId2702" ref="G5876"/>
    <hyperlink r:id="rId2703" ref="G5878"/>
    <hyperlink r:id="rId2704" ref="G5879"/>
    <hyperlink r:id="rId2705" ref="G5880"/>
    <hyperlink r:id="rId2706" ref="G5881"/>
    <hyperlink r:id="rId2707" ref="G5882"/>
    <hyperlink r:id="rId2708" ref="G5885"/>
    <hyperlink r:id="rId2709" ref="G5886"/>
    <hyperlink r:id="rId2710" ref="G5887"/>
    <hyperlink r:id="rId2711" ref="G5889"/>
    <hyperlink r:id="rId2712" ref="G5892"/>
    <hyperlink r:id="rId2713" ref="G5904"/>
    <hyperlink r:id="rId2714" ref="G5905"/>
    <hyperlink r:id="rId2715" ref="G5911"/>
    <hyperlink r:id="rId2716" ref="G5912"/>
    <hyperlink r:id="rId2717" ref="G5913"/>
    <hyperlink r:id="rId2718" ref="G5916"/>
    <hyperlink r:id="rId2719" ref="G5918"/>
    <hyperlink r:id="rId2720" ref="G5926"/>
    <hyperlink r:id="rId2721" ref="G5928"/>
    <hyperlink r:id="rId2722" ref="G5929"/>
    <hyperlink r:id="rId2723" ref="G5931"/>
    <hyperlink r:id="rId2724" ref="G5932"/>
    <hyperlink r:id="rId2725" ref="G5933"/>
    <hyperlink r:id="rId2726" ref="G5935"/>
    <hyperlink r:id="rId2727" ref="G5936"/>
    <hyperlink r:id="rId2728" ref="G5937"/>
    <hyperlink r:id="rId2729" ref="G5938"/>
    <hyperlink r:id="rId2730" ref="G5941"/>
    <hyperlink r:id="rId2731" ref="G5946"/>
    <hyperlink r:id="rId2732" ref="G5948"/>
    <hyperlink r:id="rId2733" ref="G5953"/>
    <hyperlink r:id="rId2734" ref="G5955"/>
    <hyperlink r:id="rId2735" ref="G5956"/>
    <hyperlink r:id="rId2736" ref="G5957"/>
    <hyperlink r:id="rId2737" ref="G5959"/>
    <hyperlink r:id="rId2738" ref="G5961"/>
    <hyperlink r:id="rId2739" ref="G5962"/>
    <hyperlink r:id="rId2740" ref="G5966"/>
    <hyperlink r:id="rId2741" ref="G5970"/>
    <hyperlink r:id="rId2742" ref="G5973"/>
    <hyperlink r:id="rId2743" ref="G5975"/>
    <hyperlink r:id="rId2744" ref="G5978"/>
    <hyperlink r:id="rId2745" ref="G5980"/>
    <hyperlink r:id="rId2746" ref="G5981"/>
    <hyperlink r:id="rId2747" ref="G5986"/>
    <hyperlink r:id="rId2748" ref="G5988"/>
    <hyperlink r:id="rId2749" ref="G5990"/>
    <hyperlink r:id="rId2750" ref="G5992"/>
    <hyperlink r:id="rId2751" ref="G5993"/>
    <hyperlink r:id="rId2752" ref="G5995"/>
    <hyperlink r:id="rId2753" ref="G5999"/>
    <hyperlink r:id="rId2754" ref="G6000"/>
    <hyperlink r:id="rId2755" ref="G6004"/>
    <hyperlink r:id="rId2756" ref="G6005"/>
    <hyperlink r:id="rId2757" ref="G6007"/>
    <hyperlink r:id="rId2758" ref="G6010"/>
    <hyperlink r:id="rId2759" ref="G6011"/>
    <hyperlink r:id="rId2760" ref="G6015"/>
    <hyperlink r:id="rId2761" ref="G6018"/>
    <hyperlink r:id="rId2762" ref="G6020"/>
    <hyperlink r:id="rId2763" ref="G6021"/>
    <hyperlink r:id="rId2764" ref="G6022"/>
    <hyperlink r:id="rId2765" ref="G6023"/>
    <hyperlink r:id="rId2766" ref="G6024"/>
    <hyperlink r:id="rId2767" ref="G6025"/>
    <hyperlink r:id="rId2768" ref="G6028"/>
    <hyperlink r:id="rId2769" ref="G6033"/>
    <hyperlink r:id="rId2770" ref="G6034"/>
    <hyperlink r:id="rId2771" ref="G6035"/>
    <hyperlink r:id="rId2772" ref="G6036"/>
    <hyperlink r:id="rId2773" ref="G6037"/>
    <hyperlink r:id="rId2774" ref="G6038"/>
    <hyperlink r:id="rId2775" ref="G6048"/>
    <hyperlink r:id="rId2776" ref="G6058"/>
    <hyperlink r:id="rId2777" ref="G6060"/>
    <hyperlink r:id="rId2778" ref="G6062"/>
    <hyperlink r:id="rId2779" ref="G6063"/>
    <hyperlink r:id="rId2780" ref="G6064"/>
    <hyperlink r:id="rId2781" ref="G6068"/>
    <hyperlink r:id="rId2782" ref="G6069"/>
    <hyperlink r:id="rId2783" ref="G6071"/>
    <hyperlink r:id="rId2784" ref="G6077"/>
    <hyperlink r:id="rId2785" ref="G6079"/>
    <hyperlink r:id="rId2786" ref="G6084"/>
    <hyperlink r:id="rId2787" ref="G6085"/>
    <hyperlink r:id="rId2788" ref="G6086"/>
    <hyperlink r:id="rId2789" ref="G6089"/>
    <hyperlink r:id="rId2790" ref="G6090"/>
    <hyperlink r:id="rId2791" ref="G6091"/>
    <hyperlink r:id="rId2792" ref="G6094"/>
    <hyperlink r:id="rId2793" ref="G6095"/>
    <hyperlink r:id="rId2794" ref="G6103"/>
    <hyperlink r:id="rId2795" ref="G6107"/>
    <hyperlink r:id="rId2796" ref="G6109"/>
    <hyperlink r:id="rId2797" ref="G6115"/>
    <hyperlink r:id="rId2798" ref="G6124"/>
    <hyperlink r:id="rId2799" ref="G6125"/>
    <hyperlink r:id="rId2800" ref="G6130"/>
    <hyperlink r:id="rId2801" ref="G6133"/>
    <hyperlink r:id="rId2802" ref="G6134"/>
    <hyperlink r:id="rId2803" ref="G6139"/>
    <hyperlink r:id="rId2804" ref="G6145"/>
    <hyperlink r:id="rId2805" ref="G6148"/>
    <hyperlink r:id="rId2806" ref="G6150"/>
    <hyperlink r:id="rId2807" ref="G6151"/>
    <hyperlink r:id="rId2808" ref="G6153"/>
    <hyperlink r:id="rId2809" ref="G6156"/>
    <hyperlink r:id="rId2810" ref="G6157"/>
    <hyperlink r:id="rId2811" ref="G6160"/>
    <hyperlink r:id="rId2812" ref="G6161"/>
    <hyperlink r:id="rId2813" ref="G6164"/>
    <hyperlink r:id="rId2814" ref="G6166"/>
    <hyperlink r:id="rId2815" ref="G6169"/>
    <hyperlink r:id="rId2816" ref="G6170"/>
    <hyperlink r:id="rId2817" ref="G6171"/>
    <hyperlink r:id="rId2818" ref="G6175"/>
    <hyperlink r:id="rId2819" ref="G6176"/>
    <hyperlink r:id="rId2820" ref="G6193"/>
    <hyperlink r:id="rId2821" ref="G6194"/>
    <hyperlink r:id="rId2822" ref="G6195"/>
    <hyperlink r:id="rId2823" ref="G6197"/>
    <hyperlink r:id="rId2824" ref="G6198"/>
    <hyperlink r:id="rId2825" ref="G6200"/>
    <hyperlink r:id="rId2826" ref="G6201"/>
    <hyperlink r:id="rId2827" ref="G6207"/>
    <hyperlink r:id="rId2828" ref="G6209"/>
    <hyperlink r:id="rId2829" ref="G6211"/>
    <hyperlink r:id="rId2830" ref="G6215"/>
    <hyperlink r:id="rId2831" ref="G6217"/>
    <hyperlink r:id="rId2832" ref="G6218"/>
    <hyperlink r:id="rId2833" ref="G6219"/>
    <hyperlink r:id="rId2834" ref="G6221"/>
    <hyperlink r:id="rId2835" ref="G6227"/>
    <hyperlink r:id="rId2836" ref="G6228"/>
    <hyperlink r:id="rId2837" ref="G6231"/>
    <hyperlink r:id="rId2838" ref="G6232"/>
    <hyperlink r:id="rId2839" ref="G6234"/>
    <hyperlink r:id="rId2840" ref="G6237"/>
    <hyperlink r:id="rId2841" ref="G6238"/>
    <hyperlink r:id="rId2842" ref="G6239"/>
    <hyperlink r:id="rId2843" ref="G6242"/>
    <hyperlink r:id="rId2844" ref="G6244"/>
    <hyperlink r:id="rId2845" ref="G6247"/>
    <hyperlink r:id="rId2846" ref="G6249"/>
    <hyperlink r:id="rId2847" ref="G6250"/>
    <hyperlink r:id="rId2848" ref="G6253"/>
    <hyperlink r:id="rId2849" ref="G6255"/>
    <hyperlink r:id="rId2850" ref="G6257"/>
    <hyperlink r:id="rId2851" ref="G6261"/>
    <hyperlink r:id="rId2852" ref="G6263"/>
    <hyperlink r:id="rId2853" ref="G6264"/>
    <hyperlink r:id="rId2854" ref="G6265"/>
    <hyperlink r:id="rId2855" ref="G6266"/>
    <hyperlink r:id="rId2856" ref="G6268"/>
    <hyperlink r:id="rId2857" ref="G6272"/>
    <hyperlink r:id="rId2858" ref="G6274"/>
    <hyperlink r:id="rId2859" ref="G6279"/>
    <hyperlink r:id="rId2860" ref="G6281"/>
    <hyperlink r:id="rId2861" ref="G6291"/>
    <hyperlink r:id="rId2862" ref="G6295"/>
    <hyperlink r:id="rId2863" ref="G6299"/>
    <hyperlink r:id="rId2864" ref="G6301"/>
    <hyperlink r:id="rId2865" ref="G6305"/>
    <hyperlink r:id="rId2866" ref="G6306"/>
    <hyperlink r:id="rId2867" ref="G6307"/>
    <hyperlink r:id="rId2868" ref="G6308"/>
    <hyperlink r:id="rId2869" ref="G6312"/>
    <hyperlink r:id="rId2870" ref="G6314"/>
    <hyperlink r:id="rId2871" ref="G6316"/>
    <hyperlink r:id="rId2872" ref="G6317"/>
    <hyperlink r:id="rId2873" ref="G6318"/>
    <hyperlink r:id="rId2874" ref="G6322"/>
    <hyperlink r:id="rId2875" ref="G6323"/>
    <hyperlink r:id="rId2876" ref="G6324"/>
    <hyperlink r:id="rId2877" ref="G6325"/>
    <hyperlink r:id="rId2878" ref="G6326"/>
    <hyperlink r:id="rId2879" ref="G6327"/>
    <hyperlink r:id="rId2880" ref="G6331"/>
    <hyperlink r:id="rId2881" ref="G6337"/>
    <hyperlink r:id="rId2882" ref="G6338"/>
    <hyperlink r:id="rId2883" ref="G6341"/>
    <hyperlink r:id="rId2884" ref="G6342"/>
    <hyperlink r:id="rId2885" ref="G6345"/>
    <hyperlink r:id="rId2886" ref="G6347"/>
    <hyperlink r:id="rId2887" ref="G6352"/>
    <hyperlink r:id="rId2888" ref="G6358"/>
    <hyperlink r:id="rId2889" ref="G6360"/>
    <hyperlink r:id="rId2890" ref="G6363"/>
    <hyperlink r:id="rId2891" ref="G6365"/>
    <hyperlink r:id="rId2892" ref="G6366"/>
    <hyperlink r:id="rId2893" ref="G6369"/>
    <hyperlink r:id="rId2894" ref="G6380"/>
    <hyperlink r:id="rId2895" ref="G6386"/>
    <hyperlink r:id="rId2896" ref="G6394"/>
    <hyperlink r:id="rId2897" ref="G6395"/>
    <hyperlink r:id="rId2898" ref="G6396"/>
    <hyperlink r:id="rId2899" ref="G6397"/>
    <hyperlink r:id="rId2900" ref="G6401"/>
    <hyperlink r:id="rId2901" ref="G6402"/>
    <hyperlink r:id="rId2902" ref="G6404"/>
    <hyperlink r:id="rId2903" ref="G6408"/>
    <hyperlink r:id="rId2904" ref="G6410"/>
    <hyperlink r:id="rId2905" ref="G6415"/>
    <hyperlink r:id="rId2906" ref="G6416"/>
    <hyperlink r:id="rId2907" ref="G6417"/>
    <hyperlink r:id="rId2908" ref="G6418"/>
    <hyperlink r:id="rId2909" ref="G6420"/>
    <hyperlink r:id="rId2910" ref="G6421"/>
    <hyperlink r:id="rId2911" ref="G6423"/>
    <hyperlink r:id="rId2912" ref="G6425"/>
    <hyperlink r:id="rId2913" ref="G6426"/>
    <hyperlink r:id="rId2914" ref="G6431"/>
    <hyperlink r:id="rId2915" ref="G6434"/>
    <hyperlink r:id="rId2916" ref="G6437"/>
    <hyperlink r:id="rId2917" ref="G6438"/>
    <hyperlink r:id="rId2918" ref="G6440"/>
    <hyperlink r:id="rId2919" ref="G6443"/>
    <hyperlink r:id="rId2920" ref="G6444"/>
    <hyperlink r:id="rId2921" ref="G6447"/>
    <hyperlink r:id="rId2922" ref="G6450"/>
    <hyperlink r:id="rId2923" ref="G6453"/>
    <hyperlink r:id="rId2924" ref="G6456"/>
    <hyperlink r:id="rId2925" ref="G6457"/>
    <hyperlink r:id="rId2926" ref="G6458"/>
    <hyperlink r:id="rId2927" ref="G6463"/>
    <hyperlink r:id="rId2928" ref="G6467"/>
    <hyperlink r:id="rId2929" ref="G6468"/>
    <hyperlink r:id="rId2930" ref="G6472"/>
    <hyperlink r:id="rId2931" ref="G6477"/>
    <hyperlink r:id="rId2932" ref="G6478"/>
    <hyperlink r:id="rId2933" ref="G6479"/>
    <hyperlink r:id="rId2934" ref="G6480"/>
    <hyperlink r:id="rId2935" ref="G6483"/>
    <hyperlink r:id="rId2936" ref="G6485"/>
    <hyperlink r:id="rId2937" ref="G6486"/>
    <hyperlink r:id="rId2938" ref="G6490"/>
    <hyperlink r:id="rId2939" ref="G6491"/>
    <hyperlink r:id="rId2940" ref="G6499"/>
    <hyperlink r:id="rId2941" ref="G6500"/>
    <hyperlink r:id="rId2942" ref="G6505"/>
    <hyperlink r:id="rId2943" ref="G6506"/>
    <hyperlink r:id="rId2944" ref="G6510"/>
    <hyperlink r:id="rId2945" ref="G6516"/>
    <hyperlink r:id="rId2946" ref="G6519"/>
    <hyperlink r:id="rId2947" ref="G6520"/>
    <hyperlink r:id="rId2948" ref="G6522"/>
    <hyperlink r:id="rId2949" ref="G6523"/>
    <hyperlink r:id="rId2950" ref="G6525"/>
    <hyperlink r:id="rId2951" ref="G6528"/>
    <hyperlink r:id="rId2952" ref="G6531"/>
    <hyperlink r:id="rId2953" ref="G6534"/>
    <hyperlink r:id="rId2954" ref="G6536"/>
    <hyperlink r:id="rId2955" ref="G6539"/>
    <hyperlink r:id="rId2956" ref="G6542"/>
    <hyperlink r:id="rId2957" ref="G6543"/>
    <hyperlink r:id="rId2958" ref="G6546"/>
    <hyperlink r:id="rId2959" ref="G6551"/>
    <hyperlink r:id="rId2960" ref="G6554"/>
    <hyperlink r:id="rId2961" ref="G6564"/>
    <hyperlink r:id="rId2962" ref="G6565"/>
    <hyperlink r:id="rId2963" ref="G6566"/>
    <hyperlink r:id="rId2964" ref="G6569"/>
    <hyperlink r:id="rId2965" ref="G6573"/>
    <hyperlink r:id="rId2966" ref="G6574"/>
    <hyperlink r:id="rId2967" ref="G6576"/>
    <hyperlink r:id="rId2968" ref="G6577"/>
    <hyperlink r:id="rId2969" ref="G6578"/>
    <hyperlink r:id="rId2970" ref="G6581"/>
    <hyperlink r:id="rId2971" ref="G6582"/>
    <hyperlink r:id="rId2972" ref="G6583"/>
    <hyperlink r:id="rId2973" ref="G6584"/>
    <hyperlink r:id="rId2974" ref="G6588"/>
    <hyperlink r:id="rId2975" ref="G6595"/>
    <hyperlink r:id="rId2976" ref="G6596"/>
    <hyperlink r:id="rId2977" ref="G6597"/>
    <hyperlink r:id="rId2978" ref="G6601"/>
    <hyperlink r:id="rId2979" ref="G6603"/>
    <hyperlink r:id="rId2980" ref="G6606"/>
    <hyperlink r:id="rId2981" ref="G6607"/>
    <hyperlink r:id="rId2982" ref="G6608"/>
    <hyperlink r:id="rId2983" ref="G6613"/>
    <hyperlink r:id="rId2984" ref="G6617"/>
    <hyperlink r:id="rId2985" ref="G6619"/>
    <hyperlink r:id="rId2986" ref="G6620"/>
    <hyperlink r:id="rId2987" ref="G6622"/>
    <hyperlink r:id="rId2988" ref="G6626"/>
    <hyperlink r:id="rId2989" ref="G6631"/>
    <hyperlink r:id="rId2990" ref="G6632"/>
    <hyperlink r:id="rId2991" ref="G6640"/>
    <hyperlink r:id="rId2992" ref="G6642"/>
    <hyperlink r:id="rId2993" ref="G6643"/>
    <hyperlink r:id="rId2994" ref="G6644"/>
    <hyperlink r:id="rId2995" ref="G6645"/>
    <hyperlink r:id="rId2996" ref="G6646"/>
    <hyperlink r:id="rId2997" ref="G6648"/>
    <hyperlink r:id="rId2998" ref="G6649"/>
    <hyperlink r:id="rId2999" ref="G6652"/>
    <hyperlink r:id="rId3000" ref="G6657"/>
    <hyperlink r:id="rId3001" ref="G6658"/>
    <hyperlink r:id="rId3002" ref="G6661"/>
    <hyperlink r:id="rId3003" ref="G6662"/>
    <hyperlink r:id="rId3004" ref="G6664"/>
    <hyperlink r:id="rId3005" ref="G6666"/>
    <hyperlink r:id="rId3006" ref="G6667"/>
    <hyperlink r:id="rId3007" ref="G6669"/>
    <hyperlink r:id="rId3008" ref="G6671"/>
    <hyperlink r:id="rId3009" ref="G6672"/>
    <hyperlink r:id="rId3010" ref="G6673"/>
    <hyperlink r:id="rId3011" ref="G6675"/>
    <hyperlink r:id="rId3012" ref="G6677"/>
    <hyperlink r:id="rId3013" ref="G6680"/>
    <hyperlink r:id="rId3014" ref="G6681"/>
    <hyperlink r:id="rId3015" ref="G6686"/>
    <hyperlink r:id="rId3016" ref="G6687"/>
    <hyperlink r:id="rId3017" ref="G6689"/>
    <hyperlink r:id="rId3018" ref="G6690"/>
    <hyperlink r:id="rId3019" ref="G6691"/>
    <hyperlink r:id="rId3020" ref="G6692"/>
    <hyperlink r:id="rId3021" ref="G6695"/>
    <hyperlink r:id="rId3022" ref="G6697"/>
    <hyperlink r:id="rId3023" ref="G6698"/>
    <hyperlink r:id="rId3024" ref="G6705"/>
    <hyperlink r:id="rId3025" ref="G6706"/>
    <hyperlink r:id="rId3026" ref="G6708"/>
    <hyperlink r:id="rId3027" ref="G6710"/>
    <hyperlink r:id="rId3028" ref="G6711"/>
    <hyperlink r:id="rId3029" ref="G6717"/>
    <hyperlink r:id="rId3030" ref="G6718"/>
    <hyperlink r:id="rId3031" ref="G6721"/>
    <hyperlink r:id="rId3032" ref="G6725"/>
    <hyperlink r:id="rId3033" ref="G6726"/>
    <hyperlink r:id="rId3034" ref="G6735"/>
    <hyperlink r:id="rId3035" ref="G6755"/>
    <hyperlink r:id="rId3036" ref="G6779"/>
    <hyperlink r:id="rId3037" ref="G6793"/>
    <hyperlink r:id="rId3038" ref="G6796"/>
    <hyperlink r:id="rId3039" ref="G6801"/>
    <hyperlink r:id="rId3040" ref="G6823"/>
    <hyperlink r:id="rId3041" ref="G6853"/>
    <hyperlink r:id="rId3042" ref="G6854"/>
    <hyperlink r:id="rId3043" ref="G6856"/>
    <hyperlink r:id="rId3044" ref="G6858"/>
    <hyperlink r:id="rId3045" ref="G6860"/>
    <hyperlink r:id="rId3046" ref="G6862"/>
    <hyperlink r:id="rId3047" ref="G6870"/>
    <hyperlink r:id="rId3048" ref="G6873"/>
    <hyperlink r:id="rId3049" ref="G6874"/>
    <hyperlink r:id="rId3050" ref="G6875"/>
    <hyperlink r:id="rId3051" ref="G6910"/>
    <hyperlink r:id="rId3052" ref="G6911"/>
    <hyperlink r:id="rId3053" ref="G6916"/>
    <hyperlink r:id="rId3054" ref="G6917"/>
    <hyperlink r:id="rId3055" ref="G6918"/>
    <hyperlink r:id="rId3056" ref="G7011"/>
    <hyperlink r:id="rId3057" ref="G7017"/>
    <hyperlink r:id="rId3058" ref="G7018"/>
    <hyperlink r:id="rId3059" ref="G7096"/>
    <hyperlink r:id="rId3060" ref="G7098"/>
    <hyperlink r:id="rId3061" ref="G7099"/>
    <hyperlink r:id="rId3062" ref="G7105"/>
    <hyperlink r:id="rId3063" ref="G7106"/>
    <hyperlink r:id="rId3064" ref="G7110"/>
    <hyperlink r:id="rId3065" ref="G7111"/>
    <hyperlink r:id="rId3066" ref="G7112"/>
    <hyperlink r:id="rId3067" ref="G7124"/>
    <hyperlink r:id="rId3068" ref="G7125"/>
    <hyperlink r:id="rId3069" ref="G7128"/>
    <hyperlink r:id="rId3070" ref="G7138"/>
    <hyperlink r:id="rId3071" ref="G7141"/>
    <hyperlink r:id="rId3072" ref="G7146"/>
    <hyperlink r:id="rId3073" ref="G7147"/>
    <hyperlink r:id="rId3074" ref="G7152"/>
    <hyperlink r:id="rId3075" ref="G7153"/>
    <hyperlink r:id="rId3076" ref="G7154"/>
    <hyperlink r:id="rId3077" ref="G7155"/>
    <hyperlink r:id="rId3078" ref="G7157"/>
    <hyperlink r:id="rId3079" ref="G7163"/>
    <hyperlink r:id="rId3080" ref="G7166"/>
    <hyperlink r:id="rId3081" ref="G7174"/>
    <hyperlink r:id="rId3082" ref="G7176"/>
    <hyperlink r:id="rId3083" ref="G7182"/>
    <hyperlink r:id="rId3084" ref="G7185"/>
  </hyperlinks>
  <drawing r:id="rId3085"/>
</worksheet>
</file>